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codeName="ThisWorkbook" defaultThemeVersion="124226"/>
  <mc:AlternateContent xmlns:mc="http://schemas.openxmlformats.org/markup-compatibility/2006">
    <mc:Choice Requires="x15">
      <x15ac:absPath xmlns:x15ac="http://schemas.microsoft.com/office/spreadsheetml/2010/11/ac" url="C:\Users\kamiokannde\Documents\GitHub\Ri-one\ssl-Circuit\2026\PCB\WheelVoltageBooster\"/>
    </mc:Choice>
  </mc:AlternateContent>
  <xr:revisionPtr revIDLastSave="0" documentId="13_ncr:1_{690B5035-FDC8-424A-86C6-1749DF2C47B5}"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25710" yWindow="-1320" windowWidth="25820" windowHeight="1390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rgb="FF000000"/>
            <rFont val="Tahoma"/>
            <family val="2"/>
          </rPr>
          <t>Calculated RAMP1/RAMP2 Resistors</t>
        </r>
        <r>
          <rPr>
            <sz val="9"/>
            <color rgb="FF000000"/>
            <rFont val="Tahoma"/>
            <family val="2"/>
          </rPr>
          <t xml:space="preserve">
</t>
        </r>
        <r>
          <rPr>
            <sz val="9"/>
            <color rgb="FF000000"/>
            <rFont val="Tahoma"/>
            <family val="2"/>
          </rPr>
          <t xml:space="preserve">
</t>
        </r>
        <r>
          <rPr>
            <sz val="9"/>
            <color rgb="FF000000"/>
            <rFont val="Tahoma"/>
            <family val="2"/>
          </rPr>
          <t xml:space="preserve">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rgb="FF000000"/>
            <rFont val="Tahoma"/>
            <family val="2"/>
          </rPr>
          <t>Peak RAMP voltage at the HV minimum</t>
        </r>
        <r>
          <rPr>
            <sz val="9"/>
            <color rgb="FF000000"/>
            <rFont val="Tahoma"/>
            <family val="2"/>
          </rPr>
          <t xml:space="preserve">
</t>
        </r>
        <r>
          <rPr>
            <sz val="9"/>
            <color rgb="FF000000"/>
            <rFont val="Tahoma"/>
            <family val="2"/>
          </rPr>
          <t xml:space="preserve">
</t>
        </r>
        <r>
          <rPr>
            <sz val="9"/>
            <color rgb="FF000000"/>
            <rFont val="Tahoma"/>
            <family val="2"/>
          </rPr>
          <t>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rgb="FF000000"/>
            <rFont val="Tahoma"/>
            <family val="2"/>
          </rPr>
          <t>Calculated R</t>
        </r>
        <r>
          <rPr>
            <b/>
            <vertAlign val="subscript"/>
            <sz val="9"/>
            <color rgb="FF000000"/>
            <rFont val="Tahoma"/>
            <family val="2"/>
          </rPr>
          <t>UVLO3</t>
        </r>
        <r>
          <rPr>
            <b/>
            <sz val="9"/>
            <color rgb="FF000000"/>
            <rFont val="Tahoma"/>
            <family val="2"/>
          </rPr>
          <t xml:space="preserve"> Value</t>
        </r>
        <r>
          <rPr>
            <sz val="9"/>
            <color rgb="FF000000"/>
            <rFont val="Tahoma"/>
            <family val="2"/>
          </rPr>
          <t xml:space="preserve">
</t>
        </r>
        <r>
          <rPr>
            <sz val="9"/>
            <color rgb="FF000000"/>
            <rFont val="Tahoma"/>
            <family val="2"/>
          </rPr>
          <t xml:space="preserve">
</t>
        </r>
        <r>
          <rPr>
            <sz val="9"/>
            <color rgb="FF000000"/>
            <rFont val="Tahoma"/>
            <family val="2"/>
          </rPr>
          <t>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rgb="FF000000"/>
            <rFont val="Tahoma"/>
            <family val="2"/>
          </rPr>
          <t>Selected R</t>
        </r>
        <r>
          <rPr>
            <b/>
            <vertAlign val="subscript"/>
            <sz val="9"/>
            <color rgb="FF000000"/>
            <rFont val="Tahoma"/>
            <family val="2"/>
          </rPr>
          <t>UVLO3</t>
        </r>
        <r>
          <rPr>
            <b/>
            <sz val="9"/>
            <color rgb="FF000000"/>
            <rFont val="Tahoma"/>
            <family val="2"/>
          </rPr>
          <t xml:space="preserve"> Value
</t>
        </r>
        <r>
          <rPr>
            <b/>
            <sz val="9"/>
            <color rgb="FF000000"/>
            <rFont val="Tahoma"/>
            <family val="2"/>
          </rPr>
          <t xml:space="preserve">
</t>
        </r>
        <r>
          <rPr>
            <sz val="9"/>
            <color rgb="FF000000"/>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rgb="FF000000"/>
            <rFont val="Tahoma"/>
            <family val="2"/>
          </rPr>
          <t xml:space="preserve">UVLO Release Rising Edge
</t>
        </r>
        <r>
          <rPr>
            <b/>
            <sz val="9"/>
            <color rgb="FF000000"/>
            <rFont val="Tahoma"/>
            <family val="2"/>
          </rPr>
          <t xml:space="preserve">
</t>
        </r>
        <r>
          <rPr>
            <sz val="9"/>
            <color rgb="FF000000"/>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rgb="FF000000"/>
            <rFont val="Tahoma"/>
            <family val="2"/>
          </rPr>
          <t xml:space="preserve">UVLO Latch Falling Edge
</t>
        </r>
        <r>
          <rPr>
            <sz val="9"/>
            <color rgb="FF000000"/>
            <rFont val="Tahoma"/>
            <family val="2"/>
          </rPr>
          <t xml:space="preserve">
</t>
        </r>
        <r>
          <rPr>
            <sz val="9"/>
            <color rgb="FF000000"/>
            <rFont val="Tahoma"/>
            <family val="2"/>
          </rPr>
          <t>This is the UVLO input rail voltage at which an Undervoltage event occurs. If the input rail voltage is less than this value the LM5170 is in standby mode.</t>
        </r>
      </text>
    </comment>
    <comment ref="B105" authorId="0" shapeId="0" xr:uid="{00000000-0006-0000-0000-00003D000000}">
      <text>
        <r>
          <rPr>
            <b/>
            <sz val="9"/>
            <color rgb="FF000000"/>
            <rFont val="Tahoma"/>
            <family val="2"/>
          </rPr>
          <t xml:space="preserve">UVLO Shutdown Voltage
</t>
        </r>
        <r>
          <rPr>
            <b/>
            <sz val="9"/>
            <color rgb="FF000000"/>
            <rFont val="Tahoma"/>
            <family val="2"/>
          </rPr>
          <t xml:space="preserve">
</t>
        </r>
        <r>
          <rPr>
            <sz val="9"/>
            <color rgb="FF000000"/>
            <rFont val="Tahoma"/>
            <family val="2"/>
          </rPr>
          <t>This is the UVLO input rail voltage at which the LM5170 will enter shutdown mode.</t>
        </r>
        <r>
          <rPr>
            <b/>
            <sz val="9"/>
            <color rgb="FF000000"/>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rgb="FF000000"/>
            <rFont val="Tahoma"/>
            <family val="2"/>
          </rPr>
          <t>Dead Time Resistor</t>
        </r>
        <r>
          <rPr>
            <sz val="9"/>
            <color rgb="FF000000"/>
            <rFont val="Tahoma"/>
            <family val="2"/>
          </rPr>
          <t xml:space="preserve">
</t>
        </r>
        <r>
          <rPr>
            <sz val="9"/>
            <color rgb="FF000000"/>
            <rFont val="Tahoma"/>
            <family val="2"/>
          </rPr>
          <t xml:space="preserve">
</t>
        </r>
        <r>
          <rPr>
            <sz val="9"/>
            <color rgb="FF000000"/>
            <rFont val="Tahoma"/>
            <family val="2"/>
          </rPr>
          <t>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rgb="FF000000"/>
            <rFont val="Tahoma"/>
            <family val="2"/>
          </rPr>
          <t>LO falling to HO rising Dead Time</t>
        </r>
        <r>
          <rPr>
            <sz val="9"/>
            <color rgb="FF000000"/>
            <rFont val="Tahoma"/>
            <family val="2"/>
          </rPr>
          <t xml:space="preserve">
</t>
        </r>
        <r>
          <rPr>
            <sz val="9"/>
            <color rgb="FF000000"/>
            <rFont val="Tahoma"/>
            <family val="2"/>
          </rPr>
          <t xml:space="preserve">
</t>
        </r>
        <r>
          <rPr>
            <sz val="9"/>
            <color rgb="FF000000"/>
            <rFont val="Tahoma"/>
            <family val="2"/>
          </rPr>
          <t>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rgb="FF000000"/>
            <rFont val="Tahoma"/>
            <family val="2"/>
          </rPr>
          <t>Suggested Cross Over Frequency</t>
        </r>
        <r>
          <rPr>
            <sz val="9"/>
            <color rgb="FF000000"/>
            <rFont val="Tahoma"/>
            <family val="2"/>
          </rPr>
          <t xml:space="preserve">
</t>
        </r>
        <r>
          <rPr>
            <sz val="9"/>
            <color rgb="FF000000"/>
            <rFont val="Tahoma"/>
            <family val="2"/>
          </rPr>
          <t xml:space="preserve">
</t>
        </r>
        <r>
          <rPr>
            <sz val="9"/>
            <color rgb="FF000000"/>
            <rFont val="Tahoma"/>
            <family val="2"/>
          </rPr>
          <t>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rgb="FF000000"/>
            <rFont val="Tahoma"/>
            <family val="2"/>
          </rPr>
          <t>Selected C</t>
        </r>
        <r>
          <rPr>
            <b/>
            <vertAlign val="subscript"/>
            <sz val="9"/>
            <color rgb="FF000000"/>
            <rFont val="Tahoma"/>
            <family val="2"/>
          </rPr>
          <t>COMP</t>
        </r>
        <r>
          <rPr>
            <b/>
            <sz val="9"/>
            <color rgb="FF000000"/>
            <rFont val="Tahoma"/>
            <family val="2"/>
          </rPr>
          <t xml:space="preserve">
</t>
        </r>
        <r>
          <rPr>
            <sz val="9"/>
            <color rgb="FF000000"/>
            <rFont val="Tahoma"/>
            <family val="2"/>
          </rPr>
          <t xml:space="preserve">
</t>
        </r>
        <r>
          <rPr>
            <sz val="9"/>
            <color rgb="FF000000"/>
            <rFont val="Tahoma"/>
            <family val="2"/>
          </rPr>
          <t>This value should reflect the calculated value above. Adjusting this value will move the affect the zero location of the compensation.</t>
        </r>
        <r>
          <rPr>
            <b/>
            <sz val="9"/>
            <color rgb="FF000000"/>
            <rFont val="Tahoma"/>
            <family val="2"/>
          </rPr>
          <t xml:space="preserve">
</t>
        </r>
      </text>
    </comment>
    <comment ref="B142" authorId="0" shapeId="0" xr:uid="{00000000-0006-0000-0000-000055000000}">
      <text>
        <r>
          <rPr>
            <b/>
            <sz val="9"/>
            <color rgb="FF000000"/>
            <rFont val="Tahoma"/>
            <family val="2"/>
          </rPr>
          <t>Calculated CHF</t>
        </r>
        <r>
          <rPr>
            <sz val="9"/>
            <color rgb="FF000000"/>
            <rFont val="Tahoma"/>
            <family val="2"/>
          </rPr>
          <t xml:space="preserve">
</t>
        </r>
        <r>
          <rPr>
            <sz val="9"/>
            <color rgb="FF000000"/>
            <rFont val="Tahoma"/>
            <family val="2"/>
          </rPr>
          <t xml:space="preserve">
</t>
        </r>
        <r>
          <rPr>
            <sz val="9"/>
            <color rgb="FF000000"/>
            <rFont val="Tahoma"/>
            <family val="2"/>
          </rPr>
          <t xml:space="preserve">See datasheet for details on how to calculate this value
</t>
        </r>
      </text>
    </comment>
    <comment ref="B143" authorId="0" shapeId="0" xr:uid="{00000000-0006-0000-0000-000056000000}">
      <text>
        <r>
          <rPr>
            <b/>
            <sz val="9"/>
            <color rgb="FF000000"/>
            <rFont val="Tahoma"/>
            <family val="2"/>
          </rPr>
          <t>Selected C</t>
        </r>
        <r>
          <rPr>
            <b/>
            <vertAlign val="subscript"/>
            <sz val="9"/>
            <color rgb="FF000000"/>
            <rFont val="Tahoma"/>
            <family val="2"/>
          </rPr>
          <t>HF</t>
        </r>
        <r>
          <rPr>
            <b/>
            <sz val="9"/>
            <color rgb="FF000000"/>
            <rFont val="Tahoma"/>
            <family val="2"/>
          </rPr>
          <t xml:space="preserve">
</t>
        </r>
        <r>
          <rPr>
            <sz val="9"/>
            <color rgb="FF000000"/>
            <rFont val="Tahoma"/>
            <family val="2"/>
          </rPr>
          <t xml:space="preserve">
</t>
        </r>
        <r>
          <rPr>
            <sz val="9"/>
            <color rgb="FF000000"/>
            <rFont val="Tahoma"/>
            <family val="2"/>
          </rPr>
          <t xml:space="preserve">This value should reflect the calculated value above. Adjusting this value will move the affect the pole location of the compensation network.
</t>
        </r>
      </text>
    </comment>
    <comment ref="B144" authorId="0" shapeId="0" xr:uid="{00000000-0006-0000-0000-000057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53" authorId="0" shapeId="0" xr:uid="{00000000-0006-0000-0000-00005A000000}">
      <text>
        <r>
          <rPr>
            <b/>
            <sz val="9"/>
            <color rgb="FF000000"/>
            <rFont val="Tahoma"/>
            <family val="2"/>
          </rPr>
          <t>Selected Bottom Resistor</t>
        </r>
        <r>
          <rPr>
            <sz val="9"/>
            <color rgb="FF000000"/>
            <rFont val="Tahoma"/>
            <family val="2"/>
          </rPr>
          <t xml:space="preserve">
</t>
        </r>
        <r>
          <rPr>
            <sz val="9"/>
            <color rgb="FF000000"/>
            <rFont val="Tahoma"/>
            <family val="2"/>
          </rPr>
          <t xml:space="preserve">
</t>
        </r>
        <r>
          <rPr>
            <sz val="9"/>
            <color rgb="FF000000"/>
            <rFont val="Tahoma"/>
            <family val="2"/>
          </rPr>
          <t>This is the selected bottom resistor of the FB resistor divider. A good starting point for this value is in the 1kΩ to 20k</t>
        </r>
        <r>
          <rPr>
            <sz val="9"/>
            <color rgb="FF000000"/>
            <rFont val="Calibri"/>
            <family val="2"/>
          </rPr>
          <t>Ω</t>
        </r>
        <r>
          <rPr>
            <sz val="9"/>
            <color rgb="FF000000"/>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LV Port voltage.</t>
        </r>
      </text>
    </comment>
    <comment ref="B155" authorId="0" shapeId="0" xr:uid="{00000000-0006-0000-0000-00005C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sz val="9"/>
            <color rgb="FF000000"/>
            <rFont val="Tahoma"/>
            <family val="2"/>
          </rPr>
          <t xml:space="preserve">
</t>
        </r>
        <r>
          <rPr>
            <sz val="9"/>
            <color rgb="FF000000"/>
            <rFont val="Tahoma"/>
            <family val="2"/>
          </rPr>
          <t>The selected value should reflect the calculated value above.</t>
        </r>
      </text>
    </comment>
    <comment ref="B156" authorId="0" shapeId="0" xr:uid="{00000000-0006-0000-0000-00005D000000}">
      <text>
        <r>
          <rPr>
            <b/>
            <sz val="9"/>
            <color rgb="FF000000"/>
            <rFont val="Tahoma"/>
            <family val="2"/>
          </rPr>
          <t>Suggested Crossover Frequency</t>
        </r>
        <r>
          <rPr>
            <sz val="9"/>
            <color rgb="FF000000"/>
            <rFont val="Tahoma"/>
            <family val="2"/>
          </rPr>
          <t xml:space="preserve">
</t>
        </r>
        <r>
          <rPr>
            <sz val="9"/>
            <color rgb="FF000000"/>
            <rFont val="Tahoma"/>
            <family val="2"/>
          </rPr>
          <t xml:space="preserve">
</t>
        </r>
        <r>
          <rPr>
            <sz val="9"/>
            <color rgb="FF000000"/>
            <rFont val="Tahoma"/>
            <family val="2"/>
          </rPr>
          <t>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58" authorId="0" shapeId="0" xr:uid="{00000000-0006-0000-0000-00005F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t>
        </r>
      </text>
    </comment>
    <comment ref="B160" authorId="0" shapeId="0" xr:uid="{00000000-0006-0000-0000-000060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62" authorId="0" shapeId="0" xr:uid="{00000000-0006-0000-0000-000061000000}">
      <text>
        <r>
          <rPr>
            <b/>
            <sz val="9"/>
            <color rgb="FF000000"/>
            <rFont val="Tahoma"/>
            <family val="2"/>
          </rPr>
          <t>C</t>
        </r>
        <r>
          <rPr>
            <b/>
            <vertAlign val="subscript"/>
            <sz val="9"/>
            <color rgb="FF000000"/>
            <rFont val="Tahoma"/>
            <family val="2"/>
          </rPr>
          <t>HF</t>
        </r>
        <r>
          <rPr>
            <b/>
            <sz val="9"/>
            <color rgb="FF000000"/>
            <rFont val="Tahoma"/>
            <family val="2"/>
          </rPr>
          <t xml:space="preserve"> Calculated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64" authorId="0" shapeId="0" xr:uid="{00000000-0006-0000-0000-000062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65" authorId="0" shapeId="0" xr:uid="{00000000-0006-0000-0000-000063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text>
    </comment>
    <comment ref="B171" authorId="0" shapeId="0" xr:uid="{00000000-0006-0000-0000-000064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77" authorId="0" shapeId="0" xr:uid="{00000000-0006-0000-0000-00006A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
</t>
        </r>
      </text>
    </comment>
    <comment ref="B179" authorId="0" shapeId="0" xr:uid="{00000000-0006-0000-0000-00006B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81" authorId="0" shapeId="0" xr:uid="{00000000-0006-0000-0000-00006C000000}">
      <text>
        <r>
          <rPr>
            <b/>
            <sz val="9"/>
            <color rgb="FF000000"/>
            <rFont val="Tahoma"/>
            <family val="2"/>
          </rPr>
          <t>C</t>
        </r>
        <r>
          <rPr>
            <b/>
            <vertAlign val="subscript"/>
            <sz val="9"/>
            <color rgb="FF000000"/>
            <rFont val="Tahoma"/>
            <family val="2"/>
          </rPr>
          <t>HF</t>
        </r>
        <r>
          <rPr>
            <b/>
            <sz val="9"/>
            <color rgb="FF000000"/>
            <rFont val="Tahoma"/>
            <family val="2"/>
          </rPr>
          <t xml:space="preserve"> Calculated</t>
        </r>
        <r>
          <rPr>
            <sz val="9"/>
            <color rgb="FF000000"/>
            <rFont val="Tahoma"/>
            <family val="2"/>
          </rPr>
          <t xml:space="preserve">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83" authorId="0" shapeId="0" xr:uid="{00000000-0006-0000-0000-00006D000000}">
      <text>
        <r>
          <rPr>
            <b/>
            <sz val="9"/>
            <color rgb="FF000000"/>
            <rFont val="Tahoma"/>
            <family val="2"/>
          </rPr>
          <t>Compensation Zero Location (F</t>
        </r>
        <r>
          <rPr>
            <b/>
            <vertAlign val="subscript"/>
            <sz val="9"/>
            <color rgb="FF000000"/>
            <rFont val="Tahoma"/>
            <family val="2"/>
          </rPr>
          <t>Zcomp</t>
        </r>
        <r>
          <rPr>
            <b/>
            <sz val="9"/>
            <color rgb="FF000000"/>
            <rFont val="Tahoma"/>
            <family val="2"/>
          </rPr>
          <t>)</t>
        </r>
        <r>
          <rPr>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<sst xmlns="http://schemas.openxmlformats.org/spreadsheetml/2006/main" count="921" uniqueCount="497">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</sst>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6" x14ac:knownFonts="1">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7" fillId="0" borderId="0"/>
    <xf numFmtId="0" fontId="21" fillId="0" borderId="0" applyNumberFormat="0" applyFill="0" applyBorder="0" applyAlignment="0" applyProtection="0"/>
    <xf numFmtId="0" fontId="21"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8" fillId="0" borderId="42" xfId="1" applyFont="1" applyBorder="1"/>
    <xf numFmtId="0" fontId="19" fillId="0" borderId="42" xfId="1" applyFont="1" applyBorder="1" applyAlignment="1">
      <alignment horizontal="center"/>
    </xf>
    <xf numFmtId="0" fontId="19" fillId="0" borderId="42" xfId="1" applyFont="1" applyBorder="1" applyAlignment="1">
      <alignment horizontal="left"/>
    </xf>
    <xf numFmtId="0" fontId="20" fillId="0" borderId="42" xfId="1" applyFont="1" applyBorder="1"/>
    <xf numFmtId="0" fontId="22" fillId="0" borderId="42" xfId="2" applyFont="1" applyFill="1" applyBorder="1" applyAlignment="1">
      <alignment vertical="center"/>
    </xf>
    <xf numFmtId="0" fontId="22" fillId="0" borderId="42" xfId="2" applyFont="1" applyFill="1" applyBorder="1" applyAlignment="1">
      <alignment horizontal="right" vertical="center"/>
    </xf>
    <xf numFmtId="0" fontId="18" fillId="0" borderId="42" xfId="1" applyFont="1" applyBorder="1" applyAlignment="1">
      <alignment horizontal="center"/>
    </xf>
    <xf numFmtId="0" fontId="18" fillId="0" borderId="42" xfId="1" applyFont="1" applyBorder="1" applyAlignment="1">
      <alignment horizontal="left"/>
    </xf>
    <xf numFmtId="0" fontId="20" fillId="0" borderId="42" xfId="1" applyFont="1" applyBorder="1" applyAlignment="1">
      <alignment horizontal="center"/>
    </xf>
    <xf numFmtId="0" fontId="23" fillId="0" borderId="42" xfId="1" applyFont="1" applyBorder="1"/>
    <xf numFmtId="0" fontId="24" fillId="12" borderId="42" xfId="1" applyFont="1" applyFill="1" applyBorder="1" applyAlignment="1">
      <alignment horizontal="center"/>
    </xf>
    <xf numFmtId="0" fontId="25" fillId="0" borderId="42" xfId="2" applyFont="1" applyFill="1" applyBorder="1" applyAlignment="1">
      <alignment vertical="center"/>
    </xf>
    <xf numFmtId="0" fontId="21"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20" fillId="0" borderId="42" xfId="1" applyFont="1" applyBorder="1" applyAlignment="1">
      <alignment wrapText="1"/>
    </xf>
    <xf numFmtId="0" fontId="18" fillId="0" borderId="42" xfId="1" applyFont="1" applyBorder="1" applyAlignment="1">
      <alignment horizontal="center"/>
    </xf>
    <xf numFmtId="0" fontId="18" fillId="11" borderId="42" xfId="1" applyFont="1" applyFill="1" applyBorder="1" applyAlignment="1">
      <alignment horizontal="center"/>
    </xf>
    <xf numFmtId="0" fontId="24" fillId="12" borderId="42" xfId="1" applyFont="1" applyFill="1" applyBorder="1" applyAlignment="1">
      <alignment horizontal="left"/>
    </xf>
    <xf numFmtId="0" fontId="20" fillId="0" borderId="42" xfId="1" applyFont="1" applyBorder="1" applyAlignment="1">
      <alignment horizontal="left"/>
    </xf>
    <xf numFmtId="0" fontId="20" fillId="0" borderId="42" xfId="1" applyFont="1" applyBorder="1" applyAlignment="1">
      <alignment horizontal="left" wrapText="1"/>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0" borderId="6" xfId="0" applyBorder="1" applyAlignment="1">
      <alignment horizontal="center"/>
    </xf>
    <xf numFmtId="0" fontId="0" fillId="0" borderId="4"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880.43160008282541</c:v>
                </c:pt>
              </c:numCache>
            </c:numRef>
          </c:xVal>
          <c:yVal>
            <c:numRef>
              <c:f>Compensation!$AD$9</c:f>
              <c:numCache>
                <c:formatCode>General</c:formatCode>
                <c:ptCount val="1"/>
                <c:pt idx="0">
                  <c:v>33.172582805277543</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947.35085173747234</c:v>
                </c:pt>
              </c:numCache>
            </c:numRef>
          </c:xVal>
          <c:yVal>
            <c:numRef>
              <c:f>Compensation!$AD$10</c:f>
              <c:numCache>
                <c:formatCode>General</c:formatCode>
                <c:ptCount val="1"/>
                <c:pt idx="0">
                  <c:v>32.512934072541391</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94735.08517374724</c:v>
                </c:pt>
              </c:numCache>
            </c:numRef>
          </c:xVal>
          <c:yVal>
            <c:numRef>
              <c:f>Compensation!$AD$11</c:f>
              <c:numCache>
                <c:formatCode>General</c:formatCode>
                <c:ptCount val="1"/>
                <c:pt idx="0">
                  <c:v>-10.760391445764517</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0.500666222813829</c:v>
                </c:pt>
                <c:pt idx="2">
                  <c:v>0.66666666666666663</c:v>
                </c:pt>
                <c:pt idx="3">
                  <c:v>0.66666666666666663</c:v>
                </c:pt>
                <c:pt idx="4">
                  <c:v>0.66666666666666663</c:v>
                </c:pt>
                <c:pt idx="5">
                  <c:v>0.66666666666666663</c:v>
                </c:pt>
                <c:pt idx="6">
                  <c:v>0.66666666666666663</c:v>
                </c:pt>
                <c:pt idx="7">
                  <c:v>0.66666666666666663</c:v>
                </c:pt>
                <c:pt idx="8">
                  <c:v>0.66666666666666663</c:v>
                </c:pt>
                <c:pt idx="9">
                  <c:v>0.66666666666666663</c:v>
                </c:pt>
                <c:pt idx="10">
                  <c:v>0.66666666666666663</c:v>
                </c:pt>
                <c:pt idx="11">
                  <c:v>0.66666666666666663</c:v>
                </c:pt>
                <c:pt idx="12">
                  <c:v>0.66666666666666663</c:v>
                </c:pt>
                <c:pt idx="13">
                  <c:v>0.66666666666666663</c:v>
                </c:pt>
                <c:pt idx="14">
                  <c:v>0.66666666666666663</c:v>
                </c:pt>
                <c:pt idx="15">
                  <c:v>0.66666666666666663</c:v>
                </c:pt>
                <c:pt idx="16">
                  <c:v>0.66666666666666663</c:v>
                </c:pt>
                <c:pt idx="17">
                  <c:v>0.66666666666666663</c:v>
                </c:pt>
                <c:pt idx="18">
                  <c:v>0.66666666666666663</c:v>
                </c:pt>
                <c:pt idx="19">
                  <c:v>0.66666666666666663</c:v>
                </c:pt>
                <c:pt idx="20">
                  <c:v>0.66666666666666663</c:v>
                </c:pt>
                <c:pt idx="21">
                  <c:v>0.66666666666666663</c:v>
                </c:pt>
                <c:pt idx="22">
                  <c:v>0.66666666666666663</c:v>
                </c:pt>
                <c:pt idx="23">
                  <c:v>0.66666666666666663</c:v>
                </c:pt>
                <c:pt idx="24">
                  <c:v>0.66666666666666663</c:v>
                </c:pt>
                <c:pt idx="25">
                  <c:v>0.66666666666666663</c:v>
                </c:pt>
                <c:pt idx="26">
                  <c:v>0.66666666666666663</c:v>
                </c:pt>
                <c:pt idx="27">
                  <c:v>0.66666666666666663</c:v>
                </c:pt>
                <c:pt idx="28">
                  <c:v>0.66666666666666663</c:v>
                </c:pt>
                <c:pt idx="29">
                  <c:v>0.66666666666666663</c:v>
                </c:pt>
                <c:pt idx="30">
                  <c:v>0.66666666666666663</c:v>
                </c:pt>
                <c:pt idx="31">
                  <c:v>0.66666666666666663</c:v>
                </c:pt>
                <c:pt idx="32">
                  <c:v>0.66666666666666663</c:v>
                </c:pt>
                <c:pt idx="33">
                  <c:v>0.66666666666666663</c:v>
                </c:pt>
                <c:pt idx="34">
                  <c:v>0.66666666666666663</c:v>
                </c:pt>
                <c:pt idx="35">
                  <c:v>0.66666666666666663</c:v>
                </c:pt>
                <c:pt idx="36">
                  <c:v>0.66666666666666663</c:v>
                </c:pt>
                <c:pt idx="37">
                  <c:v>0.66666666666666663</c:v>
                </c:pt>
                <c:pt idx="38">
                  <c:v>0.66666666666666663</c:v>
                </c:pt>
                <c:pt idx="39">
                  <c:v>0.66666666666666663</c:v>
                </c:pt>
                <c:pt idx="40">
                  <c:v>0.66666666666666663</c:v>
                </c:pt>
                <c:pt idx="41">
                  <c:v>0.66666666666666663</c:v>
                </c:pt>
                <c:pt idx="42">
                  <c:v>0.66666666666666663</c:v>
                </c:pt>
                <c:pt idx="43">
                  <c:v>0.66666666666666663</c:v>
                </c:pt>
                <c:pt idx="44">
                  <c:v>0.66666666666666663</c:v>
                </c:pt>
                <c:pt idx="45">
                  <c:v>0.66666666666666663</c:v>
                </c:pt>
                <c:pt idx="46">
                  <c:v>0.66666666666666663</c:v>
                </c:pt>
                <c:pt idx="47">
                  <c:v>0.66666666666666663</c:v>
                </c:pt>
                <c:pt idx="48">
                  <c:v>0.66666666666666663</c:v>
                </c:pt>
                <c:pt idx="49">
                  <c:v>0.66666666666666663</c:v>
                </c:pt>
                <c:pt idx="50">
                  <c:v>0.66666666666666663</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0.11666558930767369</c:v>
                </c:pt>
                <c:pt idx="2">
                  <c:v>0.16499005866116168</c:v>
                </c:pt>
                <c:pt idx="3">
                  <c:v>0.2020707281758552</c:v>
                </c:pt>
                <c:pt idx="4">
                  <c:v>0.23333117861534738</c:v>
                </c:pt>
                <c:pt idx="5">
                  <c:v>0.23529411764705882</c:v>
                </c:pt>
                <c:pt idx="6">
                  <c:v>0.23529411764705882</c:v>
                </c:pt>
                <c:pt idx="7">
                  <c:v>0.23529411764705882</c:v>
                </c:pt>
                <c:pt idx="8">
                  <c:v>0.23529411764705882</c:v>
                </c:pt>
                <c:pt idx="9">
                  <c:v>0.23529411764705882</c:v>
                </c:pt>
                <c:pt idx="10">
                  <c:v>0.23529411764705882</c:v>
                </c:pt>
                <c:pt idx="11">
                  <c:v>0.23529411764705882</c:v>
                </c:pt>
                <c:pt idx="12">
                  <c:v>0.23529411764705882</c:v>
                </c:pt>
                <c:pt idx="13">
                  <c:v>0.23529411764705882</c:v>
                </c:pt>
                <c:pt idx="14">
                  <c:v>0.23529411764705882</c:v>
                </c:pt>
                <c:pt idx="15">
                  <c:v>0.23529411764705882</c:v>
                </c:pt>
                <c:pt idx="16">
                  <c:v>0.23529411764705882</c:v>
                </c:pt>
                <c:pt idx="17">
                  <c:v>0.23529411764705882</c:v>
                </c:pt>
                <c:pt idx="18">
                  <c:v>0.23529411764705882</c:v>
                </c:pt>
                <c:pt idx="19">
                  <c:v>0.23529411764705882</c:v>
                </c:pt>
                <c:pt idx="20">
                  <c:v>0.23529411764705882</c:v>
                </c:pt>
                <c:pt idx="21">
                  <c:v>0.23529411764705882</c:v>
                </c:pt>
                <c:pt idx="22">
                  <c:v>0.23529411764705882</c:v>
                </c:pt>
                <c:pt idx="23">
                  <c:v>0.23529411764705882</c:v>
                </c:pt>
                <c:pt idx="24">
                  <c:v>0.23529411764705882</c:v>
                </c:pt>
                <c:pt idx="25">
                  <c:v>0.23529411764705882</c:v>
                </c:pt>
                <c:pt idx="26">
                  <c:v>0.23529411764705882</c:v>
                </c:pt>
                <c:pt idx="27">
                  <c:v>0.23529411764705882</c:v>
                </c:pt>
                <c:pt idx="28">
                  <c:v>0.23529411764705882</c:v>
                </c:pt>
                <c:pt idx="29">
                  <c:v>0.23529411764705882</c:v>
                </c:pt>
                <c:pt idx="30">
                  <c:v>0.23529411764705882</c:v>
                </c:pt>
                <c:pt idx="31">
                  <c:v>0.23529411764705882</c:v>
                </c:pt>
                <c:pt idx="32">
                  <c:v>0.23529411764705882</c:v>
                </c:pt>
                <c:pt idx="33">
                  <c:v>0.23529411764705882</c:v>
                </c:pt>
                <c:pt idx="34">
                  <c:v>0.23529411764705882</c:v>
                </c:pt>
                <c:pt idx="35">
                  <c:v>0.23529411764705882</c:v>
                </c:pt>
                <c:pt idx="36">
                  <c:v>0.23529411764705882</c:v>
                </c:pt>
                <c:pt idx="37">
                  <c:v>0.23529411764705882</c:v>
                </c:pt>
                <c:pt idx="38">
                  <c:v>0.23529411764705882</c:v>
                </c:pt>
                <c:pt idx="39">
                  <c:v>0.23529411764705882</c:v>
                </c:pt>
                <c:pt idx="40">
                  <c:v>0.23529411764705882</c:v>
                </c:pt>
                <c:pt idx="41">
                  <c:v>0.23529411764705882</c:v>
                </c:pt>
                <c:pt idx="42">
                  <c:v>0.23529411764705882</c:v>
                </c:pt>
                <c:pt idx="43">
                  <c:v>0.23529411764705882</c:v>
                </c:pt>
                <c:pt idx="44">
                  <c:v>0.23529411764705882</c:v>
                </c:pt>
                <c:pt idx="45">
                  <c:v>0.23529411764705882</c:v>
                </c:pt>
                <c:pt idx="46">
                  <c:v>0.23529411764705882</c:v>
                </c:pt>
                <c:pt idx="47">
                  <c:v>0.23529411764705882</c:v>
                </c:pt>
                <c:pt idx="48">
                  <c:v>0.23529411764705882</c:v>
                </c:pt>
                <c:pt idx="49">
                  <c:v>0.23529411764705882</c:v>
                </c:pt>
                <c:pt idx="50">
                  <c:v>0.23529411764705882</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1.7730496453900708</c:v>
                </c:pt>
              </c:numCache>
            </c:numRef>
          </c:xVal>
          <c:yVal>
            <c:numRef>
              <c:f>Calculations!$B$43</c:f>
              <c:numCache>
                <c:formatCode>General</c:formatCode>
                <c:ptCount val="1"/>
                <c:pt idx="0">
                  <c:v>0.66666666666666663</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4.0675844806007513</c:v>
                </c:pt>
              </c:numCache>
            </c:numRef>
          </c:xVal>
          <c:yVal>
            <c:numRef>
              <c:f>Calculations!$B$49</c:f>
              <c:numCache>
                <c:formatCode>0.000</c:formatCode>
                <c:ptCount val="1"/>
                <c:pt idx="0">
                  <c:v>0.23529411764705882</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67.095608350210057</c:v>
                </c:pt>
                <c:pt idx="2">
                  <c:v>63.573603824889098</c:v>
                </c:pt>
                <c:pt idx="3">
                  <c:v>61.074578037504786</c:v>
                </c:pt>
                <c:pt idx="4">
                  <c:v>59.136055037777751</c:v>
                </c:pt>
                <c:pt idx="5">
                  <c:v>57.552035727180254</c:v>
                </c:pt>
                <c:pt idx="6">
                  <c:v>56.212633936708734</c:v>
                </c:pt>
                <c:pt idx="7">
                  <c:v>55.052257440530369</c:v>
                </c:pt>
                <c:pt idx="8">
                  <c:v>54.028597933212609</c:v>
                </c:pt>
                <c:pt idx="9">
                  <c:v>53.112767626458613</c:v>
                </c:pt>
                <c:pt idx="10">
                  <c:v>47.081453280030672</c:v>
                </c:pt>
                <c:pt idx="11">
                  <c:v>43.541896132768741</c:v>
                </c:pt>
                <c:pt idx="12">
                  <c:v>41.018556455710453</c:v>
                </c:pt>
                <c:pt idx="13">
                  <c:v>39.04920968586525</c:v>
                </c:pt>
                <c:pt idx="14">
                  <c:v>37.428168443381288</c:v>
                </c:pt>
                <c:pt idx="15">
                  <c:v>36.045910812510762</c:v>
                </c:pt>
                <c:pt idx="16">
                  <c:v>34.837252652631207</c:v>
                </c:pt>
                <c:pt idx="17">
                  <c:v>33.760328353082031</c:v>
                </c:pt>
                <c:pt idx="18">
                  <c:v>32.786718062952744</c:v>
                </c:pt>
                <c:pt idx="19">
                  <c:v>26.033977922435334</c:v>
                </c:pt>
                <c:pt idx="20">
                  <c:v>21.771487320499595</c:v>
                </c:pt>
                <c:pt idx="21">
                  <c:v>18.702234671496797</c:v>
                </c:pt>
                <c:pt idx="22">
                  <c:v>16.380167412253574</c:v>
                </c:pt>
                <c:pt idx="23">
                  <c:v>14.562205786477652</c:v>
                </c:pt>
                <c:pt idx="24">
                  <c:v>13.096500169760972</c:v>
                </c:pt>
                <c:pt idx="25">
                  <c:v>11.883797442062544</c:v>
                </c:pt>
                <c:pt idx="26">
                  <c:v>10.857472996056837</c:v>
                </c:pt>
                <c:pt idx="27">
                  <c:v>9.9717504878948588</c:v>
                </c:pt>
                <c:pt idx="28">
                  <c:v>4.6594219338466729</c:v>
                </c:pt>
                <c:pt idx="29">
                  <c:v>1.6644203917824254</c:v>
                </c:pt>
                <c:pt idx="30">
                  <c:v>-0.53382282649017221</c:v>
                </c:pt>
                <c:pt idx="31">
                  <c:v>-2.2980040632646261</c:v>
                </c:pt>
                <c:pt idx="32">
                  <c:v>-3.7764510771370534</c:v>
                </c:pt>
                <c:pt idx="33">
                  <c:v>-5.0494589326005821</c:v>
                </c:pt>
                <c:pt idx="34">
                  <c:v>-6.1671182836939886</c:v>
                </c:pt>
                <c:pt idx="35">
                  <c:v>-7.1632300658695005</c:v>
                </c:pt>
                <c:pt idx="36">
                  <c:v>-8.0617837363939753</c:v>
                </c:pt>
                <c:pt idx="37">
                  <c:v>-14.15791212123143</c:v>
                </c:pt>
                <c:pt idx="38">
                  <c:v>-18.008542673145026</c:v>
                </c:pt>
                <c:pt idx="39">
                  <c:v>-21.108997400834028</c:v>
                </c:pt>
                <c:pt idx="40">
                  <c:v>-23.951181095601548</c:v>
                </c:pt>
                <c:pt idx="41">
                  <c:v>-26.7062392943077</c:v>
                </c:pt>
                <c:pt idx="42">
                  <c:v>-29.398978439652112</c:v>
                </c:pt>
                <c:pt idx="43">
                  <c:v>-32.001758711923522</c:v>
                </c:pt>
                <c:pt idx="44">
                  <c:v>-34.484268594473349</c:v>
                </c:pt>
                <c:pt idx="45">
                  <c:v>-36.829544057912621</c:v>
                </c:pt>
                <c:pt idx="46">
                  <c:v>-53.845624677825938</c:v>
                </c:pt>
                <c:pt idx="47">
                  <c:v>-64.277497024257741</c:v>
                </c:pt>
                <c:pt idx="48">
                  <c:v>-71.732791617180908</c:v>
                </c:pt>
                <c:pt idx="49">
                  <c:v>-77.52945318582961</c:v>
                </c:pt>
                <c:pt idx="50">
                  <c:v>-82.270866643106203</c:v>
                </c:pt>
                <c:pt idx="51">
                  <c:v>-86.282066343218588</c:v>
                </c:pt>
                <c:pt idx="52">
                  <c:v>-89.757982865494341</c:v>
                </c:pt>
                <c:pt idx="53">
                  <c:v>-92.824683786732365</c:v>
                </c:pt>
                <c:pt idx="54">
                  <c:v>-95.568389407606674</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16.697982927475362</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16.434184501669879</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1989.4367886486921</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89.341404896011198</c:v>
                </c:pt>
                <c:pt idx="9">
                  <c:v>89.268361538518221</c:v>
                </c:pt>
                <c:pt idx="10">
                  <c:v>88.540938747651325</c:v>
                </c:pt>
                <c:pt idx="11">
                  <c:v>87.821872634395959</c:v>
                </c:pt>
                <c:pt idx="12">
                  <c:v>87.115157812645307</c:v>
                </c:pt>
                <c:pt idx="13">
                  <c:v>86.424576435033643</c:v>
                </c:pt>
                <c:pt idx="14">
                  <c:v>85.75364012240054</c:v>
                </c:pt>
                <c:pt idx="15">
                  <c:v>85.105541694525783</c:v>
                </c:pt>
                <c:pt idx="16">
                  <c:v>84.483117886413268</c:v>
                </c:pt>
                <c:pt idx="17">
                  <c:v>83.888823587969043</c:v>
                </c:pt>
                <c:pt idx="18">
                  <c:v>83.324717527794718</c:v>
                </c:pt>
                <c:pt idx="19">
                  <c:v>79.531025615109073</c:v>
                </c:pt>
                <c:pt idx="20">
                  <c:v>78.721686059687926</c:v>
                </c:pt>
                <c:pt idx="21">
                  <c:v>79.675700498215647</c:v>
                </c:pt>
                <c:pt idx="22">
                  <c:v>81.371584674705829</c:v>
                </c:pt>
                <c:pt idx="23">
                  <c:v>83.241090352192913</c:v>
                </c:pt>
                <c:pt idx="24">
                  <c:v>85.020222172060556</c:v>
                </c:pt>
                <c:pt idx="25">
                  <c:v>86.605319810983687</c:v>
                </c:pt>
                <c:pt idx="26">
                  <c:v>87.969232991183503</c:v>
                </c:pt>
                <c:pt idx="27">
                  <c:v>89.118671769523814</c:v>
                </c:pt>
                <c:pt idx="28">
                  <c:v>93.284000467819908</c:v>
                </c:pt>
                <c:pt idx="29">
                  <c:v>92.352723371958092</c:v>
                </c:pt>
                <c:pt idx="30">
                  <c:v>90.403892885434345</c:v>
                </c:pt>
                <c:pt idx="31">
                  <c:v>88.331017884181037</c:v>
                </c:pt>
                <c:pt idx="32">
                  <c:v>86.327885696740324</c:v>
                </c:pt>
                <c:pt idx="33">
                  <c:v>84.422115808897814</c:v>
                </c:pt>
                <c:pt idx="34">
                  <c:v>82.603047195048831</c:v>
                </c:pt>
                <c:pt idx="35">
                  <c:v>80.853843507599549</c:v>
                </c:pt>
                <c:pt idx="36">
                  <c:v>79.159269055191814</c:v>
                </c:pt>
                <c:pt idx="37">
                  <c:v>63.496440886789635</c:v>
                </c:pt>
                <c:pt idx="38">
                  <c:v>48.330172240535568</c:v>
                </c:pt>
                <c:pt idx="39">
                  <c:v>33.275849306823332</c:v>
                </c:pt>
                <c:pt idx="40">
                  <c:v>18.841538248489307</c:v>
                </c:pt>
                <c:pt idx="41">
                  <c:v>5.6918330486549413</c:v>
                </c:pt>
                <c:pt idx="42">
                  <c:v>-5.7492456084780432</c:v>
                </c:pt>
                <c:pt idx="43">
                  <c:v>-15.405464841748149</c:v>
                </c:pt>
                <c:pt idx="44">
                  <c:v>-23.438827440646254</c:v>
                </c:pt>
                <c:pt idx="45">
                  <c:v>-30.10443168897956</c:v>
                </c:pt>
                <c:pt idx="46">
                  <c:v>-60.745072872271734</c:v>
                </c:pt>
                <c:pt idx="47">
                  <c:v>-70.673691274893059</c:v>
                </c:pt>
                <c:pt idx="48">
                  <c:v>-75.557252300108473</c:v>
                </c:pt>
                <c:pt idx="49">
                  <c:v>-78.465830429899214</c:v>
                </c:pt>
                <c:pt idx="50">
                  <c:v>-80.397430818615803</c:v>
                </c:pt>
                <c:pt idx="51">
                  <c:v>-81.774051547831618</c:v>
                </c:pt>
                <c:pt idx="52">
                  <c:v>-82.805053033174602</c:v>
                </c:pt>
                <c:pt idx="53">
                  <c:v>-83.60617947248295</c:v>
                </c:pt>
                <c:pt idx="54">
                  <c:v>-84.246651339457912</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74.602062251264002</c:v>
                </c:pt>
                <c:pt idx="1">
                  <c:v>68.581372899381407</c:v>
                </c:pt>
                <c:pt idx="2">
                  <c:v>65.059398701040678</c:v>
                </c:pt>
                <c:pt idx="3">
                  <c:v>62.560415443633715</c:v>
                </c:pt>
                <c:pt idx="4">
                  <c:v>60.621947248957603</c:v>
                </c:pt>
                <c:pt idx="5">
                  <c:v>59.037995110971394</c:v>
                </c:pt>
                <c:pt idx="6">
                  <c:v>57.698672973432309</c:v>
                </c:pt>
                <c:pt idx="7">
                  <c:v>56.538388743375805</c:v>
                </c:pt>
                <c:pt idx="8">
                  <c:v>55.514834268149393</c:v>
                </c:pt>
                <c:pt idx="9">
                  <c:v>54.599121931923229</c:v>
                </c:pt>
                <c:pt idx="10">
                  <c:v>48.569750336125452</c:v>
                </c:pt>
                <c:pt idx="11">
                  <c:v>45.033752605823992</c:v>
                </c:pt>
                <c:pt idx="12">
                  <c:v>42.516023728479119</c:v>
                </c:pt>
                <c:pt idx="13">
                  <c:v>40.554862849511935</c:v>
                </c:pt>
                <c:pt idx="14">
                  <c:v>38.945130915001734</c:v>
                </c:pt>
                <c:pt idx="15">
                  <c:v>37.577818648908739</c:v>
                </c:pt>
                <c:pt idx="16">
                  <c:v>36.388170548102366</c:v>
                </c:pt>
                <c:pt idx="17">
                  <c:v>35.33463343183795</c:v>
                </c:pt>
                <c:pt idx="18">
                  <c:v>34.388968075622351</c:v>
                </c:pt>
                <c:pt idx="19">
                  <c:v>28.130718783599438</c:v>
                </c:pt>
                <c:pt idx="20">
                  <c:v>24.511322222299164</c:v>
                </c:pt>
                <c:pt idx="21">
                  <c:v>21.993292712205644</c:v>
                </c:pt>
                <c:pt idx="22">
                  <c:v>20.072849716503388</c:v>
                </c:pt>
                <c:pt idx="23">
                  <c:v>18.524374520070015</c:v>
                </c:pt>
                <c:pt idx="24">
                  <c:v>17.228093296817384</c:v>
                </c:pt>
                <c:pt idx="25">
                  <c:v>16.113082019543491</c:v>
                </c:pt>
                <c:pt idx="26">
                  <c:v>15.134101742039746</c:v>
                </c:pt>
                <c:pt idx="27">
                  <c:v>14.260710956618015</c:v>
                </c:pt>
                <c:pt idx="28">
                  <c:v>8.5002360333169484</c:v>
                </c:pt>
                <c:pt idx="29">
                  <c:v>5.0896212760721449</c:v>
                </c:pt>
                <c:pt idx="30">
                  <c:v>2.6643327361723927</c:v>
                </c:pt>
                <c:pt idx="31">
                  <c:v>0.79292997385766162</c:v>
                </c:pt>
                <c:pt idx="32">
                  <c:v>-0.72110288656691446</c:v>
                </c:pt>
                <c:pt idx="33">
                  <c:v>-1.9843508247458082</c:v>
                </c:pt>
                <c:pt idx="34">
                  <c:v>-3.0612664546836248</c:v>
                </c:pt>
                <c:pt idx="35">
                  <c:v>-3.9939109418395429</c:v>
                </c:pt>
                <c:pt idx="36">
                  <c:v>-4.811344780400006</c:v>
                </c:pt>
                <c:pt idx="37">
                  <c:v>-9.5701472038249484</c:v>
                </c:pt>
                <c:pt idx="38">
                  <c:v>-11.70797507364817</c:v>
                </c:pt>
                <c:pt idx="39">
                  <c:v>-13.085554540163038</c:v>
                </c:pt>
                <c:pt idx="40">
                  <c:v>-14.303067359630074</c:v>
                </c:pt>
                <c:pt idx="41">
                  <c:v>-15.535332665394295</c:v>
                </c:pt>
                <c:pt idx="42">
                  <c:v>-16.788312174349826</c:v>
                </c:pt>
                <c:pt idx="43">
                  <c:v>-18.023956740046362</c:v>
                </c:pt>
                <c:pt idx="44">
                  <c:v>-19.21036379441389</c:v>
                </c:pt>
                <c:pt idx="45">
                  <c:v>-20.331478214326282</c:v>
                </c:pt>
                <c:pt idx="46">
                  <c:v>-28.517352884623683</c:v>
                </c:pt>
                <c:pt idx="47">
                  <c:v>-33.915807836861433</c:v>
                </c:pt>
                <c:pt idx="48">
                  <c:v>-38.086671367283579</c:v>
                </c:pt>
                <c:pt idx="49">
                  <c:v>-41.504827343902036</c:v>
                </c:pt>
                <c:pt idx="50">
                  <c:v>-44.396750228037511</c:v>
                </c:pt>
                <c:pt idx="51">
                  <c:v>-46.898095058380861</c:v>
                </c:pt>
                <c:pt idx="52">
                  <c:v>-49.098533283471617</c:v>
                </c:pt>
                <c:pt idx="53">
                  <c:v>-51.060619470255247</c:v>
                </c:pt>
                <c:pt idx="54">
                  <c:v>-52.82964201813364</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29.790486005292443</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29.633612718108388</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-32.219082018142792</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-11.345160945444707</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89.969977545251339</c:v>
                </c:pt>
                <c:pt idx="1">
                  <c:v>89.939962582119293</c:v>
                </c:pt>
                <c:pt idx="2">
                  <c:v>89.909962596432095</c:v>
                </c:pt>
                <c:pt idx="3">
                  <c:v>89.879985062450814</c:v>
                </c:pt>
                <c:pt idx="4">
                  <c:v>89.850037437109137</c:v>
                </c:pt>
                <c:pt idx="5">
                  <c:v>89.820127154280868</c:v>
                </c:pt>
                <c:pt idx="6">
                  <c:v>89.790261619085399</c:v>
                </c:pt>
                <c:pt idx="7">
                  <c:v>89.760448202238891</c:v>
                </c:pt>
                <c:pt idx="8">
                  <c:v>89.730694234461225</c:v>
                </c:pt>
                <c:pt idx="9">
                  <c:v>89.701007000946262</c:v>
                </c:pt>
                <c:pt idx="10">
                  <c:v>89.40936459037205</c:v>
                </c:pt>
                <c:pt idx="11">
                  <c:v>89.131874272167366</c:v>
                </c:pt>
                <c:pt idx="12">
                  <c:v>88.874323165184506</c:v>
                </c:pt>
                <c:pt idx="13">
                  <c:v>88.641165001978734</c:v>
                </c:pt>
                <c:pt idx="14">
                  <c:v>88.435375361366056</c:v>
                </c:pt>
                <c:pt idx="15">
                  <c:v>88.258473041769761</c:v>
                </c:pt>
                <c:pt idx="16">
                  <c:v>88.110672326653926</c:v>
                </c:pt>
                <c:pt idx="17">
                  <c:v>87.991117698140641</c:v>
                </c:pt>
                <c:pt idx="18">
                  <c:v>87.898152715169473</c:v>
                </c:pt>
                <c:pt idx="19">
                  <c:v>87.908198506323842</c:v>
                </c:pt>
                <c:pt idx="20">
                  <c:v>88.453642124189798</c:v>
                </c:pt>
                <c:pt idx="21">
                  <c:v>88.916756092678028</c:v>
                </c:pt>
                <c:pt idx="22">
                  <c:v>89.215067905496866</c:v>
                </c:pt>
                <c:pt idx="23">
                  <c:v>89.363593379078395</c:v>
                </c:pt>
                <c:pt idx="24">
                  <c:v>89.389734337735248</c:v>
                </c:pt>
                <c:pt idx="25">
                  <c:v>89.319151395601438</c:v>
                </c:pt>
                <c:pt idx="26">
                  <c:v>89.173581088111334</c:v>
                </c:pt>
                <c:pt idx="27">
                  <c:v>88.970768457855456</c:v>
                </c:pt>
                <c:pt idx="28">
                  <c:v>85.764814425830934</c:v>
                </c:pt>
                <c:pt idx="29">
                  <c:v>82.305598358942021</c:v>
                </c:pt>
                <c:pt idx="30">
                  <c:v>78.991676351548875</c:v>
                </c:pt>
                <c:pt idx="31">
                  <c:v>75.790816983428243</c:v>
                </c:pt>
                <c:pt idx="32">
                  <c:v>72.670319353423807</c:v>
                </c:pt>
                <c:pt idx="33">
                  <c:v>69.612140245480262</c:v>
                </c:pt>
                <c:pt idx="34">
                  <c:v>66.606891153188968</c:v>
                </c:pt>
                <c:pt idx="35">
                  <c:v>63.649746439495509</c:v>
                </c:pt>
                <c:pt idx="36">
                  <c:v>60.73826418833373</c:v>
                </c:pt>
                <c:pt idx="37">
                  <c:v>33.995225820952975</c:v>
                </c:pt>
                <c:pt idx="38">
                  <c:v>11.088608157312487</c:v>
                </c:pt>
                <c:pt idx="39">
                  <c:v>-8.7932615449543192</c:v>
                </c:pt>
                <c:pt idx="40">
                  <c:v>-25.999073858005577</c:v>
                </c:pt>
                <c:pt idx="41">
                  <c:v>-40.564972166969746</c:v>
                </c:pt>
                <c:pt idx="42">
                  <c:v>-52.63211954528748</c:v>
                </c:pt>
                <c:pt idx="43">
                  <c:v>-62.537280871225718</c:v>
                </c:pt>
                <c:pt idx="44">
                  <c:v>-70.696812128811956</c:v>
                </c:pt>
                <c:pt idx="45">
                  <c:v>-77.498565962477656</c:v>
                </c:pt>
                <c:pt idx="46">
                  <c:v>-113.15904264668734</c:v>
                </c:pt>
                <c:pt idx="47">
                  <c:v>-129.75654420956869</c:v>
                </c:pt>
                <c:pt idx="48">
                  <c:v>-140.01330194702967</c:v>
                </c:pt>
                <c:pt idx="49">
                  <c:v>-146.95470465329845</c:v>
                </c:pt>
                <c:pt idx="50">
                  <c:v>-151.9241771319671</c:v>
                </c:pt>
                <c:pt idx="51">
                  <c:v>-155.63619825593378</c:v>
                </c:pt>
                <c:pt idx="52">
                  <c:v>-158.50387837306428</c:v>
                </c:pt>
                <c:pt idx="53">
                  <c:v>-160.78047751837079</c:v>
                </c:pt>
                <c:pt idx="54">
                  <c:v>-162.62876689683299</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0.500666222813829</c:v>
                </c:pt>
                <c:pt idx="2">
                  <c:v>0.66666666666666663</c:v>
                </c:pt>
                <c:pt idx="3">
                  <c:v>0.66666666666666663</c:v>
                </c:pt>
                <c:pt idx="4">
                  <c:v>0.66666666666666663</c:v>
                </c:pt>
                <c:pt idx="5">
                  <c:v>0.66666666666666663</c:v>
                </c:pt>
                <c:pt idx="6">
                  <c:v>0.66666666666666663</c:v>
                </c:pt>
                <c:pt idx="7">
                  <c:v>0.66666666666666663</c:v>
                </c:pt>
                <c:pt idx="8">
                  <c:v>0.66666666666666663</c:v>
                </c:pt>
                <c:pt idx="9">
                  <c:v>0.66666666666666663</c:v>
                </c:pt>
                <c:pt idx="10">
                  <c:v>0.66666666666666663</c:v>
                </c:pt>
                <c:pt idx="11">
                  <c:v>0.66666666666666663</c:v>
                </c:pt>
                <c:pt idx="12">
                  <c:v>0.66666666666666663</c:v>
                </c:pt>
                <c:pt idx="13">
                  <c:v>0.66666666666666663</c:v>
                </c:pt>
                <c:pt idx="14">
                  <c:v>0.66666666666666663</c:v>
                </c:pt>
                <c:pt idx="15">
                  <c:v>0.66666666666666663</c:v>
                </c:pt>
                <c:pt idx="16">
                  <c:v>0.66666666666666663</c:v>
                </c:pt>
                <c:pt idx="17">
                  <c:v>0.66666666666666663</c:v>
                </c:pt>
                <c:pt idx="18">
                  <c:v>0.66666666666666663</c:v>
                </c:pt>
                <c:pt idx="19">
                  <c:v>0.66666666666666663</c:v>
                </c:pt>
                <c:pt idx="20">
                  <c:v>0.66666666666666663</c:v>
                </c:pt>
                <c:pt idx="21">
                  <c:v>0.66666666666666663</c:v>
                </c:pt>
                <c:pt idx="22">
                  <c:v>0.66666666666666663</c:v>
                </c:pt>
                <c:pt idx="23">
                  <c:v>0.66666666666666663</c:v>
                </c:pt>
                <c:pt idx="24">
                  <c:v>0.66666666666666663</c:v>
                </c:pt>
                <c:pt idx="25">
                  <c:v>0.66666666666666663</c:v>
                </c:pt>
                <c:pt idx="26">
                  <c:v>0.66666666666666663</c:v>
                </c:pt>
                <c:pt idx="27">
                  <c:v>0.66666666666666663</c:v>
                </c:pt>
                <c:pt idx="28">
                  <c:v>0.66666666666666663</c:v>
                </c:pt>
                <c:pt idx="29">
                  <c:v>0.66666666666666663</c:v>
                </c:pt>
                <c:pt idx="30">
                  <c:v>0.66666666666666663</c:v>
                </c:pt>
                <c:pt idx="31">
                  <c:v>0.66666666666666663</c:v>
                </c:pt>
                <c:pt idx="32">
                  <c:v>0.66666666666666663</c:v>
                </c:pt>
                <c:pt idx="33">
                  <c:v>0.66666666666666663</c:v>
                </c:pt>
                <c:pt idx="34">
                  <c:v>0.66666666666666663</c:v>
                </c:pt>
                <c:pt idx="35">
                  <c:v>0.66666666666666663</c:v>
                </c:pt>
                <c:pt idx="36">
                  <c:v>0.66666666666666663</c:v>
                </c:pt>
                <c:pt idx="37">
                  <c:v>0.66666666666666663</c:v>
                </c:pt>
                <c:pt idx="38">
                  <c:v>0.66666666666666663</c:v>
                </c:pt>
                <c:pt idx="39">
                  <c:v>0.66666666666666663</c:v>
                </c:pt>
                <c:pt idx="40">
                  <c:v>0.66666666666666663</c:v>
                </c:pt>
                <c:pt idx="41">
                  <c:v>0.66666666666666663</c:v>
                </c:pt>
                <c:pt idx="42">
                  <c:v>0.66666666666666663</c:v>
                </c:pt>
                <c:pt idx="43">
                  <c:v>0.66666666666666663</c:v>
                </c:pt>
                <c:pt idx="44">
                  <c:v>0.66666666666666663</c:v>
                </c:pt>
                <c:pt idx="45">
                  <c:v>0.66666666666666663</c:v>
                </c:pt>
                <c:pt idx="46">
                  <c:v>0.66666666666666663</c:v>
                </c:pt>
                <c:pt idx="47">
                  <c:v>0.66666666666666663</c:v>
                </c:pt>
                <c:pt idx="48">
                  <c:v>0.66666666666666663</c:v>
                </c:pt>
                <c:pt idx="49">
                  <c:v>0.66666666666666663</c:v>
                </c:pt>
                <c:pt idx="50">
                  <c:v>0.66666666666666663</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0.11666558930767369</c:v>
                </c:pt>
                <c:pt idx="2">
                  <c:v>0.16499005866116168</c:v>
                </c:pt>
                <c:pt idx="3">
                  <c:v>0.2020707281758552</c:v>
                </c:pt>
                <c:pt idx="4">
                  <c:v>0.23333117861534738</c:v>
                </c:pt>
                <c:pt idx="5">
                  <c:v>0.23529411764705882</c:v>
                </c:pt>
                <c:pt idx="6">
                  <c:v>0.23529411764705882</c:v>
                </c:pt>
                <c:pt idx="7">
                  <c:v>0.23529411764705882</c:v>
                </c:pt>
                <c:pt idx="8">
                  <c:v>0.23529411764705882</c:v>
                </c:pt>
                <c:pt idx="9">
                  <c:v>0.23529411764705882</c:v>
                </c:pt>
                <c:pt idx="10">
                  <c:v>0.23529411764705882</c:v>
                </c:pt>
                <c:pt idx="11">
                  <c:v>0.23529411764705882</c:v>
                </c:pt>
                <c:pt idx="12">
                  <c:v>0.23529411764705882</c:v>
                </c:pt>
                <c:pt idx="13">
                  <c:v>0.23529411764705882</c:v>
                </c:pt>
                <c:pt idx="14">
                  <c:v>0.23529411764705882</c:v>
                </c:pt>
                <c:pt idx="15">
                  <c:v>0.23529411764705882</c:v>
                </c:pt>
                <c:pt idx="16">
                  <c:v>0.23529411764705882</c:v>
                </c:pt>
                <c:pt idx="17">
                  <c:v>0.23529411764705882</c:v>
                </c:pt>
                <c:pt idx="18">
                  <c:v>0.23529411764705882</c:v>
                </c:pt>
                <c:pt idx="19">
                  <c:v>0.23529411764705882</c:v>
                </c:pt>
                <c:pt idx="20">
                  <c:v>0.23529411764705882</c:v>
                </c:pt>
                <c:pt idx="21">
                  <c:v>0.23529411764705882</c:v>
                </c:pt>
                <c:pt idx="22">
                  <c:v>0.23529411764705882</c:v>
                </c:pt>
                <c:pt idx="23">
                  <c:v>0.23529411764705882</c:v>
                </c:pt>
                <c:pt idx="24">
                  <c:v>0.23529411764705882</c:v>
                </c:pt>
                <c:pt idx="25">
                  <c:v>0.23529411764705882</c:v>
                </c:pt>
                <c:pt idx="26">
                  <c:v>0.23529411764705882</c:v>
                </c:pt>
                <c:pt idx="27">
                  <c:v>0.23529411764705882</c:v>
                </c:pt>
                <c:pt idx="28">
                  <c:v>0.23529411764705882</c:v>
                </c:pt>
                <c:pt idx="29">
                  <c:v>0.23529411764705882</c:v>
                </c:pt>
                <c:pt idx="30">
                  <c:v>0.23529411764705882</c:v>
                </c:pt>
                <c:pt idx="31">
                  <c:v>0.23529411764705882</c:v>
                </c:pt>
                <c:pt idx="32">
                  <c:v>0.23529411764705882</c:v>
                </c:pt>
                <c:pt idx="33">
                  <c:v>0.23529411764705882</c:v>
                </c:pt>
                <c:pt idx="34">
                  <c:v>0.23529411764705882</c:v>
                </c:pt>
                <c:pt idx="35">
                  <c:v>0.23529411764705882</c:v>
                </c:pt>
                <c:pt idx="36">
                  <c:v>0.23529411764705882</c:v>
                </c:pt>
                <c:pt idx="37">
                  <c:v>0.23529411764705882</c:v>
                </c:pt>
                <c:pt idx="38">
                  <c:v>0.23529411764705882</c:v>
                </c:pt>
                <c:pt idx="39">
                  <c:v>0.23529411764705882</c:v>
                </c:pt>
                <c:pt idx="40">
                  <c:v>0.23529411764705882</c:v>
                </c:pt>
                <c:pt idx="41">
                  <c:v>0.23529411764705882</c:v>
                </c:pt>
                <c:pt idx="42">
                  <c:v>0.23529411764705882</c:v>
                </c:pt>
                <c:pt idx="43">
                  <c:v>0.23529411764705882</c:v>
                </c:pt>
                <c:pt idx="44">
                  <c:v>0.23529411764705882</c:v>
                </c:pt>
                <c:pt idx="45">
                  <c:v>0.23529411764705882</c:v>
                </c:pt>
                <c:pt idx="46">
                  <c:v>0.23529411764705882</c:v>
                </c:pt>
                <c:pt idx="47">
                  <c:v>0.23529411764705882</c:v>
                </c:pt>
                <c:pt idx="48">
                  <c:v>0.23529411764705882</c:v>
                </c:pt>
                <c:pt idx="49">
                  <c:v>0.23529411764705882</c:v>
                </c:pt>
                <c:pt idx="50">
                  <c:v>0.23529411764705882</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1.7730496453900708</c:v>
                </c:pt>
              </c:numCache>
            </c:numRef>
          </c:xVal>
          <c:yVal>
            <c:numRef>
              <c:f>Calculations!$B$43</c:f>
              <c:numCache>
                <c:formatCode>General</c:formatCode>
                <c:ptCount val="1"/>
                <c:pt idx="0">
                  <c:v>0.66666666666666663</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4.0675844806007513</c:v>
                </c:pt>
              </c:numCache>
            </c:numRef>
          </c:xVal>
          <c:yVal>
            <c:numRef>
              <c:f>Calculations!$B$49</c:f>
              <c:numCache>
                <c:formatCode>0.000</c:formatCode>
                <c:ptCount val="1"/>
                <c:pt idx="0">
                  <c:v>0.23529411764705882</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51.345952098734102</c:v>
                </c:pt>
                <c:pt idx="1">
                  <c:v>51.34593529085474</c:v>
                </c:pt>
                <c:pt idx="2">
                  <c:v>51.345907277867028</c:v>
                </c:pt>
                <c:pt idx="3">
                  <c:v>51.345868059987822</c:v>
                </c:pt>
                <c:pt idx="4">
                  <c:v>51.345817637520632</c:v>
                </c:pt>
                <c:pt idx="5">
                  <c:v>51.345756010855709</c:v>
                </c:pt>
                <c:pt idx="6">
                  <c:v>51.345683180470054</c:v>
                </c:pt>
                <c:pt idx="7">
                  <c:v>51.345599146927306</c:v>
                </c:pt>
                <c:pt idx="8">
                  <c:v>51.345503910877795</c:v>
                </c:pt>
                <c:pt idx="9">
                  <c:v>51.345397473058554</c:v>
                </c:pt>
                <c:pt idx="10">
                  <c:v>51.343717221586516</c:v>
                </c:pt>
                <c:pt idx="11">
                  <c:v>51.34091824627339</c:v>
                </c:pt>
                <c:pt idx="12">
                  <c:v>51.337002708924729</c:v>
                </c:pt>
                <c:pt idx="13">
                  <c:v>51.331973628280451</c:v>
                </c:pt>
                <c:pt idx="14">
                  <c:v>51.325834872277312</c:v>
                </c:pt>
                <c:pt idx="15">
                  <c:v>51.31859114817216</c:v>
                </c:pt>
                <c:pt idx="16">
                  <c:v>51.310247990578823</c:v>
                </c:pt>
                <c:pt idx="17">
                  <c:v>51.300811747482122</c:v>
                </c:pt>
                <c:pt idx="18">
                  <c:v>51.290289564302178</c:v>
                </c:pt>
                <c:pt idx="19">
                  <c:v>51.127442581158924</c:v>
                </c:pt>
                <c:pt idx="20">
                  <c:v>50.868906807073373</c:v>
                </c:pt>
                <c:pt idx="21">
                  <c:v>50.531011829600857</c:v>
                </c:pt>
                <c:pt idx="22">
                  <c:v>50.131954447809903</c:v>
                </c:pt>
                <c:pt idx="23">
                  <c:v>49.689300097368758</c:v>
                </c:pt>
                <c:pt idx="24">
                  <c:v>49.21841628748102</c:v>
                </c:pt>
                <c:pt idx="25">
                  <c:v>48.731815295375192</c:v>
                </c:pt>
                <c:pt idx="26">
                  <c:v>48.239139628286985</c:v>
                </c:pt>
                <c:pt idx="27">
                  <c:v>47.747495585300932</c:v>
                </c:pt>
                <c:pt idx="28">
                  <c:v>43.449991035089141</c:v>
                </c:pt>
                <c:pt idx="29">
                  <c:v>40.338631476032248</c:v>
                </c:pt>
                <c:pt idx="30">
                  <c:v>37.993203474831944</c:v>
                </c:pt>
                <c:pt idx="31">
                  <c:v>36.127856469618727</c:v>
                </c:pt>
                <c:pt idx="32">
                  <c:v>34.584324449087553</c:v>
                </c:pt>
                <c:pt idx="33">
                  <c:v>33.269743504936862</c:v>
                </c:pt>
                <c:pt idx="34">
                  <c:v>32.125785204136839</c:v>
                </c:pt>
                <c:pt idx="35">
                  <c:v>31.113656120091147</c:v>
                </c:pt>
                <c:pt idx="36">
                  <c:v>30.206335179910543</c:v>
                </c:pt>
                <c:pt idx="37">
                  <c:v>24.210862175361015</c:v>
                </c:pt>
                <c:pt idx="38">
                  <c:v>20.693706121270495</c:v>
                </c:pt>
                <c:pt idx="39">
                  <c:v>18.196566770215124</c:v>
                </c:pt>
                <c:pt idx="40">
                  <c:v>16.259123666416627</c:v>
                </c:pt>
                <c:pt idx="41">
                  <c:v>14.675910095613659</c:v>
                </c:pt>
                <c:pt idx="42">
                  <c:v>13.337222352998046</c:v>
                </c:pt>
                <c:pt idx="43">
                  <c:v>12.177544415014518</c:v>
                </c:pt>
                <c:pt idx="44">
                  <c:v>11.154604351662238</c:v>
                </c:pt>
                <c:pt idx="45">
                  <c:v>10.239533500337021</c:v>
                </c:pt>
                <c:pt idx="46">
                  <c:v>4.2191860605443896</c:v>
                </c:pt>
                <c:pt idx="47">
                  <c:v>0.69740763539091033</c:v>
                </c:pt>
                <c:pt idx="48">
                  <c:v>-1.8013507320701041</c:v>
                </c:pt>
                <c:pt idx="49">
                  <c:v>-3.7395434176897728</c:v>
                </c:pt>
                <c:pt idx="50">
                  <c:v>-5.3231642240709789</c:v>
                </c:pt>
                <c:pt idx="51">
                  <c:v>-6.6620975357246479</c:v>
                </c:pt>
                <c:pt idx="52">
                  <c:v>-7.8219348650401175</c:v>
                </c:pt>
                <c:pt idx="53">
                  <c:v>-8.8449842100133349</c:v>
                </c:pt>
                <c:pt idx="54">
                  <c:v>-9.7601332315602605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-6.5076895092640766E-2</c:v>
                </c:pt>
                <c:pt idx="1">
                  <c:v>-0.13015362228010594</c:v>
                </c:pt>
                <c:pt idx="2">
                  <c:v>-0.19523001365982051</c:v>
                </c:pt>
                <c:pt idx="3">
                  <c:v>-0.26030590133440634</c:v>
                </c:pt>
                <c:pt idx="4">
                  <c:v>-0.32538111741428183</c:v>
                </c:pt>
                <c:pt idx="5">
                  <c:v>-0.39045549402026641</c:v>
                </c:pt>
                <c:pt idx="6">
                  <c:v>-0.4555288632861676</c:v>
                </c:pt>
                <c:pt idx="7">
                  <c:v>-0.52060105736138751</c:v>
                </c:pt>
                <c:pt idx="8">
                  <c:v>-0.58567190841351979</c:v>
                </c:pt>
                <c:pt idx="9">
                  <c:v>-0.65074124863094418</c:v>
                </c:pt>
                <c:pt idx="10">
                  <c:v>-1.3013146563941138</c:v>
                </c:pt>
                <c:pt idx="11">
                  <c:v>-1.9515526420164087</c:v>
                </c:pt>
                <c:pt idx="12">
                  <c:v>-2.601288142411057</c:v>
                </c:pt>
                <c:pt idx="13">
                  <c:v>-3.2503548692706445</c:v>
                </c:pt>
                <c:pt idx="14">
                  <c:v>-3.8985875626800706</c:v>
                </c:pt>
                <c:pt idx="15">
                  <c:v>-4.545822240789585</c:v>
                </c:pt>
                <c:pt idx="16">
                  <c:v>-5.1918964446156428</c:v>
                </c:pt>
                <c:pt idx="17">
                  <c:v>-5.8366494770724833</c:v>
                </c:pt>
                <c:pt idx="18">
                  <c:v>-6.4799226353771768</c:v>
                </c:pt>
                <c:pt idx="19">
                  <c:v>-12.79819599264974</c:v>
                </c:pt>
                <c:pt idx="20">
                  <c:v>-18.816131350201932</c:v>
                </c:pt>
                <c:pt idx="21">
                  <c:v>-24.433373095750845</c:v>
                </c:pt>
                <c:pt idx="22">
                  <c:v>-29.592385294176545</c:v>
                </c:pt>
                <c:pt idx="23">
                  <c:v>-34.273801914058431</c:v>
                </c:pt>
                <c:pt idx="24">
                  <c:v>-38.486967382384705</c:v>
                </c:pt>
                <c:pt idx="25">
                  <c:v>-42.259705847696146</c:v>
                </c:pt>
                <c:pt idx="26">
                  <c:v>-45.629702137707604</c:v>
                </c:pt>
                <c:pt idx="27">
                  <c:v>-48.638289298201457</c:v>
                </c:pt>
                <c:pt idx="28">
                  <c:v>-66.240147390567344</c:v>
                </c:pt>
                <c:pt idx="29">
                  <c:v>-73.64423886080391</c:v>
                </c:pt>
                <c:pt idx="30">
                  <c:v>-77.586684795950404</c:v>
                </c:pt>
                <c:pt idx="31">
                  <c:v>-80.013373607633923</c:v>
                </c:pt>
                <c:pt idx="32">
                  <c:v>-81.652073771038275</c:v>
                </c:pt>
                <c:pt idx="33">
                  <c:v>-82.831213561251147</c:v>
                </c:pt>
                <c:pt idx="34">
                  <c:v>-83.719647375662532</c:v>
                </c:pt>
                <c:pt idx="35">
                  <c:v>-84.412776104330575</c:v>
                </c:pt>
                <c:pt idx="36">
                  <c:v>-84.968472544019519</c:v>
                </c:pt>
                <c:pt idx="37">
                  <c:v>-87.479376655932839</c:v>
                </c:pt>
                <c:pt idx="38">
                  <c:v>-88.318982008631139</c:v>
                </c:pt>
                <c:pt idx="39">
                  <c:v>-88.739078231137967</c:v>
                </c:pt>
                <c:pt idx="40">
                  <c:v>-88.991203958438604</c:v>
                </c:pt>
                <c:pt idx="41">
                  <c:v>-89.159310089015364</c:v>
                </c:pt>
                <c:pt idx="42">
                  <c:v>-89.279394928247399</c:v>
                </c:pt>
                <c:pt idx="43">
                  <c:v>-89.369462770364692</c:v>
                </c:pt>
                <c:pt idx="44">
                  <c:v>-89.439517713863523</c:v>
                </c:pt>
                <c:pt idx="45">
                  <c:v>-89.495562885362773</c:v>
                </c:pt>
                <c:pt idx="46">
                  <c:v>-89.747776555097062</c:v>
                </c:pt>
                <c:pt idx="47">
                  <c:v>-89.831850433300971</c:v>
                </c:pt>
                <c:pt idx="48">
                  <c:v>-89.87388766657385</c:v>
                </c:pt>
                <c:pt idx="49">
                  <c:v>-89.899110074604948</c:v>
                </c:pt>
                <c:pt idx="50">
                  <c:v>-89.915925035619495</c:v>
                </c:pt>
                <c:pt idx="51">
                  <c:v>-89.92793573109418</c:v>
                </c:pt>
                <c:pt idx="52">
                  <c:v>-89.93694375691426</c:v>
                </c:pt>
                <c:pt idx="53">
                  <c:v>-89.943950001396715</c:v>
                </c:pt>
                <c:pt idx="54">
                  <c:v>-89.949554998199616</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41.027419282220841</c:v>
                </c:pt>
                <c:pt idx="1">
                  <c:v>35.006833884711327</c:v>
                </c:pt>
                <c:pt idx="2">
                  <c:v>31.485032896439989</c:v>
                </c:pt>
                <c:pt idx="3">
                  <c:v>28.986292034026771</c:v>
                </c:pt>
                <c:pt idx="4">
                  <c:v>27.048135320302404</c:v>
                </c:pt>
                <c:pt idx="5">
                  <c:v>25.464563622179522</c:v>
                </c:pt>
                <c:pt idx="6">
                  <c:v>24.125690728433959</c:v>
                </c:pt>
                <c:pt idx="7">
                  <c:v>22.965924363363452</c:v>
                </c:pt>
                <c:pt idx="8">
                  <c:v>21.942956164030413</c:v>
                </c:pt>
                <c:pt idx="9">
                  <c:v>21.027898277013101</c:v>
                </c:pt>
                <c:pt idx="10">
                  <c:v>15.00874954051935</c:v>
                </c:pt>
                <c:pt idx="11">
                  <c:v>11.489341910124939</c:v>
                </c:pt>
                <c:pt idx="12">
                  <c:v>8.9939494892427181</c:v>
                </c:pt>
                <c:pt idx="13">
                  <c:v>7.0600940472352569</c:v>
                </c:pt>
                <c:pt idx="14">
                  <c:v>5.4817735622799901</c:v>
                </c:pt>
                <c:pt idx="15">
                  <c:v>4.1490983055308908</c:v>
                </c:pt>
                <c:pt idx="16">
                  <c:v>2.9964718625155355</c:v>
                </c:pt>
                <c:pt idx="17">
                  <c:v>1.9815811194374902</c:v>
                </c:pt>
                <c:pt idx="18">
                  <c:v>1.0755328702682743</c:v>
                </c:pt>
                <c:pt idx="19">
                  <c:v>-4.8038308097981437</c:v>
                </c:pt>
                <c:pt idx="20">
                  <c:v>-8.1000152464728874</c:v>
                </c:pt>
                <c:pt idx="21">
                  <c:v>-10.301382791726832</c:v>
                </c:pt>
                <c:pt idx="22">
                  <c:v>-11.884894070855861</c:v>
                </c:pt>
                <c:pt idx="23">
                  <c:v>-13.071009447546309</c:v>
                </c:pt>
                <c:pt idx="24">
                  <c:v>-13.982748394065636</c:v>
                </c:pt>
                <c:pt idx="25">
                  <c:v>-14.696829107782367</c:v>
                </c:pt>
                <c:pt idx="26">
                  <c:v>-15.264496900359848</c:v>
                </c:pt>
                <c:pt idx="27">
                  <c:v>-15.721519396957159</c:v>
                </c:pt>
                <c:pt idx="28">
                  <c:v>-17.625578477035006</c:v>
                </c:pt>
                <c:pt idx="29">
                  <c:v>-18.094251371956044</c:v>
                </c:pt>
                <c:pt idx="30">
                  <c:v>-18.273367947712238</c:v>
                </c:pt>
                <c:pt idx="31">
                  <c:v>-18.361471804687085</c:v>
                </c:pt>
                <c:pt idx="32">
                  <c:v>-18.412905187073399</c:v>
                </c:pt>
                <c:pt idx="33">
                  <c:v>-18.44716007014264</c:v>
                </c:pt>
                <c:pt idx="34">
                  <c:v>-18.472578627732595</c:v>
                </c:pt>
                <c:pt idx="35">
                  <c:v>-18.493202915686343</c:v>
                </c:pt>
                <c:pt idx="36">
                  <c:v>-18.511179719162772</c:v>
                </c:pt>
                <c:pt idx="37">
                  <c:v>-18.678790148061097</c:v>
                </c:pt>
                <c:pt idx="38">
                  <c:v>-18.905705762824486</c:v>
                </c:pt>
                <c:pt idx="39">
                  <c:v>-19.199878776519444</c:v>
                </c:pt>
                <c:pt idx="40">
                  <c:v>-19.549769973495426</c:v>
                </c:pt>
                <c:pt idx="41">
                  <c:v>-19.941923931058572</c:v>
                </c:pt>
                <c:pt idx="42">
                  <c:v>-20.363710933975749</c:v>
                </c:pt>
                <c:pt idx="43">
                  <c:v>-20.804285160373045</c:v>
                </c:pt>
                <c:pt idx="44">
                  <c:v>-21.254858907131535</c:v>
                </c:pt>
                <c:pt idx="45">
                  <c:v>-21.708619042266779</c:v>
                </c:pt>
                <c:pt idx="46">
                  <c:v>-25.801749003096152</c:v>
                </c:pt>
                <c:pt idx="47">
                  <c:v>-28.849266593143724</c:v>
                </c:pt>
                <c:pt idx="48">
                  <c:v>-31.16898541598654</c:v>
                </c:pt>
                <c:pt idx="49">
                  <c:v>-33.021740567577361</c:v>
                </c:pt>
                <c:pt idx="50">
                  <c:v>-34.558236317116567</c:v>
                </c:pt>
                <c:pt idx="51">
                  <c:v>-35.868505502546718</c:v>
                </c:pt>
                <c:pt idx="52">
                  <c:v>-37.009636915911472</c:v>
                </c:pt>
                <c:pt idx="53">
                  <c:v>-38.019814815073175</c:v>
                </c:pt>
                <c:pt idx="54">
                  <c:v>-38.925733499539952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90.059881165655796</c:v>
                </c:pt>
                <c:pt idx="1">
                  <c:v>90.119762196533827</c:v>
                </c:pt>
                <c:pt idx="2">
                  <c:v>90.179642957858178</c:v>
                </c:pt>
                <c:pt idx="3">
                  <c:v>90.23952331485647</c:v>
                </c:pt>
                <c:pt idx="4">
                  <c:v>90.299403132761782</c:v>
                </c:pt>
                <c:pt idx="5">
                  <c:v>90.359282276814383</c:v>
                </c:pt>
                <c:pt idx="6">
                  <c:v>90.419160612263553</c:v>
                </c:pt>
                <c:pt idx="7">
                  <c:v>90.479038004369372</c:v>
                </c:pt>
                <c:pt idx="8">
                  <c:v>90.538914318404537</c:v>
                </c:pt>
                <c:pt idx="9">
                  <c:v>90.598789419656171</c:v>
                </c:pt>
                <c:pt idx="10">
                  <c:v>91.197444106148353</c:v>
                </c:pt>
                <c:pt idx="11">
                  <c:v>91.795829506322249</c:v>
                </c:pt>
                <c:pt idx="12">
                  <c:v>92.393811426442156</c:v>
                </c:pt>
                <c:pt idx="13">
                  <c:v>92.991256210401787</c:v>
                </c:pt>
                <c:pt idx="14">
                  <c:v>93.588030916147844</c:v>
                </c:pt>
                <c:pt idx="15">
                  <c:v>94.184003489737037</c:v>
                </c:pt>
                <c:pt idx="16">
                  <c:v>94.779042936463355</c:v>
                </c:pt>
                <c:pt idx="17">
                  <c:v>95.373019488509073</c:v>
                </c:pt>
                <c:pt idx="18">
                  <c:v>95.965804768594481</c:v>
                </c:pt>
                <c:pt idx="19">
                  <c:v>101.80119109181959</c:v>
                </c:pt>
                <c:pt idx="20">
                  <c:v>107.39192162263257</c:v>
                </c:pt>
                <c:pt idx="21">
                  <c:v>112.6514090676655</c:v>
                </c:pt>
                <c:pt idx="22">
                  <c:v>117.52513179904075</c:v>
                </c:pt>
                <c:pt idx="23">
                  <c:v>121.98864139265082</c:v>
                </c:pt>
                <c:pt idx="24">
                  <c:v>126.04163034614822</c:v>
                </c:pt>
                <c:pt idx="25">
                  <c:v>129.70071936675993</c:v>
                </c:pt>
                <c:pt idx="26">
                  <c:v>132.99281507893298</c:v>
                </c:pt>
                <c:pt idx="27">
                  <c:v>135.94989813407162</c:v>
                </c:pt>
                <c:pt idx="28">
                  <c:v>153.45678575645775</c:v>
                </c:pt>
                <c:pt idx="29">
                  <c:v>160.67888942316881</c:v>
                </c:pt>
                <c:pt idx="30">
                  <c:v>164.28185340209458</c:v>
                </c:pt>
                <c:pt idx="31">
                  <c:v>166.27999649441304</c:v>
                </c:pt>
                <c:pt idx="32">
                  <c:v>167.43936403467035</c:v>
                </c:pt>
                <c:pt idx="33">
                  <c:v>168.10842663553532</c:v>
                </c:pt>
                <c:pt idx="34">
                  <c:v>168.4671712563686</c:v>
                </c:pt>
                <c:pt idx="35">
                  <c:v>168.61760785663651</c:v>
                </c:pt>
                <c:pt idx="36">
                  <c:v>168.62177244420891</c:v>
                </c:pt>
                <c:pt idx="37">
                  <c:v>165.48181413238098</c:v>
                </c:pt>
                <c:pt idx="38">
                  <c:v>160.78314717400769</c:v>
                </c:pt>
                <c:pt idx="39">
                  <c:v>155.95592889978093</c:v>
                </c:pt>
                <c:pt idx="40">
                  <c:v>151.32469006486753</c:v>
                </c:pt>
                <c:pt idx="41">
                  <c:v>147.00465254449242</c:v>
                </c:pt>
                <c:pt idx="42">
                  <c:v>143.0359231610035</c:v>
                </c:pt>
                <c:pt idx="43">
                  <c:v>139.42257582808224</c:v>
                </c:pt>
                <c:pt idx="44">
                  <c:v>136.14979455278444</c:v>
                </c:pt>
                <c:pt idx="45">
                  <c:v>133.19324736893566</c:v>
                </c:pt>
                <c:pt idx="46">
                  <c:v>115.29562636230865</c:v>
                </c:pt>
                <c:pt idx="47">
                  <c:v>107.50870809195946</c:v>
                </c:pt>
                <c:pt idx="48">
                  <c:v>103.3170174829781</c:v>
                </c:pt>
                <c:pt idx="49">
                  <c:v>100.72486657652355</c:v>
                </c:pt>
                <c:pt idx="50">
                  <c:v>98.970241034083671</c:v>
                </c:pt>
                <c:pt idx="51">
                  <c:v>97.705936118809518</c:v>
                </c:pt>
                <c:pt idx="52">
                  <c:v>96.752502403496436</c:v>
                </c:pt>
                <c:pt idx="53">
                  <c:v>96.008227888500457</c:v>
                </c:pt>
                <c:pt idx="54">
                  <c:v>95.411281790215497</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26.935568414108729</c:v>
                </c:pt>
                <c:pt idx="1">
                  <c:v>26.935024528798138</c:v>
                </c:pt>
                <c:pt idx="2">
                  <c:v>26.934118206050101</c:v>
                </c:pt>
                <c:pt idx="3">
                  <c:v>26.932849674884849</c:v>
                </c:pt>
                <c:pt idx="4">
                  <c:v>26.931219255662008</c:v>
                </c:pt>
                <c:pt idx="5">
                  <c:v>26.929227359811584</c:v>
                </c:pt>
                <c:pt idx="6">
                  <c:v>26.926874489490885</c:v>
                </c:pt>
                <c:pt idx="7">
                  <c:v>26.924161237164498</c:v>
                </c:pt>
                <c:pt idx="8">
                  <c:v>26.921088285110805</c:v>
                </c:pt>
                <c:pt idx="9">
                  <c:v>26.91765640485411</c:v>
                </c:pt>
                <c:pt idx="10">
                  <c:v>26.86382860559651</c:v>
                </c:pt>
                <c:pt idx="11">
                  <c:v>26.77558596567269</c:v>
                </c:pt>
                <c:pt idx="12">
                  <c:v>26.655011227027895</c:v>
                </c:pt>
                <c:pt idx="13">
                  <c:v>26.504795053046731</c:v>
                </c:pt>
                <c:pt idx="14">
                  <c:v>26.328052950612197</c:v>
                </c:pt>
                <c:pt idx="15">
                  <c:v>26.128137957071338</c:v>
                </c:pt>
                <c:pt idx="16">
                  <c:v>25.908468884175701</c:v>
                </c:pt>
                <c:pt idx="17">
                  <c:v>25.672387377236735</c:v>
                </c:pt>
                <c:pt idx="18">
                  <c:v>25.423050001106041</c:v>
                </c:pt>
                <c:pt idx="19">
                  <c:v>22.691333998113997</c:v>
                </c:pt>
                <c:pt idx="20">
                  <c:v>20.217950869800543</c:v>
                </c:pt>
                <c:pt idx="21">
                  <c:v>18.185042671182558</c:v>
                </c:pt>
                <c:pt idx="22">
                  <c:v>16.508910632651023</c:v>
                </c:pt>
                <c:pt idx="23">
                  <c:v>15.099146550869797</c:v>
                </c:pt>
                <c:pt idx="24">
                  <c:v>13.888700072157851</c:v>
                </c:pt>
                <c:pt idx="25">
                  <c:v>12.83032453317289</c:v>
                </c:pt>
                <c:pt idx="26">
                  <c:v>11.890608742698189</c:v>
                </c:pt>
                <c:pt idx="27">
                  <c:v>11.04552709584674</c:v>
                </c:pt>
                <c:pt idx="28">
                  <c:v>5.3769718573241141</c:v>
                </c:pt>
                <c:pt idx="29">
                  <c:v>1.9838679216671458</c:v>
                </c:pt>
                <c:pt idx="30">
                  <c:v>-0.43495213074928107</c:v>
                </c:pt>
                <c:pt idx="31">
                  <c:v>-2.3030031190966236</c:v>
                </c:pt>
                <c:pt idx="32">
                  <c:v>-3.8148379984886764</c:v>
                </c:pt>
                <c:pt idx="33">
                  <c:v>-5.0763681623254495</c:v>
                </c:pt>
                <c:pt idx="34">
                  <c:v>-6.1517646742763397</c:v>
                </c:pt>
                <c:pt idx="35">
                  <c:v>-7.082954175740217</c:v>
                </c:pt>
                <c:pt idx="36">
                  <c:v>-7.8989263336620148</c:v>
                </c:pt>
                <c:pt idx="37">
                  <c:v>-12.638367275852184</c:v>
                </c:pt>
                <c:pt idx="38">
                  <c:v>-14.745481776431951</c:v>
                </c:pt>
                <c:pt idx="39">
                  <c:v>-16.080601702544389</c:v>
                </c:pt>
                <c:pt idx="40">
                  <c:v>-17.244174726908145</c:v>
                </c:pt>
                <c:pt idx="41">
                  <c:v>-18.411428728867296</c:v>
                </c:pt>
                <c:pt idx="42">
                  <c:v>-19.588818931416839</c:v>
                </c:pt>
                <c:pt idx="43">
                  <c:v>-20.738853398878923</c:v>
                </c:pt>
                <c:pt idx="44">
                  <c:v>-21.830235378806549</c:v>
                </c:pt>
                <c:pt idx="45">
                  <c:v>-22.847550619160536</c:v>
                </c:pt>
                <c:pt idx="46">
                  <c:v>-29.657045413948882</c:v>
                </c:pt>
                <c:pt idx="47">
                  <c:v>-33.433780502496198</c:v>
                </c:pt>
                <c:pt idx="48">
                  <c:v>-36.032288197243581</c:v>
                </c:pt>
                <c:pt idx="49">
                  <c:v>-38.01861770944938</c:v>
                </c:pt>
                <c:pt idx="50">
                  <c:v>-39.628922262815777</c:v>
                </c:pt>
                <c:pt idx="51">
                  <c:v>-40.984129566488463</c:v>
                </c:pt>
                <c:pt idx="52">
                  <c:v>-42.15460420232111</c:v>
                </c:pt>
                <c:pt idx="53">
                  <c:v>-43.184980663706099</c:v>
                </c:pt>
                <c:pt idx="54">
                  <c:v>-44.105387858535956</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-0.36820265779836547</c:v>
                </c:pt>
                <c:pt idx="1">
                  <c:v>-0.73637421754828336</c:v>
                </c:pt>
                <c:pt idx="2">
                  <c:v>-1.1044835968688451</c:v>
                </c:pt>
                <c:pt idx="3">
                  <c:v>-1.4724997446943715</c:v>
                </c:pt>
                <c:pt idx="4">
                  <c:v>-1.8403916568827632</c:v>
                </c:pt>
                <c:pt idx="5">
                  <c:v>-2.2081283917653587</c:v>
                </c:pt>
                <c:pt idx="6">
                  <c:v>-2.5756790856175118</c:v>
                </c:pt>
                <c:pt idx="7">
                  <c:v>-2.9430129680324226</c:v>
                </c:pt>
                <c:pt idx="8">
                  <c:v>-3.3100993771776697</c:v>
                </c:pt>
                <c:pt idx="9">
                  <c:v>-3.6769077749172583</c:v>
                </c:pt>
                <c:pt idx="10">
                  <c:v>-7.3231005673806946</c:v>
                </c:pt>
                <c:pt idx="11">
                  <c:v>-10.909367224653883</c:v>
                </c:pt>
                <c:pt idx="12">
                  <c:v>-14.409324989623613</c:v>
                </c:pt>
                <c:pt idx="13">
                  <c:v>-17.800424151325156</c:v>
                </c:pt>
                <c:pt idx="14">
                  <c:v>-21.064556496103535</c:v>
                </c:pt>
                <c:pt idx="15">
                  <c:v>-24.188261690338031</c:v>
                </c:pt>
                <c:pt idx="16">
                  <c:v>-27.162583958120422</c:v>
                </c:pt>
                <c:pt idx="17">
                  <c:v>-29.982666827141017</c:v>
                </c:pt>
                <c:pt idx="18">
                  <c:v>-32.647184782281307</c:v>
                </c:pt>
                <c:pt idx="19">
                  <c:v>-51.798416894169478</c:v>
                </c:pt>
                <c:pt idx="20">
                  <c:v>-62.042119001583004</c:v>
                </c:pt>
                <c:pt idx="21">
                  <c:v>-68.054715484404625</c:v>
                </c:pt>
                <c:pt idx="22">
                  <c:v>-71.969485208296305</c:v>
                </c:pt>
                <c:pt idx="23">
                  <c:v>-74.748374262199619</c:v>
                </c:pt>
                <c:pt idx="24">
                  <c:v>-76.861795686380972</c:v>
                </c:pt>
                <c:pt idx="25">
                  <c:v>-78.558292458997101</c:v>
                </c:pt>
                <c:pt idx="26">
                  <c:v>-79.977820587263949</c:v>
                </c:pt>
                <c:pt idx="27">
                  <c:v>-81.203543107948519</c:v>
                </c:pt>
                <c:pt idx="28">
                  <c:v>-88.96452500374167</c:v>
                </c:pt>
                <c:pt idx="29">
                  <c:v>-93.816614545385562</c:v>
                </c:pt>
                <c:pt idx="30">
                  <c:v>-97.721145921328201</c:v>
                </c:pt>
                <c:pt idx="31">
                  <c:v>-101.19054778614594</c:v>
                </c:pt>
                <c:pt idx="32">
                  <c:v>-104.41832945290392</c:v>
                </c:pt>
                <c:pt idx="33">
                  <c:v>-107.4915925238685</c:v>
                </c:pt>
                <c:pt idx="34">
                  <c:v>-110.45429421130763</c:v>
                </c:pt>
                <c:pt idx="35">
                  <c:v>-113.33047985244907</c:v>
                </c:pt>
                <c:pt idx="36">
                  <c:v>-116.13413035488472</c:v>
                </c:pt>
                <c:pt idx="37">
                  <c:v>-141.21063610175645</c:v>
                </c:pt>
                <c:pt idx="38">
                  <c:v>-162.13952961219405</c:v>
                </c:pt>
                <c:pt idx="39">
                  <c:v>-179.98073848646126</c:v>
                </c:pt>
                <c:pt idx="40">
                  <c:v>164.86304111461612</c:v>
                </c:pt>
                <c:pt idx="41">
                  <c:v>152.33436334740412</c:v>
                </c:pt>
                <c:pt idx="42">
                  <c:v>142.28043624211051</c:v>
                </c:pt>
                <c:pt idx="43">
                  <c:v>134.35681462347051</c:v>
                </c:pt>
                <c:pt idx="44">
                  <c:v>128.14151883207043</c:v>
                </c:pt>
                <c:pt idx="45">
                  <c:v>123.24237612230147</c:v>
                </c:pt>
                <c:pt idx="46">
                  <c:v>103.88753361611954</c:v>
                </c:pt>
                <c:pt idx="47">
                  <c:v>98.774723950709046</c:v>
                </c:pt>
                <c:pt idx="48">
                  <c:v>96.443936420437609</c:v>
                </c:pt>
                <c:pt idx="49">
                  <c:v>95.102871519712096</c:v>
                </c:pt>
                <c:pt idx="50">
                  <c:v>94.22838676251979</c:v>
                </c:pt>
                <c:pt idx="51">
                  <c:v>93.611823641924715</c:v>
                </c:pt>
                <c:pt idx="52">
                  <c:v>93.153206617378373</c:v>
                </c:pt>
                <c:pt idx="53">
                  <c:v>92.79848512488384</c:v>
                </c:pt>
                <c:pt idx="54">
                  <c:v>92.515819910736013</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24.997496737239679</c:v>
                </c:pt>
                <c:pt idx="1">
                  <c:v>24.997338560199061</c:v>
                </c:pt>
                <c:pt idx="2">
                  <c:v>24.997074945917962</c:v>
                </c:pt>
                <c:pt idx="3">
                  <c:v>24.996705915572456</c:v>
                </c:pt>
                <c:pt idx="4">
                  <c:v>24.996231498801325</c:v>
                </c:pt>
                <c:pt idx="5">
                  <c:v>24.995651733698708</c:v>
                </c:pt>
                <c:pt idx="6">
                  <c:v>24.99496666680416</c:v>
                </c:pt>
                <c:pt idx="7">
                  <c:v>24.994176353090619</c:v>
                </c:pt>
                <c:pt idx="8">
                  <c:v>24.993280855950562</c:v>
                </c:pt>
                <c:pt idx="9">
                  <c:v>24.992280247179778</c:v>
                </c:pt>
                <c:pt idx="10">
                  <c:v>24.976514780002468</c:v>
                </c:pt>
                <c:pt idx="11">
                  <c:v>24.950378542652931</c:v>
                </c:pt>
                <c:pt idx="12">
                  <c:v>24.914077148247245</c:v>
                </c:pt>
                <c:pt idx="13">
                  <c:v>24.867891256387754</c:v>
                </c:pt>
                <c:pt idx="14">
                  <c:v>24.812169820469432</c:v>
                </c:pt>
                <c:pt idx="15">
                  <c:v>24.747321999243287</c:v>
                </c:pt>
                <c:pt idx="16">
                  <c:v>24.67380810765674</c:v>
                </c:pt>
                <c:pt idx="17">
                  <c:v>24.592129998528808</c:v>
                </c:pt>
                <c:pt idx="18">
                  <c:v>24.502821256403735</c:v>
                </c:pt>
                <c:pt idx="19">
                  <c:v>23.312822537830478</c:v>
                </c:pt>
                <c:pt idx="20">
                  <c:v>21.910246655072164</c:v>
                </c:pt>
                <c:pt idx="21">
                  <c:v>20.569119870557294</c:v>
                </c:pt>
                <c:pt idx="22">
                  <c:v>19.379517397818688</c:v>
                </c:pt>
                <c:pt idx="23">
                  <c:v>18.351057722176328</c:v>
                </c:pt>
                <c:pt idx="24">
                  <c:v>17.467388919184884</c:v>
                </c:pt>
                <c:pt idx="25">
                  <c:v>16.7068544925861</c:v>
                </c:pt>
                <c:pt idx="26">
                  <c:v>16.04921877210672</c:v>
                </c:pt>
                <c:pt idx="27">
                  <c:v>15.477364998134401</c:v>
                </c:pt>
                <c:pt idx="28">
                  <c:v>12.379872133658127</c:v>
                </c:pt>
                <c:pt idx="29">
                  <c:v>11.262368641321554</c:v>
                </c:pt>
                <c:pt idx="30">
                  <c:v>10.761773711443052</c:v>
                </c:pt>
                <c:pt idx="31">
                  <c:v>10.500372566008938</c:v>
                </c:pt>
                <c:pt idx="32">
                  <c:v>10.347100473316114</c:v>
                </c:pt>
                <c:pt idx="33">
                  <c:v>10.248613319753588</c:v>
                </c:pt>
                <c:pt idx="34">
                  <c:v>10.180316509308378</c:v>
                </c:pt>
                <c:pt idx="35">
                  <c:v>10.129700429044124</c:v>
                </c:pt>
                <c:pt idx="36">
                  <c:v>10.089881303724461</c:v>
                </c:pt>
                <c:pt idx="37">
                  <c:v>9.8284303626968743</c:v>
                </c:pt>
                <c:pt idx="38">
                  <c:v>9.4642260916117724</c:v>
                </c:pt>
                <c:pt idx="39">
                  <c:v>8.8500822131924775</c:v>
                </c:pt>
                <c:pt idx="40">
                  <c:v>7.9403166315826965</c:v>
                </c:pt>
                <c:pt idx="41">
                  <c:v>6.7657389346598782</c:v>
                </c:pt>
                <c:pt idx="42">
                  <c:v>5.4100384035655154</c:v>
                </c:pt>
                <c:pt idx="43">
                  <c:v>3.9658652484304842</c:v>
                </c:pt>
                <c:pt idx="44">
                  <c:v>2.5055610626555374</c:v>
                </c:pt>
                <c:pt idx="45">
                  <c:v>1.0748310549426927</c:v>
                </c:pt>
                <c:pt idx="46">
                  <c:v>-9.9225826104593331</c:v>
                </c:pt>
                <c:pt idx="47">
                  <c:v>-16.832987833408495</c:v>
                </c:pt>
                <c:pt idx="48">
                  <c:v>-21.789633021892282</c:v>
                </c:pt>
                <c:pt idx="49">
                  <c:v>-25.648152340539824</c:v>
                </c:pt>
                <c:pt idx="50">
                  <c:v>-28.805972388907609</c:v>
                </c:pt>
                <c:pt idx="51">
                  <c:v>-31.478255297295867</c:v>
                </c:pt>
                <c:pt idx="52">
                  <c:v>-33.794345212373315</c:v>
                </c:pt>
                <c:pt idx="53">
                  <c:v>-35.838004139707905</c:v>
                </c:pt>
                <c:pt idx="54">
                  <c:v>-37.66656599722306</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-0.16539349859468294</c:v>
                </c:pt>
                <c:pt idx="1">
                  <c:v>-0.33078183891782192</c:v>
                </c:pt>
                <c:pt idx="2">
                  <c:v>-0.49615986349953861</c:v>
                </c:pt>
                <c:pt idx="3">
                  <c:v>-0.66152241647301302</c:v>
                </c:pt>
                <c:pt idx="4">
                  <c:v>-0.82686434437520862</c:v>
                </c:pt>
                <c:pt idx="5">
                  <c:v>-0.99218049694672106</c:v>
                </c:pt>
                <c:pt idx="6">
                  <c:v>-1.1574657279303786</c:v>
                </c:pt>
                <c:pt idx="7">
                  <c:v>-1.3227148958682997</c:v>
                </c:pt>
                <c:pt idx="8">
                  <c:v>-1.4879228648971172</c:v>
                </c:pt>
                <c:pt idx="9">
                  <c:v>-1.6530845055411278</c:v>
                </c:pt>
                <c:pt idx="10">
                  <c:v>-3.3010305069080719</c:v>
                </c:pt>
                <c:pt idx="11">
                  <c:v>-4.938778662276988</c:v>
                </c:pt>
                <c:pt idx="12">
                  <c:v>-6.5614249661081061</c:v>
                </c:pt>
                <c:pt idx="13">
                  <c:v>-8.1642911543997734</c:v>
                </c:pt>
                <c:pt idx="14">
                  <c:v>-9.7429869543008607</c:v>
                </c:pt>
                <c:pt idx="15">
                  <c:v>-11.293462327238995</c:v>
                </c:pt>
                <c:pt idx="16">
                  <c:v>-12.812048478544613</c:v>
                </c:pt>
                <c:pt idx="17">
                  <c:v>-14.295487058247661</c:v>
                </c:pt>
                <c:pt idx="18">
                  <c:v>-15.740947600745844</c:v>
                </c:pt>
                <c:pt idx="19">
                  <c:v>-27.777107288367333</c:v>
                </c:pt>
                <c:pt idx="20">
                  <c:v>-35.497337851445856</c:v>
                </c:pt>
                <c:pt idx="21">
                  <c:v>-39.994469890435767</c:v>
                </c:pt>
                <c:pt idx="22">
                  <c:v>-42.411698009043008</c:v>
                </c:pt>
                <c:pt idx="23">
                  <c:v>-43.537737774458485</c:v>
                </c:pt>
                <c:pt idx="24">
                  <c:v>-43.864278761460909</c:v>
                </c:pt>
                <c:pt idx="25">
                  <c:v>-43.692569109631044</c:v>
                </c:pt>
                <c:pt idx="26">
                  <c:v>-43.209019650541357</c:v>
                </c:pt>
                <c:pt idx="27">
                  <c:v>-42.531214142547206</c:v>
                </c:pt>
                <c:pt idx="28">
                  <c:v>-33.943080079217445</c:v>
                </c:pt>
                <c:pt idx="29">
                  <c:v>-27.890456073055219</c:v>
                </c:pt>
                <c:pt idx="30">
                  <c:v>-24.377513774643081</c:v>
                </c:pt>
                <c:pt idx="31">
                  <c:v>-22.432230170267601</c:v>
                </c:pt>
                <c:pt idx="32">
                  <c:v>-21.445861663104569</c:v>
                </c:pt>
                <c:pt idx="33">
                  <c:v>-21.071689878027346</c:v>
                </c:pt>
                <c:pt idx="34">
                  <c:v>-21.107289409483265</c:v>
                </c:pt>
                <c:pt idx="35">
                  <c:v>-21.429130377162757</c:v>
                </c:pt>
                <c:pt idx="36">
                  <c:v>-21.958437019714989</c:v>
                </c:pt>
                <c:pt idx="37">
                  <c:v>-32.166792134144011</c:v>
                </c:pt>
                <c:pt idx="38">
                  <c:v>-45.458625560751706</c:v>
                </c:pt>
                <c:pt idx="39">
                  <c:v>-59.569267055479912</c:v>
                </c:pt>
                <c:pt idx="40">
                  <c:v>-73.435860964319204</c:v>
                </c:pt>
                <c:pt idx="41">
                  <c:v>-86.206591643933379</c:v>
                </c:pt>
                <c:pt idx="42">
                  <c:v>-97.376772968702696</c:v>
                </c:pt>
                <c:pt idx="43">
                  <c:v>-106.8297252517586</c:v>
                </c:pt>
                <c:pt idx="44">
                  <c:v>-114.70494274648752</c:v>
                </c:pt>
                <c:pt idx="45">
                  <c:v>-121.24400375144322</c:v>
                </c:pt>
                <c:pt idx="46">
                  <c:v>-151.31496811336265</c:v>
                </c:pt>
                <c:pt idx="47">
                  <c:v>-161.05363492279972</c:v>
                </c:pt>
                <c:pt idx="48">
                  <c:v>-165.84221357667127</c:v>
                </c:pt>
                <c:pt idx="49">
                  <c:v>-168.69380076222998</c:v>
                </c:pt>
                <c:pt idx="50">
                  <c:v>-170.58740668905912</c:v>
                </c:pt>
                <c:pt idx="51">
                  <c:v>-171.93688831495302</c:v>
                </c:pt>
                <c:pt idx="52">
                  <c:v>-172.94753537860774</c:v>
                </c:pt>
                <c:pt idx="53">
                  <c:v>-173.73283055236362</c:v>
                </c:pt>
                <c:pt idx="54">
                  <c:v>-174.3606373796942</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67.095608350210057</c:v>
                </c:pt>
                <c:pt idx="2">
                  <c:v>63.573603824889098</c:v>
                </c:pt>
                <c:pt idx="3">
                  <c:v>61.074578037504786</c:v>
                </c:pt>
                <c:pt idx="4">
                  <c:v>59.136055037777751</c:v>
                </c:pt>
                <c:pt idx="5">
                  <c:v>57.552035727180254</c:v>
                </c:pt>
                <c:pt idx="6">
                  <c:v>56.212633936708734</c:v>
                </c:pt>
                <c:pt idx="7">
                  <c:v>55.052257440530369</c:v>
                </c:pt>
                <c:pt idx="8">
                  <c:v>54.028597933212609</c:v>
                </c:pt>
                <c:pt idx="9">
                  <c:v>53.112767626458613</c:v>
                </c:pt>
                <c:pt idx="10">
                  <c:v>47.081453280030672</c:v>
                </c:pt>
                <c:pt idx="11">
                  <c:v>43.541896132768741</c:v>
                </c:pt>
                <c:pt idx="12">
                  <c:v>41.018556455710453</c:v>
                </c:pt>
                <c:pt idx="13">
                  <c:v>39.04920968586525</c:v>
                </c:pt>
                <c:pt idx="14">
                  <c:v>37.428168443381288</c:v>
                </c:pt>
                <c:pt idx="15">
                  <c:v>36.045910812510762</c:v>
                </c:pt>
                <c:pt idx="16">
                  <c:v>34.837252652631207</c:v>
                </c:pt>
                <c:pt idx="17">
                  <c:v>33.760328353082031</c:v>
                </c:pt>
                <c:pt idx="18">
                  <c:v>32.786718062952744</c:v>
                </c:pt>
                <c:pt idx="19">
                  <c:v>26.033977922435334</c:v>
                </c:pt>
                <c:pt idx="20">
                  <c:v>21.771487320499595</c:v>
                </c:pt>
                <c:pt idx="21">
                  <c:v>18.702234671496797</c:v>
                </c:pt>
                <c:pt idx="22">
                  <c:v>16.380167412253574</c:v>
                </c:pt>
                <c:pt idx="23">
                  <c:v>14.562205786477652</c:v>
                </c:pt>
                <c:pt idx="24">
                  <c:v>13.096500169760972</c:v>
                </c:pt>
                <c:pt idx="25">
                  <c:v>11.883797442062544</c:v>
                </c:pt>
                <c:pt idx="26">
                  <c:v>10.857472996056837</c:v>
                </c:pt>
                <c:pt idx="27">
                  <c:v>9.9717504878948588</c:v>
                </c:pt>
                <c:pt idx="28">
                  <c:v>4.6594219338466729</c:v>
                </c:pt>
                <c:pt idx="29">
                  <c:v>1.6644203917824254</c:v>
                </c:pt>
                <c:pt idx="30">
                  <c:v>-0.53382282649017221</c:v>
                </c:pt>
                <c:pt idx="31">
                  <c:v>-2.2980040632646261</c:v>
                </c:pt>
                <c:pt idx="32">
                  <c:v>-3.7764510771370534</c:v>
                </c:pt>
                <c:pt idx="33">
                  <c:v>-5.0494589326005821</c:v>
                </c:pt>
                <c:pt idx="34">
                  <c:v>-6.1671182836939886</c:v>
                </c:pt>
                <c:pt idx="35">
                  <c:v>-7.1632300658695005</c:v>
                </c:pt>
                <c:pt idx="36">
                  <c:v>-8.0617837363939753</c:v>
                </c:pt>
                <c:pt idx="37">
                  <c:v>-14.15791212123143</c:v>
                </c:pt>
                <c:pt idx="38">
                  <c:v>-18.008542673145026</c:v>
                </c:pt>
                <c:pt idx="39">
                  <c:v>-21.108997400834028</c:v>
                </c:pt>
                <c:pt idx="40">
                  <c:v>-23.951181095601548</c:v>
                </c:pt>
                <c:pt idx="41">
                  <c:v>-26.7062392943077</c:v>
                </c:pt>
                <c:pt idx="42">
                  <c:v>-29.398978439652112</c:v>
                </c:pt>
                <c:pt idx="43">
                  <c:v>-32.001758711923522</c:v>
                </c:pt>
                <c:pt idx="44">
                  <c:v>-34.484268594473349</c:v>
                </c:pt>
                <c:pt idx="45">
                  <c:v>-36.829544057912621</c:v>
                </c:pt>
                <c:pt idx="46">
                  <c:v>-53.845624677825938</c:v>
                </c:pt>
                <c:pt idx="47">
                  <c:v>-64.277497024257741</c:v>
                </c:pt>
                <c:pt idx="48">
                  <c:v>-71.732791617180908</c:v>
                </c:pt>
                <c:pt idx="49">
                  <c:v>-77.52945318582961</c:v>
                </c:pt>
                <c:pt idx="50">
                  <c:v>-82.270866643106203</c:v>
                </c:pt>
                <c:pt idx="51">
                  <c:v>-86.282066343218588</c:v>
                </c:pt>
                <c:pt idx="52">
                  <c:v>-89.757982865494341</c:v>
                </c:pt>
                <c:pt idx="53">
                  <c:v>-92.824683786732365</c:v>
                </c:pt>
                <c:pt idx="54">
                  <c:v>-95.568389407606674</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16.697982927475362</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16.434184501669879</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89.341404896011198</c:v>
                </c:pt>
                <c:pt idx="9">
                  <c:v>89.268361538518221</c:v>
                </c:pt>
                <c:pt idx="10">
                  <c:v>88.540938747651325</c:v>
                </c:pt>
                <c:pt idx="11">
                  <c:v>87.821872634395959</c:v>
                </c:pt>
                <c:pt idx="12">
                  <c:v>87.115157812645307</c:v>
                </c:pt>
                <c:pt idx="13">
                  <c:v>86.424576435033643</c:v>
                </c:pt>
                <c:pt idx="14">
                  <c:v>85.75364012240054</c:v>
                </c:pt>
                <c:pt idx="15">
                  <c:v>85.105541694525783</c:v>
                </c:pt>
                <c:pt idx="16">
                  <c:v>84.483117886413268</c:v>
                </c:pt>
                <c:pt idx="17">
                  <c:v>83.888823587969043</c:v>
                </c:pt>
                <c:pt idx="18">
                  <c:v>83.324717527794718</c:v>
                </c:pt>
                <c:pt idx="19">
                  <c:v>79.531025615109073</c:v>
                </c:pt>
                <c:pt idx="20">
                  <c:v>78.721686059687926</c:v>
                </c:pt>
                <c:pt idx="21">
                  <c:v>79.675700498215647</c:v>
                </c:pt>
                <c:pt idx="22">
                  <c:v>81.371584674705829</c:v>
                </c:pt>
                <c:pt idx="23">
                  <c:v>83.241090352192913</c:v>
                </c:pt>
                <c:pt idx="24">
                  <c:v>85.020222172060556</c:v>
                </c:pt>
                <c:pt idx="25">
                  <c:v>86.605319810983687</c:v>
                </c:pt>
                <c:pt idx="26">
                  <c:v>87.969232991183503</c:v>
                </c:pt>
                <c:pt idx="27">
                  <c:v>89.118671769523814</c:v>
                </c:pt>
                <c:pt idx="28">
                  <c:v>93.284000467819908</c:v>
                </c:pt>
                <c:pt idx="29">
                  <c:v>92.352723371958092</c:v>
                </c:pt>
                <c:pt idx="30">
                  <c:v>90.403892885434345</c:v>
                </c:pt>
                <c:pt idx="31">
                  <c:v>88.331017884181037</c:v>
                </c:pt>
                <c:pt idx="32">
                  <c:v>86.327885696740324</c:v>
                </c:pt>
                <c:pt idx="33">
                  <c:v>84.422115808897814</c:v>
                </c:pt>
                <c:pt idx="34">
                  <c:v>82.603047195048831</c:v>
                </c:pt>
                <c:pt idx="35">
                  <c:v>80.853843507599549</c:v>
                </c:pt>
                <c:pt idx="36">
                  <c:v>79.159269055191814</c:v>
                </c:pt>
                <c:pt idx="37">
                  <c:v>63.496440886789635</c:v>
                </c:pt>
                <c:pt idx="38">
                  <c:v>48.330172240535568</c:v>
                </c:pt>
                <c:pt idx="39">
                  <c:v>33.275849306823332</c:v>
                </c:pt>
                <c:pt idx="40">
                  <c:v>18.841538248489307</c:v>
                </c:pt>
                <c:pt idx="41">
                  <c:v>5.6918330486549413</c:v>
                </c:pt>
                <c:pt idx="42">
                  <c:v>-5.7492456084780432</c:v>
                </c:pt>
                <c:pt idx="43">
                  <c:v>-15.405464841748149</c:v>
                </c:pt>
                <c:pt idx="44">
                  <c:v>-23.438827440646254</c:v>
                </c:pt>
                <c:pt idx="45">
                  <c:v>-30.10443168897956</c:v>
                </c:pt>
                <c:pt idx="46">
                  <c:v>-60.745072872271734</c:v>
                </c:pt>
                <c:pt idx="47">
                  <c:v>-70.673691274893059</c:v>
                </c:pt>
                <c:pt idx="48">
                  <c:v>-75.557252300108473</c:v>
                </c:pt>
                <c:pt idx="49">
                  <c:v>-78.465830429899214</c:v>
                </c:pt>
                <c:pt idx="50">
                  <c:v>-80.397430818615803</c:v>
                </c:pt>
                <c:pt idx="51">
                  <c:v>-81.774051547831618</c:v>
                </c:pt>
                <c:pt idx="52">
                  <c:v>-82.805053033174602</c:v>
                </c:pt>
                <c:pt idx="53">
                  <c:v>-83.60617947248295</c:v>
                </c:pt>
                <c:pt idx="54">
                  <c:v>-84.246651339457912</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74.602062251264002</c:v>
                </c:pt>
                <c:pt idx="1">
                  <c:v>68.581372899381407</c:v>
                </c:pt>
                <c:pt idx="2">
                  <c:v>65.059398701040678</c:v>
                </c:pt>
                <c:pt idx="3">
                  <c:v>62.560415443633715</c:v>
                </c:pt>
                <c:pt idx="4">
                  <c:v>60.621947248957603</c:v>
                </c:pt>
                <c:pt idx="5">
                  <c:v>59.037995110971394</c:v>
                </c:pt>
                <c:pt idx="6">
                  <c:v>57.698672973432309</c:v>
                </c:pt>
                <c:pt idx="7">
                  <c:v>56.538388743375805</c:v>
                </c:pt>
                <c:pt idx="8">
                  <c:v>55.514834268149393</c:v>
                </c:pt>
                <c:pt idx="9">
                  <c:v>54.599121931923229</c:v>
                </c:pt>
                <c:pt idx="10">
                  <c:v>48.569750336125452</c:v>
                </c:pt>
                <c:pt idx="11">
                  <c:v>45.033752605823992</c:v>
                </c:pt>
                <c:pt idx="12">
                  <c:v>42.516023728479119</c:v>
                </c:pt>
                <c:pt idx="13">
                  <c:v>40.554862849511935</c:v>
                </c:pt>
                <c:pt idx="14">
                  <c:v>38.945130915001734</c:v>
                </c:pt>
                <c:pt idx="15">
                  <c:v>37.577818648908739</c:v>
                </c:pt>
                <c:pt idx="16">
                  <c:v>36.388170548102366</c:v>
                </c:pt>
                <c:pt idx="17">
                  <c:v>35.33463343183795</c:v>
                </c:pt>
                <c:pt idx="18">
                  <c:v>34.388968075622351</c:v>
                </c:pt>
                <c:pt idx="19">
                  <c:v>28.130718783599438</c:v>
                </c:pt>
                <c:pt idx="20">
                  <c:v>24.511322222299164</c:v>
                </c:pt>
                <c:pt idx="21">
                  <c:v>21.993292712205644</c:v>
                </c:pt>
                <c:pt idx="22">
                  <c:v>20.072849716503388</c:v>
                </c:pt>
                <c:pt idx="23">
                  <c:v>18.524374520070015</c:v>
                </c:pt>
                <c:pt idx="24">
                  <c:v>17.228093296817384</c:v>
                </c:pt>
                <c:pt idx="25">
                  <c:v>16.113082019543491</c:v>
                </c:pt>
                <c:pt idx="26">
                  <c:v>15.134101742039746</c:v>
                </c:pt>
                <c:pt idx="27">
                  <c:v>14.260710956618015</c:v>
                </c:pt>
                <c:pt idx="28">
                  <c:v>8.5002360333169484</c:v>
                </c:pt>
                <c:pt idx="29">
                  <c:v>5.0896212760721449</c:v>
                </c:pt>
                <c:pt idx="30">
                  <c:v>2.6643327361723927</c:v>
                </c:pt>
                <c:pt idx="31">
                  <c:v>0.79292997385766162</c:v>
                </c:pt>
                <c:pt idx="32">
                  <c:v>-0.72110288656691446</c:v>
                </c:pt>
                <c:pt idx="33">
                  <c:v>-1.9843508247458082</c:v>
                </c:pt>
                <c:pt idx="34">
                  <c:v>-3.0612664546836248</c:v>
                </c:pt>
                <c:pt idx="35">
                  <c:v>-3.9939109418395429</c:v>
                </c:pt>
                <c:pt idx="36">
                  <c:v>-4.811344780400006</c:v>
                </c:pt>
                <c:pt idx="37">
                  <c:v>-9.5701472038249484</c:v>
                </c:pt>
                <c:pt idx="38">
                  <c:v>-11.70797507364817</c:v>
                </c:pt>
                <c:pt idx="39">
                  <c:v>-13.085554540163038</c:v>
                </c:pt>
                <c:pt idx="40">
                  <c:v>-14.303067359630074</c:v>
                </c:pt>
                <c:pt idx="41">
                  <c:v>-15.535332665394295</c:v>
                </c:pt>
                <c:pt idx="42">
                  <c:v>-16.788312174349826</c:v>
                </c:pt>
                <c:pt idx="43">
                  <c:v>-18.023956740046362</c:v>
                </c:pt>
                <c:pt idx="44">
                  <c:v>-19.21036379441389</c:v>
                </c:pt>
                <c:pt idx="45">
                  <c:v>-20.331478214326282</c:v>
                </c:pt>
                <c:pt idx="46">
                  <c:v>-28.517352884623683</c:v>
                </c:pt>
                <c:pt idx="47">
                  <c:v>-33.915807836861433</c:v>
                </c:pt>
                <c:pt idx="48">
                  <c:v>-38.086671367283579</c:v>
                </c:pt>
                <c:pt idx="49">
                  <c:v>-41.504827343902036</c:v>
                </c:pt>
                <c:pt idx="50">
                  <c:v>-44.396750228037511</c:v>
                </c:pt>
                <c:pt idx="51">
                  <c:v>-46.898095058380861</c:v>
                </c:pt>
                <c:pt idx="52">
                  <c:v>-49.098533283471617</c:v>
                </c:pt>
                <c:pt idx="53">
                  <c:v>-51.060619470255247</c:v>
                </c:pt>
                <c:pt idx="54">
                  <c:v>-52.82964201813364</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29.790486005292443</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29.633612718108388</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-32.219082018142792</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-11.345160945444707</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89.969977545251339</c:v>
                </c:pt>
                <c:pt idx="1">
                  <c:v>89.939962582119293</c:v>
                </c:pt>
                <c:pt idx="2">
                  <c:v>89.909962596432095</c:v>
                </c:pt>
                <c:pt idx="3">
                  <c:v>89.879985062450814</c:v>
                </c:pt>
                <c:pt idx="4">
                  <c:v>89.850037437109137</c:v>
                </c:pt>
                <c:pt idx="5">
                  <c:v>89.820127154280868</c:v>
                </c:pt>
                <c:pt idx="6">
                  <c:v>89.790261619085399</c:v>
                </c:pt>
                <c:pt idx="7">
                  <c:v>89.760448202238891</c:v>
                </c:pt>
                <c:pt idx="8">
                  <c:v>89.730694234461225</c:v>
                </c:pt>
                <c:pt idx="9">
                  <c:v>89.701007000946262</c:v>
                </c:pt>
                <c:pt idx="10">
                  <c:v>89.40936459037205</c:v>
                </c:pt>
                <c:pt idx="11">
                  <c:v>89.131874272167366</c:v>
                </c:pt>
                <c:pt idx="12">
                  <c:v>88.874323165184506</c:v>
                </c:pt>
                <c:pt idx="13">
                  <c:v>88.641165001978734</c:v>
                </c:pt>
                <c:pt idx="14">
                  <c:v>88.435375361366056</c:v>
                </c:pt>
                <c:pt idx="15">
                  <c:v>88.258473041769761</c:v>
                </c:pt>
                <c:pt idx="16">
                  <c:v>88.110672326653926</c:v>
                </c:pt>
                <c:pt idx="17">
                  <c:v>87.991117698140641</c:v>
                </c:pt>
                <c:pt idx="18">
                  <c:v>87.898152715169473</c:v>
                </c:pt>
                <c:pt idx="19">
                  <c:v>87.908198506323842</c:v>
                </c:pt>
                <c:pt idx="20">
                  <c:v>88.453642124189798</c:v>
                </c:pt>
                <c:pt idx="21">
                  <c:v>88.916756092678028</c:v>
                </c:pt>
                <c:pt idx="22">
                  <c:v>89.215067905496866</c:v>
                </c:pt>
                <c:pt idx="23">
                  <c:v>89.363593379078395</c:v>
                </c:pt>
                <c:pt idx="24">
                  <c:v>89.389734337735248</c:v>
                </c:pt>
                <c:pt idx="25">
                  <c:v>89.319151395601438</c:v>
                </c:pt>
                <c:pt idx="26">
                  <c:v>89.173581088111334</c:v>
                </c:pt>
                <c:pt idx="27">
                  <c:v>88.970768457855456</c:v>
                </c:pt>
                <c:pt idx="28">
                  <c:v>85.764814425830934</c:v>
                </c:pt>
                <c:pt idx="29">
                  <c:v>82.305598358942021</c:v>
                </c:pt>
                <c:pt idx="30">
                  <c:v>78.991676351548875</c:v>
                </c:pt>
                <c:pt idx="31">
                  <c:v>75.790816983428243</c:v>
                </c:pt>
                <c:pt idx="32">
                  <c:v>72.670319353423807</c:v>
                </c:pt>
                <c:pt idx="33">
                  <c:v>69.612140245480262</c:v>
                </c:pt>
                <c:pt idx="34">
                  <c:v>66.606891153188968</c:v>
                </c:pt>
                <c:pt idx="35">
                  <c:v>63.649746439495509</c:v>
                </c:pt>
                <c:pt idx="36">
                  <c:v>60.73826418833373</c:v>
                </c:pt>
                <c:pt idx="37">
                  <c:v>33.995225820952975</c:v>
                </c:pt>
                <c:pt idx="38">
                  <c:v>11.088608157312487</c:v>
                </c:pt>
                <c:pt idx="39">
                  <c:v>-8.7932615449543192</c:v>
                </c:pt>
                <c:pt idx="40">
                  <c:v>-25.999073858005577</c:v>
                </c:pt>
                <c:pt idx="41">
                  <c:v>-40.564972166969746</c:v>
                </c:pt>
                <c:pt idx="42">
                  <c:v>-52.63211954528748</c:v>
                </c:pt>
                <c:pt idx="43">
                  <c:v>-62.537280871225718</c:v>
                </c:pt>
                <c:pt idx="44">
                  <c:v>-70.696812128811956</c:v>
                </c:pt>
                <c:pt idx="45">
                  <c:v>-77.498565962477656</c:v>
                </c:pt>
                <c:pt idx="46">
                  <c:v>-113.15904264668734</c:v>
                </c:pt>
                <c:pt idx="47">
                  <c:v>-129.75654420956869</c:v>
                </c:pt>
                <c:pt idx="48">
                  <c:v>-140.01330194702967</c:v>
                </c:pt>
                <c:pt idx="49">
                  <c:v>-146.95470465329845</c:v>
                </c:pt>
                <c:pt idx="50">
                  <c:v>-151.9241771319671</c:v>
                </c:pt>
                <c:pt idx="51">
                  <c:v>-155.63619825593378</c:v>
                </c:pt>
                <c:pt idx="52">
                  <c:v>-158.50387837306428</c:v>
                </c:pt>
                <c:pt idx="53">
                  <c:v>-160.78047751837079</c:v>
                </c:pt>
                <c:pt idx="54">
                  <c:v>-162.62876689683299</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11606</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165396</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89198</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126747</xdr:colOff>
      <xdr:row>103</xdr:row>
      <xdr:rowOff>111739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245708</xdr:colOff>
      <xdr:row>116</xdr:row>
      <xdr:rowOff>130175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72646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282589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16656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128162</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topLeftCell="A99" zoomScale="110" zoomScaleNormal="110" workbookViewId="0">
      <selection activeCell="E107" sqref="E107"/>
    </sheetView>
  </sheetViews>
  <sheetFormatPr defaultColWidth="9.125" defaultRowHeight="13.5" x14ac:dyDescent="0.15"/>
  <cols>
    <col min="1" max="1" width="50.125" style="127" customWidth="1"/>
    <col min="2" max="2" width="10" style="128" customWidth="1"/>
    <col min="3" max="3" width="4.625" style="128" customWidth="1"/>
    <col min="4" max="4" width="9.125" style="128"/>
    <col min="5" max="5" width="10" style="128" bestFit="1" customWidth="1"/>
    <col min="6" max="9" width="9.125" style="128"/>
    <col min="10" max="10" width="9.125" style="128" customWidth="1"/>
    <col min="11" max="17" width="9.125" style="128"/>
    <col min="18" max="18" width="12.625" style="128" customWidth="1"/>
    <col min="19" max="19" width="9.125" style="148"/>
    <col min="20" max="16384" width="9.125" style="128"/>
  </cols>
  <sheetData>
    <row r="1" spans="1:22" s="185" customFormat="1" x14ac:dyDescent="0.15">
      <c r="A1" s="184" t="s">
        <v>462</v>
      </c>
    </row>
    <row r="2" spans="1:22" s="187" customFormat="1" x14ac:dyDescent="0.15">
      <c r="A2" s="186"/>
    </row>
    <row r="3" spans="1:22" s="187" customFormat="1" ht="12.75" customHeight="1" x14ac:dyDescent="0.15">
      <c r="A3" s="186"/>
    </row>
    <row r="4" spans="1:22" s="116" customFormat="1" ht="14.25" thickBot="1" x14ac:dyDescent="0.2">
      <c r="A4" s="115"/>
      <c r="F4" s="117"/>
      <c r="G4" s="117"/>
      <c r="H4" s="117"/>
      <c r="I4" s="117"/>
      <c r="J4" s="117"/>
      <c r="K4" s="117"/>
      <c r="L4" s="117"/>
      <c r="M4" s="117"/>
      <c r="N4" s="117"/>
      <c r="O4" s="117"/>
      <c r="P4" s="117"/>
      <c r="Q4" s="117"/>
      <c r="R4" s="117"/>
      <c r="S4" s="118"/>
      <c r="T4" s="117"/>
      <c r="U4" s="117"/>
      <c r="V4" s="117"/>
    </row>
    <row r="5" spans="1:22" s="116" customFormat="1" ht="14.25" thickBot="1" x14ac:dyDescent="0.2">
      <c r="A5" s="119"/>
      <c r="B5" s="120"/>
      <c r="C5" s="121" t="s">
        <v>127</v>
      </c>
      <c r="F5" s="117"/>
      <c r="G5" s="122" t="s">
        <v>284</v>
      </c>
      <c r="H5" s="122"/>
      <c r="I5" s="122"/>
      <c r="K5" s="117"/>
      <c r="L5" s="117"/>
      <c r="M5" s="117"/>
      <c r="N5" s="117"/>
      <c r="O5" s="117"/>
      <c r="P5" s="117"/>
      <c r="R5" s="172" t="s">
        <v>285</v>
      </c>
      <c r="S5" s="118"/>
      <c r="T5" s="117"/>
      <c r="U5" s="117"/>
      <c r="V5" s="117"/>
    </row>
    <row r="6" spans="1:22" s="124" customFormat="1" ht="14.25" thickBot="1" x14ac:dyDescent="0.2">
      <c r="A6" s="123"/>
      <c r="F6" s="125"/>
      <c r="G6" s="125"/>
      <c r="H6" s="125"/>
      <c r="I6" s="125"/>
      <c r="J6" s="125"/>
      <c r="K6" s="125"/>
      <c r="L6" s="125"/>
      <c r="M6" s="125"/>
      <c r="N6" s="125"/>
      <c r="O6" s="125"/>
      <c r="P6" s="125"/>
      <c r="Q6" s="125"/>
      <c r="R6" s="125"/>
      <c r="S6" s="126"/>
      <c r="T6" s="125"/>
      <c r="U6" s="125"/>
      <c r="V6" s="125"/>
    </row>
    <row r="7" spans="1:22" x14ac:dyDescent="0.15">
      <c r="F7" s="129"/>
      <c r="G7" s="129"/>
      <c r="H7" s="129"/>
      <c r="I7" s="129"/>
      <c r="J7" s="129"/>
      <c r="K7" s="129"/>
      <c r="L7" s="129"/>
      <c r="M7" s="129"/>
      <c r="N7" s="129"/>
      <c r="O7" s="129"/>
      <c r="P7" s="129"/>
      <c r="Q7" s="129"/>
      <c r="R7" s="129"/>
      <c r="S7" s="130"/>
      <c r="T7" s="129"/>
      <c r="U7" s="129"/>
      <c r="V7" s="129"/>
    </row>
    <row r="8" spans="1:22" ht="17.25" x14ac:dyDescent="0.2">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x14ac:dyDescent="0.25">
      <c r="A9" s="131"/>
      <c r="B9" s="131"/>
      <c r="C9" s="131"/>
      <c r="F9" s="129"/>
      <c r="G9" s="129"/>
      <c r="H9" s="129"/>
      <c r="I9" s="129"/>
      <c r="J9" s="129"/>
      <c r="K9" s="129"/>
      <c r="L9" s="129"/>
      <c r="M9" s="129"/>
      <c r="N9" s="129"/>
      <c r="O9" s="129"/>
      <c r="P9" s="129"/>
      <c r="Q9" s="129"/>
      <c r="R9" s="129"/>
      <c r="S9" s="130"/>
      <c r="T9" s="129"/>
      <c r="U9" s="129"/>
      <c r="V9" s="129"/>
    </row>
    <row r="10" spans="1:22" ht="17.25" customHeight="1" thickBot="1" x14ac:dyDescent="0.2">
      <c r="A10" s="179" t="s">
        <v>321</v>
      </c>
      <c r="B10" s="180"/>
      <c r="C10" s="181"/>
      <c r="F10" s="129"/>
      <c r="G10" s="174" t="s">
        <v>281</v>
      </c>
      <c r="H10" s="174"/>
      <c r="I10" s="174"/>
      <c r="J10" s="174"/>
      <c r="K10" s="174"/>
      <c r="L10" s="174"/>
      <c r="M10" s="174"/>
      <c r="N10" s="132"/>
      <c r="O10" s="132"/>
      <c r="P10" s="129"/>
      <c r="Q10" s="129"/>
      <c r="R10" s="129"/>
      <c r="S10" s="130"/>
      <c r="T10" s="129"/>
      <c r="U10" s="129"/>
      <c r="V10" s="129"/>
    </row>
    <row r="11" spans="1:22" ht="15" customHeight="1" x14ac:dyDescent="0.15">
      <c r="A11" s="133" t="s">
        <v>330</v>
      </c>
      <c r="B11" s="154">
        <v>30</v>
      </c>
      <c r="C11" s="134" t="s">
        <v>1</v>
      </c>
      <c r="F11" s="129"/>
      <c r="G11" s="174"/>
      <c r="H11" s="174"/>
      <c r="I11" s="174"/>
      <c r="J11" s="174"/>
      <c r="K11" s="174"/>
      <c r="L11" s="174"/>
      <c r="M11" s="174"/>
      <c r="N11" s="132"/>
      <c r="O11" s="132"/>
      <c r="Q11" s="129"/>
      <c r="R11" s="129"/>
      <c r="S11" s="130"/>
      <c r="T11" s="129"/>
      <c r="U11" s="129"/>
      <c r="V11" s="129"/>
    </row>
    <row r="12" spans="1:22" ht="15" customHeight="1" x14ac:dyDescent="0.15">
      <c r="A12" s="133" t="s">
        <v>331</v>
      </c>
      <c r="B12" s="154">
        <v>50</v>
      </c>
      <c r="C12" s="134" t="s">
        <v>1</v>
      </c>
      <c r="F12" s="129"/>
      <c r="G12" s="129"/>
      <c r="Q12" s="129"/>
      <c r="R12" s="129"/>
      <c r="S12" s="130"/>
      <c r="T12" s="129"/>
      <c r="U12" s="129"/>
      <c r="V12" s="129"/>
    </row>
    <row r="13" spans="1:22" ht="14.25" thickBot="1" x14ac:dyDescent="0.2">
      <c r="A13" s="135" t="s">
        <v>332</v>
      </c>
      <c r="B13" s="155">
        <v>85</v>
      </c>
      <c r="C13" s="136" t="s">
        <v>1</v>
      </c>
      <c r="F13" s="129"/>
      <c r="G13" s="129"/>
      <c r="H13" s="129"/>
      <c r="I13" s="129"/>
      <c r="J13" s="129"/>
      <c r="K13" s="129"/>
      <c r="L13" s="129"/>
      <c r="M13" s="129"/>
      <c r="N13" s="129"/>
      <c r="O13" s="129"/>
      <c r="P13" s="129"/>
      <c r="Q13" s="129"/>
      <c r="R13" s="129"/>
      <c r="S13" s="130"/>
      <c r="T13" s="129"/>
      <c r="U13" s="129"/>
      <c r="V13" s="129"/>
    </row>
    <row r="14" spans="1:22" ht="14.25" thickBot="1" x14ac:dyDescent="0.2">
      <c r="B14" s="137"/>
      <c r="F14" s="129"/>
      <c r="G14" s="129"/>
      <c r="H14" s="129"/>
      <c r="I14" s="129"/>
      <c r="J14" s="129"/>
      <c r="K14" s="129"/>
      <c r="L14" s="129"/>
      <c r="M14" s="129"/>
      <c r="N14" s="129"/>
      <c r="O14" s="129"/>
      <c r="P14" s="129"/>
      <c r="Q14" s="129"/>
      <c r="R14" s="129"/>
      <c r="S14" s="130"/>
      <c r="T14" s="129"/>
      <c r="U14" s="129"/>
      <c r="V14" s="129"/>
    </row>
    <row r="15" spans="1:22" ht="14.25" thickBot="1" x14ac:dyDescent="0.2">
      <c r="A15" s="179" t="s">
        <v>320</v>
      </c>
      <c r="B15" s="180"/>
      <c r="C15" s="181"/>
      <c r="F15" s="129"/>
      <c r="G15" s="129"/>
      <c r="H15" s="129"/>
      <c r="I15" s="129"/>
      <c r="J15" s="129"/>
      <c r="K15" s="129"/>
      <c r="L15" s="129"/>
      <c r="M15" s="129"/>
      <c r="N15" s="129"/>
      <c r="O15" s="129"/>
      <c r="P15" s="129"/>
      <c r="Q15" s="129"/>
      <c r="R15" s="129"/>
      <c r="S15" s="130"/>
      <c r="T15" s="129"/>
      <c r="U15" s="129"/>
      <c r="V15" s="129"/>
    </row>
    <row r="16" spans="1:22" x14ac:dyDescent="0.15">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x14ac:dyDescent="0.15">
      <c r="A17" s="133" t="s">
        <v>328</v>
      </c>
      <c r="B17" s="154">
        <v>20</v>
      </c>
      <c r="C17" s="134" t="s">
        <v>1</v>
      </c>
      <c r="F17" s="129"/>
      <c r="G17" s="129"/>
      <c r="H17" s="129"/>
      <c r="I17" s="129"/>
      <c r="J17" s="129"/>
      <c r="K17" s="129"/>
      <c r="L17" s="129"/>
      <c r="M17" s="129"/>
      <c r="N17" s="129"/>
      <c r="O17" s="129"/>
      <c r="P17" s="129"/>
      <c r="Q17" s="129"/>
      <c r="R17" s="129"/>
      <c r="S17" s="130"/>
      <c r="T17" s="129"/>
      <c r="U17" s="129"/>
      <c r="V17" s="129"/>
    </row>
    <row r="18" spans="1:22" ht="14.25" thickBot="1" x14ac:dyDescent="0.2">
      <c r="A18" s="135" t="s">
        <v>329</v>
      </c>
      <c r="B18" s="155">
        <v>26</v>
      </c>
      <c r="C18" s="136" t="s">
        <v>1</v>
      </c>
      <c r="F18" s="129"/>
      <c r="G18" s="129"/>
      <c r="H18" s="129"/>
      <c r="I18" s="129"/>
      <c r="J18" s="129"/>
      <c r="K18" s="129"/>
      <c r="L18" s="129"/>
      <c r="M18" s="129"/>
      <c r="N18" s="129"/>
      <c r="O18" s="129"/>
      <c r="P18" s="129"/>
      <c r="Q18" s="129"/>
      <c r="R18" s="129"/>
      <c r="S18" s="130"/>
      <c r="T18" s="129"/>
      <c r="U18" s="129"/>
      <c r="V18" s="129"/>
    </row>
    <row r="19" spans="1:22" ht="14.25" thickBot="1" x14ac:dyDescent="0.2">
      <c r="B19" s="137"/>
      <c r="F19" s="129"/>
      <c r="G19" s="129"/>
      <c r="H19" s="129"/>
      <c r="I19" s="129"/>
      <c r="J19" s="129"/>
      <c r="K19" s="129"/>
      <c r="L19" s="129"/>
      <c r="M19" s="129"/>
      <c r="N19" s="129"/>
      <c r="O19" s="129"/>
      <c r="P19" s="129"/>
      <c r="Q19" s="129"/>
      <c r="R19" s="129"/>
      <c r="S19" s="130"/>
      <c r="T19" s="129"/>
      <c r="U19" s="129"/>
      <c r="V19" s="129"/>
    </row>
    <row r="20" spans="1:22" ht="14.25" thickBot="1" x14ac:dyDescent="0.2">
      <c r="A20" s="179" t="s">
        <v>2</v>
      </c>
      <c r="B20" s="180"/>
      <c r="C20" s="181"/>
      <c r="F20" s="129"/>
      <c r="G20" s="129"/>
      <c r="H20" s="129"/>
      <c r="I20" s="129"/>
      <c r="J20" s="129"/>
      <c r="K20" s="129"/>
      <c r="L20" s="129"/>
      <c r="M20" s="129"/>
      <c r="N20" s="129"/>
      <c r="O20" s="129"/>
      <c r="P20" s="129"/>
      <c r="Q20" s="129"/>
      <c r="R20" s="129"/>
      <c r="S20" s="130"/>
      <c r="T20" s="129"/>
      <c r="U20" s="129"/>
      <c r="V20" s="129"/>
    </row>
    <row r="21" spans="1:22" x14ac:dyDescent="0.15">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25" thickBot="1" x14ac:dyDescent="0.3">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4.25" thickBot="1" x14ac:dyDescent="0.2">
      <c r="F23" s="129"/>
      <c r="G23" s="129"/>
      <c r="H23" s="129"/>
      <c r="I23" s="129"/>
      <c r="J23" s="129"/>
      <c r="K23" s="129"/>
      <c r="L23" s="129"/>
      <c r="M23" s="129"/>
      <c r="N23" s="129"/>
      <c r="O23" s="129"/>
      <c r="P23" s="129"/>
      <c r="Q23" s="129"/>
      <c r="R23" s="129"/>
      <c r="S23" s="130"/>
      <c r="T23" s="129"/>
      <c r="U23" s="129"/>
      <c r="V23" s="129"/>
    </row>
    <row r="24" spans="1:22" ht="14.25" thickBot="1" x14ac:dyDescent="0.2">
      <c r="A24" s="179" t="s">
        <v>282</v>
      </c>
      <c r="B24" s="180"/>
      <c r="C24" s="181"/>
      <c r="F24" s="129"/>
      <c r="G24" s="129"/>
      <c r="H24" s="129"/>
      <c r="I24" s="129"/>
      <c r="J24" s="129"/>
      <c r="K24" s="129"/>
      <c r="L24" s="129"/>
      <c r="M24" s="129"/>
      <c r="N24" s="129"/>
      <c r="O24" s="129"/>
      <c r="P24" s="129"/>
      <c r="Q24" s="129"/>
      <c r="R24" s="129"/>
      <c r="S24" s="130"/>
      <c r="T24" s="129"/>
      <c r="U24" s="129"/>
      <c r="V24" s="129"/>
    </row>
    <row r="25" spans="1:22" x14ac:dyDescent="0.15">
      <c r="A25" s="133" t="s">
        <v>27</v>
      </c>
      <c r="B25" s="154">
        <v>2</v>
      </c>
      <c r="C25" s="134"/>
      <c r="F25" s="129"/>
      <c r="G25" s="129"/>
      <c r="H25" s="129"/>
      <c r="I25" s="129"/>
      <c r="J25" s="129"/>
      <c r="K25" s="129"/>
      <c r="L25" s="129"/>
      <c r="M25" s="129"/>
      <c r="N25" s="129"/>
      <c r="O25" s="129"/>
      <c r="P25" s="129"/>
      <c r="Q25" s="129"/>
      <c r="R25" s="129"/>
      <c r="S25" s="130"/>
      <c r="T25" s="129"/>
      <c r="U25" s="129"/>
      <c r="V25" s="129"/>
    </row>
    <row r="26" spans="1:22" x14ac:dyDescent="0.15">
      <c r="A26" s="133" t="s">
        <v>325</v>
      </c>
      <c r="B26" s="154">
        <v>45</v>
      </c>
      <c r="C26" s="134" t="s">
        <v>4</v>
      </c>
      <c r="F26" s="129"/>
      <c r="G26" s="129"/>
      <c r="H26" s="129"/>
      <c r="I26" s="129"/>
      <c r="J26" s="129"/>
      <c r="K26" s="129"/>
      <c r="L26" s="129"/>
      <c r="M26" s="129"/>
      <c r="N26" s="129"/>
      <c r="O26" s="129"/>
      <c r="P26" s="129"/>
      <c r="Q26" s="129"/>
      <c r="R26" s="129"/>
      <c r="S26" s="130"/>
      <c r="T26" s="129"/>
      <c r="U26" s="129"/>
      <c r="V26" s="129"/>
    </row>
    <row r="27" spans="1:22" ht="16.5" x14ac:dyDescent="0.25">
      <c r="A27" s="133" t="s">
        <v>324</v>
      </c>
      <c r="B27" s="139">
        <f>Calculations!B27</f>
        <v>2.2222222222222223</v>
      </c>
      <c r="C27" s="134" t="s">
        <v>7</v>
      </c>
      <c r="F27" s="129"/>
      <c r="G27" s="129"/>
      <c r="H27" s="129"/>
      <c r="I27" s="129"/>
      <c r="J27" s="129"/>
      <c r="K27" s="129"/>
      <c r="L27" s="129"/>
      <c r="M27" s="129"/>
      <c r="N27" s="129"/>
      <c r="O27" s="129"/>
      <c r="P27" s="129"/>
      <c r="Q27" s="129"/>
      <c r="R27" s="129"/>
      <c r="S27" s="130"/>
      <c r="T27" s="129"/>
      <c r="U27" s="129"/>
      <c r="V27" s="129"/>
    </row>
    <row r="28" spans="1:22" ht="16.5" x14ac:dyDescent="0.25">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x14ac:dyDescent="0.15">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4.25" thickBot="1" x14ac:dyDescent="0.2">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25" x14ac:dyDescent="0.2">
      <c r="A31" s="188"/>
      <c r="B31" s="188"/>
      <c r="C31" s="188"/>
      <c r="F31" s="129"/>
      <c r="G31" s="129"/>
      <c r="H31" s="129"/>
      <c r="I31" s="129"/>
      <c r="J31" s="129"/>
      <c r="K31" s="129"/>
      <c r="L31" s="129"/>
      <c r="M31" s="129"/>
      <c r="N31" s="129"/>
      <c r="O31" s="129"/>
      <c r="P31" s="129"/>
      <c r="Q31" s="129"/>
      <c r="R31" s="129"/>
      <c r="S31" s="130"/>
      <c r="T31" s="129"/>
      <c r="U31" s="129"/>
      <c r="V31" s="129"/>
    </row>
    <row r="32" spans="1:22" ht="17.25" x14ac:dyDescent="0.2">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x14ac:dyDescent="0.25">
      <c r="A33" s="140"/>
      <c r="B33" s="140"/>
      <c r="C33" s="140"/>
      <c r="F33" s="129"/>
      <c r="G33" s="129"/>
      <c r="H33" s="129"/>
      <c r="I33" s="129"/>
      <c r="J33" s="129"/>
      <c r="K33" s="129"/>
      <c r="L33" s="129"/>
      <c r="M33" s="129"/>
      <c r="N33" s="129"/>
      <c r="O33" s="129"/>
      <c r="P33" s="129"/>
      <c r="Q33" s="129"/>
      <c r="R33" s="129"/>
      <c r="S33" s="130"/>
      <c r="T33" s="129"/>
      <c r="U33" s="129"/>
      <c r="V33" s="129"/>
    </row>
    <row r="34" spans="1:22" ht="14.25" thickBot="1" x14ac:dyDescent="0.2">
      <c r="A34" s="179" t="s">
        <v>9</v>
      </c>
      <c r="B34" s="180"/>
      <c r="C34" s="181"/>
      <c r="F34" s="129"/>
      <c r="G34" s="129"/>
      <c r="H34" s="129"/>
      <c r="I34" s="129"/>
      <c r="J34" s="129"/>
      <c r="K34" s="129"/>
      <c r="L34" s="129"/>
      <c r="M34" s="129"/>
      <c r="N34" s="129"/>
      <c r="O34" s="129"/>
      <c r="P34" s="129"/>
      <c r="Q34" s="129"/>
      <c r="R34" s="129"/>
      <c r="S34" s="130"/>
      <c r="T34" s="129"/>
      <c r="U34" s="129"/>
      <c r="V34" s="129"/>
    </row>
    <row r="35" spans="1:22" x14ac:dyDescent="0.15">
      <c r="A35" s="133" t="s">
        <v>471</v>
      </c>
      <c r="B35" s="156">
        <v>30.6</v>
      </c>
      <c r="C35" s="141" t="s">
        <v>26</v>
      </c>
      <c r="F35" s="129"/>
      <c r="G35" s="129"/>
      <c r="H35" s="129"/>
      <c r="I35" s="129"/>
      <c r="J35" s="129"/>
      <c r="K35" s="129"/>
      <c r="L35" s="129"/>
      <c r="M35" s="129"/>
      <c r="N35" s="129"/>
      <c r="O35" s="129"/>
      <c r="P35" s="129"/>
      <c r="Q35" s="129"/>
      <c r="R35" s="129"/>
      <c r="S35" s="130"/>
      <c r="T35" s="129"/>
      <c r="U35" s="129"/>
      <c r="V35" s="129"/>
    </row>
    <row r="36" spans="1:22" x14ac:dyDescent="0.15">
      <c r="A36" s="133" t="s">
        <v>472</v>
      </c>
      <c r="B36" s="139">
        <f>Calculations!B37</f>
        <v>5.5534196249305818</v>
      </c>
      <c r="C36" s="134" t="s">
        <v>6</v>
      </c>
      <c r="F36" s="129"/>
      <c r="G36" s="129"/>
      <c r="H36" s="129"/>
      <c r="I36" s="129"/>
      <c r="J36" s="129"/>
      <c r="K36" s="129"/>
      <c r="L36" s="129"/>
      <c r="M36" s="129"/>
      <c r="N36" s="129"/>
      <c r="O36" s="129"/>
      <c r="P36" s="129"/>
      <c r="Q36" s="129"/>
      <c r="R36" s="129"/>
      <c r="S36" s="130"/>
      <c r="T36" s="129"/>
      <c r="U36" s="129"/>
      <c r="V36" s="129"/>
    </row>
    <row r="37" spans="1:22" ht="16.5" x14ac:dyDescent="0.25">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x14ac:dyDescent="0.25">
      <c r="A38" s="133" t="s">
        <v>29</v>
      </c>
      <c r="B38" s="154">
        <v>2.64</v>
      </c>
      <c r="C38" s="134" t="s">
        <v>7</v>
      </c>
      <c r="F38" s="129"/>
      <c r="G38" s="129"/>
      <c r="H38" s="129"/>
      <c r="I38" s="129"/>
      <c r="J38" s="129"/>
      <c r="K38" s="129"/>
      <c r="L38" s="129"/>
      <c r="M38" s="129"/>
      <c r="N38" s="129"/>
      <c r="O38" s="129"/>
      <c r="P38" s="129"/>
      <c r="Q38" s="129"/>
      <c r="R38" s="129"/>
      <c r="S38" s="130"/>
      <c r="T38" s="129"/>
      <c r="U38" s="129"/>
      <c r="V38" s="129"/>
    </row>
    <row r="39" spans="1:22" ht="14.25" thickBot="1" x14ac:dyDescent="0.2">
      <c r="A39" s="135" t="s">
        <v>474</v>
      </c>
      <c r="B39" s="143">
        <f>I_Channel_Peak_No_Ilimit</f>
        <v>26.56758448060075</v>
      </c>
      <c r="C39" s="136" t="s">
        <v>4</v>
      </c>
      <c r="F39" s="129"/>
      <c r="G39" s="129"/>
      <c r="H39" s="129"/>
      <c r="I39" s="129"/>
      <c r="J39" s="129"/>
      <c r="K39" s="129"/>
      <c r="L39" s="129"/>
      <c r="M39" s="129"/>
      <c r="N39" s="129"/>
      <c r="O39" s="129"/>
      <c r="P39" s="129"/>
      <c r="Q39" s="129"/>
      <c r="R39" s="129"/>
      <c r="S39" s="130"/>
      <c r="T39" s="129"/>
      <c r="U39" s="129"/>
      <c r="V39" s="129"/>
    </row>
    <row r="40" spans="1:22" x14ac:dyDescent="0.15">
      <c r="A40" s="133"/>
      <c r="B40" s="144"/>
      <c r="F40" s="129"/>
      <c r="G40" s="129"/>
      <c r="H40" s="129"/>
      <c r="I40" s="129"/>
      <c r="J40" s="129"/>
      <c r="K40" s="129"/>
      <c r="L40" s="129"/>
      <c r="M40" s="129"/>
      <c r="N40" s="129"/>
      <c r="O40" s="129"/>
      <c r="P40" s="129"/>
      <c r="Q40" s="129"/>
      <c r="R40" s="129"/>
      <c r="S40" s="130"/>
      <c r="T40" s="129"/>
      <c r="U40" s="129"/>
      <c r="V40" s="129"/>
    </row>
    <row r="41" spans="1:22" ht="17.25" x14ac:dyDescent="0.2">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x14ac:dyDescent="0.2">
      <c r="A42" s="133"/>
      <c r="B42" s="144"/>
      <c r="F42" s="129"/>
      <c r="G42" s="129"/>
      <c r="H42" s="129"/>
      <c r="I42" s="129"/>
      <c r="J42" s="129"/>
      <c r="K42" s="129"/>
      <c r="L42" s="129"/>
      <c r="M42" s="129"/>
      <c r="N42" s="129"/>
      <c r="O42" s="129"/>
      <c r="P42" s="129"/>
      <c r="Q42" s="129"/>
      <c r="R42" s="129"/>
      <c r="S42" s="130"/>
      <c r="T42" s="129"/>
      <c r="U42" s="129"/>
      <c r="V42" s="129"/>
    </row>
    <row r="43" spans="1:22" ht="14.25" thickBot="1" x14ac:dyDescent="0.2">
      <c r="A43" s="179" t="s">
        <v>287</v>
      </c>
      <c r="B43" s="180"/>
      <c r="C43" s="181"/>
      <c r="F43" s="129"/>
      <c r="G43" s="129"/>
      <c r="H43" s="129"/>
      <c r="I43" s="129"/>
      <c r="J43" s="129"/>
      <c r="K43" s="129"/>
      <c r="L43" s="129"/>
      <c r="M43" s="129"/>
      <c r="N43" s="129"/>
      <c r="O43" s="129"/>
      <c r="P43" s="129"/>
      <c r="Q43" s="129"/>
      <c r="R43" s="129"/>
      <c r="S43" s="130"/>
      <c r="T43" s="129"/>
      <c r="U43" s="129"/>
      <c r="V43" s="129"/>
    </row>
    <row r="44" spans="1:22" x14ac:dyDescent="0.15">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x14ac:dyDescent="0.15">
      <c r="A45" s="133" t="s">
        <v>344</v>
      </c>
      <c r="B45" s="144">
        <f>I_Channel_Peak_Select</f>
        <v>29.224342928660828</v>
      </c>
      <c r="C45" s="134" t="s">
        <v>4</v>
      </c>
      <c r="F45" s="129"/>
      <c r="G45" s="129"/>
      <c r="H45" s="129"/>
      <c r="I45" s="129"/>
      <c r="J45" s="129"/>
      <c r="K45" s="129"/>
      <c r="L45" s="129"/>
      <c r="M45" s="129"/>
      <c r="N45" s="129"/>
      <c r="O45" s="129"/>
      <c r="P45" s="129"/>
      <c r="Q45" s="129"/>
      <c r="R45" s="129"/>
      <c r="S45" s="130"/>
      <c r="T45" s="129"/>
      <c r="U45" s="129"/>
      <c r="V45" s="129"/>
    </row>
    <row r="46" spans="1:22" ht="16.5" x14ac:dyDescent="0.25">
      <c r="A46" s="133" t="s">
        <v>341</v>
      </c>
      <c r="B46" s="144">
        <f>Calculations!B68</f>
        <v>26.567584480600754</v>
      </c>
      <c r="C46" s="134" t="s">
        <v>16</v>
      </c>
      <c r="F46" s="129"/>
      <c r="G46" s="129"/>
      <c r="H46" s="129"/>
      <c r="I46" s="129"/>
      <c r="J46" s="129"/>
      <c r="K46" s="129"/>
      <c r="L46" s="129"/>
      <c r="M46" s="129"/>
      <c r="N46" s="129"/>
      <c r="O46" s="129"/>
      <c r="P46" s="129"/>
      <c r="Q46" s="129"/>
      <c r="R46" s="129"/>
      <c r="S46" s="130"/>
      <c r="T46" s="129"/>
      <c r="U46" s="129"/>
      <c r="V46" s="129"/>
    </row>
    <row r="47" spans="1:22" ht="16.5" x14ac:dyDescent="0.25">
      <c r="A47" s="133" t="s">
        <v>342</v>
      </c>
      <c r="B47" s="157">
        <v>26</v>
      </c>
      <c r="C47" s="134" t="s">
        <v>16</v>
      </c>
      <c r="F47" s="129"/>
      <c r="G47" s="129"/>
      <c r="H47" s="129"/>
      <c r="I47" s="129"/>
      <c r="J47" s="129"/>
      <c r="K47" s="129"/>
      <c r="L47" s="129"/>
      <c r="M47" s="129"/>
      <c r="N47" s="129"/>
      <c r="O47" s="129"/>
      <c r="P47" s="129"/>
      <c r="Q47" s="129"/>
      <c r="R47" s="129"/>
      <c r="S47" s="130"/>
      <c r="T47" s="129"/>
      <c r="U47" s="129"/>
      <c r="V47" s="129"/>
    </row>
    <row r="48" spans="1:22" ht="14.25" thickBot="1" x14ac:dyDescent="0.2">
      <c r="A48" s="135" t="s">
        <v>343</v>
      </c>
      <c r="B48" s="143">
        <f>Calculations!B70</f>
        <v>28.6</v>
      </c>
      <c r="C48" s="136" t="s">
        <v>4</v>
      </c>
      <c r="F48" s="129"/>
      <c r="G48" s="129"/>
      <c r="H48" s="129"/>
      <c r="I48" s="129"/>
      <c r="J48" s="129"/>
      <c r="K48" s="129"/>
      <c r="L48" s="129"/>
      <c r="M48" s="129"/>
      <c r="N48" s="129"/>
      <c r="O48" s="129"/>
      <c r="P48" s="129"/>
      <c r="Q48" s="129"/>
      <c r="R48" s="129"/>
      <c r="S48" s="130"/>
      <c r="T48" s="129"/>
      <c r="U48" s="129"/>
      <c r="V48" s="129"/>
    </row>
    <row r="49" spans="1:22" x14ac:dyDescent="0.15">
      <c r="B49" s="144"/>
      <c r="F49" s="129"/>
      <c r="G49" s="129"/>
      <c r="H49" s="129"/>
      <c r="I49" s="129"/>
      <c r="J49" s="129"/>
      <c r="K49" s="129"/>
      <c r="L49" s="129"/>
      <c r="M49" s="129"/>
      <c r="N49" s="129"/>
      <c r="O49" s="129"/>
      <c r="P49" s="129"/>
      <c r="Q49" s="129"/>
      <c r="R49" s="129"/>
      <c r="S49" s="130"/>
      <c r="T49" s="129"/>
      <c r="U49" s="129"/>
      <c r="V49" s="129"/>
    </row>
    <row r="50" spans="1:22" ht="17.25" x14ac:dyDescent="0.2">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x14ac:dyDescent="0.2">
      <c r="B51" s="144"/>
      <c r="F51" s="129"/>
      <c r="G51" s="129"/>
      <c r="H51" s="129"/>
      <c r="I51" s="129"/>
      <c r="J51" s="129"/>
      <c r="K51" s="129"/>
      <c r="L51" s="129"/>
      <c r="M51" s="129"/>
      <c r="N51" s="129"/>
      <c r="O51" s="129"/>
      <c r="P51" s="129"/>
      <c r="Q51" s="129"/>
      <c r="R51" s="129"/>
      <c r="S51" s="130"/>
      <c r="T51" s="129"/>
      <c r="U51" s="129"/>
      <c r="V51" s="129"/>
    </row>
    <row r="52" spans="1:22" ht="14.25" thickBot="1" x14ac:dyDescent="0.2">
      <c r="A52" s="179" t="s">
        <v>338</v>
      </c>
      <c r="B52" s="180"/>
      <c r="C52" s="181"/>
      <c r="F52" s="129"/>
      <c r="G52" s="129"/>
      <c r="H52" s="129"/>
      <c r="I52" s="129"/>
      <c r="J52" s="129"/>
      <c r="K52" s="129"/>
      <c r="L52" s="129"/>
      <c r="M52" s="129"/>
      <c r="N52" s="129"/>
      <c r="O52" s="129"/>
      <c r="P52" s="129"/>
      <c r="Q52" s="129"/>
      <c r="R52" s="129"/>
      <c r="S52" s="130"/>
      <c r="T52" s="129"/>
      <c r="U52" s="129"/>
      <c r="V52" s="129"/>
    </row>
    <row r="53" spans="1:22" ht="16.5" x14ac:dyDescent="0.25">
      <c r="A53" s="133" t="s">
        <v>347</v>
      </c>
      <c r="B53" s="154">
        <v>738.8</v>
      </c>
      <c r="C53" s="145" t="s">
        <v>32</v>
      </c>
      <c r="F53" s="129"/>
      <c r="G53" s="129"/>
      <c r="H53" s="129"/>
      <c r="I53" s="129"/>
      <c r="J53" s="129"/>
      <c r="K53" s="129"/>
      <c r="L53" s="129"/>
      <c r="M53" s="129"/>
      <c r="N53" s="129"/>
      <c r="O53" s="129"/>
      <c r="P53" s="129"/>
      <c r="Q53" s="129"/>
      <c r="R53" s="129"/>
      <c r="S53" s="130"/>
      <c r="T53" s="129"/>
      <c r="U53" s="129"/>
      <c r="V53" s="129"/>
    </row>
    <row r="54" spans="1:22" ht="15.75" thickBot="1" x14ac:dyDescent="0.3">
      <c r="A54" s="135" t="s">
        <v>345</v>
      </c>
      <c r="B54" s="155">
        <v>112</v>
      </c>
      <c r="C54" s="136" t="s">
        <v>7</v>
      </c>
      <c r="F54" s="129"/>
      <c r="G54" s="129"/>
      <c r="H54" s="129"/>
      <c r="I54" s="129"/>
      <c r="J54" s="129"/>
      <c r="K54" s="129"/>
      <c r="L54" s="129"/>
      <c r="M54" s="129"/>
      <c r="N54" s="129"/>
      <c r="O54" s="129"/>
      <c r="P54" s="129"/>
      <c r="Q54" s="129"/>
      <c r="R54" s="129"/>
      <c r="S54" s="130"/>
      <c r="T54" s="129"/>
      <c r="U54" s="129"/>
      <c r="V54" s="129"/>
    </row>
    <row r="55" spans="1:22" ht="14.25" thickBot="1" x14ac:dyDescent="0.2">
      <c r="A55" s="179" t="s">
        <v>339</v>
      </c>
      <c r="B55" s="180"/>
      <c r="C55" s="181"/>
      <c r="F55" s="129"/>
      <c r="G55" s="129"/>
      <c r="H55" s="129"/>
      <c r="I55" s="129"/>
      <c r="J55" s="129"/>
      <c r="K55" s="129"/>
      <c r="L55" s="129"/>
      <c r="M55" s="129"/>
      <c r="N55" s="129"/>
      <c r="O55" s="129"/>
      <c r="P55" s="129"/>
      <c r="Q55" s="129"/>
      <c r="R55" s="129"/>
      <c r="S55" s="130"/>
      <c r="T55" s="129"/>
      <c r="U55" s="129"/>
      <c r="V55" s="129"/>
    </row>
    <row r="56" spans="1:22" ht="16.5" x14ac:dyDescent="0.25">
      <c r="A56" s="133" t="s">
        <v>348</v>
      </c>
      <c r="B56" s="154">
        <v>637</v>
      </c>
      <c r="C56" s="145" t="s">
        <v>32</v>
      </c>
      <c r="F56" s="129"/>
      <c r="G56" s="129"/>
      <c r="H56" s="129"/>
      <c r="I56" s="129"/>
      <c r="J56" s="129"/>
      <c r="K56" s="129"/>
      <c r="L56" s="129"/>
      <c r="M56" s="129"/>
      <c r="N56" s="129"/>
      <c r="O56" s="129"/>
      <c r="P56" s="129"/>
      <c r="Q56" s="129"/>
      <c r="R56" s="129"/>
      <c r="S56" s="130"/>
      <c r="T56" s="129"/>
      <c r="U56" s="129"/>
      <c r="V56" s="129"/>
    </row>
    <row r="57" spans="1:22" ht="15.75" thickBot="1" x14ac:dyDescent="0.3">
      <c r="A57" s="135" t="s">
        <v>346</v>
      </c>
      <c r="B57" s="155">
        <v>3.2</v>
      </c>
      <c r="C57" s="136" t="s">
        <v>7</v>
      </c>
      <c r="F57" s="129"/>
      <c r="G57" s="129"/>
      <c r="H57" s="129"/>
      <c r="I57" s="129"/>
      <c r="J57" s="129"/>
      <c r="K57" s="129"/>
      <c r="L57" s="129"/>
      <c r="M57" s="129"/>
      <c r="N57" s="129"/>
      <c r="O57" s="129"/>
      <c r="P57" s="129"/>
      <c r="Q57" s="129"/>
      <c r="R57" s="129"/>
      <c r="S57" s="130"/>
      <c r="T57" s="129"/>
      <c r="U57" s="129"/>
      <c r="V57" s="129"/>
    </row>
    <row r="58" spans="1:22" x14ac:dyDescent="0.15">
      <c r="F58" s="129"/>
      <c r="G58" s="129"/>
      <c r="H58" s="129"/>
      <c r="I58" s="129"/>
      <c r="J58" s="129"/>
      <c r="K58" s="129"/>
      <c r="L58" s="129"/>
      <c r="M58" s="129"/>
      <c r="N58" s="129"/>
      <c r="O58" s="129"/>
      <c r="P58" s="129"/>
      <c r="Q58" s="129"/>
      <c r="R58" s="129"/>
      <c r="S58" s="130"/>
      <c r="T58" s="129"/>
      <c r="U58" s="129"/>
      <c r="V58" s="129"/>
    </row>
    <row r="59" spans="1:22" ht="17.25" x14ac:dyDescent="0.2">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x14ac:dyDescent="0.2">
      <c r="F60" s="129"/>
      <c r="G60" s="129"/>
      <c r="H60" s="129"/>
      <c r="I60" s="129"/>
      <c r="J60" s="129"/>
      <c r="K60" s="129"/>
      <c r="L60" s="129"/>
      <c r="M60" s="129"/>
      <c r="N60" s="129"/>
      <c r="O60" s="129"/>
      <c r="P60" s="129"/>
      <c r="Q60" s="129"/>
      <c r="R60" s="129"/>
      <c r="S60" s="130"/>
      <c r="T60" s="129"/>
      <c r="U60" s="129"/>
      <c r="V60" s="129"/>
    </row>
    <row r="61" spans="1:22" ht="14.25" thickBot="1" x14ac:dyDescent="0.2">
      <c r="A61" s="179" t="s">
        <v>296</v>
      </c>
      <c r="B61" s="180"/>
      <c r="C61" s="181"/>
      <c r="F61" s="129"/>
      <c r="G61" s="129"/>
      <c r="H61" s="129"/>
      <c r="I61" s="129"/>
      <c r="J61" s="129"/>
      <c r="K61" s="129"/>
      <c r="L61" s="129"/>
      <c r="M61" s="129"/>
      <c r="N61" s="129"/>
      <c r="O61" s="129"/>
      <c r="P61" s="177" t="s">
        <v>384</v>
      </c>
      <c r="Q61" s="178"/>
      <c r="R61" s="129"/>
      <c r="S61" s="130"/>
      <c r="T61" s="129"/>
      <c r="U61" s="129"/>
      <c r="V61" s="129"/>
    </row>
    <row r="62" spans="1:22" ht="16.5" x14ac:dyDescent="0.25">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5" x14ac:dyDescent="0.25">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5" x14ac:dyDescent="0.25">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x14ac:dyDescent="0.15">
      <c r="A65" s="133" t="s">
        <v>475</v>
      </c>
      <c r="B65" s="144">
        <f>Calculations!B78</f>
        <v>3.125</v>
      </c>
      <c r="C65" s="134" t="s">
        <v>1</v>
      </c>
      <c r="F65" s="129"/>
      <c r="G65" s="129"/>
      <c r="H65" s="129"/>
      <c r="I65" s="129"/>
      <c r="J65" s="129"/>
      <c r="K65" s="129"/>
      <c r="L65" s="129"/>
      <c r="M65" s="129"/>
      <c r="N65" s="129"/>
      <c r="O65" s="129"/>
      <c r="P65" s="129"/>
      <c r="Q65" s="129"/>
      <c r="R65" s="129"/>
      <c r="S65" s="130"/>
      <c r="T65" s="129"/>
      <c r="U65" s="129"/>
      <c r="V65" s="129"/>
    </row>
    <row r="66" spans="1:22" x14ac:dyDescent="0.15">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4.25" thickBot="1" x14ac:dyDescent="0.2">
      <c r="A67" s="135" t="s">
        <v>477</v>
      </c>
      <c r="B67" s="143">
        <f>Calculations!B80</f>
        <v>8.8541666666666679</v>
      </c>
      <c r="C67" s="136" t="s">
        <v>1</v>
      </c>
      <c r="F67" s="129"/>
      <c r="G67" s="129"/>
      <c r="H67" s="129"/>
      <c r="I67" s="129"/>
      <c r="J67" s="129"/>
      <c r="K67" s="129"/>
      <c r="L67" s="129"/>
      <c r="M67" s="129"/>
      <c r="N67" s="129"/>
      <c r="O67" s="129"/>
      <c r="P67" s="129"/>
      <c r="Q67" s="129"/>
      <c r="R67" s="129"/>
      <c r="S67" s="130"/>
      <c r="T67" s="129"/>
      <c r="U67" s="129"/>
      <c r="V67" s="129"/>
    </row>
    <row r="68" spans="1:22" x14ac:dyDescent="0.15">
      <c r="F68" s="129"/>
      <c r="G68" s="129"/>
      <c r="H68" s="129"/>
      <c r="I68" s="129"/>
      <c r="J68" s="129"/>
      <c r="K68" s="129"/>
      <c r="L68" s="129"/>
      <c r="M68" s="129"/>
      <c r="N68" s="129"/>
      <c r="O68" s="129"/>
      <c r="P68" s="129"/>
      <c r="Q68" s="129"/>
      <c r="R68" s="129"/>
      <c r="S68" s="130"/>
      <c r="T68" s="129"/>
      <c r="U68" s="129"/>
      <c r="V68" s="129"/>
    </row>
    <row r="69" spans="1:22" ht="17.25" x14ac:dyDescent="0.2">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x14ac:dyDescent="0.2">
      <c r="F70" s="129"/>
      <c r="G70" s="129"/>
      <c r="H70" s="129"/>
      <c r="I70" s="129"/>
      <c r="J70" s="129"/>
      <c r="K70" s="129"/>
      <c r="L70" s="129"/>
      <c r="M70" s="129"/>
      <c r="N70" s="129"/>
      <c r="O70" s="129"/>
      <c r="P70" s="129"/>
      <c r="Q70" s="129"/>
      <c r="R70" s="129"/>
      <c r="S70" s="130"/>
      <c r="T70" s="129"/>
      <c r="U70" s="129"/>
      <c r="V70" s="129"/>
    </row>
    <row r="71" spans="1:22" ht="14.25" thickBot="1" x14ac:dyDescent="0.2">
      <c r="A71" s="179" t="s">
        <v>112</v>
      </c>
      <c r="B71" s="180"/>
      <c r="C71" s="181"/>
      <c r="F71" s="129"/>
      <c r="G71" s="129"/>
      <c r="H71" s="129"/>
      <c r="I71" s="129"/>
      <c r="J71" s="129"/>
      <c r="K71" s="129"/>
      <c r="L71" s="129"/>
      <c r="M71" s="129"/>
      <c r="N71" s="129"/>
      <c r="O71" s="129"/>
      <c r="P71" s="129"/>
      <c r="Q71" s="129"/>
      <c r="R71" s="129"/>
      <c r="S71" s="130"/>
      <c r="T71" s="129"/>
      <c r="U71" s="129"/>
      <c r="V71" s="129"/>
    </row>
    <row r="72" spans="1:22" ht="14.25" thickBot="1" x14ac:dyDescent="0.2">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25" thickBot="1" x14ac:dyDescent="0.3">
      <c r="A73" s="133" t="s">
        <v>353</v>
      </c>
      <c r="B73" s="128">
        <f>Calculations!B84</f>
        <v>0.01</v>
      </c>
      <c r="C73" s="134" t="s">
        <v>32</v>
      </c>
      <c r="P73" s="177" t="s">
        <v>384</v>
      </c>
      <c r="Q73" s="178"/>
    </row>
    <row r="74" spans="1:22" ht="16.5" x14ac:dyDescent="0.25">
      <c r="A74" s="133" t="s">
        <v>354</v>
      </c>
      <c r="B74" s="154">
        <v>0.01</v>
      </c>
      <c r="C74" s="134" t="s">
        <v>32</v>
      </c>
    </row>
    <row r="75" spans="1:22" ht="14.25" thickBot="1" x14ac:dyDescent="0.2">
      <c r="A75" s="135" t="s">
        <v>182</v>
      </c>
      <c r="B75" s="138">
        <f>Calculations!B86</f>
        <v>2</v>
      </c>
      <c r="C75" s="136" t="s">
        <v>114</v>
      </c>
    </row>
    <row r="77" spans="1:22" ht="17.25" x14ac:dyDescent="0.2">
      <c r="A77" s="173" t="s">
        <v>300</v>
      </c>
      <c r="B77" s="173"/>
      <c r="C77" s="173"/>
    </row>
    <row r="78" spans="1:22" ht="7.5" customHeight="1" thickBot="1" x14ac:dyDescent="0.2"/>
    <row r="79" spans="1:22" ht="14.25" thickBot="1" x14ac:dyDescent="0.2">
      <c r="A79" s="179" t="s">
        <v>298</v>
      </c>
      <c r="B79" s="180"/>
      <c r="C79" s="181"/>
    </row>
    <row r="80" spans="1:22" x14ac:dyDescent="0.15">
      <c r="A80" s="133" t="s">
        <v>337</v>
      </c>
      <c r="B80" s="154">
        <v>60</v>
      </c>
      <c r="C80" s="134" t="s">
        <v>1</v>
      </c>
    </row>
    <row r="81" spans="1:19" ht="16.5" x14ac:dyDescent="0.25">
      <c r="A81" s="133" t="s">
        <v>355</v>
      </c>
      <c r="B81" s="144">
        <f>Calculations!B90</f>
        <v>59.443764345830147</v>
      </c>
      <c r="C81" s="134" t="s">
        <v>104</v>
      </c>
    </row>
    <row r="82" spans="1:19" ht="16.5" x14ac:dyDescent="0.25">
      <c r="A82" s="133" t="s">
        <v>356</v>
      </c>
      <c r="B82" s="154">
        <v>60</v>
      </c>
      <c r="C82" s="134" t="s">
        <v>104</v>
      </c>
    </row>
    <row r="83" spans="1:19" ht="14.25" thickBot="1" x14ac:dyDescent="0.2">
      <c r="A83" s="135" t="s">
        <v>336</v>
      </c>
      <c r="B83" s="143">
        <f>Calculations!B92</f>
        <v>59.44426229508197</v>
      </c>
      <c r="C83" s="136" t="s">
        <v>1</v>
      </c>
    </row>
    <row r="84" spans="1:19" ht="14.25" thickBot="1" x14ac:dyDescent="0.2">
      <c r="A84" s="179" t="s">
        <v>299</v>
      </c>
      <c r="B84" s="180"/>
      <c r="C84" s="181"/>
    </row>
    <row r="85" spans="1:19" x14ac:dyDescent="0.15">
      <c r="A85" s="133" t="s">
        <v>335</v>
      </c>
      <c r="B85" s="154">
        <v>28</v>
      </c>
      <c r="C85" s="134" t="s">
        <v>1</v>
      </c>
    </row>
    <row r="86" spans="1:19" ht="16.5" x14ac:dyDescent="0.25">
      <c r="A86" s="133" t="s">
        <v>357</v>
      </c>
      <c r="B86" s="144">
        <f>Calculations!B94</f>
        <v>43.191683759090061</v>
      </c>
      <c r="C86" s="134" t="s">
        <v>104</v>
      </c>
    </row>
    <row r="87" spans="1:19" ht="16.5" x14ac:dyDescent="0.25">
      <c r="A87" s="133" t="s">
        <v>358</v>
      </c>
      <c r="B87" s="154">
        <v>43</v>
      </c>
      <c r="C87" s="134" t="s">
        <v>104</v>
      </c>
    </row>
    <row r="88" spans="1:19" ht="14.25" thickBot="1" x14ac:dyDescent="0.2">
      <c r="A88" s="135" t="s">
        <v>334</v>
      </c>
      <c r="B88" s="143">
        <f>Calculations!B96</f>
        <v>28.743139534883721</v>
      </c>
      <c r="C88" s="136" t="s">
        <v>1</v>
      </c>
    </row>
    <row r="90" spans="1:19" ht="17.25" x14ac:dyDescent="0.2">
      <c r="A90" s="173" t="s">
        <v>463</v>
      </c>
      <c r="B90" s="173"/>
      <c r="C90" s="173"/>
    </row>
    <row r="91" spans="1:19" ht="6" customHeight="1" thickBot="1" x14ac:dyDescent="0.2">
      <c r="E91" s="129"/>
      <c r="F91" s="129"/>
      <c r="G91" s="129"/>
      <c r="H91" s="129"/>
      <c r="I91" s="129"/>
      <c r="J91" s="129"/>
      <c r="K91" s="129"/>
      <c r="L91" s="129"/>
      <c r="M91" s="129"/>
      <c r="N91" s="129"/>
      <c r="O91" s="129"/>
      <c r="P91" s="129"/>
      <c r="Q91" s="129"/>
      <c r="R91" s="129"/>
      <c r="S91" s="130"/>
    </row>
    <row r="92" spans="1:19" ht="14.25" thickBot="1" x14ac:dyDescent="0.2">
      <c r="A92" s="179" t="s">
        <v>113</v>
      </c>
      <c r="B92" s="180"/>
      <c r="C92" s="181"/>
      <c r="E92" s="129"/>
      <c r="F92" s="129"/>
      <c r="G92" s="129"/>
      <c r="H92" s="129"/>
      <c r="I92" s="129"/>
      <c r="J92" s="129"/>
      <c r="K92" s="129"/>
      <c r="L92" s="129"/>
      <c r="M92" s="129"/>
      <c r="N92" s="129"/>
      <c r="O92" s="129"/>
      <c r="P92" s="129"/>
      <c r="Q92" s="129"/>
      <c r="R92" s="129"/>
      <c r="S92" s="130"/>
    </row>
    <row r="93" spans="1:19" x14ac:dyDescent="0.15">
      <c r="A93" s="133" t="s">
        <v>117</v>
      </c>
      <c r="B93" s="182" t="s">
        <v>172</v>
      </c>
      <c r="C93" s="183"/>
      <c r="E93" s="129"/>
      <c r="F93" s="175" t="s">
        <v>309</v>
      </c>
      <c r="G93" s="175"/>
      <c r="H93" s="175"/>
      <c r="I93" s="129"/>
      <c r="J93" s="129"/>
      <c r="K93" s="175" t="s">
        <v>307</v>
      </c>
      <c r="L93" s="175"/>
      <c r="M93" s="175"/>
      <c r="N93" s="129"/>
      <c r="O93" s="129"/>
      <c r="P93" s="129"/>
      <c r="Q93" s="175" t="s">
        <v>308</v>
      </c>
      <c r="R93" s="175"/>
      <c r="S93" s="130"/>
    </row>
    <row r="94" spans="1:19" x14ac:dyDescent="0.15">
      <c r="A94" s="133" t="s">
        <v>318</v>
      </c>
      <c r="B94" s="154">
        <v>24</v>
      </c>
      <c r="C94" s="134" t="s">
        <v>1</v>
      </c>
      <c r="E94" s="129"/>
      <c r="F94" s="129"/>
      <c r="G94" s="129"/>
      <c r="H94" s="129"/>
      <c r="I94" s="129"/>
      <c r="J94" s="129"/>
      <c r="K94" s="129"/>
      <c r="L94" s="129"/>
      <c r="M94" s="129"/>
      <c r="N94" s="129"/>
      <c r="O94" s="129"/>
      <c r="P94" s="129"/>
      <c r="Q94" s="129"/>
      <c r="R94" s="129"/>
      <c r="S94" s="130"/>
    </row>
    <row r="95" spans="1:19" ht="16.5" x14ac:dyDescent="0.25">
      <c r="A95" s="133" t="s">
        <v>310</v>
      </c>
      <c r="B95" s="154">
        <v>10</v>
      </c>
      <c r="C95" s="134" t="s">
        <v>104</v>
      </c>
      <c r="E95" s="129"/>
      <c r="F95" s="129"/>
      <c r="G95" s="129"/>
      <c r="H95" s="129"/>
      <c r="I95" s="129"/>
      <c r="J95" s="129"/>
      <c r="K95" s="129"/>
      <c r="L95" s="129"/>
      <c r="M95" s="129"/>
      <c r="N95" s="129"/>
      <c r="O95" s="129"/>
      <c r="P95" s="129"/>
      <c r="Q95" s="129"/>
      <c r="R95" s="129"/>
      <c r="S95" s="130"/>
    </row>
    <row r="96" spans="1:19" ht="16.5" x14ac:dyDescent="0.25">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5" x14ac:dyDescent="0.25">
      <c r="A97" s="133" t="s">
        <v>311</v>
      </c>
      <c r="B97" s="154">
        <v>86.6</v>
      </c>
      <c r="C97" s="134" t="s">
        <v>104</v>
      </c>
      <c r="E97" s="129"/>
      <c r="F97" s="129"/>
      <c r="G97" s="129"/>
      <c r="H97" s="129"/>
      <c r="I97" s="129"/>
      <c r="J97" s="129"/>
      <c r="K97" s="129"/>
      <c r="L97" s="129"/>
      <c r="M97" s="129"/>
      <c r="N97" s="129"/>
      <c r="O97" s="129"/>
      <c r="P97" s="129"/>
      <c r="Q97" s="129"/>
      <c r="R97" s="129"/>
      <c r="S97" s="130"/>
    </row>
    <row r="98" spans="1:21" x14ac:dyDescent="0.15">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x14ac:dyDescent="0.15">
      <c r="A99" s="133" t="s">
        <v>241</v>
      </c>
      <c r="B99" s="154">
        <v>2.4</v>
      </c>
      <c r="C99" s="134" t="s">
        <v>1</v>
      </c>
      <c r="E99" s="129"/>
      <c r="F99" s="129"/>
      <c r="G99" s="129"/>
      <c r="H99" s="129"/>
      <c r="I99" s="129"/>
      <c r="J99" s="129"/>
      <c r="K99" s="129"/>
      <c r="L99" s="129"/>
      <c r="M99" s="129"/>
      <c r="N99" s="129"/>
      <c r="O99" s="129"/>
      <c r="P99" s="129"/>
      <c r="Q99" s="129"/>
      <c r="R99" s="129"/>
      <c r="S99" s="130"/>
    </row>
    <row r="100" spans="1:21" ht="16.5" x14ac:dyDescent="0.25">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5" x14ac:dyDescent="0.25">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x14ac:dyDescent="0.15">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x14ac:dyDescent="0.15">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x14ac:dyDescent="0.15">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4.25" thickBot="1" x14ac:dyDescent="0.2">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x14ac:dyDescent="0.15">
      <c r="E106" s="129"/>
      <c r="F106" s="151"/>
      <c r="G106" s="151"/>
      <c r="H106" s="151"/>
      <c r="I106" s="151"/>
      <c r="J106" s="151"/>
      <c r="K106" s="151"/>
      <c r="L106" s="151"/>
      <c r="M106" s="129"/>
      <c r="N106" s="129"/>
      <c r="O106" s="129"/>
      <c r="P106" s="129"/>
      <c r="Q106" s="129"/>
      <c r="R106" s="129"/>
      <c r="S106" s="130"/>
    </row>
    <row r="107" spans="1:21" ht="17.25" x14ac:dyDescent="0.2">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x14ac:dyDescent="0.2">
      <c r="E108" s="129"/>
      <c r="F108" s="151"/>
      <c r="G108" s="151"/>
      <c r="H108" s="151"/>
      <c r="I108" s="151"/>
      <c r="J108" s="151"/>
      <c r="K108" s="151"/>
      <c r="L108" s="151"/>
      <c r="M108" s="129"/>
      <c r="N108" s="129"/>
      <c r="O108" s="129"/>
      <c r="P108" s="129"/>
      <c r="Q108" s="129"/>
      <c r="R108" s="129"/>
      <c r="S108" s="130"/>
    </row>
    <row r="109" spans="1:21" ht="14.25" thickBot="1" x14ac:dyDescent="0.2">
      <c r="A109" s="179" t="s">
        <v>302</v>
      </c>
      <c r="B109" s="180"/>
      <c r="C109" s="181"/>
      <c r="E109" s="129"/>
      <c r="F109" s="129"/>
      <c r="G109" s="129"/>
      <c r="H109" s="129"/>
      <c r="I109" s="129"/>
      <c r="J109" s="129"/>
      <c r="K109" s="129"/>
      <c r="L109" s="129"/>
      <c r="M109" s="129"/>
      <c r="N109" s="129"/>
      <c r="O109" s="129"/>
      <c r="P109" s="129"/>
      <c r="Q109" s="129"/>
      <c r="R109" s="129"/>
      <c r="S109" s="130"/>
    </row>
    <row r="110" spans="1:21" ht="16.5" x14ac:dyDescent="0.25">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5" x14ac:dyDescent="0.25">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5" x14ac:dyDescent="0.25">
      <c r="A112" s="133" t="s">
        <v>364</v>
      </c>
      <c r="B112" s="154">
        <v>12</v>
      </c>
      <c r="C112" s="134" t="s">
        <v>104</v>
      </c>
      <c r="E112" s="129"/>
      <c r="F112" s="129"/>
      <c r="G112" s="129"/>
      <c r="H112" s="129"/>
      <c r="I112" s="129"/>
      <c r="J112" s="129"/>
      <c r="K112" s="129"/>
      <c r="L112" s="129"/>
      <c r="M112" s="129"/>
      <c r="N112" s="129"/>
      <c r="O112" s="129"/>
      <c r="P112" s="129"/>
      <c r="Q112" s="129"/>
      <c r="R112" s="129"/>
      <c r="S112" s="130"/>
    </row>
    <row r="113" spans="1:19" ht="16.5" x14ac:dyDescent="0.25">
      <c r="A113" s="133" t="s">
        <v>480</v>
      </c>
      <c r="B113" s="139">
        <f>Calculations!B118</f>
        <v>3.3</v>
      </c>
      <c r="C113" s="134" t="s">
        <v>1</v>
      </c>
      <c r="E113" s="129"/>
      <c r="F113" s="129"/>
      <c r="G113" s="129"/>
      <c r="H113" s="129"/>
      <c r="I113" s="129"/>
      <c r="J113" s="129"/>
      <c r="K113" s="129"/>
      <c r="L113" s="129"/>
      <c r="M113" s="129"/>
      <c r="N113" s="129"/>
      <c r="O113" s="129"/>
      <c r="P113" s="129"/>
      <c r="Q113" s="129"/>
      <c r="R113" s="129"/>
      <c r="S113" s="130"/>
    </row>
    <row r="114" spans="1:19" ht="16.5" x14ac:dyDescent="0.25">
      <c r="A114" s="133" t="s">
        <v>479</v>
      </c>
      <c r="B114" s="139">
        <f>Calculations!B119</f>
        <v>0.3</v>
      </c>
      <c r="C114" s="134" t="s">
        <v>1</v>
      </c>
      <c r="E114" s="129"/>
      <c r="F114" s="129"/>
      <c r="G114" s="129"/>
      <c r="H114" s="129"/>
      <c r="I114" s="129"/>
      <c r="J114" s="129"/>
      <c r="K114" s="129"/>
      <c r="L114" s="129"/>
      <c r="M114" s="129"/>
      <c r="N114" s="129"/>
      <c r="O114" s="129"/>
      <c r="P114" s="129"/>
      <c r="Q114" s="129"/>
      <c r="R114" s="129"/>
      <c r="S114" s="130"/>
    </row>
    <row r="115" spans="1:19" ht="16.5" x14ac:dyDescent="0.25">
      <c r="A115" s="133" t="s">
        <v>365</v>
      </c>
      <c r="B115" s="144">
        <f>Calculations!B120</f>
        <v>8.3333333333333321</v>
      </c>
      <c r="C115" s="134" t="s">
        <v>40</v>
      </c>
      <c r="E115" s="129"/>
      <c r="F115" s="129"/>
      <c r="G115" s="129"/>
      <c r="H115" s="129"/>
      <c r="I115" s="129"/>
      <c r="J115" s="129"/>
      <c r="K115" s="129"/>
      <c r="L115" s="129"/>
      <c r="M115" s="129"/>
      <c r="N115" s="129"/>
      <c r="O115" s="129"/>
      <c r="P115" s="129"/>
      <c r="Q115" s="129"/>
      <c r="R115" s="129"/>
      <c r="S115" s="130"/>
    </row>
    <row r="116" spans="1:19" ht="16.5" x14ac:dyDescent="0.25">
      <c r="A116" s="133" t="s">
        <v>366</v>
      </c>
      <c r="B116" s="154">
        <v>8.1999999999999993</v>
      </c>
      <c r="C116" s="134" t="s">
        <v>40</v>
      </c>
      <c r="E116" s="129"/>
      <c r="F116" s="129"/>
      <c r="G116" s="129"/>
      <c r="H116" s="129"/>
      <c r="I116" s="129"/>
      <c r="J116" s="129"/>
      <c r="K116" s="129"/>
      <c r="L116" s="129"/>
      <c r="M116" s="129"/>
      <c r="N116" s="129"/>
      <c r="O116" s="129"/>
      <c r="P116" s="129"/>
      <c r="Q116" s="129"/>
      <c r="R116" s="129"/>
      <c r="S116" s="130"/>
    </row>
    <row r="117" spans="1:19" ht="16.5" x14ac:dyDescent="0.25">
      <c r="A117" s="133" t="s">
        <v>481</v>
      </c>
      <c r="B117" s="149">
        <f>Calculations!B123</f>
        <v>1.9737078552789296</v>
      </c>
      <c r="C117" s="134" t="s">
        <v>72</v>
      </c>
      <c r="E117" s="129"/>
      <c r="F117" s="129"/>
      <c r="G117" s="129"/>
      <c r="H117" s="129"/>
      <c r="I117" s="129"/>
      <c r="J117" s="129"/>
      <c r="K117" s="129"/>
      <c r="L117" s="129"/>
      <c r="M117" s="129"/>
      <c r="N117" s="129"/>
      <c r="O117" s="129"/>
      <c r="P117" s="129"/>
      <c r="Q117" s="129"/>
      <c r="R117" s="129"/>
      <c r="S117" s="130"/>
    </row>
    <row r="118" spans="1:19" ht="17.25" thickBot="1" x14ac:dyDescent="0.3">
      <c r="A118" s="135" t="s">
        <v>482</v>
      </c>
      <c r="B118" s="143">
        <f>Calculations!B122</f>
        <v>1.6174282834542213</v>
      </c>
      <c r="C118" s="136" t="s">
        <v>3</v>
      </c>
      <c r="E118" s="129"/>
      <c r="F118" s="129"/>
      <c r="G118" s="129"/>
      <c r="H118" s="129"/>
      <c r="I118" s="129"/>
      <c r="J118" s="129"/>
      <c r="K118" s="129"/>
      <c r="L118" s="129"/>
      <c r="M118" s="129"/>
      <c r="N118" s="129"/>
      <c r="O118" s="129"/>
      <c r="P118" s="129"/>
      <c r="Q118" s="129"/>
      <c r="R118" s="129"/>
      <c r="S118" s="130"/>
    </row>
    <row r="119" spans="1:19" x14ac:dyDescent="0.15">
      <c r="E119" s="129"/>
      <c r="F119" s="129"/>
      <c r="G119" s="129"/>
      <c r="H119" s="129"/>
      <c r="I119" s="129"/>
      <c r="J119" s="129"/>
      <c r="K119" s="129"/>
      <c r="L119" s="129"/>
      <c r="M119" s="129"/>
      <c r="N119" s="129"/>
      <c r="O119" s="129"/>
      <c r="P119" s="129"/>
      <c r="Q119" s="129"/>
      <c r="R119" s="129"/>
      <c r="S119" s="130"/>
    </row>
    <row r="120" spans="1:19" ht="17.25" x14ac:dyDescent="0.2">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x14ac:dyDescent="0.2">
      <c r="E121" s="129"/>
      <c r="F121" s="129"/>
      <c r="G121" s="129"/>
      <c r="H121" s="129"/>
      <c r="I121" s="129"/>
      <c r="J121" s="129"/>
      <c r="K121" s="129"/>
      <c r="L121" s="129"/>
      <c r="M121" s="129"/>
      <c r="N121" s="129"/>
      <c r="O121" s="129"/>
      <c r="P121" s="129"/>
      <c r="Q121" s="129"/>
      <c r="R121" s="129"/>
      <c r="S121" s="130"/>
    </row>
    <row r="122" spans="1:19" ht="14.25" thickBot="1" x14ac:dyDescent="0.2">
      <c r="A122" s="179" t="s">
        <v>303</v>
      </c>
      <c r="B122" s="180"/>
      <c r="C122" s="181"/>
      <c r="E122" s="176" t="s">
        <v>361</v>
      </c>
      <c r="F122" s="176"/>
      <c r="G122" s="176"/>
      <c r="I122" s="176" t="s">
        <v>362</v>
      </c>
      <c r="J122" s="176"/>
      <c r="K122" s="176"/>
    </row>
    <row r="123" spans="1:19" x14ac:dyDescent="0.15">
      <c r="A123" s="133" t="s">
        <v>224</v>
      </c>
      <c r="B123" s="182" t="s">
        <v>226</v>
      </c>
      <c r="C123" s="183"/>
    </row>
    <row r="124" spans="1:19" x14ac:dyDescent="0.15">
      <c r="A124" s="133" t="s">
        <v>359</v>
      </c>
      <c r="B124" s="154">
        <v>55</v>
      </c>
      <c r="C124" s="134" t="s">
        <v>97</v>
      </c>
    </row>
    <row r="125" spans="1:19" ht="16.5" x14ac:dyDescent="0.25">
      <c r="A125" s="133" t="s">
        <v>466</v>
      </c>
      <c r="B125" s="128">
        <f>Calculations!B129</f>
        <v>9.75</v>
      </c>
      <c r="C125" s="134" t="s">
        <v>104</v>
      </c>
    </row>
    <row r="126" spans="1:19" ht="16.5" x14ac:dyDescent="0.25">
      <c r="A126" s="133" t="s">
        <v>360</v>
      </c>
      <c r="B126" s="154">
        <v>10</v>
      </c>
      <c r="C126" s="134" t="s">
        <v>104</v>
      </c>
    </row>
    <row r="127" spans="1:19" x14ac:dyDescent="0.15">
      <c r="A127" s="133" t="s">
        <v>237</v>
      </c>
      <c r="B127" s="128">
        <f>Calculations!B131</f>
        <v>56</v>
      </c>
      <c r="C127" s="134" t="s">
        <v>97</v>
      </c>
    </row>
    <row r="128" spans="1:19" ht="14.25" thickBot="1" x14ac:dyDescent="0.2">
      <c r="A128" s="135" t="s">
        <v>238</v>
      </c>
      <c r="B128" s="138">
        <f>Calculations!B132</f>
        <v>56</v>
      </c>
      <c r="C128" s="136" t="s">
        <v>97</v>
      </c>
    </row>
    <row r="131" spans="1:3" ht="17.25" x14ac:dyDescent="0.2">
      <c r="A131" s="173" t="s">
        <v>305</v>
      </c>
      <c r="B131" s="173"/>
      <c r="C131" s="173"/>
    </row>
    <row r="132" spans="1:3" ht="14.25" thickBot="1" x14ac:dyDescent="0.2"/>
    <row r="133" spans="1:3" ht="14.25" thickBot="1" x14ac:dyDescent="0.2">
      <c r="A133" s="179" t="s">
        <v>306</v>
      </c>
      <c r="B133" s="180"/>
      <c r="C133" s="181"/>
    </row>
    <row r="134" spans="1:3" x14ac:dyDescent="0.15">
      <c r="A134" s="133" t="s">
        <v>250</v>
      </c>
      <c r="B134" s="154">
        <v>25</v>
      </c>
      <c r="C134" s="134" t="s">
        <v>251</v>
      </c>
    </row>
    <row r="135" spans="1:3" ht="16.5" x14ac:dyDescent="0.25">
      <c r="A135" s="133" t="s">
        <v>363</v>
      </c>
      <c r="B135" s="139">
        <f>Calculations!B137</f>
        <v>0.88043160008282539</v>
      </c>
      <c r="C135" s="134" t="s">
        <v>3</v>
      </c>
    </row>
    <row r="136" spans="1:3" ht="16.5" x14ac:dyDescent="0.25">
      <c r="A136" s="133" t="s">
        <v>467</v>
      </c>
      <c r="B136" s="128">
        <f>Calculations!B139/1000</f>
        <v>40</v>
      </c>
      <c r="C136" s="134" t="s">
        <v>3</v>
      </c>
    </row>
    <row r="137" spans="1:3" ht="16.5" x14ac:dyDescent="0.25">
      <c r="A137" s="133" t="s">
        <v>468</v>
      </c>
      <c r="B137" s="154">
        <v>40</v>
      </c>
      <c r="C137" s="134" t="s">
        <v>3</v>
      </c>
    </row>
    <row r="138" spans="1:3" ht="16.5" x14ac:dyDescent="0.25">
      <c r="A138" s="133" t="s">
        <v>367</v>
      </c>
      <c r="B138" s="139">
        <f>Calculations!B143</f>
        <v>2.4615102986900763</v>
      </c>
      <c r="C138" s="134" t="s">
        <v>104</v>
      </c>
    </row>
    <row r="139" spans="1:3" ht="16.5" x14ac:dyDescent="0.25">
      <c r="A139" s="133" t="s">
        <v>368</v>
      </c>
      <c r="B139" s="154">
        <v>2.4</v>
      </c>
      <c r="C139" s="134" t="s">
        <v>104</v>
      </c>
    </row>
    <row r="140" spans="1:3" ht="16.5" x14ac:dyDescent="0.25">
      <c r="A140" s="133" t="s">
        <v>370</v>
      </c>
      <c r="B140" s="144">
        <f>Calculations!B145</f>
        <v>73.438340219591751</v>
      </c>
      <c r="C140" s="134" t="s">
        <v>40</v>
      </c>
    </row>
    <row r="141" spans="1:3" ht="16.5" x14ac:dyDescent="0.25">
      <c r="A141" s="133" t="s">
        <v>369</v>
      </c>
      <c r="B141" s="154">
        <v>70</v>
      </c>
      <c r="C141" s="134" t="s">
        <v>40</v>
      </c>
    </row>
    <row r="142" spans="1:3" ht="16.5" x14ac:dyDescent="0.25">
      <c r="A142" s="133" t="s">
        <v>372</v>
      </c>
      <c r="B142" s="144">
        <f>Calculations!B147</f>
        <v>0.73438340219591747</v>
      </c>
      <c r="C142" s="134" t="s">
        <v>40</v>
      </c>
    </row>
    <row r="143" spans="1:3" ht="16.5" x14ac:dyDescent="0.25">
      <c r="A143" s="133" t="s">
        <v>371</v>
      </c>
      <c r="B143" s="154">
        <v>0.7</v>
      </c>
      <c r="C143" s="134" t="s">
        <v>40</v>
      </c>
    </row>
    <row r="144" spans="1:3" ht="16.5" x14ac:dyDescent="0.25">
      <c r="A144" s="133" t="s">
        <v>374</v>
      </c>
      <c r="B144" s="139">
        <f>Calculations!B149</f>
        <v>0.94735085173747235</v>
      </c>
      <c r="C144" s="134" t="s">
        <v>3</v>
      </c>
    </row>
    <row r="145" spans="1:3" ht="17.25" thickBot="1" x14ac:dyDescent="0.3">
      <c r="A145" s="135" t="s">
        <v>373</v>
      </c>
      <c r="B145" s="152">
        <f>Calculations!B150</f>
        <v>94.735085173747237</v>
      </c>
      <c r="C145" s="136" t="s">
        <v>3</v>
      </c>
    </row>
    <row r="149" spans="1:3" ht="17.25" x14ac:dyDescent="0.2">
      <c r="A149" s="173" t="s">
        <v>460</v>
      </c>
      <c r="B149" s="173"/>
      <c r="C149" s="173"/>
    </row>
    <row r="150" spans="1:3" ht="8.25" customHeight="1" thickBot="1" x14ac:dyDescent="0.2"/>
    <row r="151" spans="1:3" ht="14.25" thickBot="1" x14ac:dyDescent="0.2">
      <c r="A151" s="179" t="s">
        <v>459</v>
      </c>
      <c r="B151" s="180"/>
      <c r="C151" s="181"/>
    </row>
    <row r="152" spans="1:3" ht="16.5" x14ac:dyDescent="0.25">
      <c r="A152" s="146" t="s">
        <v>484</v>
      </c>
      <c r="B152" s="158">
        <v>3.3</v>
      </c>
      <c r="C152" s="147" t="s">
        <v>1</v>
      </c>
    </row>
    <row r="153" spans="1:3" ht="16.5" x14ac:dyDescent="0.25">
      <c r="A153" s="133" t="s">
        <v>485</v>
      </c>
      <c r="B153" s="154">
        <v>5</v>
      </c>
      <c r="C153" s="134" t="s">
        <v>104</v>
      </c>
    </row>
    <row r="154" spans="1:3" ht="16.5" x14ac:dyDescent="0.25">
      <c r="A154" s="133" t="s">
        <v>487</v>
      </c>
      <c r="B154" s="128">
        <f>Calculations!B159/1000</f>
        <v>25.303030303030305</v>
      </c>
      <c r="C154" s="134" t="s">
        <v>104</v>
      </c>
    </row>
    <row r="155" spans="1:3" ht="16.5" x14ac:dyDescent="0.25">
      <c r="A155" s="133" t="s">
        <v>486</v>
      </c>
      <c r="B155" s="154">
        <v>25</v>
      </c>
      <c r="C155" s="134" t="s">
        <v>104</v>
      </c>
    </row>
    <row r="156" spans="1:3" x14ac:dyDescent="0.15">
      <c r="A156" s="133" t="s">
        <v>432</v>
      </c>
      <c r="B156" s="128">
        <f>Calculations!B164/1000</f>
        <v>4</v>
      </c>
      <c r="C156" s="134" t="s">
        <v>3</v>
      </c>
    </row>
    <row r="157" spans="1:3" x14ac:dyDescent="0.15">
      <c r="A157" s="133" t="s">
        <v>258</v>
      </c>
      <c r="B157" s="154">
        <v>4</v>
      </c>
      <c r="C157" s="134" t="s">
        <v>3</v>
      </c>
    </row>
    <row r="158" spans="1:3" ht="16.5" x14ac:dyDescent="0.25">
      <c r="A158" s="133" t="s">
        <v>455</v>
      </c>
      <c r="B158" s="139">
        <f>Calculations!B170/1000</f>
        <v>16.58972111624475</v>
      </c>
      <c r="C158" s="134" t="s">
        <v>104</v>
      </c>
    </row>
    <row r="159" spans="1:3" ht="16.5" x14ac:dyDescent="0.25">
      <c r="A159" s="133" t="s">
        <v>456</v>
      </c>
      <c r="B159" s="154">
        <v>16</v>
      </c>
      <c r="C159" s="134" t="s">
        <v>104</v>
      </c>
    </row>
    <row r="160" spans="1:3" ht="16.5" x14ac:dyDescent="0.25">
      <c r="A160" s="133" t="s">
        <v>457</v>
      </c>
      <c r="B160" s="144">
        <f>Calculations!B172*(10^9)</f>
        <v>19.792710995848381</v>
      </c>
      <c r="C160" s="134" t="s">
        <v>40</v>
      </c>
    </row>
    <row r="161" spans="1:3" ht="16.5" x14ac:dyDescent="0.25">
      <c r="A161" s="133" t="s">
        <v>458</v>
      </c>
      <c r="B161" s="154">
        <v>20</v>
      </c>
      <c r="C161" s="134" t="s">
        <v>40</v>
      </c>
    </row>
    <row r="162" spans="1:3" ht="16.5" x14ac:dyDescent="0.25">
      <c r="A162" s="133" t="s">
        <v>454</v>
      </c>
      <c r="B162" s="139">
        <f>Calculations!B174*(10^9)</f>
        <v>4.9877631709537926</v>
      </c>
      <c r="C162" s="134" t="s">
        <v>40</v>
      </c>
    </row>
    <row r="163" spans="1:3" ht="16.5" x14ac:dyDescent="0.25">
      <c r="A163" s="133" t="s">
        <v>453</v>
      </c>
      <c r="B163" s="154">
        <v>5</v>
      </c>
      <c r="C163" s="134" t="s">
        <v>40</v>
      </c>
    </row>
    <row r="164" spans="1:3" ht="16.5" x14ac:dyDescent="0.25">
      <c r="A164" s="133" t="s">
        <v>374</v>
      </c>
      <c r="B164" s="139">
        <f>Calculations!B176</f>
        <v>0.49735919716217303</v>
      </c>
      <c r="C164" s="134" t="s">
        <v>3</v>
      </c>
    </row>
    <row r="165" spans="1:3" ht="17.25" thickBot="1" x14ac:dyDescent="0.3">
      <c r="A165" s="135" t="s">
        <v>373</v>
      </c>
      <c r="B165" s="143">
        <f>Calculations!B177</f>
        <v>1.9894367886486921</v>
      </c>
      <c r="C165" s="136" t="s">
        <v>3</v>
      </c>
    </row>
    <row r="168" spans="1:3" ht="17.25" x14ac:dyDescent="0.2">
      <c r="A168" s="173" t="s">
        <v>483</v>
      </c>
      <c r="B168" s="173"/>
      <c r="C168" s="173"/>
    </row>
    <row r="169" spans="1:3" ht="14.25" thickBot="1" x14ac:dyDescent="0.2"/>
    <row r="170" spans="1:3" ht="14.25" thickBot="1" x14ac:dyDescent="0.2">
      <c r="A170" s="179" t="s">
        <v>461</v>
      </c>
      <c r="B170" s="180"/>
      <c r="C170" s="181"/>
    </row>
    <row r="171" spans="1:3" ht="16.5" x14ac:dyDescent="0.25">
      <c r="A171" s="146" t="s">
        <v>484</v>
      </c>
      <c r="B171" s="158">
        <v>3.3</v>
      </c>
      <c r="C171" s="147" t="s">
        <v>1</v>
      </c>
    </row>
    <row r="172" spans="1:3" ht="16.5" x14ac:dyDescent="0.25">
      <c r="A172" s="133" t="s">
        <v>485</v>
      </c>
      <c r="B172" s="154">
        <v>1</v>
      </c>
      <c r="C172" s="134" t="s">
        <v>104</v>
      </c>
    </row>
    <row r="173" spans="1:3" ht="16.5" x14ac:dyDescent="0.25">
      <c r="A173" s="133" t="s">
        <v>487</v>
      </c>
      <c r="B173" s="128">
        <f>Calculations!B183/1000</f>
        <v>14.151515151515152</v>
      </c>
      <c r="C173" s="134" t="s">
        <v>104</v>
      </c>
    </row>
    <row r="174" spans="1:3" ht="16.5" x14ac:dyDescent="0.25">
      <c r="A174" s="133" t="s">
        <v>486</v>
      </c>
      <c r="B174" s="154">
        <v>14</v>
      </c>
      <c r="C174" s="134" t="s">
        <v>104</v>
      </c>
    </row>
    <row r="175" spans="1:3" x14ac:dyDescent="0.15">
      <c r="A175" s="133" t="s">
        <v>432</v>
      </c>
      <c r="B175" s="139">
        <f>Calculations!B188/1000</f>
        <v>5.5685417441135963</v>
      </c>
      <c r="C175" s="134" t="s">
        <v>3</v>
      </c>
    </row>
    <row r="176" spans="1:3" x14ac:dyDescent="0.15">
      <c r="A176" s="133" t="s">
        <v>258</v>
      </c>
      <c r="B176" s="159">
        <v>5.5</v>
      </c>
      <c r="C176" s="134" t="s">
        <v>3</v>
      </c>
    </row>
    <row r="177" spans="1:3" ht="16.5" x14ac:dyDescent="0.25">
      <c r="A177" s="133" t="s">
        <v>428</v>
      </c>
      <c r="B177" s="144">
        <f>Calculations!B194/1000</f>
        <v>19.992577091595798</v>
      </c>
      <c r="C177" s="134" t="s">
        <v>104</v>
      </c>
    </row>
    <row r="178" spans="1:3" ht="16.5" x14ac:dyDescent="0.25">
      <c r="A178" s="133" t="s">
        <v>427</v>
      </c>
      <c r="B178" s="154">
        <v>20</v>
      </c>
      <c r="C178" s="134" t="s">
        <v>104</v>
      </c>
    </row>
    <row r="179" spans="1:3" ht="16.5" x14ac:dyDescent="0.25">
      <c r="A179" s="133" t="s">
        <v>426</v>
      </c>
      <c r="B179" s="139">
        <f>Calculations!B196*(10^9)</f>
        <v>47.840578634483208</v>
      </c>
      <c r="C179" s="134" t="s">
        <v>40</v>
      </c>
    </row>
    <row r="180" spans="1:3" ht="16.5" x14ac:dyDescent="0.25">
      <c r="A180" s="133" t="s">
        <v>429</v>
      </c>
      <c r="B180" s="154">
        <v>47</v>
      </c>
      <c r="C180" s="134" t="s">
        <v>40</v>
      </c>
    </row>
    <row r="181" spans="1:3" ht="16.5" x14ac:dyDescent="0.25">
      <c r="A181" s="133" t="s">
        <v>430</v>
      </c>
      <c r="B181" s="153">
        <f>Calculations!B198*(10^9)</f>
        <v>3.9803508662922371E-2</v>
      </c>
      <c r="C181" s="134" t="s">
        <v>40</v>
      </c>
    </row>
    <row r="182" spans="1:3" ht="16.5" x14ac:dyDescent="0.25">
      <c r="A182" s="133" t="s">
        <v>431</v>
      </c>
      <c r="B182" s="154">
        <v>0.03</v>
      </c>
      <c r="C182" s="134" t="s">
        <v>40</v>
      </c>
    </row>
    <row r="183" spans="1:3" ht="16.5" x14ac:dyDescent="0.25">
      <c r="A183" s="133" t="s">
        <v>374</v>
      </c>
      <c r="B183" s="139">
        <f>Calculations!B200/1000</f>
        <v>0.16931376924669714</v>
      </c>
      <c r="C183" s="134" t="s">
        <v>3</v>
      </c>
    </row>
    <row r="184" spans="1:3" ht="17.25" thickBot="1" x14ac:dyDescent="0.3">
      <c r="A184" s="135" t="s">
        <v>373</v>
      </c>
      <c r="B184" s="143">
        <f>Calculations!B201/1000</f>
        <v>265.25823848649225</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 ref="A52:C52"/>
    <mergeCell ref="A55:C55"/>
    <mergeCell ref="A59:C59"/>
    <mergeCell ref="A69:C69"/>
    <mergeCell ref="A84:C84"/>
    <mergeCell ref="A77:C77"/>
    <mergeCell ref="A90:C90"/>
    <mergeCell ref="A109:C109"/>
    <mergeCell ref="A107:C107"/>
    <mergeCell ref="A122:C122"/>
    <mergeCell ref="B123:C123"/>
    <mergeCell ref="B98:C98"/>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s>
  <phoneticPr fontId="30"/>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defaultColWidth="9.125" defaultRowHeight="14.25" x14ac:dyDescent="0.2"/>
  <cols>
    <col min="1" max="1" width="25.625" style="166" bestFit="1" customWidth="1"/>
    <col min="2" max="2" width="56.5" style="167" customWidth="1"/>
    <col min="3" max="11" width="9.125" style="160"/>
    <col min="12" max="12" width="20.5" style="160" customWidth="1"/>
    <col min="13" max="16384" width="9.125" style="160"/>
  </cols>
  <sheetData>
    <row r="1" spans="1:12" x14ac:dyDescent="0.2">
      <c r="A1" s="190"/>
      <c r="B1" s="190"/>
      <c r="C1" s="190"/>
      <c r="D1" s="190"/>
      <c r="E1" s="190"/>
      <c r="F1" s="190"/>
      <c r="G1" s="190"/>
      <c r="H1" s="190"/>
      <c r="I1" s="190"/>
      <c r="J1" s="190"/>
      <c r="K1" s="190"/>
      <c r="L1" s="190"/>
    </row>
    <row r="2" spans="1:12" x14ac:dyDescent="0.2">
      <c r="A2" s="190"/>
      <c r="B2" s="190"/>
      <c r="C2" s="190"/>
      <c r="D2" s="190"/>
      <c r="E2" s="190"/>
      <c r="F2" s="190"/>
      <c r="G2" s="190"/>
      <c r="H2" s="190"/>
      <c r="I2" s="190"/>
      <c r="J2" s="190"/>
      <c r="K2" s="190"/>
      <c r="L2" s="190"/>
    </row>
    <row r="3" spans="1:12" x14ac:dyDescent="0.2">
      <c r="A3" s="190"/>
      <c r="B3" s="190"/>
      <c r="C3" s="190"/>
      <c r="D3" s="190"/>
      <c r="E3" s="190"/>
      <c r="F3" s="190"/>
      <c r="G3" s="190"/>
      <c r="H3" s="190"/>
      <c r="I3" s="190"/>
      <c r="J3" s="190"/>
      <c r="K3" s="190"/>
      <c r="L3" s="190"/>
    </row>
    <row r="4" spans="1:12" x14ac:dyDescent="0.2">
      <c r="A4" s="191"/>
      <c r="B4" s="191"/>
      <c r="C4" s="191"/>
      <c r="D4" s="191"/>
      <c r="E4" s="191"/>
      <c r="F4" s="191"/>
      <c r="G4" s="191"/>
      <c r="H4" s="191"/>
      <c r="I4" s="191"/>
      <c r="J4" s="191"/>
      <c r="K4" s="191"/>
      <c r="L4" s="191"/>
    </row>
    <row r="5" spans="1:12" x14ac:dyDescent="0.2">
      <c r="A5" s="161" t="s">
        <v>489</v>
      </c>
      <c r="B5" s="162" t="str">
        <f>LOOKUP(2,1/((A37:A46)&lt;&gt;""),(A37:A46))</f>
        <v>1.1.0</v>
      </c>
      <c r="C5" s="163"/>
      <c r="D5" s="163"/>
      <c r="E5" s="163"/>
      <c r="F5" s="163"/>
      <c r="G5" s="163"/>
      <c r="H5" s="163"/>
      <c r="I5" s="163"/>
      <c r="J5" s="163"/>
      <c r="K5" s="164"/>
      <c r="L5" s="165"/>
    </row>
    <row r="6" spans="1:12" x14ac:dyDescent="0.2">
      <c r="A6" s="161"/>
      <c r="B6" s="162"/>
      <c r="C6" s="163"/>
      <c r="D6" s="163"/>
      <c r="E6" s="163"/>
      <c r="F6" s="163"/>
      <c r="G6" s="163"/>
      <c r="H6" s="163"/>
      <c r="I6" s="163"/>
      <c r="J6" s="165"/>
      <c r="K6" s="165"/>
      <c r="L6" s="165"/>
    </row>
    <row r="35" spans="1:39" x14ac:dyDescent="0.2">
      <c r="A35" s="168" t="s">
        <v>491</v>
      </c>
      <c r="B35" s="169"/>
      <c r="C35" s="163"/>
      <c r="D35" s="163"/>
      <c r="E35" s="163"/>
      <c r="F35" s="163"/>
      <c r="G35" s="163"/>
      <c r="H35" s="163"/>
      <c r="I35" s="163"/>
      <c r="J35" s="163"/>
      <c r="K35" s="163"/>
    </row>
    <row r="36" spans="1:39" x14ac:dyDescent="0.2">
      <c r="A36" s="170" t="s">
        <v>492</v>
      </c>
      <c r="B36" s="192" t="s">
        <v>493</v>
      </c>
      <c r="C36" s="192"/>
      <c r="D36" s="192"/>
      <c r="E36" s="192"/>
      <c r="F36" s="192"/>
      <c r="G36" s="192"/>
      <c r="H36" s="192"/>
      <c r="I36" s="192"/>
      <c r="J36" s="192"/>
      <c r="K36" s="192"/>
    </row>
    <row r="37" spans="1:39" x14ac:dyDescent="0.2">
      <c r="A37" s="168" t="s">
        <v>490</v>
      </c>
      <c r="B37" s="193" t="s">
        <v>494</v>
      </c>
      <c r="C37" s="193"/>
      <c r="D37" s="193"/>
      <c r="E37" s="193"/>
      <c r="F37" s="193"/>
      <c r="G37" s="193"/>
      <c r="H37" s="193"/>
      <c r="I37" s="193"/>
      <c r="J37" s="193"/>
      <c r="K37" s="193"/>
    </row>
    <row r="38" spans="1:39" ht="14.25" customHeight="1" x14ac:dyDescent="0.3">
      <c r="A38" s="168" t="s">
        <v>495</v>
      </c>
      <c r="B38" s="194" t="s">
        <v>496</v>
      </c>
      <c r="C38" s="193"/>
      <c r="D38" s="193"/>
      <c r="E38" s="193"/>
      <c r="F38" s="193"/>
      <c r="G38" s="193"/>
      <c r="H38" s="193"/>
      <c r="I38" s="193"/>
      <c r="J38" s="193"/>
      <c r="K38" s="193"/>
    </row>
    <row r="39" spans="1:39" ht="14.25" customHeight="1" x14ac:dyDescent="0.2">
      <c r="A39" s="168"/>
      <c r="B39" s="189"/>
      <c r="C39" s="189"/>
      <c r="D39" s="189"/>
      <c r="E39" s="189"/>
      <c r="F39" s="189"/>
      <c r="G39" s="189"/>
      <c r="H39" s="189"/>
      <c r="I39" s="189"/>
      <c r="J39" s="189"/>
      <c r="K39" s="189"/>
    </row>
    <row r="40" spans="1:39" ht="14.25" customHeight="1" x14ac:dyDescent="0.2">
      <c r="A40" s="168"/>
      <c r="B40" s="189"/>
      <c r="C40" s="189"/>
      <c r="D40" s="189"/>
      <c r="E40" s="189"/>
      <c r="F40" s="189"/>
      <c r="G40" s="189"/>
      <c r="H40" s="189"/>
      <c r="I40" s="189"/>
      <c r="J40" s="189"/>
      <c r="K40" s="189"/>
    </row>
    <row r="41" spans="1:39" ht="14.25" customHeight="1" x14ac:dyDescent="0.2">
      <c r="A41" s="168"/>
      <c r="B41" s="189"/>
      <c r="C41" s="189"/>
      <c r="D41" s="189"/>
      <c r="E41" s="189"/>
      <c r="F41" s="189"/>
      <c r="G41" s="189"/>
      <c r="H41" s="189"/>
      <c r="I41" s="189"/>
      <c r="J41" s="189"/>
      <c r="K41" s="189"/>
    </row>
    <row r="42" spans="1:39" x14ac:dyDescent="0.2">
      <c r="A42" s="168"/>
      <c r="B42" s="189"/>
      <c r="C42" s="189"/>
      <c r="D42" s="189"/>
      <c r="E42" s="189"/>
      <c r="F42" s="189"/>
      <c r="G42" s="189"/>
      <c r="H42" s="189"/>
      <c r="I42" s="189"/>
      <c r="J42" s="189"/>
      <c r="K42" s="189"/>
    </row>
    <row r="43" spans="1:39" x14ac:dyDescent="0.2">
      <c r="A43" s="168"/>
      <c r="B43" s="189"/>
      <c r="C43" s="189"/>
      <c r="D43" s="189"/>
      <c r="E43" s="189"/>
      <c r="F43" s="189"/>
      <c r="G43" s="189"/>
      <c r="H43" s="189"/>
      <c r="I43" s="189"/>
      <c r="J43" s="189"/>
      <c r="K43" s="189"/>
    </row>
    <row r="44" spans="1:39" ht="15" x14ac:dyDescent="0.2">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x14ac:dyDescent="0.2">
      <c r="A45" s="168"/>
      <c r="B45" s="189"/>
      <c r="C45" s="189"/>
      <c r="D45" s="189"/>
      <c r="E45" s="189"/>
      <c r="F45" s="189"/>
      <c r="G45" s="189"/>
      <c r="H45" s="189"/>
      <c r="I45" s="189"/>
      <c r="J45" s="189"/>
      <c r="K45" s="189"/>
    </row>
    <row r="46" spans="1:39" x14ac:dyDescent="0.2">
      <c r="A46" s="168"/>
      <c r="B46" s="189"/>
      <c r="C46" s="189"/>
      <c r="D46" s="189"/>
      <c r="E46" s="189"/>
      <c r="F46" s="189"/>
      <c r="G46" s="189"/>
      <c r="H46" s="189"/>
      <c r="I46" s="189"/>
      <c r="J46" s="189"/>
      <c r="K46" s="189"/>
    </row>
    <row r="47" spans="1:39" x14ac:dyDescent="0.2">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46:K46"/>
    <mergeCell ref="B47:K47"/>
    <mergeCell ref="B40:K40"/>
    <mergeCell ref="B41:K41"/>
    <mergeCell ref="B42:K42"/>
    <mergeCell ref="B43:K43"/>
    <mergeCell ref="B44:K44"/>
    <mergeCell ref="B45:K45"/>
    <mergeCell ref="B39:K39"/>
    <mergeCell ref="A1:L3"/>
    <mergeCell ref="A4:L4"/>
    <mergeCell ref="B36:K36"/>
    <mergeCell ref="B37:K37"/>
    <mergeCell ref="B38:K38"/>
  </mergeCells>
  <phoneticPr fontId="30"/>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defaultColWidth="8.875" defaultRowHeight="13.5" x14ac:dyDescent="0.15"/>
  <cols>
    <col min="1" max="1" width="46.5" style="34" customWidth="1"/>
    <col min="2" max="2" width="12.625" style="33" bestFit="1" customWidth="1"/>
    <col min="3" max="3" width="10" style="34" bestFit="1" customWidth="1"/>
    <col min="4" max="4" width="10.375" style="34" bestFit="1" customWidth="1"/>
    <col min="5" max="5" width="10.375" style="34" customWidth="1"/>
    <col min="6" max="11" width="10.375" customWidth="1"/>
    <col min="12" max="12" width="10.87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75" customWidth="1"/>
    <col min="56" max="56" width="9.125" customWidth="1"/>
    <col min="59" max="59" width="9.125" customWidth="1"/>
  </cols>
  <sheetData>
    <row r="2" spans="1:39" x14ac:dyDescent="0.15">
      <c r="N2" t="s">
        <v>28</v>
      </c>
    </row>
    <row r="3" spans="1:39" ht="14.25" thickBot="1" x14ac:dyDescent="0.2"/>
    <row r="4" spans="1:39" x14ac:dyDescent="0.15">
      <c r="P4" s="196" t="s">
        <v>375</v>
      </c>
      <c r="Q4" s="197"/>
      <c r="R4" s="197"/>
      <c r="S4" s="198"/>
      <c r="T4" s="196" t="s">
        <v>24</v>
      </c>
      <c r="U4" s="197"/>
      <c r="V4" s="197"/>
      <c r="W4" s="198"/>
      <c r="X4" s="196" t="s">
        <v>75</v>
      </c>
      <c r="Y4" s="197"/>
      <c r="Z4" s="197"/>
      <c r="AA4" s="198"/>
      <c r="AB4" s="196" t="s">
        <v>376</v>
      </c>
      <c r="AC4" s="197"/>
      <c r="AD4" s="197"/>
      <c r="AE4" s="198"/>
      <c r="AF4" s="196" t="s">
        <v>377</v>
      </c>
      <c r="AG4" s="197"/>
      <c r="AH4" s="197"/>
      <c r="AI4" s="198"/>
      <c r="AJ4" s="196" t="s">
        <v>378</v>
      </c>
      <c r="AK4" s="197"/>
      <c r="AL4" s="197"/>
      <c r="AM4" s="198"/>
    </row>
    <row r="5" spans="1:39" ht="40.5" x14ac:dyDescent="0.1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x14ac:dyDescent="0.15">
      <c r="A6" s="199" t="s">
        <v>118</v>
      </c>
      <c r="B6" s="199"/>
      <c r="C6" s="199"/>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x14ac:dyDescent="0.15">
      <c r="A7" s="31" t="s">
        <v>108</v>
      </c>
      <c r="B7" s="49">
        <f>Design_Converter!B11</f>
        <v>30</v>
      </c>
      <c r="C7" s="31" t="s">
        <v>1</v>
      </c>
      <c r="E7" s="34" t="s">
        <v>119</v>
      </c>
      <c r="I7" s="36"/>
      <c r="J7" t="s">
        <v>127</v>
      </c>
      <c r="N7">
        <v>1E-3</v>
      </c>
      <c r="O7">
        <f t="shared" si="0"/>
        <v>1</v>
      </c>
      <c r="P7" s="5">
        <f t="shared" si="1"/>
        <v>0.500666222813829</v>
      </c>
      <c r="Q7" s="1">
        <f t="shared" si="2"/>
        <v>0.2503331114069145</v>
      </c>
      <c r="R7" s="1">
        <f t="shared" si="3"/>
        <v>2.6631182064565371</v>
      </c>
      <c r="S7" s="6">
        <f t="shared" si="4"/>
        <v>2.6631182064565371</v>
      </c>
      <c r="T7" s="5">
        <f t="shared" si="5"/>
        <v>0.22390474164995552</v>
      </c>
      <c r="U7" s="1">
        <f t="shared" si="6"/>
        <v>0.33585711247493327</v>
      </c>
      <c r="V7" s="1">
        <f t="shared" si="7"/>
        <v>3.5729480050524822</v>
      </c>
      <c r="W7" s="6">
        <f t="shared" si="8"/>
        <v>3.5729480050524822</v>
      </c>
      <c r="X7" s="5">
        <f t="shared" si="9"/>
        <v>0.11666558930767369</v>
      </c>
      <c r="Y7" s="1">
        <f t="shared" si="10"/>
        <v>0.37916316524993948</v>
      </c>
      <c r="Z7" s="1">
        <f t="shared" si="11"/>
        <v>4.0336506941482932</v>
      </c>
      <c r="AA7" s="6">
        <f t="shared" si="12"/>
        <v>4.0336506941482932</v>
      </c>
      <c r="AB7" s="5">
        <f t="shared" si="13"/>
        <v>0.21015489374525487</v>
      </c>
      <c r="AC7" s="1">
        <f t="shared" si="14"/>
        <v>0.35783130556624476</v>
      </c>
      <c r="AD7" s="1">
        <f t="shared" si="15"/>
        <v>3.5212123154125154</v>
      </c>
      <c r="AE7" s="6">
        <f t="shared" si="16"/>
        <v>3.5212123154125154</v>
      </c>
      <c r="AF7" s="5">
        <f t="shared" si="17"/>
        <v>0.22390474164995552</v>
      </c>
      <c r="AG7" s="1">
        <f t="shared" si="18"/>
        <v>0.33585711247493327</v>
      </c>
      <c r="AH7" s="1">
        <f t="shared" ref="AH7:AH56" si="25">IF($O7&lt;((V48_Nom-V12_Nom)*V12_Nom)/((2*Lm*Fsw)*V48_Nom),(AF7/(Fsw*Lm))*(V48_Nom-V12_Nom),((AF7/(Fsw*Lm))*(V48_Nom-V12_Nom)))</f>
        <v>3.5729480050524822</v>
      </c>
      <c r="AI7" s="6">
        <f t="shared" ref="AI7:AI56" si="26">IF($O7&lt;((V48_Nom-V12_Nom)*V12_Nom)/((2*Lm*Fsw)*V48_Nom),(AF7/(Fsw*Lm))*(V48_Nom-V12_Nom),(AH7/2)+$O7)</f>
        <v>3.5729480050524822</v>
      </c>
      <c r="AJ7" s="5">
        <f t="shared" si="21"/>
        <v>0.28542366171476857</v>
      </c>
      <c r="AK7" s="1">
        <f t="shared" si="22"/>
        <v>0.26346799542901717</v>
      </c>
      <c r="AL7" s="1">
        <f t="shared" si="23"/>
        <v>3.6437063197630035</v>
      </c>
      <c r="AM7" s="6">
        <f t="shared" si="24"/>
        <v>3.6437063197630035</v>
      </c>
    </row>
    <row r="8" spans="1:39" x14ac:dyDescent="0.15">
      <c r="A8" s="31" t="s">
        <v>109</v>
      </c>
      <c r="B8" s="49">
        <f>Design_Converter!B12</f>
        <v>50</v>
      </c>
      <c r="C8" s="31" t="s">
        <v>1</v>
      </c>
      <c r="E8" s="34" t="s">
        <v>120</v>
      </c>
      <c r="I8" s="37"/>
      <c r="J8" t="s">
        <v>128</v>
      </c>
      <c r="N8">
        <v>2E-3</v>
      </c>
      <c r="O8">
        <f t="shared" si="0"/>
        <v>2</v>
      </c>
      <c r="P8" s="5">
        <f t="shared" si="1"/>
        <v>0.66666666666666663</v>
      </c>
      <c r="Q8" s="1">
        <f t="shared" si="2"/>
        <v>0.33333333333333337</v>
      </c>
      <c r="R8" s="1">
        <f t="shared" si="3"/>
        <v>3.5460992907801421</v>
      </c>
      <c r="S8" s="6">
        <f t="shared" si="4"/>
        <v>3.773049645390071</v>
      </c>
      <c r="T8" s="5">
        <f t="shared" si="5"/>
        <v>0.31664912232101111</v>
      </c>
      <c r="U8" s="1">
        <f t="shared" si="6"/>
        <v>0.4749736834815167</v>
      </c>
      <c r="V8" s="1">
        <f t="shared" si="7"/>
        <v>5.0529115263991136</v>
      </c>
      <c r="W8" s="6">
        <f t="shared" si="8"/>
        <v>5.0529115263991136</v>
      </c>
      <c r="X8" s="5">
        <f t="shared" si="9"/>
        <v>0.16499005866116168</v>
      </c>
      <c r="Y8" s="1">
        <f t="shared" si="10"/>
        <v>0.53621769064877545</v>
      </c>
      <c r="Z8" s="1">
        <f t="shared" si="11"/>
        <v>5.7044435175401649</v>
      </c>
      <c r="AA8" s="6">
        <f t="shared" si="12"/>
        <v>5.7044435175401649</v>
      </c>
      <c r="AB8" s="5">
        <f t="shared" si="13"/>
        <v>0.29720390093361615</v>
      </c>
      <c r="AC8" s="1">
        <f t="shared" si="14"/>
        <v>0.50604988537345452</v>
      </c>
      <c r="AD8" s="1">
        <f t="shared" si="15"/>
        <v>4.9797462124515475</v>
      </c>
      <c r="AE8" s="6">
        <f t="shared" si="16"/>
        <v>4.9797462124515475</v>
      </c>
      <c r="AF8" s="5">
        <f t="shared" si="17"/>
        <v>0.31664912232101111</v>
      </c>
      <c r="AG8" s="1">
        <f t="shared" si="18"/>
        <v>0.4749736834815167</v>
      </c>
      <c r="AH8" s="1">
        <f t="shared" si="25"/>
        <v>5.0529115263991136</v>
      </c>
      <c r="AI8" s="6">
        <f t="shared" si="26"/>
        <v>5.0529115263991136</v>
      </c>
      <c r="AJ8" s="5">
        <f t="shared" si="21"/>
        <v>0.40365001341921608</v>
      </c>
      <c r="AK8" s="1">
        <f t="shared" si="22"/>
        <v>0.37260001238696872</v>
      </c>
      <c r="AL8" s="1">
        <f t="shared" si="23"/>
        <v>5.1529788947133968</v>
      </c>
      <c r="AM8" s="6">
        <f t="shared" si="24"/>
        <v>5.1529788947133968</v>
      </c>
    </row>
    <row r="9" spans="1:39" x14ac:dyDescent="0.15">
      <c r="A9" s="31" t="s">
        <v>110</v>
      </c>
      <c r="B9" s="49">
        <f>Design_Converter!B13</f>
        <v>85</v>
      </c>
      <c r="C9" s="31" t="s">
        <v>1</v>
      </c>
      <c r="E9" s="34" t="s">
        <v>125</v>
      </c>
      <c r="I9" s="38"/>
      <c r="J9" t="s">
        <v>138</v>
      </c>
      <c r="N9">
        <v>3.0000000000000001E-3</v>
      </c>
      <c r="O9">
        <f t="shared" si="0"/>
        <v>3</v>
      </c>
      <c r="P9" s="5">
        <f t="shared" si="1"/>
        <v>0.66666666666666663</v>
      </c>
      <c r="Q9" s="1">
        <f t="shared" si="2"/>
        <v>0.33333333333333337</v>
      </c>
      <c r="R9" s="1">
        <f t="shared" si="3"/>
        <v>3.5460992907801421</v>
      </c>
      <c r="S9" s="6">
        <f t="shared" si="4"/>
        <v>4.7730496453900706</v>
      </c>
      <c r="T9" s="5">
        <f t="shared" si="5"/>
        <v>0.3878143885933063</v>
      </c>
      <c r="U9" s="1">
        <f t="shared" si="6"/>
        <v>0.58172158288995945</v>
      </c>
      <c r="V9" s="1">
        <f t="shared" si="7"/>
        <v>6.1885274775527606</v>
      </c>
      <c r="W9" s="6">
        <f t="shared" si="8"/>
        <v>6.1885274775527606</v>
      </c>
      <c r="X9" s="5">
        <f t="shared" si="9"/>
        <v>0.2020707281758552</v>
      </c>
      <c r="Y9" s="1">
        <f t="shared" si="10"/>
        <v>0.65672986657152943</v>
      </c>
      <c r="Z9" s="1">
        <f t="shared" si="11"/>
        <v>6.9864879422503128</v>
      </c>
      <c r="AA9" s="6">
        <f t="shared" si="12"/>
        <v>6.9864879422503128</v>
      </c>
      <c r="AB9" s="5">
        <f t="shared" si="13"/>
        <v>0.36399895342602034</v>
      </c>
      <c r="AC9" s="1">
        <f t="shared" si="14"/>
        <v>0.61978200177943998</v>
      </c>
      <c r="AD9" s="1">
        <f t="shared" si="15"/>
        <v>6.0989186345317243</v>
      </c>
      <c r="AE9" s="6">
        <f t="shared" si="16"/>
        <v>6.0989186345317243</v>
      </c>
      <c r="AF9" s="5">
        <f t="shared" si="17"/>
        <v>0.3878143885933063</v>
      </c>
      <c r="AG9" s="1">
        <f t="shared" si="18"/>
        <v>0.58172158288995945</v>
      </c>
      <c r="AH9" s="1">
        <f t="shared" si="25"/>
        <v>6.1885274775527606</v>
      </c>
      <c r="AI9" s="6">
        <f t="shared" si="26"/>
        <v>6.1885274775527606</v>
      </c>
      <c r="AJ9" s="5">
        <f t="shared" si="21"/>
        <v>0.49436828377233105</v>
      </c>
      <c r="AK9" s="1">
        <f t="shared" si="22"/>
        <v>0.45633995425138252</v>
      </c>
      <c r="AL9" s="1">
        <f t="shared" si="23"/>
        <v>6.3110844736893332</v>
      </c>
      <c r="AM9" s="6">
        <f t="shared" si="24"/>
        <v>6.3110844736893332</v>
      </c>
    </row>
    <row r="10" spans="1:39" x14ac:dyDescent="0.15">
      <c r="A10" s="199" t="s">
        <v>121</v>
      </c>
      <c r="B10" s="199"/>
      <c r="C10" s="199"/>
      <c r="I10" s="39"/>
      <c r="J10" t="s">
        <v>145</v>
      </c>
      <c r="N10">
        <v>4.0000000000000001E-3</v>
      </c>
      <c r="O10">
        <f t="shared" si="0"/>
        <v>4</v>
      </c>
      <c r="P10" s="5">
        <f t="shared" si="1"/>
        <v>0.66666666666666663</v>
      </c>
      <c r="Q10" s="1">
        <f t="shared" si="2"/>
        <v>0.33333333333333337</v>
      </c>
      <c r="R10" s="1">
        <f t="shared" si="3"/>
        <v>3.5460992907801421</v>
      </c>
      <c r="S10" s="6">
        <f t="shared" si="4"/>
        <v>5.7730496453900706</v>
      </c>
      <c r="T10" s="5">
        <f t="shared" si="5"/>
        <v>0.4</v>
      </c>
      <c r="U10" s="1">
        <f t="shared" si="6"/>
        <v>0.6</v>
      </c>
      <c r="V10" s="1">
        <f t="shared" si="7"/>
        <v>6.3829787234042561</v>
      </c>
      <c r="W10" s="6">
        <f t="shared" si="8"/>
        <v>7.1914893617021285</v>
      </c>
      <c r="X10" s="5">
        <f t="shared" si="9"/>
        <v>0.23333117861534738</v>
      </c>
      <c r="Y10" s="1">
        <f t="shared" si="10"/>
        <v>0.75832633049987896</v>
      </c>
      <c r="Z10" s="1">
        <f t="shared" si="11"/>
        <v>8.0673013882965865</v>
      </c>
      <c r="AA10" s="6">
        <f t="shared" si="12"/>
        <v>8.0673013882965865</v>
      </c>
      <c r="AB10" s="5">
        <f t="shared" si="13"/>
        <v>0.37</v>
      </c>
      <c r="AC10" s="1">
        <f t="shared" si="14"/>
        <v>0.63</v>
      </c>
      <c r="AD10" s="1">
        <f t="shared" si="15"/>
        <v>6.1994680851063828</v>
      </c>
      <c r="AE10" s="6">
        <f t="shared" si="16"/>
        <v>7.099734042553191</v>
      </c>
      <c r="AF10" s="5">
        <f t="shared" si="17"/>
        <v>0.4</v>
      </c>
      <c r="AG10" s="1">
        <f t="shared" si="18"/>
        <v>0.6</v>
      </c>
      <c r="AH10" s="1">
        <f t="shared" si="25"/>
        <v>6.3829787234042561</v>
      </c>
      <c r="AI10" s="6">
        <f t="shared" si="26"/>
        <v>7.1914893617021285</v>
      </c>
      <c r="AJ10" s="5">
        <f t="shared" si="21"/>
        <v>0.52</v>
      </c>
      <c r="AK10" s="1">
        <f t="shared" si="22"/>
        <v>0.48</v>
      </c>
      <c r="AL10" s="1">
        <f t="shared" si="23"/>
        <v>6.6382978723404253</v>
      </c>
      <c r="AM10" s="6">
        <f t="shared" si="24"/>
        <v>7.3191489361702127</v>
      </c>
    </row>
    <row r="11" spans="1:39" x14ac:dyDescent="0.15">
      <c r="A11" s="31" t="s">
        <v>76</v>
      </c>
      <c r="B11" s="49">
        <f>Design_Converter!B16</f>
        <v>18.5</v>
      </c>
      <c r="C11" s="31" t="s">
        <v>1</v>
      </c>
      <c r="E11" s="34" t="s">
        <v>122</v>
      </c>
      <c r="N11">
        <v>5.0000000000000001E-3</v>
      </c>
      <c r="O11">
        <f t="shared" si="0"/>
        <v>5</v>
      </c>
      <c r="P11" s="5">
        <f t="shared" si="1"/>
        <v>0.66666666666666663</v>
      </c>
      <c r="Q11" s="1">
        <f t="shared" si="2"/>
        <v>0.33333333333333337</v>
      </c>
      <c r="R11" s="1">
        <f t="shared" si="3"/>
        <v>3.5460992907801421</v>
      </c>
      <c r="S11" s="6">
        <f t="shared" si="4"/>
        <v>6.7730496453900706</v>
      </c>
      <c r="T11" s="5">
        <f t="shared" si="5"/>
        <v>0.4</v>
      </c>
      <c r="U11" s="1">
        <f t="shared" si="6"/>
        <v>0.6</v>
      </c>
      <c r="V11" s="1">
        <f t="shared" si="7"/>
        <v>6.3829787234042561</v>
      </c>
      <c r="W11" s="6">
        <f t="shared" si="8"/>
        <v>8.1914893617021285</v>
      </c>
      <c r="X11" s="5">
        <f t="shared" si="9"/>
        <v>0.23529411764705882</v>
      </c>
      <c r="Y11" s="1">
        <f t="shared" si="10"/>
        <v>0.76470588235294112</v>
      </c>
      <c r="Z11" s="1">
        <f t="shared" si="11"/>
        <v>8.1351689612015026</v>
      </c>
      <c r="AA11" s="6">
        <f t="shared" si="12"/>
        <v>9.0675844806007504</v>
      </c>
      <c r="AB11" s="5">
        <f t="shared" si="13"/>
        <v>0.37</v>
      </c>
      <c r="AC11" s="1">
        <f t="shared" si="14"/>
        <v>0.63</v>
      </c>
      <c r="AD11" s="1">
        <f t="shared" si="15"/>
        <v>6.1994680851063828</v>
      </c>
      <c r="AE11" s="6">
        <f t="shared" si="16"/>
        <v>8.099734042553191</v>
      </c>
      <c r="AF11" s="5">
        <f t="shared" si="17"/>
        <v>0.4</v>
      </c>
      <c r="AG11" s="1">
        <f t="shared" si="18"/>
        <v>0.6</v>
      </c>
      <c r="AH11" s="1">
        <f t="shared" si="25"/>
        <v>6.3829787234042561</v>
      </c>
      <c r="AI11" s="6">
        <f t="shared" si="26"/>
        <v>8.1914893617021285</v>
      </c>
      <c r="AJ11" s="5">
        <f t="shared" si="21"/>
        <v>0.52</v>
      </c>
      <c r="AK11" s="1">
        <f t="shared" si="22"/>
        <v>0.48</v>
      </c>
      <c r="AL11" s="1">
        <f t="shared" si="23"/>
        <v>6.6382978723404253</v>
      </c>
      <c r="AM11" s="6">
        <f t="shared" si="24"/>
        <v>8.3191489361702118</v>
      </c>
    </row>
    <row r="12" spans="1:39" x14ac:dyDescent="0.15">
      <c r="A12" s="31" t="s">
        <v>77</v>
      </c>
      <c r="B12" s="49">
        <f>Design_Converter!B17</f>
        <v>20</v>
      </c>
      <c r="C12" s="31" t="s">
        <v>1</v>
      </c>
      <c r="E12" s="34" t="s">
        <v>123</v>
      </c>
      <c r="N12">
        <v>6.0000000000000001E-3</v>
      </c>
      <c r="O12">
        <f t="shared" si="0"/>
        <v>6</v>
      </c>
      <c r="P12" s="5">
        <f t="shared" si="1"/>
        <v>0.66666666666666663</v>
      </c>
      <c r="Q12" s="1">
        <f t="shared" si="2"/>
        <v>0.33333333333333337</v>
      </c>
      <c r="R12" s="1">
        <f t="shared" si="3"/>
        <v>3.5460992907801421</v>
      </c>
      <c r="S12" s="6">
        <f t="shared" si="4"/>
        <v>7.7730496453900706</v>
      </c>
      <c r="T12" s="5">
        <f t="shared" si="5"/>
        <v>0.4</v>
      </c>
      <c r="U12" s="1">
        <f t="shared" si="6"/>
        <v>0.6</v>
      </c>
      <c r="V12" s="1">
        <f t="shared" si="7"/>
        <v>6.3829787234042561</v>
      </c>
      <c r="W12" s="6">
        <f t="shared" si="8"/>
        <v>9.1914893617021285</v>
      </c>
      <c r="X12" s="5">
        <f t="shared" si="9"/>
        <v>0.23529411764705882</v>
      </c>
      <c r="Y12" s="1">
        <f t="shared" si="10"/>
        <v>0.76470588235294112</v>
      </c>
      <c r="Z12" s="1">
        <f t="shared" si="11"/>
        <v>8.1351689612015026</v>
      </c>
      <c r="AA12" s="6">
        <f t="shared" si="12"/>
        <v>10.06758448060075</v>
      </c>
      <c r="AB12" s="5">
        <f t="shared" si="13"/>
        <v>0.37</v>
      </c>
      <c r="AC12" s="1">
        <f t="shared" si="14"/>
        <v>0.63</v>
      </c>
      <c r="AD12" s="1">
        <f t="shared" si="15"/>
        <v>6.1994680851063828</v>
      </c>
      <c r="AE12" s="6">
        <f t="shared" si="16"/>
        <v>9.099734042553191</v>
      </c>
      <c r="AF12" s="5">
        <f t="shared" si="17"/>
        <v>0.4</v>
      </c>
      <c r="AG12" s="1">
        <f t="shared" si="18"/>
        <v>0.6</v>
      </c>
      <c r="AH12" s="1">
        <f t="shared" si="25"/>
        <v>6.3829787234042561</v>
      </c>
      <c r="AI12" s="6">
        <f t="shared" si="26"/>
        <v>9.1914893617021285</v>
      </c>
      <c r="AJ12" s="5">
        <f t="shared" si="21"/>
        <v>0.52</v>
      </c>
      <c r="AK12" s="1">
        <f t="shared" si="22"/>
        <v>0.48</v>
      </c>
      <c r="AL12" s="1">
        <f t="shared" si="23"/>
        <v>6.6382978723404253</v>
      </c>
      <c r="AM12" s="6">
        <f t="shared" si="24"/>
        <v>9.3191489361702118</v>
      </c>
    </row>
    <row r="13" spans="1:39" x14ac:dyDescent="0.15">
      <c r="A13" s="31" t="s">
        <v>78</v>
      </c>
      <c r="B13" s="49">
        <f>Design_Converter!B18</f>
        <v>26</v>
      </c>
      <c r="C13" s="31" t="s">
        <v>1</v>
      </c>
      <c r="E13" s="34" t="s">
        <v>124</v>
      </c>
      <c r="N13">
        <v>7.0000000000000001E-3</v>
      </c>
      <c r="O13">
        <f t="shared" si="0"/>
        <v>7</v>
      </c>
      <c r="P13" s="5">
        <f t="shared" si="1"/>
        <v>0.66666666666666663</v>
      </c>
      <c r="Q13" s="1">
        <f t="shared" si="2"/>
        <v>0.33333333333333337</v>
      </c>
      <c r="R13" s="1">
        <f t="shared" si="3"/>
        <v>3.5460992907801421</v>
      </c>
      <c r="S13" s="6">
        <f t="shared" si="4"/>
        <v>8.7730496453900706</v>
      </c>
      <c r="T13" s="5">
        <f t="shared" si="5"/>
        <v>0.4</v>
      </c>
      <c r="U13" s="1">
        <f t="shared" si="6"/>
        <v>0.6</v>
      </c>
      <c r="V13" s="1">
        <f t="shared" si="7"/>
        <v>6.3829787234042561</v>
      </c>
      <c r="W13" s="6">
        <f t="shared" si="8"/>
        <v>10.191489361702128</v>
      </c>
      <c r="X13" s="5">
        <f t="shared" si="9"/>
        <v>0.23529411764705882</v>
      </c>
      <c r="Y13" s="1">
        <f t="shared" si="10"/>
        <v>0.76470588235294112</v>
      </c>
      <c r="Z13" s="1">
        <f t="shared" si="11"/>
        <v>8.1351689612015026</v>
      </c>
      <c r="AA13" s="6">
        <f t="shared" si="12"/>
        <v>11.06758448060075</v>
      </c>
      <c r="AB13" s="5">
        <f t="shared" si="13"/>
        <v>0.37</v>
      </c>
      <c r="AC13" s="1">
        <f t="shared" si="14"/>
        <v>0.63</v>
      </c>
      <c r="AD13" s="1">
        <f t="shared" si="15"/>
        <v>6.1994680851063828</v>
      </c>
      <c r="AE13" s="6">
        <f t="shared" si="16"/>
        <v>10.099734042553191</v>
      </c>
      <c r="AF13" s="5">
        <f t="shared" si="17"/>
        <v>0.4</v>
      </c>
      <c r="AG13" s="1">
        <f t="shared" si="18"/>
        <v>0.6</v>
      </c>
      <c r="AH13" s="1">
        <f t="shared" si="25"/>
        <v>6.3829787234042561</v>
      </c>
      <c r="AI13" s="6">
        <f t="shared" si="26"/>
        <v>10.191489361702128</v>
      </c>
      <c r="AJ13" s="5">
        <f t="shared" si="21"/>
        <v>0.52</v>
      </c>
      <c r="AK13" s="1">
        <f t="shared" si="22"/>
        <v>0.48</v>
      </c>
      <c r="AL13" s="1">
        <f t="shared" si="23"/>
        <v>6.6382978723404253</v>
      </c>
      <c r="AM13" s="6">
        <f t="shared" si="24"/>
        <v>10.319148936170212</v>
      </c>
    </row>
    <row r="14" spans="1:39" x14ac:dyDescent="0.15">
      <c r="A14" s="199" t="s">
        <v>86</v>
      </c>
      <c r="B14" s="199"/>
      <c r="C14" s="199"/>
      <c r="N14">
        <v>8.0000000000000002E-3</v>
      </c>
      <c r="O14">
        <f t="shared" si="0"/>
        <v>8</v>
      </c>
      <c r="P14" s="5">
        <f t="shared" si="1"/>
        <v>0.66666666666666663</v>
      </c>
      <c r="Q14" s="1">
        <f t="shared" si="2"/>
        <v>0.33333333333333337</v>
      </c>
      <c r="R14" s="1">
        <f t="shared" si="3"/>
        <v>3.5460992907801421</v>
      </c>
      <c r="S14" s="6">
        <f t="shared" si="4"/>
        <v>9.7730496453900706</v>
      </c>
      <c r="T14" s="5">
        <f t="shared" si="5"/>
        <v>0.4</v>
      </c>
      <c r="U14" s="1">
        <f t="shared" si="6"/>
        <v>0.6</v>
      </c>
      <c r="V14" s="1">
        <f t="shared" si="7"/>
        <v>6.3829787234042561</v>
      </c>
      <c r="W14" s="6">
        <f t="shared" si="8"/>
        <v>11.191489361702128</v>
      </c>
      <c r="X14" s="5">
        <f t="shared" si="9"/>
        <v>0.23529411764705882</v>
      </c>
      <c r="Y14" s="1">
        <f t="shared" si="10"/>
        <v>0.76470588235294112</v>
      </c>
      <c r="Z14" s="1">
        <f t="shared" si="11"/>
        <v>8.1351689612015026</v>
      </c>
      <c r="AA14" s="6">
        <f t="shared" si="12"/>
        <v>12.06758448060075</v>
      </c>
      <c r="AB14" s="5">
        <f t="shared" si="13"/>
        <v>0.37</v>
      </c>
      <c r="AC14" s="1">
        <f t="shared" si="14"/>
        <v>0.63</v>
      </c>
      <c r="AD14" s="1">
        <f t="shared" si="15"/>
        <v>6.1994680851063828</v>
      </c>
      <c r="AE14" s="6">
        <f t="shared" si="16"/>
        <v>11.099734042553191</v>
      </c>
      <c r="AF14" s="5">
        <f t="shared" si="17"/>
        <v>0.4</v>
      </c>
      <c r="AG14" s="1">
        <f t="shared" si="18"/>
        <v>0.6</v>
      </c>
      <c r="AH14" s="1">
        <f t="shared" si="25"/>
        <v>6.3829787234042561</v>
      </c>
      <c r="AI14" s="6">
        <f t="shared" si="26"/>
        <v>11.191489361702128</v>
      </c>
      <c r="AJ14" s="5">
        <f t="shared" si="21"/>
        <v>0.52</v>
      </c>
      <c r="AK14" s="1">
        <f t="shared" si="22"/>
        <v>0.48</v>
      </c>
      <c r="AL14" s="1">
        <f t="shared" si="23"/>
        <v>6.6382978723404253</v>
      </c>
      <c r="AM14" s="6">
        <f t="shared" si="24"/>
        <v>11.319148936170212</v>
      </c>
    </row>
    <row r="15" spans="1:39" x14ac:dyDescent="0.15">
      <c r="A15" s="31" t="s">
        <v>129</v>
      </c>
      <c r="B15" s="49">
        <f>Design_Converter!B21*1000</f>
        <v>400000</v>
      </c>
      <c r="C15" s="31" t="s">
        <v>87</v>
      </c>
      <c r="D15" s="34">
        <f>IF(AND(B15&lt;=Constants!B39,B15&lt;=Constants!D39),1,0)</f>
        <v>0</v>
      </c>
      <c r="E15" s="34" t="s">
        <v>130</v>
      </c>
      <c r="N15">
        <v>8.9999999999999993E-3</v>
      </c>
      <c r="O15">
        <f t="shared" si="0"/>
        <v>9</v>
      </c>
      <c r="P15" s="5">
        <f t="shared" si="1"/>
        <v>0.66666666666666663</v>
      </c>
      <c r="Q15" s="1">
        <f t="shared" si="2"/>
        <v>0.33333333333333337</v>
      </c>
      <c r="R15" s="1">
        <f t="shared" si="3"/>
        <v>3.5460992907801421</v>
      </c>
      <c r="S15" s="6">
        <f t="shared" si="4"/>
        <v>10.773049645390071</v>
      </c>
      <c r="T15" s="5">
        <f t="shared" si="5"/>
        <v>0.4</v>
      </c>
      <c r="U15" s="1">
        <f t="shared" si="6"/>
        <v>0.6</v>
      </c>
      <c r="V15" s="1">
        <f t="shared" si="7"/>
        <v>6.3829787234042561</v>
      </c>
      <c r="W15" s="6">
        <f t="shared" si="8"/>
        <v>12.191489361702128</v>
      </c>
      <c r="X15" s="5">
        <f t="shared" si="9"/>
        <v>0.23529411764705882</v>
      </c>
      <c r="Y15" s="1">
        <f t="shared" si="10"/>
        <v>0.76470588235294112</v>
      </c>
      <c r="Z15" s="1">
        <f t="shared" si="11"/>
        <v>8.1351689612015026</v>
      </c>
      <c r="AA15" s="6">
        <f t="shared" si="12"/>
        <v>13.06758448060075</v>
      </c>
      <c r="AB15" s="5">
        <f t="shared" si="13"/>
        <v>0.37</v>
      </c>
      <c r="AC15" s="1">
        <f t="shared" si="14"/>
        <v>0.63</v>
      </c>
      <c r="AD15" s="1">
        <f t="shared" si="15"/>
        <v>6.1994680851063828</v>
      </c>
      <c r="AE15" s="6">
        <f t="shared" si="16"/>
        <v>12.099734042553191</v>
      </c>
      <c r="AF15" s="5">
        <f t="shared" si="17"/>
        <v>0.4</v>
      </c>
      <c r="AG15" s="1">
        <f t="shared" si="18"/>
        <v>0.6</v>
      </c>
      <c r="AH15" s="1">
        <f t="shared" si="25"/>
        <v>6.3829787234042561</v>
      </c>
      <c r="AI15" s="6">
        <f t="shared" si="26"/>
        <v>12.191489361702128</v>
      </c>
      <c r="AJ15" s="5">
        <f t="shared" si="21"/>
        <v>0.52</v>
      </c>
      <c r="AK15" s="1">
        <f t="shared" si="22"/>
        <v>0.48</v>
      </c>
      <c r="AL15" s="1">
        <f t="shared" si="23"/>
        <v>6.6382978723404253</v>
      </c>
      <c r="AM15" s="6">
        <f t="shared" si="24"/>
        <v>12.319148936170212</v>
      </c>
    </row>
    <row r="16" spans="1:39" x14ac:dyDescent="0.15">
      <c r="A16" s="31" t="s">
        <v>149</v>
      </c>
      <c r="B16" s="50">
        <f>Constants!C17/(Fsw*1000)</f>
        <v>10</v>
      </c>
      <c r="C16" s="31" t="s">
        <v>39</v>
      </c>
      <c r="D16" s="34" t="s">
        <v>98</v>
      </c>
      <c r="E16" s="34" t="s">
        <v>150</v>
      </c>
      <c r="N16">
        <v>0.01</v>
      </c>
      <c r="O16">
        <f t="shared" si="0"/>
        <v>10</v>
      </c>
      <c r="P16" s="5">
        <f t="shared" si="1"/>
        <v>0.66666666666666663</v>
      </c>
      <c r="Q16" s="1">
        <f t="shared" si="2"/>
        <v>0.33333333333333337</v>
      </c>
      <c r="R16" s="1">
        <f t="shared" si="3"/>
        <v>3.5460992907801421</v>
      </c>
      <c r="S16" s="6">
        <f t="shared" si="4"/>
        <v>11.773049645390071</v>
      </c>
      <c r="T16" s="5">
        <f t="shared" si="5"/>
        <v>0.4</v>
      </c>
      <c r="U16" s="1">
        <f t="shared" si="6"/>
        <v>0.6</v>
      </c>
      <c r="V16" s="1">
        <f t="shared" si="7"/>
        <v>6.3829787234042561</v>
      </c>
      <c r="W16" s="6">
        <f t="shared" si="8"/>
        <v>13.191489361702128</v>
      </c>
      <c r="X16" s="5">
        <f t="shared" si="9"/>
        <v>0.23529411764705882</v>
      </c>
      <c r="Y16" s="1">
        <f t="shared" si="10"/>
        <v>0.76470588235294112</v>
      </c>
      <c r="Z16" s="1">
        <f t="shared" si="11"/>
        <v>8.1351689612015026</v>
      </c>
      <c r="AA16" s="6">
        <f t="shared" si="12"/>
        <v>14.06758448060075</v>
      </c>
      <c r="AB16" s="5">
        <f t="shared" si="13"/>
        <v>0.37</v>
      </c>
      <c r="AC16" s="1">
        <f t="shared" si="14"/>
        <v>0.63</v>
      </c>
      <c r="AD16" s="1">
        <f t="shared" si="15"/>
        <v>6.1994680851063828</v>
      </c>
      <c r="AE16" s="6">
        <f t="shared" si="16"/>
        <v>13.099734042553191</v>
      </c>
      <c r="AF16" s="5">
        <f t="shared" si="17"/>
        <v>0.4</v>
      </c>
      <c r="AG16" s="1">
        <f t="shared" si="18"/>
        <v>0.6</v>
      </c>
      <c r="AH16" s="1">
        <f t="shared" si="25"/>
        <v>6.3829787234042561</v>
      </c>
      <c r="AI16" s="6">
        <f t="shared" si="26"/>
        <v>13.191489361702128</v>
      </c>
      <c r="AJ16" s="5">
        <f t="shared" si="21"/>
        <v>0.52</v>
      </c>
      <c r="AK16" s="1">
        <f t="shared" si="22"/>
        <v>0.48</v>
      </c>
      <c r="AL16" s="1">
        <f t="shared" si="23"/>
        <v>6.6382978723404253</v>
      </c>
      <c r="AM16" s="6">
        <f t="shared" si="24"/>
        <v>13.319148936170212</v>
      </c>
    </row>
    <row r="17" spans="1:39" x14ac:dyDescent="0.15">
      <c r="A17" s="31" t="s">
        <v>88</v>
      </c>
      <c r="B17" s="51">
        <f>(1-(V12_Max/V48_Min))/Fsw</f>
        <v>3.3333333333333325E-7</v>
      </c>
      <c r="C17" s="31" t="s">
        <v>23</v>
      </c>
      <c r="D17" s="34">
        <f>IF(B17&lt;Constants!C3,1,0)</f>
        <v>0</v>
      </c>
      <c r="N17">
        <v>1.0999999999999999E-2</v>
      </c>
      <c r="O17">
        <f t="shared" si="0"/>
        <v>11</v>
      </c>
      <c r="P17" s="5">
        <f t="shared" si="1"/>
        <v>0.66666666666666663</v>
      </c>
      <c r="Q17" s="1">
        <f t="shared" si="2"/>
        <v>0.33333333333333337</v>
      </c>
      <c r="R17" s="1">
        <f t="shared" si="3"/>
        <v>3.5460992907801421</v>
      </c>
      <c r="S17" s="6">
        <f t="shared" si="4"/>
        <v>12.773049645390071</v>
      </c>
      <c r="T17" s="5">
        <f t="shared" si="5"/>
        <v>0.4</v>
      </c>
      <c r="U17" s="1">
        <f t="shared" si="6"/>
        <v>0.6</v>
      </c>
      <c r="V17" s="1">
        <f t="shared" si="7"/>
        <v>6.3829787234042561</v>
      </c>
      <c r="W17" s="6">
        <f t="shared" si="8"/>
        <v>14.191489361702128</v>
      </c>
      <c r="X17" s="5">
        <f t="shared" si="9"/>
        <v>0.23529411764705882</v>
      </c>
      <c r="Y17" s="1">
        <f t="shared" si="10"/>
        <v>0.76470588235294112</v>
      </c>
      <c r="Z17" s="1">
        <f t="shared" si="11"/>
        <v>8.1351689612015026</v>
      </c>
      <c r="AA17" s="6">
        <f t="shared" si="12"/>
        <v>15.06758448060075</v>
      </c>
      <c r="AB17" s="5">
        <f t="shared" si="13"/>
        <v>0.37</v>
      </c>
      <c r="AC17" s="1">
        <f t="shared" si="14"/>
        <v>0.63</v>
      </c>
      <c r="AD17" s="1">
        <f t="shared" si="15"/>
        <v>6.1994680851063828</v>
      </c>
      <c r="AE17" s="6">
        <f t="shared" si="16"/>
        <v>14.099734042553191</v>
      </c>
      <c r="AF17" s="5">
        <f t="shared" si="17"/>
        <v>0.4</v>
      </c>
      <c r="AG17" s="1">
        <f t="shared" si="18"/>
        <v>0.6</v>
      </c>
      <c r="AH17" s="1">
        <f t="shared" si="25"/>
        <v>6.3829787234042561</v>
      </c>
      <c r="AI17" s="6">
        <f t="shared" si="26"/>
        <v>14.191489361702128</v>
      </c>
      <c r="AJ17" s="5">
        <f t="shared" si="21"/>
        <v>0.52</v>
      </c>
      <c r="AK17" s="1">
        <f t="shared" si="22"/>
        <v>0.48</v>
      </c>
      <c r="AL17" s="1">
        <f t="shared" si="23"/>
        <v>6.6382978723404253</v>
      </c>
      <c r="AM17" s="6">
        <f t="shared" si="24"/>
        <v>14.319148936170212</v>
      </c>
    </row>
    <row r="18" spans="1:39" x14ac:dyDescent="0.15">
      <c r="A18" s="31" t="s">
        <v>89</v>
      </c>
      <c r="B18" s="51">
        <f>(V12_Min/V48_Max)/Fsw</f>
        <v>5.4411764705882355E-7</v>
      </c>
      <c r="C18" s="31" t="s">
        <v>23</v>
      </c>
      <c r="D18" s="34">
        <f>IF(B18&lt;Constants!C3,1,0)</f>
        <v>0</v>
      </c>
      <c r="N18">
        <v>1.2E-2</v>
      </c>
      <c r="O18">
        <f t="shared" si="0"/>
        <v>12</v>
      </c>
      <c r="P18" s="5">
        <f t="shared" si="1"/>
        <v>0.66666666666666663</v>
      </c>
      <c r="Q18" s="1">
        <f t="shared" si="2"/>
        <v>0.33333333333333337</v>
      </c>
      <c r="R18" s="1">
        <f t="shared" si="3"/>
        <v>3.5460992907801421</v>
      </c>
      <c r="S18" s="6">
        <f t="shared" si="4"/>
        <v>13.773049645390071</v>
      </c>
      <c r="T18" s="5">
        <f t="shared" si="5"/>
        <v>0.4</v>
      </c>
      <c r="U18" s="1">
        <f t="shared" si="6"/>
        <v>0.6</v>
      </c>
      <c r="V18" s="1">
        <f t="shared" si="7"/>
        <v>6.3829787234042561</v>
      </c>
      <c r="W18" s="6">
        <f t="shared" si="8"/>
        <v>15.191489361702128</v>
      </c>
      <c r="X18" s="5">
        <f t="shared" si="9"/>
        <v>0.23529411764705882</v>
      </c>
      <c r="Y18" s="1">
        <f t="shared" si="10"/>
        <v>0.76470588235294112</v>
      </c>
      <c r="Z18" s="1">
        <f t="shared" si="11"/>
        <v>8.1351689612015026</v>
      </c>
      <c r="AA18" s="6">
        <f t="shared" si="12"/>
        <v>16.06758448060075</v>
      </c>
      <c r="AB18" s="5">
        <f t="shared" si="13"/>
        <v>0.37</v>
      </c>
      <c r="AC18" s="1">
        <f t="shared" si="14"/>
        <v>0.63</v>
      </c>
      <c r="AD18" s="1">
        <f t="shared" si="15"/>
        <v>6.1994680851063828</v>
      </c>
      <c r="AE18" s="6">
        <f t="shared" si="16"/>
        <v>15.099734042553191</v>
      </c>
      <c r="AF18" s="5">
        <f t="shared" si="17"/>
        <v>0.4</v>
      </c>
      <c r="AG18" s="1">
        <f t="shared" si="18"/>
        <v>0.6</v>
      </c>
      <c r="AH18" s="1">
        <f t="shared" si="25"/>
        <v>6.3829787234042561</v>
      </c>
      <c r="AI18" s="6">
        <f t="shared" si="26"/>
        <v>15.191489361702128</v>
      </c>
      <c r="AJ18" s="5">
        <f t="shared" si="21"/>
        <v>0.52</v>
      </c>
      <c r="AK18" s="1">
        <f t="shared" si="22"/>
        <v>0.48</v>
      </c>
      <c r="AL18" s="1">
        <f t="shared" si="23"/>
        <v>6.6382978723404253</v>
      </c>
      <c r="AM18" s="6">
        <f t="shared" si="24"/>
        <v>15.319148936170212</v>
      </c>
    </row>
    <row r="19" spans="1:39" x14ac:dyDescent="0.15">
      <c r="N19">
        <v>1.2999999999999999E-2</v>
      </c>
      <c r="O19">
        <f t="shared" si="0"/>
        <v>13</v>
      </c>
      <c r="P19" s="5">
        <f t="shared" si="1"/>
        <v>0.66666666666666663</v>
      </c>
      <c r="Q19" s="1">
        <f t="shared" si="2"/>
        <v>0.33333333333333337</v>
      </c>
      <c r="R19" s="1">
        <f t="shared" si="3"/>
        <v>3.5460992907801421</v>
      </c>
      <c r="S19" s="6">
        <f t="shared" si="4"/>
        <v>14.773049645390071</v>
      </c>
      <c r="T19" s="5">
        <f t="shared" si="5"/>
        <v>0.4</v>
      </c>
      <c r="U19" s="1">
        <f t="shared" si="6"/>
        <v>0.6</v>
      </c>
      <c r="V19" s="1">
        <f t="shared" si="7"/>
        <v>6.3829787234042561</v>
      </c>
      <c r="W19" s="6">
        <f t="shared" si="8"/>
        <v>16.191489361702128</v>
      </c>
      <c r="X19" s="5">
        <f t="shared" si="9"/>
        <v>0.23529411764705882</v>
      </c>
      <c r="Y19" s="1">
        <f t="shared" si="10"/>
        <v>0.76470588235294112</v>
      </c>
      <c r="Z19" s="1">
        <f t="shared" si="11"/>
        <v>8.1351689612015026</v>
      </c>
      <c r="AA19" s="6">
        <f t="shared" si="12"/>
        <v>17.06758448060075</v>
      </c>
      <c r="AB19" s="5">
        <f t="shared" si="13"/>
        <v>0.37</v>
      </c>
      <c r="AC19" s="1">
        <f t="shared" si="14"/>
        <v>0.63</v>
      </c>
      <c r="AD19" s="1">
        <f t="shared" si="15"/>
        <v>6.1994680851063828</v>
      </c>
      <c r="AE19" s="6">
        <f t="shared" si="16"/>
        <v>16.099734042553191</v>
      </c>
      <c r="AF19" s="5">
        <f t="shared" si="17"/>
        <v>0.4</v>
      </c>
      <c r="AG19" s="1">
        <f t="shared" si="18"/>
        <v>0.6</v>
      </c>
      <c r="AH19" s="1">
        <f t="shared" si="25"/>
        <v>6.3829787234042561</v>
      </c>
      <c r="AI19" s="6">
        <f t="shared" si="26"/>
        <v>16.191489361702128</v>
      </c>
      <c r="AJ19" s="5">
        <f t="shared" si="21"/>
        <v>0.52</v>
      </c>
      <c r="AK19" s="1">
        <f t="shared" si="22"/>
        <v>0.48</v>
      </c>
      <c r="AL19" s="1">
        <f t="shared" si="23"/>
        <v>6.6382978723404253</v>
      </c>
      <c r="AM19" s="6">
        <f t="shared" si="24"/>
        <v>16.319148936170212</v>
      </c>
    </row>
    <row r="20" spans="1:39" x14ac:dyDescent="0.15">
      <c r="N20">
        <v>1.4E-2</v>
      </c>
      <c r="O20">
        <f t="shared" si="0"/>
        <v>14</v>
      </c>
      <c r="P20" s="5">
        <f t="shared" si="1"/>
        <v>0.66666666666666663</v>
      </c>
      <c r="Q20" s="1">
        <f t="shared" si="2"/>
        <v>0.33333333333333337</v>
      </c>
      <c r="R20" s="1">
        <f t="shared" si="3"/>
        <v>3.5460992907801421</v>
      </c>
      <c r="S20" s="6">
        <f t="shared" si="4"/>
        <v>15.773049645390071</v>
      </c>
      <c r="T20" s="5">
        <f t="shared" si="5"/>
        <v>0.4</v>
      </c>
      <c r="U20" s="1">
        <f t="shared" si="6"/>
        <v>0.6</v>
      </c>
      <c r="V20" s="1">
        <f t="shared" si="7"/>
        <v>6.3829787234042561</v>
      </c>
      <c r="W20" s="6">
        <f t="shared" si="8"/>
        <v>17.191489361702128</v>
      </c>
      <c r="X20" s="5">
        <f t="shared" si="9"/>
        <v>0.23529411764705882</v>
      </c>
      <c r="Y20" s="1">
        <f t="shared" si="10"/>
        <v>0.76470588235294112</v>
      </c>
      <c r="Z20" s="1">
        <f t="shared" si="11"/>
        <v>8.1351689612015026</v>
      </c>
      <c r="AA20" s="6">
        <f t="shared" si="12"/>
        <v>18.06758448060075</v>
      </c>
      <c r="AB20" s="5">
        <f t="shared" si="13"/>
        <v>0.37</v>
      </c>
      <c r="AC20" s="1">
        <f t="shared" si="14"/>
        <v>0.63</v>
      </c>
      <c r="AD20" s="1">
        <f t="shared" si="15"/>
        <v>6.1994680851063828</v>
      </c>
      <c r="AE20" s="6">
        <f t="shared" si="16"/>
        <v>17.099734042553191</v>
      </c>
      <c r="AF20" s="5">
        <f t="shared" si="17"/>
        <v>0.4</v>
      </c>
      <c r="AG20" s="1">
        <f t="shared" si="18"/>
        <v>0.6</v>
      </c>
      <c r="AH20" s="1">
        <f t="shared" si="25"/>
        <v>6.3829787234042561</v>
      </c>
      <c r="AI20" s="6">
        <f t="shared" si="26"/>
        <v>17.191489361702128</v>
      </c>
      <c r="AJ20" s="5">
        <f t="shared" si="21"/>
        <v>0.52</v>
      </c>
      <c r="AK20" s="1">
        <f t="shared" si="22"/>
        <v>0.48</v>
      </c>
      <c r="AL20" s="1">
        <f t="shared" si="23"/>
        <v>6.6382978723404253</v>
      </c>
      <c r="AM20" s="6">
        <f t="shared" si="24"/>
        <v>17.319148936170212</v>
      </c>
    </row>
    <row r="21" spans="1:39" x14ac:dyDescent="0.15">
      <c r="A21" s="200" t="s">
        <v>131</v>
      </c>
      <c r="B21" s="201"/>
      <c r="C21" s="202"/>
      <c r="N21">
        <v>1.4999999999999999E-2</v>
      </c>
      <c r="O21">
        <f t="shared" si="0"/>
        <v>15</v>
      </c>
      <c r="P21" s="5">
        <f t="shared" si="1"/>
        <v>0.66666666666666663</v>
      </c>
      <c r="Q21" s="1">
        <f t="shared" si="2"/>
        <v>0.33333333333333337</v>
      </c>
      <c r="R21" s="1">
        <f t="shared" si="3"/>
        <v>3.5460992907801421</v>
      </c>
      <c r="S21" s="6">
        <f t="shared" si="4"/>
        <v>16.773049645390071</v>
      </c>
      <c r="T21" s="5">
        <f t="shared" si="5"/>
        <v>0.4</v>
      </c>
      <c r="U21" s="1">
        <f t="shared" si="6"/>
        <v>0.6</v>
      </c>
      <c r="V21" s="1">
        <f t="shared" si="7"/>
        <v>6.3829787234042561</v>
      </c>
      <c r="W21" s="6">
        <f t="shared" si="8"/>
        <v>18.191489361702128</v>
      </c>
      <c r="X21" s="5">
        <f t="shared" si="9"/>
        <v>0.23529411764705882</v>
      </c>
      <c r="Y21" s="1">
        <f t="shared" si="10"/>
        <v>0.76470588235294112</v>
      </c>
      <c r="Z21" s="1">
        <f t="shared" si="11"/>
        <v>8.1351689612015026</v>
      </c>
      <c r="AA21" s="6">
        <f t="shared" si="12"/>
        <v>19.06758448060075</v>
      </c>
      <c r="AB21" s="5">
        <f t="shared" si="13"/>
        <v>0.37</v>
      </c>
      <c r="AC21" s="1">
        <f t="shared" si="14"/>
        <v>0.63</v>
      </c>
      <c r="AD21" s="1">
        <f t="shared" si="15"/>
        <v>6.1994680851063828</v>
      </c>
      <c r="AE21" s="6">
        <f t="shared" si="16"/>
        <v>18.099734042553191</v>
      </c>
      <c r="AF21" s="5">
        <f t="shared" si="17"/>
        <v>0.4</v>
      </c>
      <c r="AG21" s="1">
        <f t="shared" si="18"/>
        <v>0.6</v>
      </c>
      <c r="AH21" s="1">
        <f t="shared" si="25"/>
        <v>6.3829787234042561</v>
      </c>
      <c r="AI21" s="6">
        <f t="shared" si="26"/>
        <v>18.191489361702128</v>
      </c>
      <c r="AJ21" s="5">
        <f t="shared" si="21"/>
        <v>0.52</v>
      </c>
      <c r="AK21" s="1">
        <f t="shared" si="22"/>
        <v>0.48</v>
      </c>
      <c r="AL21" s="1">
        <f t="shared" si="23"/>
        <v>6.6382978723404253</v>
      </c>
      <c r="AM21" s="6">
        <f t="shared" si="24"/>
        <v>18.319148936170212</v>
      </c>
    </row>
    <row r="22" spans="1:39" x14ac:dyDescent="0.15">
      <c r="A22" s="31" t="s">
        <v>44</v>
      </c>
      <c r="B22" s="49">
        <f>Design_Converter!B26</f>
        <v>45</v>
      </c>
      <c r="C22" s="31" t="s">
        <v>4</v>
      </c>
      <c r="N22">
        <v>1.6E-2</v>
      </c>
      <c r="O22">
        <f t="shared" si="0"/>
        <v>16</v>
      </c>
      <c r="P22" s="5">
        <f t="shared" si="1"/>
        <v>0.66666666666666663</v>
      </c>
      <c r="Q22" s="1">
        <f t="shared" si="2"/>
        <v>0.33333333333333337</v>
      </c>
      <c r="R22" s="1">
        <f t="shared" si="3"/>
        <v>3.5460992907801421</v>
      </c>
      <c r="S22" s="6">
        <f t="shared" si="4"/>
        <v>17.773049645390071</v>
      </c>
      <c r="T22" s="5">
        <f t="shared" si="5"/>
        <v>0.4</v>
      </c>
      <c r="U22" s="1">
        <f t="shared" si="6"/>
        <v>0.6</v>
      </c>
      <c r="V22" s="1">
        <f t="shared" si="7"/>
        <v>6.3829787234042561</v>
      </c>
      <c r="W22" s="6">
        <f t="shared" si="8"/>
        <v>19.191489361702128</v>
      </c>
      <c r="X22" s="5">
        <f t="shared" si="9"/>
        <v>0.23529411764705882</v>
      </c>
      <c r="Y22" s="1">
        <f t="shared" si="10"/>
        <v>0.76470588235294112</v>
      </c>
      <c r="Z22" s="1">
        <f t="shared" si="11"/>
        <v>8.1351689612015026</v>
      </c>
      <c r="AA22" s="6">
        <f t="shared" si="12"/>
        <v>20.06758448060075</v>
      </c>
      <c r="AB22" s="5">
        <f t="shared" si="13"/>
        <v>0.37</v>
      </c>
      <c r="AC22" s="1">
        <f t="shared" si="14"/>
        <v>0.63</v>
      </c>
      <c r="AD22" s="1">
        <f t="shared" si="15"/>
        <v>6.1994680851063828</v>
      </c>
      <c r="AE22" s="6">
        <f t="shared" si="16"/>
        <v>19.099734042553191</v>
      </c>
      <c r="AF22" s="5">
        <f t="shared" si="17"/>
        <v>0.4</v>
      </c>
      <c r="AG22" s="1">
        <f t="shared" si="18"/>
        <v>0.6</v>
      </c>
      <c r="AH22" s="1">
        <f t="shared" si="25"/>
        <v>6.3829787234042561</v>
      </c>
      <c r="AI22" s="6">
        <f t="shared" si="26"/>
        <v>19.191489361702128</v>
      </c>
      <c r="AJ22" s="5">
        <f t="shared" si="21"/>
        <v>0.52</v>
      </c>
      <c r="AK22" s="1">
        <f t="shared" si="22"/>
        <v>0.48</v>
      </c>
      <c r="AL22" s="1">
        <f t="shared" si="23"/>
        <v>6.6382978723404253</v>
      </c>
      <c r="AM22" s="6">
        <f t="shared" si="24"/>
        <v>19.319148936170212</v>
      </c>
    </row>
    <row r="23" spans="1:39" x14ac:dyDescent="0.15">
      <c r="A23" s="31" t="s">
        <v>132</v>
      </c>
      <c r="B23" s="50">
        <f>(V12_Max/V48_Min)*B22</f>
        <v>39</v>
      </c>
      <c r="C23" s="31" t="s">
        <v>4</v>
      </c>
      <c r="E23" s="34" t="s">
        <v>133</v>
      </c>
      <c r="N23">
        <v>1.7000000000000001E-2</v>
      </c>
      <c r="O23">
        <f t="shared" si="0"/>
        <v>17</v>
      </c>
      <c r="P23" s="5">
        <f t="shared" si="1"/>
        <v>0.66666666666666663</v>
      </c>
      <c r="Q23" s="1">
        <f t="shared" si="2"/>
        <v>0.33333333333333337</v>
      </c>
      <c r="R23" s="1">
        <f t="shared" si="3"/>
        <v>3.5460992907801421</v>
      </c>
      <c r="S23" s="6">
        <f t="shared" si="4"/>
        <v>18.773049645390071</v>
      </c>
      <c r="T23" s="5">
        <f t="shared" si="5"/>
        <v>0.4</v>
      </c>
      <c r="U23" s="1">
        <f t="shared" si="6"/>
        <v>0.6</v>
      </c>
      <c r="V23" s="1">
        <f t="shared" si="7"/>
        <v>6.3829787234042561</v>
      </c>
      <c r="W23" s="6">
        <f t="shared" si="8"/>
        <v>20.191489361702128</v>
      </c>
      <c r="X23" s="5">
        <f t="shared" si="9"/>
        <v>0.23529411764705882</v>
      </c>
      <c r="Y23" s="1">
        <f t="shared" si="10"/>
        <v>0.76470588235294112</v>
      </c>
      <c r="Z23" s="1">
        <f t="shared" si="11"/>
        <v>8.1351689612015026</v>
      </c>
      <c r="AA23" s="6">
        <f t="shared" si="12"/>
        <v>21.06758448060075</v>
      </c>
      <c r="AB23" s="5">
        <f t="shared" si="13"/>
        <v>0.37</v>
      </c>
      <c r="AC23" s="1">
        <f t="shared" si="14"/>
        <v>0.63</v>
      </c>
      <c r="AD23" s="1">
        <f t="shared" si="15"/>
        <v>6.1994680851063828</v>
      </c>
      <c r="AE23" s="6">
        <f t="shared" si="16"/>
        <v>20.099734042553191</v>
      </c>
      <c r="AF23" s="5">
        <f t="shared" si="17"/>
        <v>0.4</v>
      </c>
      <c r="AG23" s="1">
        <f t="shared" si="18"/>
        <v>0.6</v>
      </c>
      <c r="AH23" s="1">
        <f t="shared" si="25"/>
        <v>6.3829787234042561</v>
      </c>
      <c r="AI23" s="6">
        <f t="shared" si="26"/>
        <v>20.191489361702128</v>
      </c>
      <c r="AJ23" s="5">
        <f t="shared" si="21"/>
        <v>0.52</v>
      </c>
      <c r="AK23" s="1">
        <f t="shared" si="22"/>
        <v>0.48</v>
      </c>
      <c r="AL23" s="1">
        <f t="shared" si="23"/>
        <v>6.6382978723404253</v>
      </c>
      <c r="AM23" s="6">
        <f t="shared" si="24"/>
        <v>20.319148936170212</v>
      </c>
    </row>
    <row r="24" spans="1:39" x14ac:dyDescent="0.15">
      <c r="A24" s="31" t="s">
        <v>134</v>
      </c>
      <c r="B24" s="49">
        <f>Design_Converter!B25</f>
        <v>2</v>
      </c>
      <c r="C24" s="31"/>
      <c r="E24" s="34" t="s">
        <v>135</v>
      </c>
      <c r="N24">
        <v>1.7999999999999999E-2</v>
      </c>
      <c r="O24">
        <f t="shared" si="0"/>
        <v>18</v>
      </c>
      <c r="P24" s="5">
        <f t="shared" si="1"/>
        <v>0.66666666666666663</v>
      </c>
      <c r="Q24" s="1">
        <f t="shared" si="2"/>
        <v>0.33333333333333337</v>
      </c>
      <c r="R24" s="1">
        <f t="shared" si="3"/>
        <v>3.5460992907801421</v>
      </c>
      <c r="S24" s="6">
        <f t="shared" si="4"/>
        <v>19.773049645390071</v>
      </c>
      <c r="T24" s="5">
        <f t="shared" si="5"/>
        <v>0.4</v>
      </c>
      <c r="U24" s="1">
        <f t="shared" si="6"/>
        <v>0.6</v>
      </c>
      <c r="V24" s="1">
        <f t="shared" si="7"/>
        <v>6.3829787234042561</v>
      </c>
      <c r="W24" s="6">
        <f t="shared" si="8"/>
        <v>21.191489361702128</v>
      </c>
      <c r="X24" s="5">
        <f t="shared" si="9"/>
        <v>0.23529411764705882</v>
      </c>
      <c r="Y24" s="1">
        <f t="shared" si="10"/>
        <v>0.76470588235294112</v>
      </c>
      <c r="Z24" s="1">
        <f t="shared" si="11"/>
        <v>8.1351689612015026</v>
      </c>
      <c r="AA24" s="6">
        <f t="shared" si="12"/>
        <v>22.06758448060075</v>
      </c>
      <c r="AB24" s="5">
        <f t="shared" si="13"/>
        <v>0.37</v>
      </c>
      <c r="AC24" s="1">
        <f t="shared" si="14"/>
        <v>0.63</v>
      </c>
      <c r="AD24" s="1">
        <f t="shared" si="15"/>
        <v>6.1994680851063828</v>
      </c>
      <c r="AE24" s="6">
        <f t="shared" si="16"/>
        <v>21.099734042553191</v>
      </c>
      <c r="AF24" s="5">
        <f t="shared" si="17"/>
        <v>0.4</v>
      </c>
      <c r="AG24" s="1">
        <f t="shared" si="18"/>
        <v>0.6</v>
      </c>
      <c r="AH24" s="1">
        <f t="shared" si="25"/>
        <v>6.3829787234042561</v>
      </c>
      <c r="AI24" s="6">
        <f t="shared" si="26"/>
        <v>21.191489361702128</v>
      </c>
      <c r="AJ24" s="5">
        <f t="shared" si="21"/>
        <v>0.52</v>
      </c>
      <c r="AK24" s="1">
        <f t="shared" si="22"/>
        <v>0.48</v>
      </c>
      <c r="AL24" s="1">
        <f t="shared" si="23"/>
        <v>6.6382978723404253</v>
      </c>
      <c r="AM24" s="6">
        <f t="shared" si="24"/>
        <v>21.319148936170212</v>
      </c>
    </row>
    <row r="25" spans="1:39" x14ac:dyDescent="0.15">
      <c r="A25" s="31" t="s">
        <v>143</v>
      </c>
      <c r="B25" s="50">
        <f>B22/B24</f>
        <v>22.5</v>
      </c>
      <c r="C25" s="31" t="s">
        <v>4</v>
      </c>
      <c r="E25" s="34" t="s">
        <v>196</v>
      </c>
      <c r="N25">
        <v>1.9E-2</v>
      </c>
      <c r="O25">
        <f t="shared" si="0"/>
        <v>19</v>
      </c>
      <c r="P25" s="5">
        <f t="shared" si="1"/>
        <v>0.66666666666666663</v>
      </c>
      <c r="Q25" s="1">
        <f t="shared" si="2"/>
        <v>0.33333333333333337</v>
      </c>
      <c r="R25" s="1">
        <f t="shared" si="3"/>
        <v>3.5460992907801421</v>
      </c>
      <c r="S25" s="6">
        <f t="shared" si="4"/>
        <v>20.773049645390071</v>
      </c>
      <c r="T25" s="5">
        <f t="shared" si="5"/>
        <v>0.4</v>
      </c>
      <c r="U25" s="1">
        <f t="shared" si="6"/>
        <v>0.6</v>
      </c>
      <c r="V25" s="1">
        <f t="shared" si="7"/>
        <v>6.3829787234042561</v>
      </c>
      <c r="W25" s="6">
        <f t="shared" si="8"/>
        <v>22.191489361702128</v>
      </c>
      <c r="X25" s="5">
        <f t="shared" si="9"/>
        <v>0.23529411764705882</v>
      </c>
      <c r="Y25" s="1">
        <f t="shared" si="10"/>
        <v>0.76470588235294112</v>
      </c>
      <c r="Z25" s="1">
        <f t="shared" si="11"/>
        <v>8.1351689612015026</v>
      </c>
      <c r="AA25" s="6">
        <f t="shared" si="12"/>
        <v>23.06758448060075</v>
      </c>
      <c r="AB25" s="5">
        <f t="shared" si="13"/>
        <v>0.37</v>
      </c>
      <c r="AC25" s="1">
        <f t="shared" si="14"/>
        <v>0.63</v>
      </c>
      <c r="AD25" s="1">
        <f t="shared" si="15"/>
        <v>6.1994680851063828</v>
      </c>
      <c r="AE25" s="6">
        <f t="shared" si="16"/>
        <v>22.099734042553191</v>
      </c>
      <c r="AF25" s="5">
        <f t="shared" si="17"/>
        <v>0.4</v>
      </c>
      <c r="AG25" s="1">
        <f t="shared" si="18"/>
        <v>0.6</v>
      </c>
      <c r="AH25" s="1">
        <f t="shared" si="25"/>
        <v>6.3829787234042561</v>
      </c>
      <c r="AI25" s="6">
        <f t="shared" si="26"/>
        <v>22.191489361702128</v>
      </c>
      <c r="AJ25" s="5">
        <f t="shared" si="21"/>
        <v>0.52</v>
      </c>
      <c r="AK25" s="1">
        <f t="shared" si="22"/>
        <v>0.48</v>
      </c>
      <c r="AL25" s="1">
        <f t="shared" si="23"/>
        <v>6.6382978723404253</v>
      </c>
      <c r="AM25" s="6">
        <f t="shared" si="24"/>
        <v>22.319148936170212</v>
      </c>
    </row>
    <row r="26" spans="1:39" x14ac:dyDescent="0.15">
      <c r="A26" s="31" t="s">
        <v>197</v>
      </c>
      <c r="B26" s="50">
        <f>B25*V12_Nom</f>
        <v>450</v>
      </c>
      <c r="C26" s="31" t="s">
        <v>136</v>
      </c>
      <c r="E26" s="34" t="s">
        <v>198</v>
      </c>
      <c r="N26">
        <v>0.02</v>
      </c>
      <c r="O26">
        <f t="shared" si="0"/>
        <v>20</v>
      </c>
      <c r="P26" s="5">
        <f t="shared" si="1"/>
        <v>0.66666666666666663</v>
      </c>
      <c r="Q26" s="1">
        <f t="shared" si="2"/>
        <v>0.33333333333333337</v>
      </c>
      <c r="R26" s="1">
        <f t="shared" si="3"/>
        <v>3.5460992907801421</v>
      </c>
      <c r="S26" s="6">
        <f t="shared" si="4"/>
        <v>21.773049645390071</v>
      </c>
      <c r="T26" s="5">
        <f t="shared" si="5"/>
        <v>0.4</v>
      </c>
      <c r="U26" s="1">
        <f t="shared" si="6"/>
        <v>0.6</v>
      </c>
      <c r="V26" s="1">
        <f t="shared" si="7"/>
        <v>6.3829787234042561</v>
      </c>
      <c r="W26" s="6">
        <f t="shared" si="8"/>
        <v>23.191489361702128</v>
      </c>
      <c r="X26" s="5">
        <f t="shared" si="9"/>
        <v>0.23529411764705882</v>
      </c>
      <c r="Y26" s="1">
        <f t="shared" si="10"/>
        <v>0.76470588235294112</v>
      </c>
      <c r="Z26" s="1">
        <f t="shared" si="11"/>
        <v>8.1351689612015026</v>
      </c>
      <c r="AA26" s="6">
        <f t="shared" si="12"/>
        <v>24.06758448060075</v>
      </c>
      <c r="AB26" s="5">
        <f t="shared" si="13"/>
        <v>0.37</v>
      </c>
      <c r="AC26" s="1">
        <f t="shared" si="14"/>
        <v>0.63</v>
      </c>
      <c r="AD26" s="1">
        <f t="shared" si="15"/>
        <v>6.1994680851063828</v>
      </c>
      <c r="AE26" s="6">
        <f t="shared" si="16"/>
        <v>23.099734042553191</v>
      </c>
      <c r="AF26" s="5">
        <f t="shared" si="17"/>
        <v>0.4</v>
      </c>
      <c r="AG26" s="1">
        <f t="shared" si="18"/>
        <v>0.6</v>
      </c>
      <c r="AH26" s="1">
        <f t="shared" si="25"/>
        <v>6.3829787234042561</v>
      </c>
      <c r="AI26" s="6">
        <f t="shared" si="26"/>
        <v>23.191489361702128</v>
      </c>
      <c r="AJ26" s="5">
        <f t="shared" si="21"/>
        <v>0.52</v>
      </c>
      <c r="AK26" s="1">
        <f t="shared" si="22"/>
        <v>0.48</v>
      </c>
      <c r="AL26" s="1">
        <f t="shared" si="23"/>
        <v>6.6382978723404253</v>
      </c>
      <c r="AM26" s="6">
        <f t="shared" si="24"/>
        <v>23.319148936170212</v>
      </c>
    </row>
    <row r="27" spans="1:39" x14ac:dyDescent="0.15">
      <c r="A27" s="31" t="s">
        <v>139</v>
      </c>
      <c r="B27" s="50">
        <f>(VCS_Max/B25)*1000</f>
        <v>2.2222222222222223</v>
      </c>
      <c r="C27" s="31" t="s">
        <v>137</v>
      </c>
      <c r="E27" s="34" t="s">
        <v>140</v>
      </c>
      <c r="N27">
        <v>2.1000000000000001E-2</v>
      </c>
      <c r="O27">
        <f t="shared" si="0"/>
        <v>21</v>
      </c>
      <c r="P27" s="5">
        <f t="shared" si="1"/>
        <v>0.66666666666666663</v>
      </c>
      <c r="Q27" s="1">
        <f t="shared" si="2"/>
        <v>0.33333333333333337</v>
      </c>
      <c r="R27" s="1">
        <f t="shared" si="3"/>
        <v>3.5460992907801421</v>
      </c>
      <c r="S27" s="6">
        <f t="shared" si="4"/>
        <v>22.773049645390071</v>
      </c>
      <c r="T27" s="5">
        <f t="shared" si="5"/>
        <v>0.4</v>
      </c>
      <c r="U27" s="1">
        <f t="shared" si="6"/>
        <v>0.6</v>
      </c>
      <c r="V27" s="1">
        <f t="shared" si="7"/>
        <v>6.3829787234042561</v>
      </c>
      <c r="W27" s="6">
        <f t="shared" si="8"/>
        <v>24.191489361702128</v>
      </c>
      <c r="X27" s="5">
        <f t="shared" si="9"/>
        <v>0.23529411764705882</v>
      </c>
      <c r="Y27" s="1">
        <f t="shared" si="10"/>
        <v>0.76470588235294112</v>
      </c>
      <c r="Z27" s="1">
        <f t="shared" si="11"/>
        <v>8.1351689612015026</v>
      </c>
      <c r="AA27" s="6">
        <f t="shared" si="12"/>
        <v>25.06758448060075</v>
      </c>
      <c r="AB27" s="5">
        <f t="shared" si="13"/>
        <v>0.37</v>
      </c>
      <c r="AC27" s="1">
        <f t="shared" si="14"/>
        <v>0.63</v>
      </c>
      <c r="AD27" s="1">
        <f t="shared" si="15"/>
        <v>6.1994680851063828</v>
      </c>
      <c r="AE27" s="6">
        <f t="shared" si="16"/>
        <v>24.099734042553191</v>
      </c>
      <c r="AF27" s="5">
        <f t="shared" si="17"/>
        <v>0.4</v>
      </c>
      <c r="AG27" s="1">
        <f t="shared" si="18"/>
        <v>0.6</v>
      </c>
      <c r="AH27" s="1">
        <f t="shared" si="25"/>
        <v>6.3829787234042561</v>
      </c>
      <c r="AI27" s="6">
        <f t="shared" si="26"/>
        <v>24.191489361702128</v>
      </c>
      <c r="AJ27" s="5">
        <f t="shared" si="21"/>
        <v>0.52</v>
      </c>
      <c r="AK27" s="1">
        <f t="shared" si="22"/>
        <v>0.48</v>
      </c>
      <c r="AL27" s="1">
        <f t="shared" si="23"/>
        <v>6.6382978723404253</v>
      </c>
      <c r="AM27" s="6">
        <f t="shared" si="24"/>
        <v>24.319148936170212</v>
      </c>
    </row>
    <row r="28" spans="1:39" x14ac:dyDescent="0.15">
      <c r="A28" s="31" t="s">
        <v>141</v>
      </c>
      <c r="B28" s="49">
        <f>Design_Converter!B28</f>
        <v>1</v>
      </c>
      <c r="C28" s="31" t="s">
        <v>137</v>
      </c>
      <c r="E28" s="34" t="s">
        <v>8</v>
      </c>
      <c r="N28">
        <v>2.1999999999999999E-2</v>
      </c>
      <c r="O28">
        <f t="shared" si="0"/>
        <v>22</v>
      </c>
      <c r="P28" s="5">
        <f t="shared" si="1"/>
        <v>0.66666666666666663</v>
      </c>
      <c r="Q28" s="1">
        <f t="shared" si="2"/>
        <v>0.33333333333333337</v>
      </c>
      <c r="R28" s="1">
        <f t="shared" si="3"/>
        <v>3.5460992907801421</v>
      </c>
      <c r="S28" s="6">
        <f t="shared" si="4"/>
        <v>23.773049645390071</v>
      </c>
      <c r="T28" s="5">
        <f t="shared" si="5"/>
        <v>0.4</v>
      </c>
      <c r="U28" s="1">
        <f t="shared" si="6"/>
        <v>0.6</v>
      </c>
      <c r="V28" s="1">
        <f t="shared" si="7"/>
        <v>6.3829787234042561</v>
      </c>
      <c r="W28" s="6">
        <f t="shared" si="8"/>
        <v>25.191489361702128</v>
      </c>
      <c r="X28" s="5">
        <f t="shared" si="9"/>
        <v>0.23529411764705882</v>
      </c>
      <c r="Y28" s="1">
        <f t="shared" si="10"/>
        <v>0.76470588235294112</v>
      </c>
      <c r="Z28" s="1">
        <f t="shared" si="11"/>
        <v>8.1351689612015026</v>
      </c>
      <c r="AA28" s="6">
        <f t="shared" si="12"/>
        <v>26.06758448060075</v>
      </c>
      <c r="AB28" s="5">
        <f t="shared" si="13"/>
        <v>0.37</v>
      </c>
      <c r="AC28" s="1">
        <f t="shared" si="14"/>
        <v>0.63</v>
      </c>
      <c r="AD28" s="1">
        <f t="shared" si="15"/>
        <v>6.1994680851063828</v>
      </c>
      <c r="AE28" s="6">
        <f t="shared" si="16"/>
        <v>25.099734042553191</v>
      </c>
      <c r="AF28" s="5">
        <f t="shared" si="17"/>
        <v>0.4</v>
      </c>
      <c r="AG28" s="1">
        <f t="shared" si="18"/>
        <v>0.6</v>
      </c>
      <c r="AH28" s="1">
        <f t="shared" si="25"/>
        <v>6.3829787234042561</v>
      </c>
      <c r="AI28" s="6">
        <f t="shared" si="26"/>
        <v>25.191489361702128</v>
      </c>
      <c r="AJ28" s="5">
        <f t="shared" si="21"/>
        <v>0.52</v>
      </c>
      <c r="AK28" s="1">
        <f t="shared" si="22"/>
        <v>0.48</v>
      </c>
      <c r="AL28" s="1">
        <f t="shared" si="23"/>
        <v>6.6382978723404253</v>
      </c>
      <c r="AM28" s="6">
        <f t="shared" si="24"/>
        <v>25.319148936170212</v>
      </c>
    </row>
    <row r="29" spans="1:39" x14ac:dyDescent="0.15">
      <c r="A29" s="31" t="s">
        <v>144</v>
      </c>
      <c r="B29" s="52">
        <f>VCS_Max/Rcs</f>
        <v>50</v>
      </c>
      <c r="C29" s="31" t="s">
        <v>4</v>
      </c>
      <c r="E29" s="34" t="s">
        <v>195</v>
      </c>
      <c r="N29">
        <v>2.3E-2</v>
      </c>
      <c r="O29">
        <f t="shared" si="0"/>
        <v>23</v>
      </c>
      <c r="P29" s="5">
        <f t="shared" si="1"/>
        <v>0.66666666666666663</v>
      </c>
      <c r="Q29" s="1">
        <f t="shared" si="2"/>
        <v>0.33333333333333337</v>
      </c>
      <c r="R29" s="1">
        <f t="shared" si="3"/>
        <v>3.5460992907801421</v>
      </c>
      <c r="S29" s="6">
        <f t="shared" si="4"/>
        <v>24.773049645390071</v>
      </c>
      <c r="T29" s="5">
        <f t="shared" si="5"/>
        <v>0.4</v>
      </c>
      <c r="U29" s="1">
        <f t="shared" si="6"/>
        <v>0.6</v>
      </c>
      <c r="V29" s="1">
        <f t="shared" si="7"/>
        <v>6.3829787234042561</v>
      </c>
      <c r="W29" s="6">
        <f t="shared" si="8"/>
        <v>26.191489361702128</v>
      </c>
      <c r="X29" s="5">
        <f t="shared" si="9"/>
        <v>0.23529411764705882</v>
      </c>
      <c r="Y29" s="1">
        <f t="shared" si="10"/>
        <v>0.76470588235294112</v>
      </c>
      <c r="Z29" s="1">
        <f t="shared" si="11"/>
        <v>8.1351689612015026</v>
      </c>
      <c r="AA29" s="6">
        <f t="shared" si="12"/>
        <v>27.06758448060075</v>
      </c>
      <c r="AB29" s="5">
        <f t="shared" si="13"/>
        <v>0.37</v>
      </c>
      <c r="AC29" s="1">
        <f t="shared" si="14"/>
        <v>0.63</v>
      </c>
      <c r="AD29" s="1">
        <f t="shared" si="15"/>
        <v>6.1994680851063828</v>
      </c>
      <c r="AE29" s="6">
        <f t="shared" si="16"/>
        <v>26.099734042553191</v>
      </c>
      <c r="AF29" s="5">
        <f t="shared" si="17"/>
        <v>0.4</v>
      </c>
      <c r="AG29" s="1">
        <f t="shared" si="18"/>
        <v>0.6</v>
      </c>
      <c r="AH29" s="1">
        <f t="shared" si="25"/>
        <v>6.3829787234042561</v>
      </c>
      <c r="AI29" s="6">
        <f t="shared" si="26"/>
        <v>26.191489361702128</v>
      </c>
      <c r="AJ29" s="5">
        <f t="shared" si="21"/>
        <v>0.52</v>
      </c>
      <c r="AK29" s="1">
        <f t="shared" si="22"/>
        <v>0.48</v>
      </c>
      <c r="AL29" s="1">
        <f t="shared" si="23"/>
        <v>6.6382978723404253</v>
      </c>
      <c r="AM29" s="6">
        <f t="shared" si="24"/>
        <v>26.319148936170212</v>
      </c>
    </row>
    <row r="30" spans="1:39" x14ac:dyDescent="0.15">
      <c r="A30" s="31" t="s">
        <v>142</v>
      </c>
      <c r="B30" s="50">
        <f>V12_Nom*B29</f>
        <v>1000</v>
      </c>
      <c r="C30" s="31" t="s">
        <v>136</v>
      </c>
      <c r="E30" s="34" t="s">
        <v>199</v>
      </c>
      <c r="N30">
        <v>2.4E-2</v>
      </c>
      <c r="O30">
        <f t="shared" si="0"/>
        <v>24</v>
      </c>
      <c r="P30" s="5">
        <f t="shared" si="1"/>
        <v>0.66666666666666663</v>
      </c>
      <c r="Q30" s="1">
        <f t="shared" si="2"/>
        <v>0.33333333333333337</v>
      </c>
      <c r="R30" s="1">
        <f t="shared" si="3"/>
        <v>3.5460992907801421</v>
      </c>
      <c r="S30" s="6">
        <f t="shared" si="4"/>
        <v>25.773049645390071</v>
      </c>
      <c r="T30" s="5">
        <f t="shared" si="5"/>
        <v>0.4</v>
      </c>
      <c r="U30" s="1">
        <f t="shared" si="6"/>
        <v>0.6</v>
      </c>
      <c r="V30" s="1">
        <f t="shared" si="7"/>
        <v>6.3829787234042561</v>
      </c>
      <c r="W30" s="6">
        <f t="shared" si="8"/>
        <v>27.191489361702128</v>
      </c>
      <c r="X30" s="5">
        <f t="shared" si="9"/>
        <v>0.23529411764705882</v>
      </c>
      <c r="Y30" s="1">
        <f t="shared" si="10"/>
        <v>0.76470588235294112</v>
      </c>
      <c r="Z30" s="1">
        <f t="shared" si="11"/>
        <v>8.1351689612015026</v>
      </c>
      <c r="AA30" s="6">
        <f t="shared" si="12"/>
        <v>28.06758448060075</v>
      </c>
      <c r="AB30" s="5">
        <f t="shared" si="13"/>
        <v>0.37</v>
      </c>
      <c r="AC30" s="1">
        <f t="shared" si="14"/>
        <v>0.63</v>
      </c>
      <c r="AD30" s="1">
        <f t="shared" si="15"/>
        <v>6.1994680851063828</v>
      </c>
      <c r="AE30" s="6">
        <f t="shared" si="16"/>
        <v>27.099734042553191</v>
      </c>
      <c r="AF30" s="5">
        <f t="shared" si="17"/>
        <v>0.4</v>
      </c>
      <c r="AG30" s="1">
        <f t="shared" si="18"/>
        <v>0.6</v>
      </c>
      <c r="AH30" s="1">
        <f t="shared" si="25"/>
        <v>6.3829787234042561</v>
      </c>
      <c r="AI30" s="6">
        <f t="shared" si="26"/>
        <v>27.191489361702128</v>
      </c>
      <c r="AJ30" s="5">
        <f t="shared" si="21"/>
        <v>0.52</v>
      </c>
      <c r="AK30" s="1">
        <f t="shared" si="22"/>
        <v>0.48</v>
      </c>
      <c r="AL30" s="1">
        <f t="shared" si="23"/>
        <v>6.6382978723404253</v>
      </c>
      <c r="AM30" s="6">
        <f t="shared" si="24"/>
        <v>27.319148936170212</v>
      </c>
    </row>
    <row r="31" spans="1:39" x14ac:dyDescent="0.15">
      <c r="A31" s="31" t="s">
        <v>146</v>
      </c>
      <c r="B31" s="50">
        <f>I_Channel*np</f>
        <v>100</v>
      </c>
      <c r="C31" s="31" t="s">
        <v>4</v>
      </c>
      <c r="E31" s="34" t="s">
        <v>200</v>
      </c>
      <c r="N31">
        <v>2.5000000000000001E-2</v>
      </c>
      <c r="O31">
        <f t="shared" si="0"/>
        <v>25</v>
      </c>
      <c r="P31" s="5">
        <f t="shared" si="1"/>
        <v>0.66666666666666663</v>
      </c>
      <c r="Q31" s="1">
        <f t="shared" si="2"/>
        <v>0.33333333333333337</v>
      </c>
      <c r="R31" s="1">
        <f t="shared" si="3"/>
        <v>3.5460992907801421</v>
      </c>
      <c r="S31" s="6">
        <f t="shared" si="4"/>
        <v>26.773049645390071</v>
      </c>
      <c r="T31" s="5">
        <f t="shared" si="5"/>
        <v>0.4</v>
      </c>
      <c r="U31" s="1">
        <f t="shared" si="6"/>
        <v>0.6</v>
      </c>
      <c r="V31" s="1">
        <f t="shared" si="7"/>
        <v>6.3829787234042561</v>
      </c>
      <c r="W31" s="6">
        <f t="shared" si="8"/>
        <v>28.191489361702128</v>
      </c>
      <c r="X31" s="5">
        <f t="shared" si="9"/>
        <v>0.23529411764705882</v>
      </c>
      <c r="Y31" s="1">
        <f t="shared" si="10"/>
        <v>0.76470588235294112</v>
      </c>
      <c r="Z31" s="1">
        <f t="shared" si="11"/>
        <v>8.1351689612015026</v>
      </c>
      <c r="AA31" s="6">
        <f t="shared" si="12"/>
        <v>29.06758448060075</v>
      </c>
      <c r="AB31" s="5">
        <f t="shared" si="13"/>
        <v>0.37</v>
      </c>
      <c r="AC31" s="1">
        <f t="shared" si="14"/>
        <v>0.63</v>
      </c>
      <c r="AD31" s="1">
        <f t="shared" si="15"/>
        <v>6.1994680851063828</v>
      </c>
      <c r="AE31" s="6">
        <f t="shared" si="16"/>
        <v>28.099734042553191</v>
      </c>
      <c r="AF31" s="5">
        <f t="shared" si="17"/>
        <v>0.4</v>
      </c>
      <c r="AG31" s="1">
        <f t="shared" si="18"/>
        <v>0.6</v>
      </c>
      <c r="AH31" s="1">
        <f t="shared" si="25"/>
        <v>6.3829787234042561</v>
      </c>
      <c r="AI31" s="6">
        <f t="shared" si="26"/>
        <v>28.191489361702128</v>
      </c>
      <c r="AJ31" s="5">
        <f t="shared" si="21"/>
        <v>0.52</v>
      </c>
      <c r="AK31" s="1">
        <f t="shared" si="22"/>
        <v>0.48</v>
      </c>
      <c r="AL31" s="1">
        <f t="shared" si="23"/>
        <v>6.6382978723404253</v>
      </c>
      <c r="AM31" s="6">
        <f t="shared" si="24"/>
        <v>28.319148936170212</v>
      </c>
    </row>
    <row r="32" spans="1:39" x14ac:dyDescent="0.15">
      <c r="A32" s="31" t="s">
        <v>147</v>
      </c>
      <c r="B32" s="50">
        <f>B30*np</f>
        <v>2000</v>
      </c>
      <c r="C32" s="31" t="s">
        <v>136</v>
      </c>
      <c r="E32" s="34" t="s">
        <v>201</v>
      </c>
      <c r="N32">
        <v>2.5999999999999999E-2</v>
      </c>
      <c r="O32">
        <f t="shared" si="0"/>
        <v>26</v>
      </c>
      <c r="P32" s="5">
        <f t="shared" si="1"/>
        <v>0.66666666666666663</v>
      </c>
      <c r="Q32" s="1">
        <f t="shared" si="2"/>
        <v>0.33333333333333337</v>
      </c>
      <c r="R32" s="1">
        <f t="shared" si="3"/>
        <v>3.5460992907801421</v>
      </c>
      <c r="S32" s="6">
        <f t="shared" si="4"/>
        <v>27.773049645390071</v>
      </c>
      <c r="T32" s="5">
        <f t="shared" si="5"/>
        <v>0.4</v>
      </c>
      <c r="U32" s="1">
        <f t="shared" si="6"/>
        <v>0.6</v>
      </c>
      <c r="V32" s="1">
        <f t="shared" si="7"/>
        <v>6.3829787234042561</v>
      </c>
      <c r="W32" s="6">
        <f t="shared" si="8"/>
        <v>29.191489361702128</v>
      </c>
      <c r="X32" s="5">
        <f t="shared" si="9"/>
        <v>0.23529411764705882</v>
      </c>
      <c r="Y32" s="1">
        <f t="shared" si="10"/>
        <v>0.76470588235294112</v>
      </c>
      <c r="Z32" s="1">
        <f t="shared" si="11"/>
        <v>8.1351689612015026</v>
      </c>
      <c r="AA32" s="6">
        <f t="shared" si="12"/>
        <v>30.06758448060075</v>
      </c>
      <c r="AB32" s="5">
        <f t="shared" si="13"/>
        <v>0.37</v>
      </c>
      <c r="AC32" s="1">
        <f t="shared" si="14"/>
        <v>0.63</v>
      </c>
      <c r="AD32" s="1">
        <f t="shared" si="15"/>
        <v>6.1994680851063828</v>
      </c>
      <c r="AE32" s="6">
        <f t="shared" si="16"/>
        <v>29.099734042553191</v>
      </c>
      <c r="AF32" s="5">
        <f t="shared" si="17"/>
        <v>0.4</v>
      </c>
      <c r="AG32" s="1">
        <f t="shared" si="18"/>
        <v>0.6</v>
      </c>
      <c r="AH32" s="1">
        <f t="shared" si="25"/>
        <v>6.3829787234042561</v>
      </c>
      <c r="AI32" s="6">
        <f t="shared" si="26"/>
        <v>29.191489361702128</v>
      </c>
      <c r="AJ32" s="5">
        <f t="shared" si="21"/>
        <v>0.52</v>
      </c>
      <c r="AK32" s="1">
        <f t="shared" si="22"/>
        <v>0.48</v>
      </c>
      <c r="AL32" s="1">
        <f t="shared" si="23"/>
        <v>6.6382978723404253</v>
      </c>
      <c r="AM32" s="6">
        <f t="shared" si="24"/>
        <v>29.319148936170212</v>
      </c>
    </row>
    <row r="33" spans="1:39" x14ac:dyDescent="0.15">
      <c r="N33">
        <v>2.7E-2</v>
      </c>
      <c r="O33">
        <f t="shared" si="0"/>
        <v>27</v>
      </c>
      <c r="P33" s="5">
        <f t="shared" si="1"/>
        <v>0.66666666666666663</v>
      </c>
      <c r="Q33" s="1">
        <f t="shared" si="2"/>
        <v>0.33333333333333337</v>
      </c>
      <c r="R33" s="1">
        <f t="shared" si="3"/>
        <v>3.5460992907801421</v>
      </c>
      <c r="S33" s="6">
        <f t="shared" si="4"/>
        <v>28.773049645390071</v>
      </c>
      <c r="T33" s="5">
        <f t="shared" si="5"/>
        <v>0.4</v>
      </c>
      <c r="U33" s="1">
        <f t="shared" si="6"/>
        <v>0.6</v>
      </c>
      <c r="V33" s="1">
        <f t="shared" si="7"/>
        <v>6.3829787234042561</v>
      </c>
      <c r="W33" s="6">
        <f t="shared" si="8"/>
        <v>30.191489361702128</v>
      </c>
      <c r="X33" s="5">
        <f t="shared" si="9"/>
        <v>0.23529411764705882</v>
      </c>
      <c r="Y33" s="1">
        <f t="shared" si="10"/>
        <v>0.76470588235294112</v>
      </c>
      <c r="Z33" s="1">
        <f t="shared" si="11"/>
        <v>8.1351689612015026</v>
      </c>
      <c r="AA33" s="6">
        <f t="shared" si="12"/>
        <v>31.06758448060075</v>
      </c>
      <c r="AB33" s="5">
        <f t="shared" si="13"/>
        <v>0.37</v>
      </c>
      <c r="AC33" s="1">
        <f t="shared" si="14"/>
        <v>0.63</v>
      </c>
      <c r="AD33" s="1">
        <f t="shared" si="15"/>
        <v>6.1994680851063828</v>
      </c>
      <c r="AE33" s="6">
        <f t="shared" si="16"/>
        <v>30.099734042553191</v>
      </c>
      <c r="AF33" s="5">
        <f t="shared" si="17"/>
        <v>0.4</v>
      </c>
      <c r="AG33" s="1">
        <f t="shared" si="18"/>
        <v>0.6</v>
      </c>
      <c r="AH33" s="1">
        <f t="shared" si="25"/>
        <v>6.3829787234042561</v>
      </c>
      <c r="AI33" s="6">
        <f t="shared" si="26"/>
        <v>30.191489361702128</v>
      </c>
      <c r="AJ33" s="5">
        <f t="shared" si="21"/>
        <v>0.52</v>
      </c>
      <c r="AK33" s="1">
        <f t="shared" si="22"/>
        <v>0.48</v>
      </c>
      <c r="AL33" s="1">
        <f t="shared" si="23"/>
        <v>6.6382978723404253</v>
      </c>
      <c r="AM33" s="6">
        <f t="shared" si="24"/>
        <v>30.319148936170212</v>
      </c>
    </row>
    <row r="34" spans="1:39" x14ac:dyDescent="0.15">
      <c r="N34">
        <v>2.8000000000000001E-2</v>
      </c>
      <c r="O34">
        <f t="shared" si="0"/>
        <v>28</v>
      </c>
      <c r="P34" s="5">
        <f t="shared" si="1"/>
        <v>0.66666666666666663</v>
      </c>
      <c r="Q34" s="1">
        <f t="shared" si="2"/>
        <v>0.33333333333333337</v>
      </c>
      <c r="R34" s="1">
        <f t="shared" si="3"/>
        <v>3.5460992907801421</v>
      </c>
      <c r="S34" s="6">
        <f t="shared" si="4"/>
        <v>29.773049645390071</v>
      </c>
      <c r="T34" s="5">
        <f t="shared" si="5"/>
        <v>0.4</v>
      </c>
      <c r="U34" s="1">
        <f t="shared" si="6"/>
        <v>0.6</v>
      </c>
      <c r="V34" s="1">
        <f t="shared" si="7"/>
        <v>6.3829787234042561</v>
      </c>
      <c r="W34" s="6">
        <f t="shared" si="8"/>
        <v>31.191489361702128</v>
      </c>
      <c r="X34" s="5">
        <f t="shared" si="9"/>
        <v>0.23529411764705882</v>
      </c>
      <c r="Y34" s="1">
        <f t="shared" si="10"/>
        <v>0.76470588235294112</v>
      </c>
      <c r="Z34" s="1">
        <f t="shared" si="11"/>
        <v>8.1351689612015026</v>
      </c>
      <c r="AA34" s="6">
        <f t="shared" si="12"/>
        <v>32.06758448060075</v>
      </c>
      <c r="AB34" s="5">
        <f t="shared" si="13"/>
        <v>0.37</v>
      </c>
      <c r="AC34" s="1">
        <f t="shared" si="14"/>
        <v>0.63</v>
      </c>
      <c r="AD34" s="1">
        <f t="shared" si="15"/>
        <v>6.1994680851063828</v>
      </c>
      <c r="AE34" s="6">
        <f t="shared" si="16"/>
        <v>31.099734042553191</v>
      </c>
      <c r="AF34" s="5">
        <f t="shared" si="17"/>
        <v>0.4</v>
      </c>
      <c r="AG34" s="1">
        <f t="shared" si="18"/>
        <v>0.6</v>
      </c>
      <c r="AH34" s="1">
        <f t="shared" si="25"/>
        <v>6.3829787234042561</v>
      </c>
      <c r="AI34" s="6">
        <f t="shared" si="26"/>
        <v>31.191489361702128</v>
      </c>
      <c r="AJ34" s="5">
        <f t="shared" si="21"/>
        <v>0.52</v>
      </c>
      <c r="AK34" s="1">
        <f t="shared" si="22"/>
        <v>0.48</v>
      </c>
      <c r="AL34" s="1">
        <f t="shared" si="23"/>
        <v>6.6382978723404253</v>
      </c>
      <c r="AM34" s="6">
        <f t="shared" si="24"/>
        <v>31.319148936170212</v>
      </c>
    </row>
    <row r="35" spans="1:39" x14ac:dyDescent="0.15">
      <c r="A35" s="32" t="s">
        <v>148</v>
      </c>
      <c r="B35" s="53"/>
      <c r="C35" s="31"/>
      <c r="N35">
        <v>2.9000000000000001E-2</v>
      </c>
      <c r="O35">
        <f t="shared" si="0"/>
        <v>29</v>
      </c>
      <c r="P35" s="5">
        <f t="shared" si="1"/>
        <v>0.66666666666666663</v>
      </c>
      <c r="Q35" s="1">
        <f t="shared" si="2"/>
        <v>0.33333333333333337</v>
      </c>
      <c r="R35" s="1">
        <f t="shared" si="3"/>
        <v>3.5460992907801421</v>
      </c>
      <c r="S35" s="6">
        <f t="shared" si="4"/>
        <v>30.773049645390071</v>
      </c>
      <c r="T35" s="5">
        <f t="shared" si="5"/>
        <v>0.4</v>
      </c>
      <c r="U35" s="1">
        <f t="shared" si="6"/>
        <v>0.6</v>
      </c>
      <c r="V35" s="1">
        <f t="shared" si="7"/>
        <v>6.3829787234042561</v>
      </c>
      <c r="W35" s="6">
        <f t="shared" si="8"/>
        <v>32.191489361702125</v>
      </c>
      <c r="X35" s="5">
        <f t="shared" si="9"/>
        <v>0.23529411764705882</v>
      </c>
      <c r="Y35" s="1">
        <f t="shared" si="10"/>
        <v>0.76470588235294112</v>
      </c>
      <c r="Z35" s="1">
        <f t="shared" si="11"/>
        <v>8.1351689612015026</v>
      </c>
      <c r="AA35" s="6">
        <f t="shared" si="12"/>
        <v>33.06758448060075</v>
      </c>
      <c r="AB35" s="5">
        <f t="shared" si="13"/>
        <v>0.37</v>
      </c>
      <c r="AC35" s="1">
        <f t="shared" si="14"/>
        <v>0.63</v>
      </c>
      <c r="AD35" s="1">
        <f t="shared" si="15"/>
        <v>6.1994680851063828</v>
      </c>
      <c r="AE35" s="6">
        <f t="shared" si="16"/>
        <v>32.099734042553195</v>
      </c>
      <c r="AF35" s="5">
        <f t="shared" si="17"/>
        <v>0.4</v>
      </c>
      <c r="AG35" s="1">
        <f t="shared" si="18"/>
        <v>0.6</v>
      </c>
      <c r="AH35" s="1">
        <f t="shared" si="25"/>
        <v>6.3829787234042561</v>
      </c>
      <c r="AI35" s="6">
        <f t="shared" si="26"/>
        <v>32.191489361702125</v>
      </c>
      <c r="AJ35" s="5">
        <f t="shared" si="21"/>
        <v>0.52</v>
      </c>
      <c r="AK35" s="1">
        <f t="shared" si="22"/>
        <v>0.48</v>
      </c>
      <c r="AL35" s="1">
        <f t="shared" si="23"/>
        <v>6.6382978723404253</v>
      </c>
      <c r="AM35" s="6">
        <f t="shared" si="24"/>
        <v>32.319148936170215</v>
      </c>
    </row>
    <row r="36" spans="1:39" x14ac:dyDescent="0.15">
      <c r="A36" s="31" t="s">
        <v>151</v>
      </c>
      <c r="B36" s="49">
        <f>Design_Converter!B35/100</f>
        <v>0.30599999999999999</v>
      </c>
      <c r="C36" s="31"/>
      <c r="E36" s="34" t="s">
        <v>202</v>
      </c>
      <c r="N36">
        <v>0.03</v>
      </c>
      <c r="O36">
        <f t="shared" si="0"/>
        <v>30</v>
      </c>
      <c r="P36" s="5">
        <f t="shared" si="1"/>
        <v>0.66666666666666663</v>
      </c>
      <c r="Q36" s="1">
        <f t="shared" si="2"/>
        <v>0.33333333333333337</v>
      </c>
      <c r="R36" s="1">
        <f t="shared" si="3"/>
        <v>3.5460992907801421</v>
      </c>
      <c r="S36" s="6">
        <f t="shared" si="4"/>
        <v>31.773049645390071</v>
      </c>
      <c r="T36" s="5">
        <f t="shared" si="5"/>
        <v>0.4</v>
      </c>
      <c r="U36" s="1">
        <f t="shared" si="6"/>
        <v>0.6</v>
      </c>
      <c r="V36" s="1">
        <f t="shared" si="7"/>
        <v>6.3829787234042561</v>
      </c>
      <c r="W36" s="6">
        <f t="shared" si="8"/>
        <v>33.191489361702125</v>
      </c>
      <c r="X36" s="5">
        <f t="shared" si="9"/>
        <v>0.23529411764705882</v>
      </c>
      <c r="Y36" s="1">
        <f t="shared" si="10"/>
        <v>0.76470588235294112</v>
      </c>
      <c r="Z36" s="1">
        <f t="shared" si="11"/>
        <v>8.1351689612015026</v>
      </c>
      <c r="AA36" s="6">
        <f t="shared" si="12"/>
        <v>34.06758448060075</v>
      </c>
      <c r="AB36" s="5">
        <f t="shared" si="13"/>
        <v>0.37</v>
      </c>
      <c r="AC36" s="1">
        <f t="shared" si="14"/>
        <v>0.63</v>
      </c>
      <c r="AD36" s="1">
        <f t="shared" si="15"/>
        <v>6.1994680851063828</v>
      </c>
      <c r="AE36" s="6">
        <f t="shared" si="16"/>
        <v>33.099734042553195</v>
      </c>
      <c r="AF36" s="5">
        <f t="shared" si="17"/>
        <v>0.4</v>
      </c>
      <c r="AG36" s="1">
        <f t="shared" si="18"/>
        <v>0.6</v>
      </c>
      <c r="AH36" s="1">
        <f t="shared" si="25"/>
        <v>6.3829787234042561</v>
      </c>
      <c r="AI36" s="6">
        <f t="shared" si="26"/>
        <v>33.191489361702125</v>
      </c>
      <c r="AJ36" s="5">
        <f t="shared" si="21"/>
        <v>0.52</v>
      </c>
      <c r="AK36" s="1">
        <f t="shared" si="22"/>
        <v>0.48</v>
      </c>
      <c r="AL36" s="1">
        <f t="shared" si="23"/>
        <v>6.6382978723404253</v>
      </c>
      <c r="AM36" s="6">
        <f t="shared" si="24"/>
        <v>33.319148936170215</v>
      </c>
    </row>
    <row r="37" spans="1:39" x14ac:dyDescent="0.15">
      <c r="A37" s="31" t="s">
        <v>111</v>
      </c>
      <c r="B37" s="54">
        <f>(V48_Max-V12_Nom)*(V12_Nom/V48_Max)/((B25)*(B36)*Fsw)*(1000000)</f>
        <v>5.5534196249305818</v>
      </c>
      <c r="C37" s="31" t="s">
        <v>6</v>
      </c>
      <c r="E37" s="34" t="s">
        <v>193</v>
      </c>
      <c r="N37">
        <v>3.1E-2</v>
      </c>
      <c r="O37">
        <f t="shared" si="0"/>
        <v>31</v>
      </c>
      <c r="P37" s="5">
        <f t="shared" si="1"/>
        <v>0.66666666666666663</v>
      </c>
      <c r="Q37" s="1">
        <f t="shared" si="2"/>
        <v>0.33333333333333337</v>
      </c>
      <c r="R37" s="1">
        <f t="shared" si="3"/>
        <v>3.5460992907801421</v>
      </c>
      <c r="S37" s="6">
        <f t="shared" si="4"/>
        <v>32.773049645390074</v>
      </c>
      <c r="T37" s="5">
        <f t="shared" si="5"/>
        <v>0.4</v>
      </c>
      <c r="U37" s="1">
        <f t="shared" si="6"/>
        <v>0.6</v>
      </c>
      <c r="V37" s="1">
        <f t="shared" si="7"/>
        <v>6.3829787234042561</v>
      </c>
      <c r="W37" s="6">
        <f t="shared" si="8"/>
        <v>34.191489361702125</v>
      </c>
      <c r="X37" s="5">
        <f t="shared" si="9"/>
        <v>0.23529411764705882</v>
      </c>
      <c r="Y37" s="1">
        <f t="shared" si="10"/>
        <v>0.76470588235294112</v>
      </c>
      <c r="Z37" s="1">
        <f t="shared" si="11"/>
        <v>8.1351689612015026</v>
      </c>
      <c r="AA37" s="6">
        <f t="shared" si="12"/>
        <v>35.06758448060075</v>
      </c>
      <c r="AB37" s="5">
        <f t="shared" si="13"/>
        <v>0.37</v>
      </c>
      <c r="AC37" s="1">
        <f t="shared" si="14"/>
        <v>0.63</v>
      </c>
      <c r="AD37" s="1">
        <f t="shared" si="15"/>
        <v>6.1994680851063828</v>
      </c>
      <c r="AE37" s="6">
        <f t="shared" si="16"/>
        <v>34.099734042553195</v>
      </c>
      <c r="AF37" s="5">
        <f t="shared" si="17"/>
        <v>0.4</v>
      </c>
      <c r="AG37" s="1">
        <f t="shared" si="18"/>
        <v>0.6</v>
      </c>
      <c r="AH37" s="1">
        <f t="shared" si="25"/>
        <v>6.3829787234042561</v>
      </c>
      <c r="AI37" s="6">
        <f t="shared" si="26"/>
        <v>34.191489361702125</v>
      </c>
      <c r="AJ37" s="5">
        <f t="shared" si="21"/>
        <v>0.52</v>
      </c>
      <c r="AK37" s="1">
        <f t="shared" si="22"/>
        <v>0.48</v>
      </c>
      <c r="AL37" s="1">
        <f t="shared" si="23"/>
        <v>6.6382978723404253</v>
      </c>
      <c r="AM37" s="6">
        <f t="shared" si="24"/>
        <v>34.319148936170215</v>
      </c>
    </row>
    <row r="38" spans="1:39" x14ac:dyDescent="0.15">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0.66666666666666663</v>
      </c>
      <c r="Q38" s="1">
        <f t="shared" ref="Q38:Q56" si="29">IF($O38&lt;((V48_Min-V12_Nom)*V12_Nom)/((2*Lm*Fsw)*V48_Min),SQRT((2*$O38*Lm*Fsw*V12_Nom)/(V48_Min*(V48_Min-V12_Nom)))*((V48_Min-V12_Nom)/(V12_Nom)),1-(V12_Nom/V48_Min))</f>
        <v>0.33333333333333337</v>
      </c>
      <c r="R38" s="1">
        <f t="shared" ref="R38:R56" si="30">IF($O38&lt;((V48_Min-V12_Nom)*V12_Nom)/((2*Lm*Fsw)*V48_Min),(P38/(Fsw*Lm))*(V48_Min-V12_Nom),((P38/(Fsw*Lm))*(V48_Min-V12_Nom)))</f>
        <v>3.5460992907801421</v>
      </c>
      <c r="S38" s="6">
        <f t="shared" ref="S38:S56" si="31">IF($O38&lt;((V48_Min-V12_Nom)*V12_Nom)/((2*Lm*Fsw)*V48_Min),(P38/(Fsw*Lm))*(V48_Min-V12_Nom),(R38/2)+$O38)</f>
        <v>33.773049645390074</v>
      </c>
      <c r="T38" s="5">
        <f t="shared" ref="T38:T56" si="32">IF($O38&lt;((V48_Nom-V12_Nom)*V12_Nom)/((2*Lm*Fsw)*V48_Nom),SQRT((2*$O38*Lm*Fsw*V12_Nom)/(V48_Nom*(V48_Nom-V12_Nom))),(V12_Nom/V48_Nom))</f>
        <v>0.4</v>
      </c>
      <c r="U38" s="1">
        <f t="shared" ref="U38:U56" si="33">IF($O38&lt;((V48_Nom-V12_Nom)*V12_Nom)/((2*Lm*Fsw)*V48_Nom),SQRT((2*$O38*Lm*Fsw*V12_Nom)/(V48_Nom*(V48_Nom-V12_Nom)))*((V48_Nom-V12_Nom)/(V12_Nom)),1-(V12_Nom/V48_Nom))</f>
        <v>0.6</v>
      </c>
      <c r="V38" s="1">
        <f t="shared" ref="V38:V56" si="34">IF($O38&lt;((V48_Nom-V12_Nom)*V12_Nom)/((2*Lm*Fsw)*V48_Nom),(T38/(Fsw*Lm))*(V48_Nom-V12_Nom),((T38/(Fsw*Lm))*(V48_Nom-V12_Nom)))</f>
        <v>6.3829787234042561</v>
      </c>
      <c r="W38" s="6">
        <f t="shared" ref="W38:W56" si="35">IF($O38&lt;((V48_Nom-V12_Nom)*V12_Nom)/((2*Lm*Fsw)*V48_Nom),(T38/(Fsw*Lm))*(V48_Nom-V12_Nom),(V38/2)+$O38)</f>
        <v>35.191489361702125</v>
      </c>
      <c r="X38" s="5">
        <f t="shared" ref="X38:X56" si="36">IF($O38&lt;((V48_Max-V12_Nom)*V12_Nom)/((2*Lm*Fsw)*V48_Max),SQRT((2*$O38*Lm*Fsw*V12_Nom)/(V48_Max*(V48_Max-V12_Nom))),(V12_Nom/V48_Max))</f>
        <v>0.23529411764705882</v>
      </c>
      <c r="Y38" s="1">
        <f t="shared" ref="Y38:Y56" si="37">IF($O38&lt;((V48_Max-V12_Nom)*V12_Nom)/((2*Lm*Fsw)*V48_Max),SQRT((2*$O38*Lm*Fsw*V12_Nom)/(V48_Max*(V48_Max-V12_Nom)))*((V48_Max-V12_Nom)/(V12_Nom)),1-(V12_Nom/V48_Max))</f>
        <v>0.76470588235294112</v>
      </c>
      <c r="Z38" s="1">
        <f t="shared" ref="Z38:Z56" si="38">IF($O38&lt;((V48_Max-V12_Nom)*V12_Nom)/((2*Lm*Fsw)*V48_Max),(X38/(Fsw*Lm))*(V48_Max-V12_Nom),((X38/(Fsw*Lm))*(V48_Max-V12_Nom)))</f>
        <v>8.1351689612015026</v>
      </c>
      <c r="AA38" s="6">
        <f t="shared" ref="AA38:AA56" si="39">IF($O38&lt;((V48_Max-V12_Nom)*V12_Nom)/((2*Lm*Fsw)*V48_Max),(X38/(Fsw*Lm))*(V48_Max-V12_Nom),(Z38/2)+$O38)</f>
        <v>36.06758448060075</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0.4</v>
      </c>
      <c r="AG38" s="1">
        <f t="shared" si="18"/>
        <v>0.6</v>
      </c>
      <c r="AH38" s="1">
        <f t="shared" si="25"/>
        <v>6.3829787234042561</v>
      </c>
      <c r="AI38" s="6">
        <f t="shared" si="26"/>
        <v>35.191489361702125</v>
      </c>
      <c r="AJ38" s="5">
        <f t="shared" ref="AJ38:AJ56" si="44">IF($O38&lt;((V48_Nom-V12_Max)*V12_Max)/((2*Lm*Fsw)*V48_Nom),SQRT((2*$O38*Lm*Fsw*V12_Max)/(V48_Nom*(V48_Nom-V12_Max))),(V12_Max/V48_Nom))</f>
        <v>0.52</v>
      </c>
      <c r="AK38" s="1">
        <f t="shared" ref="AK38:AK56" si="45">IF($O38&lt;((V48_Nom-V12_Max)*V12_Max)/((2*Lm*Fsw)*V48_Nom),SQRT((2*$O38*Lm*Fsw*V12_Max)/(V48_Nom*(V48_Nom-V12_Max)))*((V48_Nom-V12_Max)/(V12_Max)),1-(V12_Max/V48_Nom))</f>
        <v>0.48</v>
      </c>
      <c r="AL38" s="1">
        <f t="shared" ref="AL38:AL56" si="46">IF($O38&lt;((V48_Nom-V12_Max)*V12_Max)/((2*Lm*Fsw)*V48_Nom),(AJ38/(Fsw*Lm))*(V48_Nom-V12_Max),((AJ38/(Fsw*Lm))*(V48_Nom-V12_Max)))</f>
        <v>6.6382978723404253</v>
      </c>
      <c r="AM38" s="6">
        <f t="shared" ref="AM38:AM56" si="47">IF($O38&lt;((V48_Nom-V12_Max)*V12_Max)/((2*Lm*Fsw)*V48_Nom),(AJ38/(Fsw*Lm))*(V48_Nom-V12_Max),(AL38/2)+$O38)</f>
        <v>35.319148936170215</v>
      </c>
    </row>
    <row r="39" spans="1:39" ht="15" x14ac:dyDescent="0.25">
      <c r="A39" s="31" t="s">
        <v>29</v>
      </c>
      <c r="B39" s="49">
        <f>Lm_DCR</f>
        <v>2.64E-3</v>
      </c>
      <c r="C39" s="67" t="s">
        <v>80</v>
      </c>
      <c r="N39">
        <v>3.3000000000000002E-2</v>
      </c>
      <c r="O39">
        <f t="shared" si="27"/>
        <v>33</v>
      </c>
      <c r="P39" s="5">
        <f t="shared" si="28"/>
        <v>0.66666666666666663</v>
      </c>
      <c r="Q39" s="1">
        <f t="shared" si="29"/>
        <v>0.33333333333333337</v>
      </c>
      <c r="R39" s="1">
        <f t="shared" si="30"/>
        <v>3.5460992907801421</v>
      </c>
      <c r="S39" s="6">
        <f t="shared" si="31"/>
        <v>34.773049645390074</v>
      </c>
      <c r="T39" s="5">
        <f t="shared" si="32"/>
        <v>0.4</v>
      </c>
      <c r="U39" s="1">
        <f t="shared" si="33"/>
        <v>0.6</v>
      </c>
      <c r="V39" s="1">
        <f t="shared" si="34"/>
        <v>6.3829787234042561</v>
      </c>
      <c r="W39" s="6">
        <f t="shared" si="35"/>
        <v>36.191489361702125</v>
      </c>
      <c r="X39" s="5">
        <f t="shared" si="36"/>
        <v>0.23529411764705882</v>
      </c>
      <c r="Y39" s="1">
        <f t="shared" si="37"/>
        <v>0.76470588235294112</v>
      </c>
      <c r="Z39" s="1">
        <f t="shared" si="38"/>
        <v>8.1351689612015026</v>
      </c>
      <c r="AA39" s="6">
        <f t="shared" si="39"/>
        <v>37.06758448060075</v>
      </c>
      <c r="AB39" s="5">
        <f t="shared" si="40"/>
        <v>0.37</v>
      </c>
      <c r="AC39" s="1">
        <f t="shared" si="41"/>
        <v>0.63</v>
      </c>
      <c r="AD39" s="1">
        <f t="shared" si="42"/>
        <v>6.1994680851063828</v>
      </c>
      <c r="AE39" s="6">
        <f t="shared" si="43"/>
        <v>36.099734042553195</v>
      </c>
      <c r="AF39" s="5">
        <f t="shared" si="17"/>
        <v>0.4</v>
      </c>
      <c r="AG39" s="1">
        <f t="shared" si="18"/>
        <v>0.6</v>
      </c>
      <c r="AH39" s="1">
        <f t="shared" si="25"/>
        <v>6.3829787234042561</v>
      </c>
      <c r="AI39" s="6">
        <f t="shared" si="26"/>
        <v>36.191489361702125</v>
      </c>
      <c r="AJ39" s="5">
        <f t="shared" si="44"/>
        <v>0.52</v>
      </c>
      <c r="AK39" s="1">
        <f t="shared" si="45"/>
        <v>0.48</v>
      </c>
      <c r="AL39" s="1">
        <f t="shared" si="46"/>
        <v>6.6382978723404253</v>
      </c>
      <c r="AM39" s="6">
        <f t="shared" si="47"/>
        <v>36.319148936170215</v>
      </c>
    </row>
    <row r="40" spans="1:39" ht="14.25" thickBot="1" x14ac:dyDescent="0.2">
      <c r="A40" s="203" t="s">
        <v>10</v>
      </c>
      <c r="B40" s="204"/>
      <c r="C40" s="205"/>
      <c r="E40" s="34" t="s">
        <v>154</v>
      </c>
      <c r="N40">
        <v>3.4000000000000002E-2</v>
      </c>
      <c r="O40">
        <f t="shared" si="27"/>
        <v>34</v>
      </c>
      <c r="P40" s="5">
        <f t="shared" si="28"/>
        <v>0.66666666666666663</v>
      </c>
      <c r="Q40" s="1">
        <f t="shared" si="29"/>
        <v>0.33333333333333337</v>
      </c>
      <c r="R40" s="1">
        <f t="shared" si="30"/>
        <v>3.5460992907801421</v>
      </c>
      <c r="S40" s="6">
        <f t="shared" si="31"/>
        <v>35.773049645390074</v>
      </c>
      <c r="T40" s="5">
        <f t="shared" si="32"/>
        <v>0.4</v>
      </c>
      <c r="U40" s="1">
        <f t="shared" si="33"/>
        <v>0.6</v>
      </c>
      <c r="V40" s="1">
        <f t="shared" si="34"/>
        <v>6.3829787234042561</v>
      </c>
      <c r="W40" s="6">
        <f t="shared" si="35"/>
        <v>37.191489361702125</v>
      </c>
      <c r="X40" s="5">
        <f t="shared" si="36"/>
        <v>0.23529411764705882</v>
      </c>
      <c r="Y40" s="1">
        <f t="shared" si="37"/>
        <v>0.76470588235294112</v>
      </c>
      <c r="Z40" s="1">
        <f t="shared" si="38"/>
        <v>8.1351689612015026</v>
      </c>
      <c r="AA40" s="6">
        <f t="shared" si="39"/>
        <v>38.06758448060075</v>
      </c>
      <c r="AB40" s="5">
        <f t="shared" si="40"/>
        <v>0.37</v>
      </c>
      <c r="AC40" s="1">
        <f t="shared" si="41"/>
        <v>0.63</v>
      </c>
      <c r="AD40" s="1">
        <f t="shared" si="42"/>
        <v>6.1994680851063828</v>
      </c>
      <c r="AE40" s="6">
        <f t="shared" si="43"/>
        <v>37.099734042553195</v>
      </c>
      <c r="AF40" s="5">
        <f t="shared" si="17"/>
        <v>0.4</v>
      </c>
      <c r="AG40" s="1">
        <f t="shared" si="18"/>
        <v>0.6</v>
      </c>
      <c r="AH40" s="1">
        <f t="shared" si="25"/>
        <v>6.3829787234042561</v>
      </c>
      <c r="AI40" s="6">
        <f t="shared" si="26"/>
        <v>37.191489361702125</v>
      </c>
      <c r="AJ40" s="5">
        <f t="shared" si="44"/>
        <v>0.52</v>
      </c>
      <c r="AK40" s="1">
        <f t="shared" si="45"/>
        <v>0.48</v>
      </c>
      <c r="AL40" s="1">
        <f t="shared" si="46"/>
        <v>6.6382978723404253</v>
      </c>
      <c r="AM40" s="6">
        <f t="shared" si="47"/>
        <v>37.319148936170215</v>
      </c>
    </row>
    <row r="41" spans="1:39" x14ac:dyDescent="0.15">
      <c r="A41" s="75" t="s">
        <v>82</v>
      </c>
      <c r="B41" s="76">
        <f>((V48_Min-V12_Nom)/(2*Lm*Fsw))*((V12_Nom*Rcs)/V48_Min)*1000</f>
        <v>1.7730496453900708</v>
      </c>
      <c r="C41" s="77" t="s">
        <v>72</v>
      </c>
      <c r="N41">
        <v>3.5000000000000003E-2</v>
      </c>
      <c r="O41">
        <f t="shared" si="27"/>
        <v>35</v>
      </c>
      <c r="P41" s="5">
        <f t="shared" si="28"/>
        <v>0.66666666666666663</v>
      </c>
      <c r="Q41" s="1">
        <f t="shared" si="29"/>
        <v>0.33333333333333337</v>
      </c>
      <c r="R41" s="1">
        <f t="shared" si="30"/>
        <v>3.5460992907801421</v>
      </c>
      <c r="S41" s="6">
        <f t="shared" si="31"/>
        <v>36.773049645390074</v>
      </c>
      <c r="T41" s="5">
        <f t="shared" si="32"/>
        <v>0.4</v>
      </c>
      <c r="U41" s="1">
        <f t="shared" si="33"/>
        <v>0.6</v>
      </c>
      <c r="V41" s="1">
        <f t="shared" si="34"/>
        <v>6.3829787234042561</v>
      </c>
      <c r="W41" s="6">
        <f t="shared" si="35"/>
        <v>38.191489361702125</v>
      </c>
      <c r="X41" s="5">
        <f t="shared" si="36"/>
        <v>0.23529411764705882</v>
      </c>
      <c r="Y41" s="1">
        <f t="shared" si="37"/>
        <v>0.76470588235294112</v>
      </c>
      <c r="Z41" s="1">
        <f t="shared" si="38"/>
        <v>8.1351689612015026</v>
      </c>
      <c r="AA41" s="6">
        <f t="shared" si="39"/>
        <v>39.06758448060075</v>
      </c>
      <c r="AB41" s="5">
        <f t="shared" si="40"/>
        <v>0.37</v>
      </c>
      <c r="AC41" s="1">
        <f t="shared" si="41"/>
        <v>0.63</v>
      </c>
      <c r="AD41" s="1">
        <f t="shared" si="42"/>
        <v>6.1994680851063828</v>
      </c>
      <c r="AE41" s="6">
        <f t="shared" si="43"/>
        <v>38.099734042553195</v>
      </c>
      <c r="AF41" s="5">
        <f t="shared" si="17"/>
        <v>0.4</v>
      </c>
      <c r="AG41" s="1">
        <f t="shared" si="18"/>
        <v>0.6</v>
      </c>
      <c r="AH41" s="1">
        <f t="shared" si="25"/>
        <v>6.3829787234042561</v>
      </c>
      <c r="AI41" s="6">
        <f t="shared" si="26"/>
        <v>38.191489361702125</v>
      </c>
      <c r="AJ41" s="5">
        <f t="shared" si="44"/>
        <v>0.52</v>
      </c>
      <c r="AK41" s="1">
        <f t="shared" si="45"/>
        <v>0.48</v>
      </c>
      <c r="AL41" s="1">
        <f t="shared" si="46"/>
        <v>6.6382978723404253</v>
      </c>
      <c r="AM41" s="6">
        <f t="shared" si="47"/>
        <v>38.319148936170215</v>
      </c>
    </row>
    <row r="42" spans="1:39" x14ac:dyDescent="0.15">
      <c r="A42" s="78" t="s">
        <v>83</v>
      </c>
      <c r="B42" s="57">
        <f>(B41/1000)/Rcs</f>
        <v>1.7730496453900708</v>
      </c>
      <c r="C42" s="42" t="s">
        <v>4</v>
      </c>
      <c r="N42">
        <v>3.5999999999999997E-2</v>
      </c>
      <c r="O42">
        <f t="shared" si="27"/>
        <v>36</v>
      </c>
      <c r="P42" s="5">
        <f t="shared" si="28"/>
        <v>0.66666666666666663</v>
      </c>
      <c r="Q42" s="1">
        <f t="shared" si="29"/>
        <v>0.33333333333333337</v>
      </c>
      <c r="R42" s="1">
        <f t="shared" si="30"/>
        <v>3.5460992907801421</v>
      </c>
      <c r="S42" s="6">
        <f t="shared" si="31"/>
        <v>37.773049645390074</v>
      </c>
      <c r="T42" s="5">
        <f t="shared" si="32"/>
        <v>0.4</v>
      </c>
      <c r="U42" s="1">
        <f t="shared" si="33"/>
        <v>0.6</v>
      </c>
      <c r="V42" s="1">
        <f t="shared" si="34"/>
        <v>6.3829787234042561</v>
      </c>
      <c r="W42" s="6">
        <f t="shared" si="35"/>
        <v>39.191489361702125</v>
      </c>
      <c r="X42" s="5">
        <f t="shared" si="36"/>
        <v>0.23529411764705882</v>
      </c>
      <c r="Y42" s="1">
        <f t="shared" si="37"/>
        <v>0.76470588235294112</v>
      </c>
      <c r="Z42" s="1">
        <f t="shared" si="38"/>
        <v>8.1351689612015026</v>
      </c>
      <c r="AA42" s="6">
        <f t="shared" si="39"/>
        <v>40.06758448060075</v>
      </c>
      <c r="AB42" s="5">
        <f t="shared" si="40"/>
        <v>0.37</v>
      </c>
      <c r="AC42" s="1">
        <f t="shared" si="41"/>
        <v>0.63</v>
      </c>
      <c r="AD42" s="1">
        <f t="shared" si="42"/>
        <v>6.1994680851063828</v>
      </c>
      <c r="AE42" s="6">
        <f t="shared" si="43"/>
        <v>39.099734042553195</v>
      </c>
      <c r="AF42" s="5">
        <f t="shared" si="17"/>
        <v>0.4</v>
      </c>
      <c r="AG42" s="1">
        <f t="shared" si="18"/>
        <v>0.6</v>
      </c>
      <c r="AH42" s="1">
        <f t="shared" si="25"/>
        <v>6.3829787234042561</v>
      </c>
      <c r="AI42" s="6">
        <f t="shared" si="26"/>
        <v>39.191489361702125</v>
      </c>
      <c r="AJ42" s="5">
        <f t="shared" si="44"/>
        <v>0.52</v>
      </c>
      <c r="AK42" s="1">
        <f t="shared" si="45"/>
        <v>0.48</v>
      </c>
      <c r="AL42" s="1">
        <f t="shared" si="46"/>
        <v>6.6382978723404253</v>
      </c>
      <c r="AM42" s="6">
        <f t="shared" si="47"/>
        <v>39.319148936170215</v>
      </c>
    </row>
    <row r="43" spans="1:39" x14ac:dyDescent="0.15">
      <c r="A43" s="78" t="s">
        <v>383</v>
      </c>
      <c r="B43" s="50">
        <f>(V12_Nom/V48_Min)</f>
        <v>0.66666666666666663</v>
      </c>
      <c r="C43" s="42"/>
      <c r="N43">
        <v>3.6999999999999998E-2</v>
      </c>
      <c r="O43">
        <f t="shared" si="27"/>
        <v>37</v>
      </c>
      <c r="P43" s="5">
        <f t="shared" si="28"/>
        <v>0.66666666666666663</v>
      </c>
      <c r="Q43" s="1">
        <f t="shared" si="29"/>
        <v>0.33333333333333337</v>
      </c>
      <c r="R43" s="1">
        <f t="shared" si="30"/>
        <v>3.5460992907801421</v>
      </c>
      <c r="S43" s="6">
        <f t="shared" si="31"/>
        <v>38.773049645390074</v>
      </c>
      <c r="T43" s="5">
        <f t="shared" si="32"/>
        <v>0.4</v>
      </c>
      <c r="U43" s="1">
        <f t="shared" si="33"/>
        <v>0.6</v>
      </c>
      <c r="V43" s="1">
        <f t="shared" si="34"/>
        <v>6.3829787234042561</v>
      </c>
      <c r="W43" s="6">
        <f t="shared" si="35"/>
        <v>40.191489361702125</v>
      </c>
      <c r="X43" s="5">
        <f t="shared" si="36"/>
        <v>0.23529411764705882</v>
      </c>
      <c r="Y43" s="1">
        <f t="shared" si="37"/>
        <v>0.76470588235294112</v>
      </c>
      <c r="Z43" s="1">
        <f t="shared" si="38"/>
        <v>8.1351689612015026</v>
      </c>
      <c r="AA43" s="6">
        <f t="shared" si="39"/>
        <v>41.06758448060075</v>
      </c>
      <c r="AB43" s="5">
        <f t="shared" si="40"/>
        <v>0.37</v>
      </c>
      <c r="AC43" s="1">
        <f t="shared" si="41"/>
        <v>0.63</v>
      </c>
      <c r="AD43" s="1">
        <f t="shared" si="42"/>
        <v>6.1994680851063828</v>
      </c>
      <c r="AE43" s="6">
        <f t="shared" si="43"/>
        <v>40.099734042553195</v>
      </c>
      <c r="AF43" s="5">
        <f t="shared" si="17"/>
        <v>0.4</v>
      </c>
      <c r="AG43" s="1">
        <f t="shared" si="18"/>
        <v>0.6</v>
      </c>
      <c r="AH43" s="1">
        <f t="shared" si="25"/>
        <v>6.3829787234042561</v>
      </c>
      <c r="AI43" s="6">
        <f t="shared" si="26"/>
        <v>40.191489361702125</v>
      </c>
      <c r="AJ43" s="5">
        <f t="shared" si="44"/>
        <v>0.52</v>
      </c>
      <c r="AK43" s="1">
        <f t="shared" si="45"/>
        <v>0.48</v>
      </c>
      <c r="AL43" s="1">
        <f t="shared" si="46"/>
        <v>6.6382978723404253</v>
      </c>
      <c r="AM43" s="6">
        <f t="shared" si="47"/>
        <v>40.319148936170215</v>
      </c>
    </row>
    <row r="44" spans="1:39" x14ac:dyDescent="0.15">
      <c r="A44" s="78" t="s">
        <v>74</v>
      </c>
      <c r="B44" s="56">
        <f>((V48_Nom-V12_Nom)/(2*Lm*Fsw))*((V12_Nom*Rcs)/V48_Nom)*1000</f>
        <v>3.191489361702128</v>
      </c>
      <c r="C44" s="42" t="s">
        <v>72</v>
      </c>
      <c r="N44">
        <v>3.7999999999999999E-2</v>
      </c>
      <c r="O44">
        <f t="shared" si="27"/>
        <v>38</v>
      </c>
      <c r="P44" s="5">
        <f t="shared" si="28"/>
        <v>0.66666666666666663</v>
      </c>
      <c r="Q44" s="1">
        <f t="shared" si="29"/>
        <v>0.33333333333333337</v>
      </c>
      <c r="R44" s="1">
        <f t="shared" si="30"/>
        <v>3.5460992907801421</v>
      </c>
      <c r="S44" s="6">
        <f t="shared" si="31"/>
        <v>39.773049645390074</v>
      </c>
      <c r="T44" s="5">
        <f t="shared" si="32"/>
        <v>0.4</v>
      </c>
      <c r="U44" s="1">
        <f t="shared" si="33"/>
        <v>0.6</v>
      </c>
      <c r="V44" s="1">
        <f t="shared" si="34"/>
        <v>6.3829787234042561</v>
      </c>
      <c r="W44" s="6">
        <f t="shared" si="35"/>
        <v>41.191489361702125</v>
      </c>
      <c r="X44" s="5">
        <f t="shared" si="36"/>
        <v>0.23529411764705882</v>
      </c>
      <c r="Y44" s="1">
        <f t="shared" si="37"/>
        <v>0.76470588235294112</v>
      </c>
      <c r="Z44" s="1">
        <f t="shared" si="38"/>
        <v>8.1351689612015026</v>
      </c>
      <c r="AA44" s="6">
        <f t="shared" si="39"/>
        <v>42.06758448060075</v>
      </c>
      <c r="AB44" s="5">
        <f t="shared" si="40"/>
        <v>0.37</v>
      </c>
      <c r="AC44" s="1">
        <f t="shared" si="41"/>
        <v>0.63</v>
      </c>
      <c r="AD44" s="1">
        <f t="shared" si="42"/>
        <v>6.1994680851063828</v>
      </c>
      <c r="AE44" s="6">
        <f t="shared" si="43"/>
        <v>41.099734042553195</v>
      </c>
      <c r="AF44" s="5">
        <f t="shared" si="17"/>
        <v>0.4</v>
      </c>
      <c r="AG44" s="1">
        <f t="shared" si="18"/>
        <v>0.6</v>
      </c>
      <c r="AH44" s="1">
        <f t="shared" si="25"/>
        <v>6.3829787234042561</v>
      </c>
      <c r="AI44" s="6">
        <f t="shared" si="26"/>
        <v>41.191489361702125</v>
      </c>
      <c r="AJ44" s="5">
        <f t="shared" si="44"/>
        <v>0.52</v>
      </c>
      <c r="AK44" s="1">
        <f t="shared" si="45"/>
        <v>0.48</v>
      </c>
      <c r="AL44" s="1">
        <f t="shared" si="46"/>
        <v>6.6382978723404253</v>
      </c>
      <c r="AM44" s="6">
        <f t="shared" si="47"/>
        <v>41.319148936170215</v>
      </c>
    </row>
    <row r="45" spans="1:39" x14ac:dyDescent="0.15">
      <c r="A45" s="78" t="s">
        <v>81</v>
      </c>
      <c r="B45" s="57">
        <f>(B44/1000)/Rcs</f>
        <v>3.191489361702128</v>
      </c>
      <c r="C45" s="42" t="s">
        <v>4</v>
      </c>
      <c r="N45">
        <v>3.9E-2</v>
      </c>
      <c r="O45">
        <f t="shared" si="27"/>
        <v>39</v>
      </c>
      <c r="P45" s="5">
        <f t="shared" si="28"/>
        <v>0.66666666666666663</v>
      </c>
      <c r="Q45" s="1">
        <f t="shared" si="29"/>
        <v>0.33333333333333337</v>
      </c>
      <c r="R45" s="1">
        <f t="shared" si="30"/>
        <v>3.5460992907801421</v>
      </c>
      <c r="S45" s="6">
        <f t="shared" si="31"/>
        <v>40.773049645390074</v>
      </c>
      <c r="T45" s="5">
        <f t="shared" si="32"/>
        <v>0.4</v>
      </c>
      <c r="U45" s="1">
        <f t="shared" si="33"/>
        <v>0.6</v>
      </c>
      <c r="V45" s="1">
        <f t="shared" si="34"/>
        <v>6.3829787234042561</v>
      </c>
      <c r="W45" s="6">
        <f t="shared" si="35"/>
        <v>42.191489361702125</v>
      </c>
      <c r="X45" s="5">
        <f t="shared" si="36"/>
        <v>0.23529411764705882</v>
      </c>
      <c r="Y45" s="1">
        <f t="shared" si="37"/>
        <v>0.76470588235294112</v>
      </c>
      <c r="Z45" s="1">
        <f t="shared" si="38"/>
        <v>8.1351689612015026</v>
      </c>
      <c r="AA45" s="6">
        <f t="shared" si="39"/>
        <v>43.06758448060075</v>
      </c>
      <c r="AB45" s="5">
        <f t="shared" si="40"/>
        <v>0.37</v>
      </c>
      <c r="AC45" s="1">
        <f t="shared" si="41"/>
        <v>0.63</v>
      </c>
      <c r="AD45" s="1">
        <f t="shared" si="42"/>
        <v>6.1994680851063828</v>
      </c>
      <c r="AE45" s="6">
        <f t="shared" si="43"/>
        <v>42.099734042553195</v>
      </c>
      <c r="AF45" s="5">
        <f t="shared" si="17"/>
        <v>0.4</v>
      </c>
      <c r="AG45" s="1">
        <f t="shared" si="18"/>
        <v>0.6</v>
      </c>
      <c r="AH45" s="1">
        <f t="shared" si="25"/>
        <v>6.3829787234042561</v>
      </c>
      <c r="AI45" s="6">
        <f t="shared" si="26"/>
        <v>42.191489361702125</v>
      </c>
      <c r="AJ45" s="5">
        <f t="shared" si="44"/>
        <v>0.52</v>
      </c>
      <c r="AK45" s="1">
        <f t="shared" si="45"/>
        <v>0.48</v>
      </c>
      <c r="AL45" s="1">
        <f t="shared" si="46"/>
        <v>6.6382978723404253</v>
      </c>
      <c r="AM45" s="6">
        <f t="shared" si="47"/>
        <v>42.319148936170215</v>
      </c>
    </row>
    <row r="46" spans="1:39" x14ac:dyDescent="0.15">
      <c r="A46" s="78" t="s">
        <v>383</v>
      </c>
      <c r="B46" s="61">
        <f>(V12_Nom/V48_Nom)</f>
        <v>0.4</v>
      </c>
      <c r="C46" s="42"/>
      <c r="N46">
        <v>0.04</v>
      </c>
      <c r="O46">
        <f t="shared" si="27"/>
        <v>40</v>
      </c>
      <c r="P46" s="5">
        <f t="shared" si="28"/>
        <v>0.66666666666666663</v>
      </c>
      <c r="Q46" s="1">
        <f t="shared" si="29"/>
        <v>0.33333333333333337</v>
      </c>
      <c r="R46" s="1">
        <f t="shared" si="30"/>
        <v>3.5460992907801421</v>
      </c>
      <c r="S46" s="6">
        <f t="shared" si="31"/>
        <v>41.773049645390074</v>
      </c>
      <c r="T46" s="5">
        <f t="shared" si="32"/>
        <v>0.4</v>
      </c>
      <c r="U46" s="1">
        <f t="shared" si="33"/>
        <v>0.6</v>
      </c>
      <c r="V46" s="1">
        <f t="shared" si="34"/>
        <v>6.3829787234042561</v>
      </c>
      <c r="W46" s="6">
        <f t="shared" si="35"/>
        <v>43.191489361702125</v>
      </c>
      <c r="X46" s="5">
        <f t="shared" si="36"/>
        <v>0.23529411764705882</v>
      </c>
      <c r="Y46" s="1">
        <f t="shared" si="37"/>
        <v>0.76470588235294112</v>
      </c>
      <c r="Z46" s="1">
        <f t="shared" si="38"/>
        <v>8.1351689612015026</v>
      </c>
      <c r="AA46" s="6">
        <f t="shared" si="39"/>
        <v>44.06758448060075</v>
      </c>
      <c r="AB46" s="5">
        <f t="shared" si="40"/>
        <v>0.37</v>
      </c>
      <c r="AC46" s="1">
        <f t="shared" si="41"/>
        <v>0.63</v>
      </c>
      <c r="AD46" s="1">
        <f t="shared" si="42"/>
        <v>6.1994680851063828</v>
      </c>
      <c r="AE46" s="6">
        <f t="shared" si="43"/>
        <v>43.099734042553195</v>
      </c>
      <c r="AF46" s="5">
        <f t="shared" si="17"/>
        <v>0.4</v>
      </c>
      <c r="AG46" s="1">
        <f t="shared" si="18"/>
        <v>0.6</v>
      </c>
      <c r="AH46" s="1">
        <f t="shared" si="25"/>
        <v>6.3829787234042561</v>
      </c>
      <c r="AI46" s="6">
        <f t="shared" si="26"/>
        <v>43.191489361702125</v>
      </c>
      <c r="AJ46" s="5">
        <f t="shared" si="44"/>
        <v>0.52</v>
      </c>
      <c r="AK46" s="1">
        <f t="shared" si="45"/>
        <v>0.48</v>
      </c>
      <c r="AL46" s="1">
        <f t="shared" si="46"/>
        <v>6.6382978723404253</v>
      </c>
      <c r="AM46" s="6">
        <f t="shared" si="47"/>
        <v>43.319148936170215</v>
      </c>
    </row>
    <row r="47" spans="1:39" x14ac:dyDescent="0.15">
      <c r="A47" s="78" t="s">
        <v>84</v>
      </c>
      <c r="B47" s="56">
        <f>((V48_Max-V12_Nom)/(2*Lm*Fsw))*((V12_Nom*Rcs)/V48_Max)*1000</f>
        <v>4.0675844806007513</v>
      </c>
      <c r="C47" s="42" t="s">
        <v>72</v>
      </c>
      <c r="N47">
        <v>4.1000000000000002E-2</v>
      </c>
      <c r="O47">
        <f t="shared" si="27"/>
        <v>41</v>
      </c>
      <c r="P47" s="5">
        <f t="shared" si="28"/>
        <v>0.66666666666666663</v>
      </c>
      <c r="Q47" s="1">
        <f t="shared" si="29"/>
        <v>0.33333333333333337</v>
      </c>
      <c r="R47" s="1">
        <f t="shared" si="30"/>
        <v>3.5460992907801421</v>
      </c>
      <c r="S47" s="6">
        <f t="shared" si="31"/>
        <v>42.773049645390074</v>
      </c>
      <c r="T47" s="5">
        <f t="shared" si="32"/>
        <v>0.4</v>
      </c>
      <c r="U47" s="1">
        <f t="shared" si="33"/>
        <v>0.6</v>
      </c>
      <c r="V47" s="1">
        <f t="shared" si="34"/>
        <v>6.3829787234042561</v>
      </c>
      <c r="W47" s="6">
        <f t="shared" si="35"/>
        <v>44.191489361702125</v>
      </c>
      <c r="X47" s="5">
        <f t="shared" si="36"/>
        <v>0.23529411764705882</v>
      </c>
      <c r="Y47" s="1">
        <f t="shared" si="37"/>
        <v>0.76470588235294112</v>
      </c>
      <c r="Z47" s="1">
        <f t="shared" si="38"/>
        <v>8.1351689612015026</v>
      </c>
      <c r="AA47" s="6">
        <f t="shared" si="39"/>
        <v>45.06758448060075</v>
      </c>
      <c r="AB47" s="5">
        <f t="shared" si="40"/>
        <v>0.37</v>
      </c>
      <c r="AC47" s="1">
        <f t="shared" si="41"/>
        <v>0.63</v>
      </c>
      <c r="AD47" s="1">
        <f t="shared" si="42"/>
        <v>6.1994680851063828</v>
      </c>
      <c r="AE47" s="6">
        <f t="shared" si="43"/>
        <v>44.099734042553195</v>
      </c>
      <c r="AF47" s="5">
        <f t="shared" si="17"/>
        <v>0.4</v>
      </c>
      <c r="AG47" s="1">
        <f t="shared" si="18"/>
        <v>0.6</v>
      </c>
      <c r="AH47" s="1">
        <f t="shared" si="25"/>
        <v>6.3829787234042561</v>
      </c>
      <c r="AI47" s="6">
        <f t="shared" si="26"/>
        <v>44.191489361702125</v>
      </c>
      <c r="AJ47" s="5">
        <f t="shared" si="44"/>
        <v>0.52</v>
      </c>
      <c r="AK47" s="1">
        <f t="shared" si="45"/>
        <v>0.48</v>
      </c>
      <c r="AL47" s="1">
        <f t="shared" si="46"/>
        <v>6.6382978723404253</v>
      </c>
      <c r="AM47" s="6">
        <f t="shared" si="47"/>
        <v>44.319148936170215</v>
      </c>
    </row>
    <row r="48" spans="1:39" x14ac:dyDescent="0.15">
      <c r="A48" s="78" t="s">
        <v>85</v>
      </c>
      <c r="B48" s="57">
        <f>(B47/1000)/Rcs</f>
        <v>4.0675844806007513</v>
      </c>
      <c r="C48" s="42" t="s">
        <v>4</v>
      </c>
      <c r="N48">
        <v>4.2000000000000003E-2</v>
      </c>
      <c r="O48">
        <f t="shared" si="27"/>
        <v>42</v>
      </c>
      <c r="P48" s="5">
        <f t="shared" si="28"/>
        <v>0.66666666666666663</v>
      </c>
      <c r="Q48" s="1">
        <f t="shared" si="29"/>
        <v>0.33333333333333337</v>
      </c>
      <c r="R48" s="1">
        <f t="shared" si="30"/>
        <v>3.5460992907801421</v>
      </c>
      <c r="S48" s="6">
        <f t="shared" si="31"/>
        <v>43.773049645390074</v>
      </c>
      <c r="T48" s="5">
        <f t="shared" si="32"/>
        <v>0.4</v>
      </c>
      <c r="U48" s="1">
        <f t="shared" si="33"/>
        <v>0.6</v>
      </c>
      <c r="V48" s="1">
        <f t="shared" si="34"/>
        <v>6.3829787234042561</v>
      </c>
      <c r="W48" s="6">
        <f t="shared" si="35"/>
        <v>45.191489361702125</v>
      </c>
      <c r="X48" s="5">
        <f t="shared" si="36"/>
        <v>0.23529411764705882</v>
      </c>
      <c r="Y48" s="1">
        <f t="shared" si="37"/>
        <v>0.76470588235294112</v>
      </c>
      <c r="Z48" s="1">
        <f t="shared" si="38"/>
        <v>8.1351689612015026</v>
      </c>
      <c r="AA48" s="6">
        <f t="shared" si="39"/>
        <v>46.06758448060075</v>
      </c>
      <c r="AB48" s="5">
        <f t="shared" si="40"/>
        <v>0.37</v>
      </c>
      <c r="AC48" s="1">
        <f t="shared" si="41"/>
        <v>0.63</v>
      </c>
      <c r="AD48" s="1">
        <f t="shared" si="42"/>
        <v>6.1994680851063828</v>
      </c>
      <c r="AE48" s="6">
        <f t="shared" si="43"/>
        <v>45.099734042553195</v>
      </c>
      <c r="AF48" s="5">
        <f t="shared" si="17"/>
        <v>0.4</v>
      </c>
      <c r="AG48" s="1">
        <f t="shared" si="18"/>
        <v>0.6</v>
      </c>
      <c r="AH48" s="1">
        <f t="shared" si="25"/>
        <v>6.3829787234042561</v>
      </c>
      <c r="AI48" s="6">
        <f t="shared" si="26"/>
        <v>45.191489361702125</v>
      </c>
      <c r="AJ48" s="5">
        <f t="shared" si="44"/>
        <v>0.52</v>
      </c>
      <c r="AK48" s="1">
        <f t="shared" si="45"/>
        <v>0.48</v>
      </c>
      <c r="AL48" s="1">
        <f t="shared" si="46"/>
        <v>6.6382978723404253</v>
      </c>
      <c r="AM48" s="6">
        <f t="shared" si="47"/>
        <v>45.319148936170215</v>
      </c>
    </row>
    <row r="49" spans="1:42" ht="14.25" thickBot="1" x14ac:dyDescent="0.2">
      <c r="A49" s="79" t="s">
        <v>383</v>
      </c>
      <c r="B49" s="57">
        <f>(V12_Nom/V48_Max)</f>
        <v>0.23529411764705882</v>
      </c>
      <c r="C49" s="80"/>
      <c r="N49">
        <v>4.2999999999999997E-2</v>
      </c>
      <c r="O49">
        <f t="shared" si="27"/>
        <v>42.999999999999993</v>
      </c>
      <c r="P49" s="5">
        <f t="shared" si="28"/>
        <v>0.66666666666666663</v>
      </c>
      <c r="Q49" s="1">
        <f t="shared" si="29"/>
        <v>0.33333333333333337</v>
      </c>
      <c r="R49" s="1">
        <f t="shared" si="30"/>
        <v>3.5460992907801421</v>
      </c>
      <c r="S49" s="6">
        <f t="shared" si="31"/>
        <v>44.773049645390067</v>
      </c>
      <c r="T49" s="5">
        <f t="shared" si="32"/>
        <v>0.4</v>
      </c>
      <c r="U49" s="1">
        <f t="shared" si="33"/>
        <v>0.6</v>
      </c>
      <c r="V49" s="1">
        <f t="shared" si="34"/>
        <v>6.3829787234042561</v>
      </c>
      <c r="W49" s="6">
        <f t="shared" si="35"/>
        <v>46.191489361702118</v>
      </c>
      <c r="X49" s="5">
        <f t="shared" si="36"/>
        <v>0.23529411764705882</v>
      </c>
      <c r="Y49" s="1">
        <f t="shared" si="37"/>
        <v>0.76470588235294112</v>
      </c>
      <c r="Z49" s="1">
        <f t="shared" si="38"/>
        <v>8.1351689612015026</v>
      </c>
      <c r="AA49" s="6">
        <f t="shared" si="39"/>
        <v>47.067584480600743</v>
      </c>
      <c r="AB49" s="5">
        <f t="shared" si="40"/>
        <v>0.37</v>
      </c>
      <c r="AC49" s="1">
        <f t="shared" si="41"/>
        <v>0.63</v>
      </c>
      <c r="AD49" s="1">
        <f t="shared" si="42"/>
        <v>6.1994680851063828</v>
      </c>
      <c r="AE49" s="6">
        <f t="shared" si="43"/>
        <v>46.099734042553187</v>
      </c>
      <c r="AF49" s="5">
        <f t="shared" si="17"/>
        <v>0.4</v>
      </c>
      <c r="AG49" s="1">
        <f t="shared" si="18"/>
        <v>0.6</v>
      </c>
      <c r="AH49" s="1">
        <f t="shared" si="25"/>
        <v>6.3829787234042561</v>
      </c>
      <c r="AI49" s="6">
        <f t="shared" si="26"/>
        <v>46.191489361702118</v>
      </c>
      <c r="AJ49" s="5">
        <f t="shared" si="44"/>
        <v>0.52</v>
      </c>
      <c r="AK49" s="1">
        <f t="shared" si="45"/>
        <v>0.48</v>
      </c>
      <c r="AL49" s="1">
        <f t="shared" si="46"/>
        <v>6.6382978723404253</v>
      </c>
      <c r="AM49" s="6">
        <f t="shared" si="47"/>
        <v>46.319148936170208</v>
      </c>
    </row>
    <row r="50" spans="1:42" x14ac:dyDescent="0.15">
      <c r="A50" s="75" t="s">
        <v>382</v>
      </c>
      <c r="B50" s="76">
        <f>((V48_Nom-V12_Min)/(2*Lm*Fsw))*((V12_Min*Rcs)/V48_Nom)*1000</f>
        <v>3.0997340425531914</v>
      </c>
      <c r="C50" s="77" t="s">
        <v>72</v>
      </c>
      <c r="N50">
        <v>4.3999999999999997E-2</v>
      </c>
      <c r="O50">
        <f t="shared" si="27"/>
        <v>44</v>
      </c>
      <c r="P50" s="5">
        <f t="shared" si="28"/>
        <v>0.66666666666666663</v>
      </c>
      <c r="Q50" s="1">
        <f t="shared" si="29"/>
        <v>0.33333333333333337</v>
      </c>
      <c r="R50" s="1">
        <f t="shared" si="30"/>
        <v>3.5460992907801421</v>
      </c>
      <c r="S50" s="6">
        <f t="shared" si="31"/>
        <v>45.773049645390074</v>
      </c>
      <c r="T50" s="5">
        <f t="shared" si="32"/>
        <v>0.4</v>
      </c>
      <c r="U50" s="1">
        <f t="shared" si="33"/>
        <v>0.6</v>
      </c>
      <c r="V50" s="1">
        <f t="shared" si="34"/>
        <v>6.3829787234042561</v>
      </c>
      <c r="W50" s="6">
        <f t="shared" si="35"/>
        <v>47.191489361702125</v>
      </c>
      <c r="X50" s="5">
        <f t="shared" si="36"/>
        <v>0.23529411764705882</v>
      </c>
      <c r="Y50" s="1">
        <f t="shared" si="37"/>
        <v>0.76470588235294112</v>
      </c>
      <c r="Z50" s="1">
        <f t="shared" si="38"/>
        <v>8.1351689612015026</v>
      </c>
      <c r="AA50" s="6">
        <f t="shared" si="39"/>
        <v>48.06758448060075</v>
      </c>
      <c r="AB50" s="5">
        <f t="shared" si="40"/>
        <v>0.37</v>
      </c>
      <c r="AC50" s="1">
        <f t="shared" si="41"/>
        <v>0.63</v>
      </c>
      <c r="AD50" s="1">
        <f t="shared" si="42"/>
        <v>6.1994680851063828</v>
      </c>
      <c r="AE50" s="6">
        <f t="shared" si="43"/>
        <v>47.099734042553195</v>
      </c>
      <c r="AF50" s="5">
        <f t="shared" si="17"/>
        <v>0.4</v>
      </c>
      <c r="AG50" s="1">
        <f t="shared" si="18"/>
        <v>0.6</v>
      </c>
      <c r="AH50" s="1">
        <f t="shared" si="25"/>
        <v>6.3829787234042561</v>
      </c>
      <c r="AI50" s="6">
        <f t="shared" si="26"/>
        <v>47.191489361702125</v>
      </c>
      <c r="AJ50" s="5">
        <f t="shared" si="44"/>
        <v>0.52</v>
      </c>
      <c r="AK50" s="1">
        <f t="shared" si="45"/>
        <v>0.48</v>
      </c>
      <c r="AL50" s="1">
        <f t="shared" si="46"/>
        <v>6.6382978723404253</v>
      </c>
      <c r="AM50" s="6">
        <f t="shared" si="47"/>
        <v>47.319148936170215</v>
      </c>
    </row>
    <row r="51" spans="1:42" x14ac:dyDescent="0.15">
      <c r="A51" s="78" t="s">
        <v>381</v>
      </c>
      <c r="B51" s="57">
        <f>(B50/1000)/Rcs</f>
        <v>3.0997340425531914</v>
      </c>
      <c r="C51" s="42" t="s">
        <v>4</v>
      </c>
      <c r="N51">
        <v>4.4999999999999998E-2</v>
      </c>
      <c r="O51">
        <f t="shared" si="27"/>
        <v>45</v>
      </c>
      <c r="P51" s="5">
        <f t="shared" si="28"/>
        <v>0.66666666666666663</v>
      </c>
      <c r="Q51" s="1">
        <f t="shared" si="29"/>
        <v>0.33333333333333337</v>
      </c>
      <c r="R51" s="1">
        <f t="shared" si="30"/>
        <v>3.5460992907801421</v>
      </c>
      <c r="S51" s="6">
        <f t="shared" si="31"/>
        <v>46.773049645390074</v>
      </c>
      <c r="T51" s="5">
        <f t="shared" si="32"/>
        <v>0.4</v>
      </c>
      <c r="U51" s="1">
        <f t="shared" si="33"/>
        <v>0.6</v>
      </c>
      <c r="V51" s="1">
        <f t="shared" si="34"/>
        <v>6.3829787234042561</v>
      </c>
      <c r="W51" s="6">
        <f t="shared" si="35"/>
        <v>48.191489361702125</v>
      </c>
      <c r="X51" s="5">
        <f t="shared" si="36"/>
        <v>0.23529411764705882</v>
      </c>
      <c r="Y51" s="1">
        <f t="shared" si="37"/>
        <v>0.76470588235294112</v>
      </c>
      <c r="Z51" s="1">
        <f t="shared" si="38"/>
        <v>8.1351689612015026</v>
      </c>
      <c r="AA51" s="6">
        <f t="shared" si="39"/>
        <v>49.06758448060075</v>
      </c>
      <c r="AB51" s="5">
        <f t="shared" si="40"/>
        <v>0.37</v>
      </c>
      <c r="AC51" s="1">
        <f t="shared" si="41"/>
        <v>0.63</v>
      </c>
      <c r="AD51" s="1">
        <f t="shared" si="42"/>
        <v>6.1994680851063828</v>
      </c>
      <c r="AE51" s="6">
        <f t="shared" si="43"/>
        <v>48.099734042553195</v>
      </c>
      <c r="AF51" s="5">
        <f t="shared" si="17"/>
        <v>0.4</v>
      </c>
      <c r="AG51" s="1">
        <f t="shared" si="18"/>
        <v>0.6</v>
      </c>
      <c r="AH51" s="1">
        <f t="shared" si="25"/>
        <v>6.3829787234042561</v>
      </c>
      <c r="AI51" s="6">
        <f t="shared" si="26"/>
        <v>48.191489361702125</v>
      </c>
      <c r="AJ51" s="5">
        <f t="shared" si="44"/>
        <v>0.52</v>
      </c>
      <c r="AK51" s="1">
        <f t="shared" si="45"/>
        <v>0.48</v>
      </c>
      <c r="AL51" s="1">
        <f t="shared" si="46"/>
        <v>6.6382978723404253</v>
      </c>
      <c r="AM51" s="6">
        <f t="shared" si="47"/>
        <v>48.319148936170215</v>
      </c>
    </row>
    <row r="52" spans="1:42" x14ac:dyDescent="0.15">
      <c r="A52" s="78" t="s">
        <v>383</v>
      </c>
      <c r="B52" s="50">
        <f>1-(V12_Min/V48_Nom)</f>
        <v>0.63</v>
      </c>
      <c r="C52" s="42"/>
      <c r="N52">
        <v>4.5999999999999999E-2</v>
      </c>
      <c r="O52">
        <f t="shared" si="27"/>
        <v>46</v>
      </c>
      <c r="P52" s="5">
        <f t="shared" si="28"/>
        <v>0.66666666666666663</v>
      </c>
      <c r="Q52" s="1">
        <f t="shared" si="29"/>
        <v>0.33333333333333337</v>
      </c>
      <c r="R52" s="1">
        <f t="shared" si="30"/>
        <v>3.5460992907801421</v>
      </c>
      <c r="S52" s="6">
        <f t="shared" si="31"/>
        <v>47.773049645390074</v>
      </c>
      <c r="T52" s="5">
        <f t="shared" si="32"/>
        <v>0.4</v>
      </c>
      <c r="U52" s="1">
        <f t="shared" si="33"/>
        <v>0.6</v>
      </c>
      <c r="V52" s="1">
        <f t="shared" si="34"/>
        <v>6.3829787234042561</v>
      </c>
      <c r="W52" s="6">
        <f t="shared" si="35"/>
        <v>49.191489361702125</v>
      </c>
      <c r="X52" s="5">
        <f t="shared" si="36"/>
        <v>0.23529411764705882</v>
      </c>
      <c r="Y52" s="1">
        <f t="shared" si="37"/>
        <v>0.76470588235294112</v>
      </c>
      <c r="Z52" s="1">
        <f t="shared" si="38"/>
        <v>8.1351689612015026</v>
      </c>
      <c r="AA52" s="6">
        <f t="shared" si="39"/>
        <v>50.06758448060075</v>
      </c>
      <c r="AB52" s="5">
        <f t="shared" si="40"/>
        <v>0.37</v>
      </c>
      <c r="AC52" s="1">
        <f t="shared" si="41"/>
        <v>0.63</v>
      </c>
      <c r="AD52" s="1">
        <f t="shared" si="42"/>
        <v>6.1994680851063828</v>
      </c>
      <c r="AE52" s="6">
        <f t="shared" si="43"/>
        <v>49.099734042553195</v>
      </c>
      <c r="AF52" s="5">
        <f t="shared" si="17"/>
        <v>0.4</v>
      </c>
      <c r="AG52" s="1">
        <f t="shared" si="18"/>
        <v>0.6</v>
      </c>
      <c r="AH52" s="1">
        <f t="shared" si="25"/>
        <v>6.3829787234042561</v>
      </c>
      <c r="AI52" s="6">
        <f t="shared" si="26"/>
        <v>49.191489361702125</v>
      </c>
      <c r="AJ52" s="5">
        <f t="shared" si="44"/>
        <v>0.52</v>
      </c>
      <c r="AK52" s="1">
        <f t="shared" si="45"/>
        <v>0.48</v>
      </c>
      <c r="AL52" s="1">
        <f t="shared" si="46"/>
        <v>6.6382978723404253</v>
      </c>
      <c r="AM52" s="6">
        <f t="shared" si="47"/>
        <v>49.319148936170215</v>
      </c>
    </row>
    <row r="53" spans="1:42" x14ac:dyDescent="0.15">
      <c r="A53" s="78" t="s">
        <v>74</v>
      </c>
      <c r="B53" s="56">
        <f>((V48_Nom-V12_Nom)/(2*Lm*Fsw))*((V12_Nom*Rcs)/V48_Nom)*1000</f>
        <v>3.191489361702128</v>
      </c>
      <c r="C53" s="42" t="s">
        <v>72</v>
      </c>
      <c r="N53">
        <v>4.7E-2</v>
      </c>
      <c r="O53">
        <f t="shared" si="27"/>
        <v>47</v>
      </c>
      <c r="P53" s="5">
        <f t="shared" si="28"/>
        <v>0.66666666666666663</v>
      </c>
      <c r="Q53" s="1">
        <f t="shared" si="29"/>
        <v>0.33333333333333337</v>
      </c>
      <c r="R53" s="1">
        <f t="shared" si="30"/>
        <v>3.5460992907801421</v>
      </c>
      <c r="S53" s="6">
        <f t="shared" si="31"/>
        <v>48.773049645390074</v>
      </c>
      <c r="T53" s="5">
        <f t="shared" si="32"/>
        <v>0.4</v>
      </c>
      <c r="U53" s="1">
        <f t="shared" si="33"/>
        <v>0.6</v>
      </c>
      <c r="V53" s="1">
        <f t="shared" si="34"/>
        <v>6.3829787234042561</v>
      </c>
      <c r="W53" s="6">
        <f t="shared" si="35"/>
        <v>50.191489361702125</v>
      </c>
      <c r="X53" s="5">
        <f t="shared" si="36"/>
        <v>0.23529411764705882</v>
      </c>
      <c r="Y53" s="1">
        <f t="shared" si="37"/>
        <v>0.76470588235294112</v>
      </c>
      <c r="Z53" s="1">
        <f t="shared" si="38"/>
        <v>8.1351689612015026</v>
      </c>
      <c r="AA53" s="6">
        <f t="shared" si="39"/>
        <v>51.06758448060075</v>
      </c>
      <c r="AB53" s="5">
        <f t="shared" si="40"/>
        <v>0.37</v>
      </c>
      <c r="AC53" s="1">
        <f t="shared" si="41"/>
        <v>0.63</v>
      </c>
      <c r="AD53" s="1">
        <f t="shared" si="42"/>
        <v>6.1994680851063828</v>
      </c>
      <c r="AE53" s="6">
        <f t="shared" si="43"/>
        <v>50.099734042553195</v>
      </c>
      <c r="AF53" s="5">
        <f t="shared" si="17"/>
        <v>0.4</v>
      </c>
      <c r="AG53" s="1">
        <f t="shared" si="18"/>
        <v>0.6</v>
      </c>
      <c r="AH53" s="1">
        <f t="shared" si="25"/>
        <v>6.3829787234042561</v>
      </c>
      <c r="AI53" s="6">
        <f t="shared" si="26"/>
        <v>50.191489361702125</v>
      </c>
      <c r="AJ53" s="5">
        <f t="shared" si="44"/>
        <v>0.52</v>
      </c>
      <c r="AK53" s="1">
        <f t="shared" si="45"/>
        <v>0.48</v>
      </c>
      <c r="AL53" s="1">
        <f t="shared" si="46"/>
        <v>6.6382978723404253</v>
      </c>
      <c r="AM53" s="6">
        <f t="shared" si="47"/>
        <v>50.319148936170215</v>
      </c>
    </row>
    <row r="54" spans="1:42" x14ac:dyDescent="0.15">
      <c r="A54" s="78" t="s">
        <v>81</v>
      </c>
      <c r="B54" s="57">
        <f>(B53/1000)/Rcs</f>
        <v>3.191489361702128</v>
      </c>
      <c r="C54" s="42" t="s">
        <v>4</v>
      </c>
      <c r="N54">
        <v>4.8000000000000001E-2</v>
      </c>
      <c r="O54">
        <f t="shared" si="27"/>
        <v>48</v>
      </c>
      <c r="P54" s="5">
        <f t="shared" si="28"/>
        <v>0.66666666666666663</v>
      </c>
      <c r="Q54" s="1">
        <f t="shared" si="29"/>
        <v>0.33333333333333337</v>
      </c>
      <c r="R54" s="1">
        <f t="shared" si="30"/>
        <v>3.5460992907801421</v>
      </c>
      <c r="S54" s="6">
        <f t="shared" si="31"/>
        <v>49.773049645390074</v>
      </c>
      <c r="T54" s="5">
        <f t="shared" si="32"/>
        <v>0.4</v>
      </c>
      <c r="U54" s="1">
        <f t="shared" si="33"/>
        <v>0.6</v>
      </c>
      <c r="V54" s="1">
        <f t="shared" si="34"/>
        <v>6.3829787234042561</v>
      </c>
      <c r="W54" s="6">
        <f t="shared" si="35"/>
        <v>51.191489361702125</v>
      </c>
      <c r="X54" s="5">
        <f t="shared" si="36"/>
        <v>0.23529411764705882</v>
      </c>
      <c r="Y54" s="1">
        <f t="shared" si="37"/>
        <v>0.76470588235294112</v>
      </c>
      <c r="Z54" s="1">
        <f t="shared" si="38"/>
        <v>8.1351689612015026</v>
      </c>
      <c r="AA54" s="6">
        <f t="shared" si="39"/>
        <v>52.06758448060075</v>
      </c>
      <c r="AB54" s="5">
        <f t="shared" si="40"/>
        <v>0.37</v>
      </c>
      <c r="AC54" s="1">
        <f t="shared" si="41"/>
        <v>0.63</v>
      </c>
      <c r="AD54" s="1">
        <f t="shared" si="42"/>
        <v>6.1994680851063828</v>
      </c>
      <c r="AE54" s="6">
        <f t="shared" si="43"/>
        <v>51.099734042553195</v>
      </c>
      <c r="AF54" s="5">
        <f t="shared" si="17"/>
        <v>0.4</v>
      </c>
      <c r="AG54" s="1">
        <f t="shared" si="18"/>
        <v>0.6</v>
      </c>
      <c r="AH54" s="1">
        <f t="shared" si="25"/>
        <v>6.3829787234042561</v>
      </c>
      <c r="AI54" s="6">
        <f t="shared" si="26"/>
        <v>51.191489361702125</v>
      </c>
      <c r="AJ54" s="5">
        <f t="shared" si="44"/>
        <v>0.52</v>
      </c>
      <c r="AK54" s="1">
        <f t="shared" si="45"/>
        <v>0.48</v>
      </c>
      <c r="AL54" s="1">
        <f t="shared" si="46"/>
        <v>6.6382978723404253</v>
      </c>
      <c r="AM54" s="6">
        <f t="shared" si="47"/>
        <v>51.319148936170215</v>
      </c>
    </row>
    <row r="55" spans="1:42" x14ac:dyDescent="0.15">
      <c r="A55" s="78" t="s">
        <v>383</v>
      </c>
      <c r="B55" s="57">
        <f>1-(V12_Nom/V48_Nom)</f>
        <v>0.6</v>
      </c>
      <c r="C55" s="42"/>
      <c r="N55">
        <v>4.9000000000000002E-2</v>
      </c>
      <c r="O55">
        <f t="shared" si="27"/>
        <v>49</v>
      </c>
      <c r="P55" s="5">
        <f t="shared" si="28"/>
        <v>0.66666666666666663</v>
      </c>
      <c r="Q55" s="1">
        <f t="shared" si="29"/>
        <v>0.33333333333333337</v>
      </c>
      <c r="R55" s="1">
        <f t="shared" si="30"/>
        <v>3.5460992907801421</v>
      </c>
      <c r="S55" s="6">
        <f t="shared" si="31"/>
        <v>50.773049645390074</v>
      </c>
      <c r="T55" s="5">
        <f t="shared" si="32"/>
        <v>0.4</v>
      </c>
      <c r="U55" s="1">
        <f t="shared" si="33"/>
        <v>0.6</v>
      </c>
      <c r="V55" s="1">
        <f t="shared" si="34"/>
        <v>6.3829787234042561</v>
      </c>
      <c r="W55" s="6">
        <f t="shared" si="35"/>
        <v>52.191489361702125</v>
      </c>
      <c r="X55" s="5">
        <f t="shared" si="36"/>
        <v>0.23529411764705882</v>
      </c>
      <c r="Y55" s="1">
        <f t="shared" si="37"/>
        <v>0.76470588235294112</v>
      </c>
      <c r="Z55" s="1">
        <f t="shared" si="38"/>
        <v>8.1351689612015026</v>
      </c>
      <c r="AA55" s="6">
        <f t="shared" si="39"/>
        <v>53.06758448060075</v>
      </c>
      <c r="AB55" s="5">
        <f t="shared" si="40"/>
        <v>0.37</v>
      </c>
      <c r="AC55" s="1">
        <f t="shared" si="41"/>
        <v>0.63</v>
      </c>
      <c r="AD55" s="1">
        <f t="shared" si="42"/>
        <v>6.1994680851063828</v>
      </c>
      <c r="AE55" s="6">
        <f t="shared" si="43"/>
        <v>52.099734042553195</v>
      </c>
      <c r="AF55" s="5">
        <f t="shared" si="17"/>
        <v>0.4</v>
      </c>
      <c r="AG55" s="1">
        <f t="shared" si="18"/>
        <v>0.6</v>
      </c>
      <c r="AH55" s="1">
        <f t="shared" si="25"/>
        <v>6.3829787234042561</v>
      </c>
      <c r="AI55" s="6">
        <f t="shared" si="26"/>
        <v>52.191489361702125</v>
      </c>
      <c r="AJ55" s="5">
        <f t="shared" si="44"/>
        <v>0.52</v>
      </c>
      <c r="AK55" s="1">
        <f t="shared" si="45"/>
        <v>0.48</v>
      </c>
      <c r="AL55" s="1">
        <f t="shared" si="46"/>
        <v>6.6382978723404253</v>
      </c>
      <c r="AM55" s="6">
        <f t="shared" si="47"/>
        <v>52.319148936170215</v>
      </c>
    </row>
    <row r="56" spans="1:42" x14ac:dyDescent="0.15">
      <c r="A56" s="78" t="s">
        <v>380</v>
      </c>
      <c r="B56" s="56">
        <f>((V48_Nom-V12_Max)/(2*Lm*Fsw))*((V12_Max*Rcs)/V48_Nom)*1000</f>
        <v>3.3191489361702136</v>
      </c>
      <c r="C56" s="42" t="s">
        <v>72</v>
      </c>
      <c r="N56">
        <v>0.05</v>
      </c>
      <c r="O56">
        <f t="shared" si="27"/>
        <v>50</v>
      </c>
      <c r="P56" s="5">
        <f t="shared" si="28"/>
        <v>0.66666666666666663</v>
      </c>
      <c r="Q56" s="1">
        <f t="shared" si="29"/>
        <v>0.33333333333333337</v>
      </c>
      <c r="R56" s="1">
        <f t="shared" si="30"/>
        <v>3.5460992907801421</v>
      </c>
      <c r="S56" s="6">
        <f t="shared" si="31"/>
        <v>51.773049645390074</v>
      </c>
      <c r="T56" s="5">
        <f t="shared" si="32"/>
        <v>0.4</v>
      </c>
      <c r="U56" s="1">
        <f t="shared" si="33"/>
        <v>0.6</v>
      </c>
      <c r="V56" s="1">
        <f t="shared" si="34"/>
        <v>6.3829787234042561</v>
      </c>
      <c r="W56" s="6">
        <f t="shared" si="35"/>
        <v>53.191489361702125</v>
      </c>
      <c r="X56" s="5">
        <f t="shared" si="36"/>
        <v>0.23529411764705882</v>
      </c>
      <c r="Y56" s="1">
        <f t="shared" si="37"/>
        <v>0.76470588235294112</v>
      </c>
      <c r="Z56" s="1">
        <f t="shared" si="38"/>
        <v>8.1351689612015026</v>
      </c>
      <c r="AA56" s="6">
        <f t="shared" si="39"/>
        <v>54.06758448060075</v>
      </c>
      <c r="AB56" s="5">
        <f t="shared" si="40"/>
        <v>0.37</v>
      </c>
      <c r="AC56" s="1">
        <f t="shared" si="41"/>
        <v>0.63</v>
      </c>
      <c r="AD56" s="1">
        <f t="shared" si="42"/>
        <v>6.1994680851063828</v>
      </c>
      <c r="AE56" s="6">
        <f t="shared" si="43"/>
        <v>53.099734042553195</v>
      </c>
      <c r="AF56" s="5">
        <f t="shared" si="17"/>
        <v>0.4</v>
      </c>
      <c r="AG56" s="1">
        <f t="shared" si="18"/>
        <v>0.6</v>
      </c>
      <c r="AH56" s="1">
        <f t="shared" si="25"/>
        <v>6.3829787234042561</v>
      </c>
      <c r="AI56" s="6">
        <f t="shared" si="26"/>
        <v>53.191489361702125</v>
      </c>
      <c r="AJ56" s="5">
        <f t="shared" si="44"/>
        <v>0.52</v>
      </c>
      <c r="AK56" s="1">
        <f t="shared" si="45"/>
        <v>0.48</v>
      </c>
      <c r="AL56" s="1">
        <f t="shared" si="46"/>
        <v>6.6382978723404253</v>
      </c>
      <c r="AM56" s="6">
        <f t="shared" si="47"/>
        <v>53.319148936170215</v>
      </c>
    </row>
    <row r="57" spans="1:42" x14ac:dyDescent="0.15">
      <c r="A57" s="78" t="s">
        <v>379</v>
      </c>
      <c r="B57" s="57">
        <f>(B56/1000)/Rcs</f>
        <v>3.3191489361702136</v>
      </c>
      <c r="C57" s="42" t="s">
        <v>4</v>
      </c>
    </row>
    <row r="58" spans="1:42" ht="14.25" thickBot="1" x14ac:dyDescent="0.2">
      <c r="A58" s="79" t="s">
        <v>383</v>
      </c>
      <c r="B58" s="50">
        <f>1-(V12_Max/V48_Nom)</f>
        <v>0.48</v>
      </c>
      <c r="C58" s="80"/>
      <c r="N58" s="40"/>
      <c r="O58" s="40"/>
      <c r="P58" s="40" t="s">
        <v>79</v>
      </c>
      <c r="Q58" s="40"/>
      <c r="R58" s="40"/>
      <c r="S58" s="40"/>
      <c r="T58" s="40"/>
      <c r="U58" s="40"/>
      <c r="V58" s="40"/>
      <c r="W58" s="40"/>
      <c r="X58" s="40"/>
      <c r="Y58" s="40"/>
      <c r="Z58" s="40"/>
      <c r="AA58" s="40"/>
      <c r="AD58" s="195" t="s">
        <v>79</v>
      </c>
      <c r="AE58" s="195"/>
      <c r="AF58" s="195"/>
      <c r="AG58" s="195"/>
      <c r="AH58" s="195"/>
      <c r="AI58" s="195"/>
      <c r="AJ58" s="195"/>
      <c r="AK58" s="195"/>
      <c r="AL58" s="195"/>
      <c r="AM58" s="195"/>
      <c r="AN58" s="195"/>
      <c r="AO58" s="195"/>
    </row>
    <row r="59" spans="1:42" ht="14.25" thickBot="1" x14ac:dyDescent="0.2">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27.75" thickBot="1" x14ac:dyDescent="0.2">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x14ac:dyDescent="0.15">
      <c r="N61">
        <v>0</v>
      </c>
      <c r="O61">
        <f>V48_Min</f>
        <v>30</v>
      </c>
      <c r="P61" s="14">
        <f t="shared" ref="P61:P92" si="48">IF(I_Channel&lt;(($O61-V12_Min)*V12_Min)/((2*Lm*Fsw)*$O61),SQRT((2*I_Channel*Lm*Fsw*V12_Min)/($O61*($O61-V12_Min))),(V12_Min/$O61))</f>
        <v>0.6166666666666667</v>
      </c>
      <c r="Q61" s="15">
        <f t="shared" ref="Q61:Q92" si="49">IF(I_Channel&lt;(($O61-V12_Min)*V12_Min)/((2*Lm*Fsw)*$O61),SQRT((2*I_Channel*Lm*Fsw*V12_Min)/($O61*($O61-V12_Min)))*(($O61-V12_Min)/(V12_Min)),1-(V12_Min/$O61))</f>
        <v>0.3833333333333333</v>
      </c>
      <c r="R61" s="15">
        <f t="shared" ref="R61:R92" si="50">IF(I_Channel&lt;(($O61-V12_Min)*V12_Min)/((2*Lm*Fsw)*$O61),(P61/(Fsw*Lm))*($O61-V12_Min),((P61/(Fsw*Lm))*($O61-V12_Min)))</f>
        <v>3.7721631205673765</v>
      </c>
      <c r="S61" s="16">
        <f t="shared" ref="S61:S92" si="51">IF(I_Channel&lt;(($O61-V12_Min)*V12_Min)/((2*Lm*Fsw)*$O61),(P61/(Fsw*Lm))*($O61-V12_Min),(R61/2)+I_Channel)</f>
        <v>51.886081560283685</v>
      </c>
      <c r="T61" s="14">
        <f t="shared" ref="T61:T92" si="52">IF(I_Channel&lt;(($O61-V12_Nom)*V12_Nom)/((2*Lm*Fsw)*$O61),SQRT((2*I_Channel*Lm*Fsw*V12_Nom)/($O61*($O61-V12_Nom))),(V12_Nom/$O61))</f>
        <v>0.66666666666666663</v>
      </c>
      <c r="U61" s="15">
        <f t="shared" ref="U61:U92" si="53">IF(I_Channel&lt;(($O61-V12_Nom)*V12_Nom)/((2*Lm*Fsw)*$O61),SQRT((2*I_Channel*Lm*Fsw*V12_Nom)/($O61*($O61-V12_Nom)))*(($O61-V12_Nom)/(V12_Nom)),1-(V12_Nom/$O61))</f>
        <v>0.33333333333333337</v>
      </c>
      <c r="V61" s="15">
        <f t="shared" ref="V61:V92" si="54">IF(I_Channel&lt;(($O61-V12_Nom)*V12_Nom)/((2*Lm*Fsw)*$O61),(T61/(Fsw*Lm))*($O61-V12_Nom),((T61/(Fsw*Lm))*($O61-V12_Nom)))</f>
        <v>3.5460992907801421</v>
      </c>
      <c r="W61" s="16">
        <f t="shared" ref="W61:W92" si="55">IF(I_Channel&lt;(($O61-V12_Nom)*V12_Nom)/((2*Lm*Fsw)*$O61),(T61/(Fsw*Lm))*($O61-V12_Nom),(V61/2)+I_Channel)</f>
        <v>51.773049645390074</v>
      </c>
      <c r="X61" s="14">
        <f t="shared" ref="X61:X92" si="56">IF(I_Channel&lt;(($O61-V12_Max)*V12_Max)/((2*Lm*Fsw)*$O61),SQRT((2*I_Channel*Lm*Fsw*V12_Max)/($O61*($O61-V12_Max))),(V12_Max/$O61))</f>
        <v>0.8666666666666667</v>
      </c>
      <c r="Y61" s="15">
        <f t="shared" ref="Y61:Y92" si="57">IF(I_Channel&lt;(($O61-V12_Max)*V12_Max)/((2*Lm*Fsw)*$O61),SQRT((2*I_Channel*Lm*Fsw*V12_Max)/($O61*($O61-V12_Max)))*(($O61-V12_Max)/(V12_Max)),1-(V12_Max/$O61))</f>
        <v>0.1333333333333333</v>
      </c>
      <c r="Z61" s="15">
        <f t="shared" ref="Z61:Z92" si="58">IF(I_Channel&lt;(($O61-V12_Max)*V12_Max)/((2*Lm*Fsw)*$O61),(X61/(Fsw*Lm))*($O61-V12_Max),((X61/(Fsw*Lm))*($O61-V12_Max)))</f>
        <v>1.843971631205674</v>
      </c>
      <c r="AA61" s="16">
        <f t="shared" ref="AA61:AA92" si="59">IF(I_Channel&lt;(($O61-V12_Max)*V12_Max)/((2*Lm*Fsw)*$O61),(X61/(Fsw*Lm))*($O61-V12_Max),(Z61/2)+I_Channel)</f>
        <v>50.921985815602838</v>
      </c>
      <c r="AC61">
        <v>0</v>
      </c>
      <c r="AD61">
        <f>V12_Min</f>
        <v>18.5</v>
      </c>
      <c r="AE61" s="14">
        <f t="shared" ref="AE61:AE92" si="60">IF(I_Channel&lt;((V48_Min-$AD61)*$AD61)/((2*Lm*Fsw)*V48_Min),SQRT((2*I_Channel*Lm*Fsw*$AD61)/(V48_Min*(V48_Min-$AD61))),($AD61/V48_Min))</f>
        <v>0.6166666666666667</v>
      </c>
      <c r="AF61" s="15">
        <f t="shared" ref="AF61:AF92" si="61">IF(I_Channel&lt;((V48_Min-$AD61)*$AD61)/((2*Lm*Fsw)*V48_Min),SQRT((2*I_Channel*Lm*Fsw*$AD61)/(V48_Min*(V48_Min-$AD61)))*((V48_Min-$AD61)/($AD61)),1-($AD61/V48_Min))</f>
        <v>0.3833333333333333</v>
      </c>
      <c r="AG61" s="15">
        <f t="shared" ref="AG61:AG92" si="62">IF(I_Channel&lt;((V48_Min-$AD61)*$AD61)/((2*Lm*Fsw)*V48_Min),(AE61/(Fsw*Lm))*(V48_Min-$AD61),((AE61/(Fsw*Lm))*(V48_Min-$AD61)))</f>
        <v>3.7721631205673765</v>
      </c>
      <c r="AH61" s="16">
        <f t="shared" ref="AH61:AH92" si="63">IF(I_Channel&lt;((V48_Min-$AD61)*$AD61)/((2*Lm*Fsw)*V48_Min),(AE61/(Fsw*Lm))*(V48_Min-$AD61),(AG61/2)+I_Channel)</f>
        <v>51.886081560283685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0.21764705882352942</v>
      </c>
      <c r="AN61" s="15">
        <f t="shared" ref="AN61:AN92" si="69">IF(I_Channel&lt;((V48_Max-$AD61)*$AD61)/((2*Lm*Fsw)*V48_Max),SQRT((2*I_Channel*Lm*Fsw*$AD61)/(V48_Max*(V48_Max-$AD61)))*((V48_Max-$AD61)/($AD61)),1-($AD61/V48_Max))</f>
        <v>0.78235294117647058</v>
      </c>
      <c r="AO61" s="15">
        <f t="shared" ref="AO61:AO92" si="70">IF(I_Channel&lt;((V48_Max-$AD61)*$AD61)/((2*Lm*Fsw)*V48_Max),(AM61/(Fsw*Lm))*(V48_Max-$AD61),((AM61/(Fsw*Lm))*(V48_Max-$AD61)))</f>
        <v>7.698685857321653</v>
      </c>
      <c r="AP61" s="16">
        <f t="shared" ref="AP61:AP92" si="71">IF(I_Channel&lt;((V48_Max-$AD61)*$AD61)/((2*Lm*Fsw)*V48_Max),(AM61/(Fsw*Lm))*(V48_Max-$AD61),(AO61/2)+I_Channel)</f>
        <v>53.849342928660825</v>
      </c>
    </row>
    <row r="62" spans="1:42" x14ac:dyDescent="0.15">
      <c r="N62">
        <v>1</v>
      </c>
      <c r="O62">
        <f t="shared" ref="O62:O93" si="72">((V48_Max-V48_Min)/50)*N62+V48_Min</f>
        <v>31.1</v>
      </c>
      <c r="P62" s="14">
        <f t="shared" si="48"/>
        <v>0.59485530546623788</v>
      </c>
      <c r="Q62" s="15">
        <f t="shared" si="49"/>
        <v>0.40514469453376212</v>
      </c>
      <c r="R62" s="15">
        <f t="shared" si="50"/>
        <v>3.9867961962098928</v>
      </c>
      <c r="S62" s="16">
        <f t="shared" si="51"/>
        <v>51.993398098104947</v>
      </c>
      <c r="T62" s="14">
        <f t="shared" si="52"/>
        <v>0.64308681672025725</v>
      </c>
      <c r="U62" s="15">
        <f t="shared" si="53"/>
        <v>0.35691318327974275</v>
      </c>
      <c r="V62" s="15">
        <f t="shared" si="54"/>
        <v>3.7969487582951365</v>
      </c>
      <c r="W62" s="16">
        <f t="shared" si="55"/>
        <v>51.898474379147565</v>
      </c>
      <c r="X62" s="14">
        <f t="shared" si="56"/>
        <v>0.83601286173633438</v>
      </c>
      <c r="Y62" s="15">
        <f t="shared" si="57"/>
        <v>0.16398713826366562</v>
      </c>
      <c r="Z62" s="15">
        <f t="shared" si="58"/>
        <v>2.2679072313060145</v>
      </c>
      <c r="AA62" s="16">
        <f t="shared" si="59"/>
        <v>51.133953615653006</v>
      </c>
      <c r="AC62">
        <v>1</v>
      </c>
      <c r="AD62">
        <f t="shared" ref="AD62:AD93" si="73">((V12_Max-V12_Min)/50)*AC62+V12_Min</f>
        <v>18.649999999999999</v>
      </c>
      <c r="AE62" s="14">
        <f t="shared" si="60"/>
        <v>0.62166666666666659</v>
      </c>
      <c r="AF62" s="15">
        <f t="shared" si="61"/>
        <v>0.37833333333333341</v>
      </c>
      <c r="AG62" s="15">
        <f t="shared" si="62"/>
        <v>3.7531471631205675</v>
      </c>
      <c r="AH62" s="16">
        <f t="shared" si="63"/>
        <v>51.876573581560287</v>
      </c>
      <c r="AI62" s="14">
        <f t="shared" si="64"/>
        <v>0.373</v>
      </c>
      <c r="AJ62" s="15">
        <f t="shared" si="65"/>
        <v>0.627</v>
      </c>
      <c r="AK62" s="15">
        <f t="shared" si="66"/>
        <v>6.2199734042553203</v>
      </c>
      <c r="AL62" s="16">
        <f t="shared" si="67"/>
        <v>53.109986702127657</v>
      </c>
      <c r="AM62" s="14">
        <f t="shared" si="68"/>
        <v>0.21941176470588233</v>
      </c>
      <c r="AN62" s="15">
        <f t="shared" si="69"/>
        <v>0.78058823529411769</v>
      </c>
      <c r="AO62" s="15">
        <f t="shared" si="70"/>
        <v>7.7436013767208998</v>
      </c>
      <c r="AP62" s="16">
        <f t="shared" si="71"/>
        <v>53.871800688360452</v>
      </c>
    </row>
    <row r="63" spans="1:42" x14ac:dyDescent="0.15">
      <c r="A63" s="200" t="s">
        <v>73</v>
      </c>
      <c r="B63" s="201"/>
      <c r="C63" s="202"/>
      <c r="E63" s="65" t="s">
        <v>152</v>
      </c>
      <c r="N63">
        <v>2</v>
      </c>
      <c r="O63">
        <f t="shared" si="72"/>
        <v>32.200000000000003</v>
      </c>
      <c r="P63" s="14">
        <f t="shared" si="48"/>
        <v>0.57453416149068315</v>
      </c>
      <c r="Q63" s="15">
        <f t="shared" si="49"/>
        <v>0.42546583850931685</v>
      </c>
      <c r="R63" s="15">
        <f t="shared" si="50"/>
        <v>4.1867649002246603</v>
      </c>
      <c r="S63" s="16">
        <f t="shared" si="51"/>
        <v>52.09338245011233</v>
      </c>
      <c r="T63" s="14">
        <f t="shared" si="52"/>
        <v>0.6211180124223602</v>
      </c>
      <c r="U63" s="15">
        <f t="shared" si="53"/>
        <v>0.3788819875776398</v>
      </c>
      <c r="V63" s="15">
        <f t="shared" si="54"/>
        <v>4.0306594423153177</v>
      </c>
      <c r="W63" s="16">
        <f t="shared" si="55"/>
        <v>52.015329721157656</v>
      </c>
      <c r="X63" s="14">
        <f t="shared" si="56"/>
        <v>0.80745341614906829</v>
      </c>
      <c r="Y63" s="15">
        <f t="shared" si="57"/>
        <v>0.19254658385093171</v>
      </c>
      <c r="Z63" s="15">
        <f t="shared" si="58"/>
        <v>2.6628782873001202</v>
      </c>
      <c r="AA63" s="16">
        <f t="shared" si="59"/>
        <v>51.331439143650059</v>
      </c>
      <c r="AC63">
        <v>2</v>
      </c>
      <c r="AD63">
        <f t="shared" si="73"/>
        <v>18.8</v>
      </c>
      <c r="AE63" s="14">
        <f t="shared" si="60"/>
        <v>0.62666666666666671</v>
      </c>
      <c r="AF63" s="15">
        <f t="shared" si="61"/>
        <v>0.37333333333333329</v>
      </c>
      <c r="AG63" s="15">
        <f t="shared" si="62"/>
        <v>3.7333333333333334</v>
      </c>
      <c r="AH63" s="16">
        <f t="shared" si="63"/>
        <v>51.866666666666667</v>
      </c>
      <c r="AI63" s="14">
        <f t="shared" si="64"/>
        <v>0.376</v>
      </c>
      <c r="AJ63" s="15">
        <f t="shared" si="65"/>
        <v>0.624</v>
      </c>
      <c r="AK63" s="15">
        <f t="shared" si="66"/>
        <v>6.24</v>
      </c>
      <c r="AL63" s="16">
        <f t="shared" si="67"/>
        <v>53.12</v>
      </c>
      <c r="AM63" s="14">
        <f t="shared" si="68"/>
        <v>0.22117647058823531</v>
      </c>
      <c r="AN63" s="15">
        <f t="shared" si="69"/>
        <v>0.77882352941176469</v>
      </c>
      <c r="AO63" s="15">
        <f t="shared" si="70"/>
        <v>7.7882352941176478</v>
      </c>
      <c r="AP63" s="16">
        <f t="shared" si="71"/>
        <v>53.89411764705882</v>
      </c>
    </row>
    <row r="64" spans="1:42" x14ac:dyDescent="0.15">
      <c r="A64" s="31" t="s">
        <v>71</v>
      </c>
      <c r="B64" s="57">
        <f>IF(V48_Max/2&gt;V12_Nom,((V48_Max-V12_Nom)*(V12_Nom/V48_Max))/(Lm*Fsw),((V48_Max-(V48_Max/2))*(V12_Nom/V48_Max))/(Lm*Fsw))</f>
        <v>8.1351689612015026</v>
      </c>
      <c r="C64" s="31" t="s">
        <v>4</v>
      </c>
      <c r="E64" s="34" t="s">
        <v>194</v>
      </c>
      <c r="N64">
        <v>3</v>
      </c>
      <c r="O64">
        <f t="shared" si="72"/>
        <v>33.299999999999997</v>
      </c>
      <c r="P64" s="14">
        <f t="shared" si="48"/>
        <v>0.55555555555555558</v>
      </c>
      <c r="Q64" s="15">
        <f t="shared" si="49"/>
        <v>0.44444444444444442</v>
      </c>
      <c r="R64" s="15">
        <f t="shared" si="50"/>
        <v>4.373522458628841</v>
      </c>
      <c r="S64" s="16">
        <f t="shared" si="51"/>
        <v>52.186761229314421</v>
      </c>
      <c r="T64" s="14">
        <f t="shared" si="52"/>
        <v>0.60060060060060061</v>
      </c>
      <c r="U64" s="15">
        <f t="shared" si="53"/>
        <v>0.39939939939939939</v>
      </c>
      <c r="V64" s="15">
        <f t="shared" si="54"/>
        <v>4.2489297808446738</v>
      </c>
      <c r="W64" s="16">
        <f t="shared" si="55"/>
        <v>52.124464890422338</v>
      </c>
      <c r="X64" s="14">
        <f t="shared" si="56"/>
        <v>0.78078078078078084</v>
      </c>
      <c r="Y64" s="15">
        <f t="shared" si="57"/>
        <v>0.21921921921921916</v>
      </c>
      <c r="Z64" s="15">
        <f t="shared" si="58"/>
        <v>3.0317551594147329</v>
      </c>
      <c r="AA64" s="16">
        <f t="shared" si="59"/>
        <v>51.515877579707364</v>
      </c>
      <c r="AC64">
        <v>3</v>
      </c>
      <c r="AD64">
        <f t="shared" si="73"/>
        <v>18.95</v>
      </c>
      <c r="AE64" s="14">
        <f t="shared" si="60"/>
        <v>0.6316666666666666</v>
      </c>
      <c r="AF64" s="15">
        <f t="shared" si="61"/>
        <v>0.3683333333333334</v>
      </c>
      <c r="AG64" s="15">
        <f t="shared" si="62"/>
        <v>3.7127216312056741</v>
      </c>
      <c r="AH64" s="16">
        <f t="shared" si="63"/>
        <v>51.856360815602834</v>
      </c>
      <c r="AI64" s="14">
        <f t="shared" si="64"/>
        <v>0.379</v>
      </c>
      <c r="AJ64" s="15">
        <f t="shared" si="65"/>
        <v>0.621</v>
      </c>
      <c r="AK64" s="15">
        <f t="shared" si="66"/>
        <v>6.2595478723404261</v>
      </c>
      <c r="AL64" s="16">
        <f t="shared" si="67"/>
        <v>53.12977393617021</v>
      </c>
      <c r="AM64" s="14">
        <f t="shared" si="68"/>
        <v>0.22294117647058823</v>
      </c>
      <c r="AN64" s="15">
        <f t="shared" si="69"/>
        <v>0.7770588235294118</v>
      </c>
      <c r="AO64" s="15">
        <f t="shared" si="70"/>
        <v>7.83258760951189</v>
      </c>
      <c r="AP64" s="16">
        <f t="shared" si="71"/>
        <v>53.916293804755945</v>
      </c>
    </row>
    <row r="65" spans="1:42" x14ac:dyDescent="0.15">
      <c r="A65" s="31" t="s">
        <v>204</v>
      </c>
      <c r="B65" s="58">
        <f>(B64/2)+B25</f>
        <v>26.56758448060075</v>
      </c>
      <c r="C65" s="31" t="s">
        <v>4</v>
      </c>
      <c r="E65" s="34" t="s">
        <v>203</v>
      </c>
      <c r="N65">
        <v>4</v>
      </c>
      <c r="O65">
        <f t="shared" si="72"/>
        <v>34.4</v>
      </c>
      <c r="P65" s="14">
        <f t="shared" si="48"/>
        <v>0.53779069767441867</v>
      </c>
      <c r="Q65" s="15">
        <f t="shared" si="49"/>
        <v>0.46220930232558133</v>
      </c>
      <c r="R65" s="15">
        <f t="shared" si="50"/>
        <v>4.5483362196932218</v>
      </c>
      <c r="S65" s="16">
        <f t="shared" si="51"/>
        <v>52.274168109846613</v>
      </c>
      <c r="T65" s="14">
        <f t="shared" si="52"/>
        <v>0.58139534883720934</v>
      </c>
      <c r="U65" s="15">
        <f t="shared" si="53"/>
        <v>0.41860465116279066</v>
      </c>
      <c r="V65" s="15">
        <f t="shared" si="54"/>
        <v>4.453240969816922</v>
      </c>
      <c r="W65" s="16">
        <f t="shared" si="55"/>
        <v>52.226620484908459</v>
      </c>
      <c r="X65" s="14">
        <f t="shared" si="56"/>
        <v>0.7558139534883721</v>
      </c>
      <c r="Y65" s="15">
        <f t="shared" si="57"/>
        <v>0.2441860465116279</v>
      </c>
      <c r="Z65" s="15">
        <f t="shared" si="58"/>
        <v>3.3770410687778325</v>
      </c>
      <c r="AA65" s="16">
        <f t="shared" si="59"/>
        <v>51.688520534388914</v>
      </c>
      <c r="AC65">
        <v>4</v>
      </c>
      <c r="AD65">
        <f t="shared" si="73"/>
        <v>19.100000000000001</v>
      </c>
      <c r="AE65" s="14">
        <f t="shared" si="60"/>
        <v>0.63666666666666671</v>
      </c>
      <c r="AF65" s="15">
        <f t="shared" si="61"/>
        <v>0.36333333333333329</v>
      </c>
      <c r="AG65" s="15">
        <f t="shared" si="62"/>
        <v>3.6913120567375883</v>
      </c>
      <c r="AH65" s="16">
        <f t="shared" si="63"/>
        <v>51.845656028368793</v>
      </c>
      <c r="AI65" s="14">
        <f t="shared" si="64"/>
        <v>0.38200000000000001</v>
      </c>
      <c r="AJ65" s="15">
        <f t="shared" si="65"/>
        <v>0.61799999999999999</v>
      </c>
      <c r="AK65" s="15">
        <f t="shared" si="66"/>
        <v>6.2786170212765962</v>
      </c>
      <c r="AL65" s="16">
        <f t="shared" si="67"/>
        <v>53.139308510638301</v>
      </c>
      <c r="AM65" s="14">
        <f t="shared" si="68"/>
        <v>0.2247058823529412</v>
      </c>
      <c r="AN65" s="15">
        <f t="shared" si="69"/>
        <v>0.7752941176470588</v>
      </c>
      <c r="AO65" s="15">
        <f t="shared" si="70"/>
        <v>7.8766583229036309</v>
      </c>
      <c r="AP65" s="16">
        <f t="shared" si="71"/>
        <v>53.938329161451819</v>
      </c>
    </row>
    <row r="66" spans="1:42" x14ac:dyDescent="0.15">
      <c r="A66" s="34" t="s">
        <v>288</v>
      </c>
      <c r="B66" s="64">
        <f>Design_Converter!B44</f>
        <v>10</v>
      </c>
      <c r="C66" s="34" t="s">
        <v>26</v>
      </c>
      <c r="N66">
        <v>5</v>
      </c>
      <c r="O66">
        <f t="shared" si="72"/>
        <v>35.5</v>
      </c>
      <c r="P66" s="14">
        <f t="shared" si="48"/>
        <v>0.52112676056338025</v>
      </c>
      <c r="Q66" s="15">
        <f t="shared" si="49"/>
        <v>0.47887323943661975</v>
      </c>
      <c r="R66" s="15">
        <f t="shared" si="50"/>
        <v>4.7123164519029075</v>
      </c>
      <c r="S66" s="16">
        <f t="shared" si="51"/>
        <v>52.356158225951454</v>
      </c>
      <c r="T66" s="14">
        <f t="shared" si="52"/>
        <v>0.56338028169014087</v>
      </c>
      <c r="U66" s="15">
        <f t="shared" si="53"/>
        <v>0.43661971830985913</v>
      </c>
      <c r="V66" s="15">
        <f t="shared" si="54"/>
        <v>4.6448906203176508</v>
      </c>
      <c r="W66" s="16">
        <f t="shared" si="55"/>
        <v>52.322445310158827</v>
      </c>
      <c r="X66" s="14">
        <f t="shared" si="56"/>
        <v>0.73239436619718312</v>
      </c>
      <c r="Y66" s="15">
        <f t="shared" si="57"/>
        <v>0.26760563380281688</v>
      </c>
      <c r="Z66" s="15">
        <f t="shared" si="58"/>
        <v>3.7009289781240637</v>
      </c>
      <c r="AA66" s="16">
        <f t="shared" si="59"/>
        <v>51.850464489062034</v>
      </c>
      <c r="AC66">
        <v>5</v>
      </c>
      <c r="AD66">
        <f t="shared" si="73"/>
        <v>19.25</v>
      </c>
      <c r="AE66" s="14">
        <f t="shared" si="60"/>
        <v>0.64166666666666672</v>
      </c>
      <c r="AF66" s="15">
        <f t="shared" si="61"/>
        <v>0.35833333333333328</v>
      </c>
      <c r="AG66" s="15">
        <f t="shared" si="62"/>
        <v>3.6691046099290783</v>
      </c>
      <c r="AH66" s="16">
        <f t="shared" si="63"/>
        <v>51.834552304964539</v>
      </c>
      <c r="AI66" s="14">
        <f t="shared" si="64"/>
        <v>0.38500000000000001</v>
      </c>
      <c r="AJ66" s="15">
        <f t="shared" si="65"/>
        <v>0.61499999999999999</v>
      </c>
      <c r="AK66" s="15">
        <f t="shared" si="66"/>
        <v>6.2972074468085104</v>
      </c>
      <c r="AL66" s="16">
        <f t="shared" si="67"/>
        <v>53.148603723404257</v>
      </c>
      <c r="AM66" s="14">
        <f t="shared" si="68"/>
        <v>0.22647058823529412</v>
      </c>
      <c r="AN66" s="15">
        <f t="shared" si="69"/>
        <v>0.77352941176470591</v>
      </c>
      <c r="AO66" s="15">
        <f t="shared" si="70"/>
        <v>7.9204474342928668</v>
      </c>
      <c r="AP66" s="16">
        <f t="shared" si="71"/>
        <v>53.960223717146434</v>
      </c>
    </row>
    <row r="67" spans="1:42" x14ac:dyDescent="0.15">
      <c r="A67" s="31" t="s">
        <v>205</v>
      </c>
      <c r="B67" s="54">
        <f>I_Channel_Peak_No_Ilimit*(1+(B66/100))</f>
        <v>29.224342928660828</v>
      </c>
      <c r="C67" s="31" t="s">
        <v>4</v>
      </c>
      <c r="E67" s="34" t="s">
        <v>153</v>
      </c>
      <c r="N67">
        <v>6</v>
      </c>
      <c r="O67">
        <f t="shared" si="72"/>
        <v>36.6</v>
      </c>
      <c r="P67" s="14">
        <f t="shared" si="48"/>
        <v>0.50546448087431695</v>
      </c>
      <c r="Q67" s="15">
        <f t="shared" si="49"/>
        <v>0.49453551912568305</v>
      </c>
      <c r="R67" s="15">
        <f t="shared" si="50"/>
        <v>4.8664399488431584</v>
      </c>
      <c r="S67" s="16">
        <f t="shared" si="51"/>
        <v>52.433219974421576</v>
      </c>
      <c r="T67" s="14">
        <f t="shared" si="52"/>
        <v>0.54644808743169393</v>
      </c>
      <c r="U67" s="15">
        <f t="shared" si="53"/>
        <v>0.45355191256830607</v>
      </c>
      <c r="V67" s="15">
        <f t="shared" si="54"/>
        <v>4.8250203464713408</v>
      </c>
      <c r="W67" s="16">
        <f t="shared" si="55"/>
        <v>52.412510173235674</v>
      </c>
      <c r="X67" s="14">
        <f t="shared" si="56"/>
        <v>0.7103825136612022</v>
      </c>
      <c r="Y67" s="15">
        <f t="shared" si="57"/>
        <v>0.2896174863387978</v>
      </c>
      <c r="Z67" s="15">
        <f t="shared" si="58"/>
        <v>4.0053482153238003</v>
      </c>
      <c r="AA67" s="16">
        <f t="shared" si="59"/>
        <v>52.002674107661903</v>
      </c>
      <c r="AC67">
        <v>6</v>
      </c>
      <c r="AD67">
        <f t="shared" si="73"/>
        <v>19.399999999999999</v>
      </c>
      <c r="AE67" s="14">
        <f t="shared" si="60"/>
        <v>0.64666666666666661</v>
      </c>
      <c r="AF67" s="15">
        <f t="shared" si="61"/>
        <v>0.35333333333333339</v>
      </c>
      <c r="AG67" s="15">
        <f t="shared" si="62"/>
        <v>3.6460992907801422</v>
      </c>
      <c r="AH67" s="16">
        <f t="shared" si="63"/>
        <v>51.823049645390071</v>
      </c>
      <c r="AI67" s="14">
        <f t="shared" si="64"/>
        <v>0.38799999999999996</v>
      </c>
      <c r="AJ67" s="15">
        <f t="shared" si="65"/>
        <v>0.6120000000000001</v>
      </c>
      <c r="AK67" s="15">
        <f t="shared" si="66"/>
        <v>6.3153191489361706</v>
      </c>
      <c r="AL67" s="16">
        <f t="shared" si="67"/>
        <v>53.157659574468084</v>
      </c>
      <c r="AM67" s="14">
        <f t="shared" si="68"/>
        <v>0.22823529411764704</v>
      </c>
      <c r="AN67" s="15">
        <f t="shared" si="69"/>
        <v>0.77176470588235291</v>
      </c>
      <c r="AO67" s="15">
        <f t="shared" si="70"/>
        <v>7.9639549436795978</v>
      </c>
      <c r="AP67" s="16">
        <f t="shared" si="71"/>
        <v>53.981977471839798</v>
      </c>
    </row>
    <row r="68" spans="1:42" ht="15" x14ac:dyDescent="0.25">
      <c r="A68" s="31" t="s">
        <v>206</v>
      </c>
      <c r="B68" s="54">
        <f>((Rcs*I_Channel_Peak_Select))/(Constants!C22*1000)</f>
        <v>26.567584480600754</v>
      </c>
      <c r="C68" s="67" t="s">
        <v>104</v>
      </c>
      <c r="E68" s="34" t="s">
        <v>155</v>
      </c>
      <c r="N68">
        <v>7</v>
      </c>
      <c r="O68">
        <f t="shared" si="72"/>
        <v>37.700000000000003</v>
      </c>
      <c r="P68" s="14">
        <f t="shared" si="48"/>
        <v>0.49071618037135273</v>
      </c>
      <c r="Q68" s="15">
        <f t="shared" si="49"/>
        <v>0.50928381962864733</v>
      </c>
      <c r="R68" s="15">
        <f t="shared" si="50"/>
        <v>5.01156950166488</v>
      </c>
      <c r="S68" s="16">
        <f t="shared" si="51"/>
        <v>52.50578475083244</v>
      </c>
      <c r="T68" s="14">
        <f t="shared" si="52"/>
        <v>0.53050397877984079</v>
      </c>
      <c r="U68" s="15">
        <f t="shared" si="53"/>
        <v>0.46949602122015921</v>
      </c>
      <c r="V68" s="15">
        <f t="shared" si="54"/>
        <v>4.9946385236187156</v>
      </c>
      <c r="W68" s="16">
        <f t="shared" si="55"/>
        <v>52.497319261809359</v>
      </c>
      <c r="X68" s="14">
        <f t="shared" si="56"/>
        <v>0.68965517241379304</v>
      </c>
      <c r="Y68" s="15">
        <f t="shared" si="57"/>
        <v>0.31034482758620696</v>
      </c>
      <c r="Z68" s="15">
        <f t="shared" si="58"/>
        <v>4.2920029347028628</v>
      </c>
      <c r="AA68" s="16">
        <f t="shared" si="59"/>
        <v>52.146001467351432</v>
      </c>
      <c r="AC68">
        <v>7</v>
      </c>
      <c r="AD68">
        <f t="shared" si="73"/>
        <v>19.55</v>
      </c>
      <c r="AE68" s="14">
        <f t="shared" si="60"/>
        <v>0.65166666666666673</v>
      </c>
      <c r="AF68" s="15">
        <f t="shared" si="61"/>
        <v>0.34833333333333327</v>
      </c>
      <c r="AG68" s="15">
        <f t="shared" si="62"/>
        <v>3.6222960992907804</v>
      </c>
      <c r="AH68" s="16">
        <f t="shared" si="63"/>
        <v>51.811148049645389</v>
      </c>
      <c r="AI68" s="14">
        <f t="shared" si="64"/>
        <v>0.39100000000000001</v>
      </c>
      <c r="AJ68" s="15">
        <f t="shared" si="65"/>
        <v>0.60899999999999999</v>
      </c>
      <c r="AK68" s="15">
        <f t="shared" si="66"/>
        <v>6.3329521276595742</v>
      </c>
      <c r="AL68" s="16">
        <f t="shared" si="67"/>
        <v>53.166476063829791</v>
      </c>
      <c r="AM68" s="14">
        <f t="shared" si="68"/>
        <v>0.23</v>
      </c>
      <c r="AN68" s="15">
        <f t="shared" si="69"/>
        <v>0.77</v>
      </c>
      <c r="AO68" s="15">
        <f t="shared" si="70"/>
        <v>8.0071808510638309</v>
      </c>
      <c r="AP68" s="16">
        <f t="shared" si="71"/>
        <v>54.003590425531918</v>
      </c>
    </row>
    <row r="69" spans="1:42" ht="15" x14ac:dyDescent="0.25">
      <c r="A69" s="31" t="s">
        <v>190</v>
      </c>
      <c r="B69" s="60">
        <f>Design_Converter!B47</f>
        <v>26</v>
      </c>
      <c r="C69" s="67" t="s">
        <v>104</v>
      </c>
      <c r="N69">
        <v>8</v>
      </c>
      <c r="O69">
        <f t="shared" si="72"/>
        <v>38.799999999999997</v>
      </c>
      <c r="P69" s="14">
        <f t="shared" si="48"/>
        <v>0.47680412371134023</v>
      </c>
      <c r="Q69" s="15">
        <f t="shared" si="49"/>
        <v>0.52319587628865971</v>
      </c>
      <c r="R69" s="15">
        <f t="shared" si="50"/>
        <v>5.1484700592235138</v>
      </c>
      <c r="S69" s="16">
        <f t="shared" si="51"/>
        <v>52.574235029611756</v>
      </c>
      <c r="T69" s="14">
        <f t="shared" si="52"/>
        <v>0.51546391752577325</v>
      </c>
      <c r="U69" s="15">
        <f t="shared" si="53"/>
        <v>0.48453608247422675</v>
      </c>
      <c r="V69" s="15">
        <f t="shared" si="54"/>
        <v>5.1546391752577314</v>
      </c>
      <c r="W69" s="16">
        <f t="shared" si="55"/>
        <v>52.577319587628864</v>
      </c>
      <c r="X69" s="14">
        <f t="shared" si="56"/>
        <v>0.67010309278350522</v>
      </c>
      <c r="Y69" s="15">
        <f t="shared" si="57"/>
        <v>0.32989690721649478</v>
      </c>
      <c r="Z69" s="15">
        <f t="shared" si="58"/>
        <v>4.5624040359728006</v>
      </c>
      <c r="AA69" s="16">
        <f t="shared" si="59"/>
        <v>52.281202017986402</v>
      </c>
      <c r="AC69">
        <v>8</v>
      </c>
      <c r="AD69">
        <f t="shared" si="73"/>
        <v>19.7</v>
      </c>
      <c r="AE69" s="14">
        <f t="shared" si="60"/>
        <v>0.65666666666666662</v>
      </c>
      <c r="AF69" s="15">
        <f t="shared" si="61"/>
        <v>0.34333333333333338</v>
      </c>
      <c r="AG69" s="15">
        <f t="shared" si="62"/>
        <v>3.5976950354609931</v>
      </c>
      <c r="AH69" s="16">
        <f t="shared" si="63"/>
        <v>51.798847517730493</v>
      </c>
      <c r="AI69" s="14">
        <f t="shared" si="64"/>
        <v>0.39399999999999996</v>
      </c>
      <c r="AJ69" s="15">
        <f t="shared" si="65"/>
        <v>0.60600000000000009</v>
      </c>
      <c r="AK69" s="15">
        <f t="shared" si="66"/>
        <v>6.3501063829787237</v>
      </c>
      <c r="AL69" s="16">
        <f t="shared" si="67"/>
        <v>53.175053191489361</v>
      </c>
      <c r="AM69" s="14">
        <f t="shared" si="68"/>
        <v>0.23176470588235293</v>
      </c>
      <c r="AN69" s="15">
        <f t="shared" si="69"/>
        <v>0.76823529411764713</v>
      </c>
      <c r="AO69" s="15">
        <f t="shared" si="70"/>
        <v>8.0501251564455565</v>
      </c>
      <c r="AP69" s="16">
        <f t="shared" si="71"/>
        <v>54.02506257822278</v>
      </c>
    </row>
    <row r="70" spans="1:42" ht="15" x14ac:dyDescent="0.25">
      <c r="A70" s="31" t="s">
        <v>191</v>
      </c>
      <c r="B70" s="60">
        <f>(B69*1000*Constants!C22)/(Calculations!B28*(10^-3))</f>
        <v>28.6</v>
      </c>
      <c r="C70" s="67" t="s">
        <v>4</v>
      </c>
      <c r="D70" s="31">
        <f>IF(B70&lt;I_Channel_Peak_No_Ilimit,1,0)</f>
        <v>0</v>
      </c>
      <c r="E70" s="34" t="s">
        <v>156</v>
      </c>
      <c r="N70">
        <v>9</v>
      </c>
      <c r="O70">
        <f t="shared" si="72"/>
        <v>39.9</v>
      </c>
      <c r="P70" s="14">
        <f t="shared" si="48"/>
        <v>0.46365914786967422</v>
      </c>
      <c r="Q70" s="15">
        <f t="shared" si="49"/>
        <v>0.53634085213032578</v>
      </c>
      <c r="R70" s="15">
        <f t="shared" si="50"/>
        <v>5.2778222151122485</v>
      </c>
      <c r="S70" s="16">
        <f t="shared" si="51"/>
        <v>52.638911107556126</v>
      </c>
      <c r="T70" s="14">
        <f t="shared" si="52"/>
        <v>0.50125313283208017</v>
      </c>
      <c r="U70" s="15">
        <f t="shared" si="53"/>
        <v>0.49874686716791983</v>
      </c>
      <c r="V70" s="15">
        <f t="shared" si="54"/>
        <v>5.305817735828934</v>
      </c>
      <c r="W70" s="16">
        <f t="shared" si="55"/>
        <v>52.652908867914469</v>
      </c>
      <c r="X70" s="14">
        <f t="shared" si="56"/>
        <v>0.65162907268170434</v>
      </c>
      <c r="Y70" s="15">
        <f t="shared" si="57"/>
        <v>0.34837092731829566</v>
      </c>
      <c r="Z70" s="15">
        <f t="shared" si="58"/>
        <v>4.8178958033381329</v>
      </c>
      <c r="AA70" s="16">
        <f t="shared" si="59"/>
        <v>52.408947901669066</v>
      </c>
      <c r="AC70">
        <v>9</v>
      </c>
      <c r="AD70">
        <f t="shared" si="73"/>
        <v>19.850000000000001</v>
      </c>
      <c r="AE70" s="14">
        <f t="shared" si="60"/>
        <v>0.66166666666666674</v>
      </c>
      <c r="AF70" s="15">
        <f t="shared" si="61"/>
        <v>0.33833333333333326</v>
      </c>
      <c r="AG70" s="15">
        <f t="shared" si="62"/>
        <v>3.5722960992907802</v>
      </c>
      <c r="AH70" s="16">
        <f t="shared" si="63"/>
        <v>51.786148049645391</v>
      </c>
      <c r="AI70" s="14">
        <f t="shared" si="64"/>
        <v>0.39700000000000002</v>
      </c>
      <c r="AJ70" s="15">
        <f t="shared" si="65"/>
        <v>0.60299999999999998</v>
      </c>
      <c r="AK70" s="15">
        <f t="shared" si="66"/>
        <v>6.3667819148936173</v>
      </c>
      <c r="AL70" s="16">
        <f t="shared" si="67"/>
        <v>53.183390957446811</v>
      </c>
      <c r="AM70" s="14">
        <f t="shared" si="68"/>
        <v>0.2335294117647059</v>
      </c>
      <c r="AN70" s="15">
        <f t="shared" si="69"/>
        <v>0.76647058823529413</v>
      </c>
      <c r="AO70" s="15">
        <f t="shared" si="70"/>
        <v>8.0927878598247833</v>
      </c>
      <c r="AP70" s="16">
        <f t="shared" si="71"/>
        <v>54.046393929912391</v>
      </c>
    </row>
    <row r="71" spans="1:42" x14ac:dyDescent="0.15">
      <c r="N71">
        <v>10</v>
      </c>
      <c r="O71">
        <f t="shared" si="72"/>
        <v>41</v>
      </c>
      <c r="P71" s="14">
        <f t="shared" si="48"/>
        <v>0.45121951219512196</v>
      </c>
      <c r="Q71" s="15">
        <f t="shared" si="49"/>
        <v>0.54878048780487809</v>
      </c>
      <c r="R71" s="15">
        <f t="shared" si="50"/>
        <v>5.4002335236118331</v>
      </c>
      <c r="S71" s="16">
        <f t="shared" si="51"/>
        <v>52.700116761805916</v>
      </c>
      <c r="T71" s="14">
        <f t="shared" si="52"/>
        <v>0.48780487804878048</v>
      </c>
      <c r="U71" s="15">
        <f t="shared" si="53"/>
        <v>0.51219512195121952</v>
      </c>
      <c r="V71" s="15">
        <f t="shared" si="54"/>
        <v>5.4488842760768037</v>
      </c>
      <c r="W71" s="16">
        <f t="shared" si="55"/>
        <v>52.724442138038398</v>
      </c>
      <c r="X71" s="14">
        <f t="shared" si="56"/>
        <v>0.63414634146341464</v>
      </c>
      <c r="Y71" s="15">
        <f t="shared" si="57"/>
        <v>0.36585365853658536</v>
      </c>
      <c r="Z71" s="15">
        <f t="shared" si="58"/>
        <v>5.0596782563570315</v>
      </c>
      <c r="AA71" s="16">
        <f t="shared" si="59"/>
        <v>52.529839128178516</v>
      </c>
      <c r="AC71">
        <v>10</v>
      </c>
      <c r="AD71">
        <f t="shared" si="73"/>
        <v>20</v>
      </c>
      <c r="AE71" s="14">
        <f t="shared" si="60"/>
        <v>0.66666666666666663</v>
      </c>
      <c r="AF71" s="15">
        <f t="shared" si="61"/>
        <v>0.33333333333333337</v>
      </c>
      <c r="AG71" s="15">
        <f t="shared" si="62"/>
        <v>3.5460992907801421</v>
      </c>
      <c r="AH71" s="16">
        <f t="shared" si="63"/>
        <v>51.773049645390074</v>
      </c>
      <c r="AI71" s="14">
        <f t="shared" si="64"/>
        <v>0.4</v>
      </c>
      <c r="AJ71" s="15">
        <f t="shared" si="65"/>
        <v>0.6</v>
      </c>
      <c r="AK71" s="15">
        <f t="shared" si="66"/>
        <v>6.3829787234042561</v>
      </c>
      <c r="AL71" s="16">
        <f t="shared" si="67"/>
        <v>53.191489361702125</v>
      </c>
      <c r="AM71" s="14">
        <f t="shared" si="68"/>
        <v>0.23529411764705882</v>
      </c>
      <c r="AN71" s="15">
        <f t="shared" si="69"/>
        <v>0.76470588235294112</v>
      </c>
      <c r="AO71" s="15">
        <f t="shared" si="70"/>
        <v>8.1351689612015026</v>
      </c>
      <c r="AP71" s="16">
        <f t="shared" si="71"/>
        <v>54.06758448060075</v>
      </c>
    </row>
    <row r="72" spans="1:42" x14ac:dyDescent="0.15">
      <c r="N72">
        <v>11</v>
      </c>
      <c r="O72">
        <f t="shared" si="72"/>
        <v>42.1</v>
      </c>
      <c r="P72" s="14">
        <f t="shared" si="48"/>
        <v>0.4394299287410926</v>
      </c>
      <c r="Q72" s="15">
        <f t="shared" si="49"/>
        <v>0.56057007125890745</v>
      </c>
      <c r="R72" s="15">
        <f t="shared" si="50"/>
        <v>5.5162480416435038</v>
      </c>
      <c r="S72" s="16">
        <f t="shared" si="51"/>
        <v>52.758124020821754</v>
      </c>
      <c r="T72" s="14">
        <f t="shared" si="52"/>
        <v>0.47505938242280282</v>
      </c>
      <c r="U72" s="15">
        <f t="shared" si="53"/>
        <v>0.52494061757719712</v>
      </c>
      <c r="V72" s="15">
        <f t="shared" si="54"/>
        <v>5.5844746550765656</v>
      </c>
      <c r="W72" s="16">
        <f t="shared" si="55"/>
        <v>52.792237327538281</v>
      </c>
      <c r="X72" s="14">
        <f t="shared" si="56"/>
        <v>0.61757719714964365</v>
      </c>
      <c r="Y72" s="15">
        <f t="shared" si="57"/>
        <v>0.38242280285035635</v>
      </c>
      <c r="Z72" s="15">
        <f t="shared" si="58"/>
        <v>5.2888259968666302</v>
      </c>
      <c r="AA72" s="16">
        <f t="shared" si="59"/>
        <v>52.644412998433317</v>
      </c>
      <c r="AC72">
        <v>11</v>
      </c>
      <c r="AD72">
        <f t="shared" si="73"/>
        <v>20.149999999999999</v>
      </c>
      <c r="AE72" s="14">
        <f t="shared" si="60"/>
        <v>0.67166666666666663</v>
      </c>
      <c r="AF72" s="15">
        <f t="shared" si="61"/>
        <v>0.32833333333333337</v>
      </c>
      <c r="AG72" s="15">
        <f t="shared" si="62"/>
        <v>3.5191046099290788</v>
      </c>
      <c r="AH72" s="16">
        <f t="shared" si="63"/>
        <v>51.759552304964537</v>
      </c>
      <c r="AI72" s="14">
        <f t="shared" si="64"/>
        <v>0.40299999999999997</v>
      </c>
      <c r="AJ72" s="15">
        <f t="shared" si="65"/>
        <v>0.59699999999999998</v>
      </c>
      <c r="AK72" s="15">
        <f t="shared" si="66"/>
        <v>6.3986968085106382</v>
      </c>
      <c r="AL72" s="16">
        <f t="shared" si="67"/>
        <v>53.199348404255318</v>
      </c>
      <c r="AM72" s="14">
        <f t="shared" si="68"/>
        <v>0.23705882352941174</v>
      </c>
      <c r="AN72" s="15">
        <f t="shared" si="69"/>
        <v>0.76294117647058823</v>
      </c>
      <c r="AO72" s="15">
        <f t="shared" si="70"/>
        <v>8.1772684605757178</v>
      </c>
      <c r="AP72" s="16">
        <f t="shared" si="71"/>
        <v>54.088634230287859</v>
      </c>
    </row>
    <row r="73" spans="1:42" x14ac:dyDescent="0.15">
      <c r="N73">
        <v>12</v>
      </c>
      <c r="O73">
        <f t="shared" si="72"/>
        <v>43.2</v>
      </c>
      <c r="P73" s="14">
        <f t="shared" si="48"/>
        <v>0.4282407407407407</v>
      </c>
      <c r="Q73" s="15">
        <f t="shared" si="49"/>
        <v>0.5717592592592593</v>
      </c>
      <c r="R73" s="15">
        <f t="shared" si="50"/>
        <v>5.6263544129235621</v>
      </c>
      <c r="S73" s="16">
        <f t="shared" si="51"/>
        <v>52.813177206461781</v>
      </c>
      <c r="T73" s="14">
        <f t="shared" si="52"/>
        <v>0.46296296296296291</v>
      </c>
      <c r="U73" s="15">
        <f t="shared" si="53"/>
        <v>0.53703703703703709</v>
      </c>
      <c r="V73" s="15">
        <f t="shared" si="54"/>
        <v>5.7131599684791183</v>
      </c>
      <c r="W73" s="16">
        <f t="shared" si="55"/>
        <v>52.856579984239559</v>
      </c>
      <c r="X73" s="14">
        <f t="shared" si="56"/>
        <v>0.60185185185185186</v>
      </c>
      <c r="Y73" s="15">
        <f t="shared" si="57"/>
        <v>0.39814814814814814</v>
      </c>
      <c r="Z73" s="15">
        <f t="shared" si="58"/>
        <v>5.5063041765169443</v>
      </c>
      <c r="AA73" s="16">
        <f t="shared" si="59"/>
        <v>52.753152088258474</v>
      </c>
      <c r="AC73">
        <v>12</v>
      </c>
      <c r="AD73">
        <f t="shared" si="73"/>
        <v>20.3</v>
      </c>
      <c r="AE73" s="14">
        <f t="shared" si="60"/>
        <v>0.67666666666666664</v>
      </c>
      <c r="AF73" s="15">
        <f t="shared" si="61"/>
        <v>0.32333333333333336</v>
      </c>
      <c r="AG73" s="15">
        <f t="shared" si="62"/>
        <v>3.4913120567375882</v>
      </c>
      <c r="AH73" s="16">
        <f t="shared" si="63"/>
        <v>51.745656028368792</v>
      </c>
      <c r="AI73" s="14">
        <f t="shared" si="64"/>
        <v>0.40600000000000003</v>
      </c>
      <c r="AJ73" s="15">
        <f t="shared" si="65"/>
        <v>0.59399999999999997</v>
      </c>
      <c r="AK73" s="15">
        <f t="shared" si="66"/>
        <v>6.4139361702127671</v>
      </c>
      <c r="AL73" s="16">
        <f t="shared" si="67"/>
        <v>53.206968085106382</v>
      </c>
      <c r="AM73" s="14">
        <f t="shared" si="68"/>
        <v>0.23882352941176471</v>
      </c>
      <c r="AN73" s="15">
        <f t="shared" si="69"/>
        <v>0.76117647058823534</v>
      </c>
      <c r="AO73" s="15">
        <f t="shared" si="70"/>
        <v>8.219086357947436</v>
      </c>
      <c r="AP73" s="16">
        <f t="shared" si="71"/>
        <v>54.109543178973716</v>
      </c>
    </row>
    <row r="74" spans="1:42" x14ac:dyDescent="0.15">
      <c r="A74" s="47" t="s">
        <v>99</v>
      </c>
      <c r="B74" s="47"/>
      <c r="C74" s="47"/>
      <c r="N74">
        <v>13</v>
      </c>
      <c r="O74">
        <f t="shared" si="72"/>
        <v>44.3</v>
      </c>
      <c r="P74" s="14">
        <f t="shared" si="48"/>
        <v>0.41760722347629797</v>
      </c>
      <c r="Q74" s="15">
        <f t="shared" si="49"/>
        <v>0.58239277652370203</v>
      </c>
      <c r="R74" s="15">
        <f t="shared" si="50"/>
        <v>5.730992747706642</v>
      </c>
      <c r="S74" s="16">
        <f t="shared" si="51"/>
        <v>52.865496373853318</v>
      </c>
      <c r="T74" s="14">
        <f t="shared" si="52"/>
        <v>0.45146726862302489</v>
      </c>
      <c r="U74" s="15">
        <f t="shared" si="53"/>
        <v>0.54853273137697511</v>
      </c>
      <c r="V74" s="15">
        <f t="shared" si="54"/>
        <v>5.8354545891167575</v>
      </c>
      <c r="W74" s="16">
        <f t="shared" si="55"/>
        <v>52.917727294558375</v>
      </c>
      <c r="X74" s="14">
        <f t="shared" si="56"/>
        <v>0.58690744920993232</v>
      </c>
      <c r="Y74" s="15">
        <f t="shared" si="57"/>
        <v>0.41309255079006768</v>
      </c>
      <c r="Z74" s="15">
        <f t="shared" si="58"/>
        <v>5.712982085394553</v>
      </c>
      <c r="AA74" s="16">
        <f t="shared" si="59"/>
        <v>52.856491042697279</v>
      </c>
      <c r="AC74">
        <v>13</v>
      </c>
      <c r="AD74">
        <f t="shared" si="73"/>
        <v>20.45</v>
      </c>
      <c r="AE74" s="14">
        <f t="shared" si="60"/>
        <v>0.68166666666666664</v>
      </c>
      <c r="AF74" s="15">
        <f t="shared" si="61"/>
        <v>0.31833333333333336</v>
      </c>
      <c r="AG74" s="15">
        <f t="shared" si="62"/>
        <v>3.4627216312056741</v>
      </c>
      <c r="AH74" s="16">
        <f t="shared" si="63"/>
        <v>51.731360815602834</v>
      </c>
      <c r="AI74" s="14">
        <f t="shared" si="64"/>
        <v>0.40899999999999997</v>
      </c>
      <c r="AJ74" s="15">
        <f t="shared" si="65"/>
        <v>0.59099999999999997</v>
      </c>
      <c r="AK74" s="15">
        <f t="shared" si="66"/>
        <v>6.4286968085106384</v>
      </c>
      <c r="AL74" s="16">
        <f t="shared" si="67"/>
        <v>53.214348404255318</v>
      </c>
      <c r="AM74" s="14">
        <f t="shared" si="68"/>
        <v>0.24058823529411763</v>
      </c>
      <c r="AN74" s="15">
        <f t="shared" si="69"/>
        <v>0.75941176470588234</v>
      </c>
      <c r="AO74" s="15">
        <f t="shared" si="70"/>
        <v>8.2606226533166449</v>
      </c>
      <c r="AP74" s="16">
        <f t="shared" si="71"/>
        <v>54.130311326658322</v>
      </c>
    </row>
    <row r="75" spans="1:42" x14ac:dyDescent="0.15">
      <c r="A75" s="31" t="s">
        <v>207</v>
      </c>
      <c r="B75" s="49">
        <f>Design_Converter!B62</f>
        <v>1</v>
      </c>
      <c r="C75" s="31" t="s">
        <v>40</v>
      </c>
      <c r="N75">
        <v>14</v>
      </c>
      <c r="O75">
        <f t="shared" si="72"/>
        <v>45.400000000000006</v>
      </c>
      <c r="P75" s="14">
        <f t="shared" si="48"/>
        <v>0.40748898678414092</v>
      </c>
      <c r="Q75" s="15">
        <f t="shared" si="49"/>
        <v>0.59251101321585908</v>
      </c>
      <c r="R75" s="15">
        <f t="shared" si="50"/>
        <v>5.830560502390103</v>
      </c>
      <c r="S75" s="16">
        <f t="shared" si="51"/>
        <v>52.91528025119505</v>
      </c>
      <c r="T75" s="14">
        <f t="shared" si="52"/>
        <v>0.44052863436123341</v>
      </c>
      <c r="U75" s="15">
        <f t="shared" si="53"/>
        <v>0.55947136563876665</v>
      </c>
      <c r="V75" s="15">
        <f t="shared" si="54"/>
        <v>5.9518230387102822</v>
      </c>
      <c r="W75" s="16">
        <f t="shared" si="55"/>
        <v>52.975911519355144</v>
      </c>
      <c r="X75" s="14">
        <f t="shared" si="56"/>
        <v>0.57268722466960342</v>
      </c>
      <c r="Y75" s="15">
        <f t="shared" si="57"/>
        <v>0.42731277533039658</v>
      </c>
      <c r="Z75" s="15">
        <f t="shared" si="58"/>
        <v>5.9096447652076121</v>
      </c>
      <c r="AA75" s="16">
        <f t="shared" si="59"/>
        <v>52.954822382603808</v>
      </c>
      <c r="AC75">
        <v>14</v>
      </c>
      <c r="AD75">
        <f t="shared" si="73"/>
        <v>20.6</v>
      </c>
      <c r="AE75" s="14">
        <f t="shared" si="60"/>
        <v>0.68666666666666676</v>
      </c>
      <c r="AF75" s="15">
        <f t="shared" si="61"/>
        <v>0.31333333333333324</v>
      </c>
      <c r="AG75" s="15">
        <f t="shared" si="62"/>
        <v>3.4333333333333336</v>
      </c>
      <c r="AH75" s="16">
        <f t="shared" si="63"/>
        <v>51.716666666666669</v>
      </c>
      <c r="AI75" s="14">
        <f t="shared" si="64"/>
        <v>0.41200000000000003</v>
      </c>
      <c r="AJ75" s="15">
        <f t="shared" si="65"/>
        <v>0.58799999999999997</v>
      </c>
      <c r="AK75" s="15">
        <f t="shared" si="66"/>
        <v>6.4429787234042557</v>
      </c>
      <c r="AL75" s="16">
        <f t="shared" si="67"/>
        <v>53.221489361702126</v>
      </c>
      <c r="AM75" s="14">
        <f t="shared" si="68"/>
        <v>0.2423529411764706</v>
      </c>
      <c r="AN75" s="15">
        <f t="shared" si="69"/>
        <v>0.75764705882352934</v>
      </c>
      <c r="AO75" s="15">
        <f t="shared" si="70"/>
        <v>8.3018773466833551</v>
      </c>
      <c r="AP75" s="16">
        <f t="shared" si="71"/>
        <v>54.150938673341678</v>
      </c>
    </row>
    <row r="76" spans="1:42" ht="15" x14ac:dyDescent="0.25">
      <c r="A76" s="31" t="s">
        <v>157</v>
      </c>
      <c r="B76" s="56">
        <f>9.6/(((B75*10^-9)*Fsw)*1000)</f>
        <v>23.999999999999996</v>
      </c>
      <c r="C76" s="67" t="s">
        <v>104</v>
      </c>
      <c r="E76" s="34" t="s">
        <v>488</v>
      </c>
      <c r="N76">
        <v>15</v>
      </c>
      <c r="O76">
        <f t="shared" si="72"/>
        <v>46.5</v>
      </c>
      <c r="P76" s="14">
        <f t="shared" si="48"/>
        <v>0.39784946236559138</v>
      </c>
      <c r="Q76" s="15">
        <f t="shared" si="49"/>
        <v>0.60215053763440862</v>
      </c>
      <c r="R76" s="15">
        <f t="shared" si="50"/>
        <v>5.9254175245939145</v>
      </c>
      <c r="S76" s="16">
        <f t="shared" si="51"/>
        <v>52.962708762296955</v>
      </c>
      <c r="T76" s="14">
        <f t="shared" si="52"/>
        <v>0.43010752688172044</v>
      </c>
      <c r="U76" s="15">
        <f t="shared" si="53"/>
        <v>0.56989247311827951</v>
      </c>
      <c r="V76" s="15">
        <f t="shared" si="54"/>
        <v>6.062685884237017</v>
      </c>
      <c r="W76" s="16">
        <f t="shared" si="55"/>
        <v>53.031342942118506</v>
      </c>
      <c r="X76" s="14">
        <f t="shared" si="56"/>
        <v>0.55913978494623651</v>
      </c>
      <c r="Y76" s="15">
        <f t="shared" si="57"/>
        <v>0.44086021505376349</v>
      </c>
      <c r="Z76" s="15">
        <f t="shared" si="58"/>
        <v>6.0970029741477916</v>
      </c>
      <c r="AA76" s="16">
        <f t="shared" si="59"/>
        <v>53.048501487073892</v>
      </c>
      <c r="AC76">
        <v>15</v>
      </c>
      <c r="AD76">
        <f t="shared" si="73"/>
        <v>20.75</v>
      </c>
      <c r="AE76" s="14">
        <f t="shared" si="60"/>
        <v>0.69166666666666665</v>
      </c>
      <c r="AF76" s="15">
        <f t="shared" si="61"/>
        <v>0.30833333333333335</v>
      </c>
      <c r="AG76" s="15">
        <f t="shared" si="62"/>
        <v>3.4031471631205674</v>
      </c>
      <c r="AH76" s="16">
        <f t="shared" si="63"/>
        <v>51.701573581560282</v>
      </c>
      <c r="AI76" s="14">
        <f t="shared" si="64"/>
        <v>0.41499999999999998</v>
      </c>
      <c r="AJ76" s="15">
        <f t="shared" si="65"/>
        <v>0.58499999999999996</v>
      </c>
      <c r="AK76" s="15">
        <f t="shared" si="66"/>
        <v>6.4567819148936172</v>
      </c>
      <c r="AL76" s="16">
        <f t="shared" si="67"/>
        <v>53.228390957446805</v>
      </c>
      <c r="AM76" s="14">
        <f t="shared" si="68"/>
        <v>0.24411764705882352</v>
      </c>
      <c r="AN76" s="15">
        <f t="shared" si="69"/>
        <v>0.75588235294117645</v>
      </c>
      <c r="AO76" s="15">
        <f t="shared" si="70"/>
        <v>8.3428504380475594</v>
      </c>
      <c r="AP76" s="16">
        <f t="shared" si="71"/>
        <v>54.171425219023781</v>
      </c>
    </row>
    <row r="77" spans="1:42" ht="15" x14ac:dyDescent="0.25">
      <c r="A77" s="34" t="s">
        <v>208</v>
      </c>
      <c r="B77" s="49">
        <v>96</v>
      </c>
      <c r="C77" s="67" t="s">
        <v>104</v>
      </c>
      <c r="E77" s="34" t="s">
        <v>100</v>
      </c>
      <c r="N77">
        <v>16</v>
      </c>
      <c r="O77">
        <f t="shared" si="72"/>
        <v>47.6</v>
      </c>
      <c r="P77" s="14">
        <f t="shared" si="48"/>
        <v>0.38865546218487396</v>
      </c>
      <c r="Q77" s="15">
        <f t="shared" si="49"/>
        <v>0.6113445378151261</v>
      </c>
      <c r="R77" s="15">
        <f t="shared" si="50"/>
        <v>6.0158903987126777</v>
      </c>
      <c r="S77" s="16">
        <f t="shared" si="51"/>
        <v>53.007945199356342</v>
      </c>
      <c r="T77" s="14">
        <f t="shared" si="52"/>
        <v>0.42016806722689076</v>
      </c>
      <c r="U77" s="15">
        <f t="shared" si="53"/>
        <v>0.57983193277310918</v>
      </c>
      <c r="V77" s="15">
        <f t="shared" si="54"/>
        <v>6.1684248167352056</v>
      </c>
      <c r="W77" s="16">
        <f t="shared" si="55"/>
        <v>53.084212408367605</v>
      </c>
      <c r="X77" s="14">
        <f t="shared" si="56"/>
        <v>0.54621848739495793</v>
      </c>
      <c r="Y77" s="15">
        <f t="shared" si="57"/>
        <v>0.45378151260504207</v>
      </c>
      <c r="Z77" s="15">
        <f t="shared" si="58"/>
        <v>6.2757017700697304</v>
      </c>
      <c r="AA77" s="16">
        <f t="shared" si="59"/>
        <v>53.137850885034865</v>
      </c>
      <c r="AC77">
        <v>16</v>
      </c>
      <c r="AD77">
        <f t="shared" si="73"/>
        <v>20.9</v>
      </c>
      <c r="AE77" s="14">
        <f t="shared" si="60"/>
        <v>0.69666666666666666</v>
      </c>
      <c r="AF77" s="15">
        <f t="shared" si="61"/>
        <v>0.30333333333333334</v>
      </c>
      <c r="AG77" s="15">
        <f t="shared" si="62"/>
        <v>3.3721631205673765</v>
      </c>
      <c r="AH77" s="16">
        <f t="shared" si="63"/>
        <v>51.686081560283689</v>
      </c>
      <c r="AI77" s="14">
        <f t="shared" si="64"/>
        <v>0.41799999999999998</v>
      </c>
      <c r="AJ77" s="15">
        <f t="shared" si="65"/>
        <v>0.58200000000000007</v>
      </c>
      <c r="AK77" s="15">
        <f t="shared" si="66"/>
        <v>6.4701063829787238</v>
      </c>
      <c r="AL77" s="16">
        <f t="shared" si="67"/>
        <v>53.235053191489364</v>
      </c>
      <c r="AM77" s="14">
        <f t="shared" si="68"/>
        <v>0.24588235294117644</v>
      </c>
      <c r="AN77" s="15">
        <f t="shared" si="69"/>
        <v>0.75411764705882356</v>
      </c>
      <c r="AO77" s="15">
        <f t="shared" si="70"/>
        <v>8.3835419274092615</v>
      </c>
      <c r="AP77" s="16">
        <f t="shared" si="71"/>
        <v>54.191770963704627</v>
      </c>
    </row>
    <row r="78" spans="1:42" x14ac:dyDescent="0.15">
      <c r="A78" s="31" t="s">
        <v>101</v>
      </c>
      <c r="B78" s="61">
        <f>(V48_Min)/(Ramp_C*Ramp_R*Fsw)</f>
        <v>3.125</v>
      </c>
      <c r="C78" s="31" t="s">
        <v>1</v>
      </c>
      <c r="D78" s="34">
        <f>IF(B78&lt;Constants!$C$44,1,IF(B78&gt;Constants!$C$43,1,0))</f>
        <v>0</v>
      </c>
      <c r="E78" s="34" t="s">
        <v>209</v>
      </c>
      <c r="N78">
        <v>17</v>
      </c>
      <c r="O78">
        <f t="shared" si="72"/>
        <v>48.7</v>
      </c>
      <c r="P78" s="14">
        <f t="shared" si="48"/>
        <v>0.37987679671457902</v>
      </c>
      <c r="Q78" s="15">
        <f t="shared" si="49"/>
        <v>0.62012320328542092</v>
      </c>
      <c r="R78" s="15">
        <f t="shared" si="50"/>
        <v>6.1022762025427069</v>
      </c>
      <c r="S78" s="16">
        <f t="shared" si="51"/>
        <v>53.051138101271356</v>
      </c>
      <c r="T78" s="14">
        <f t="shared" si="52"/>
        <v>0.41067761806981518</v>
      </c>
      <c r="U78" s="15">
        <f t="shared" si="53"/>
        <v>0.58932238193018482</v>
      </c>
      <c r="V78" s="15">
        <f t="shared" si="54"/>
        <v>6.2693870418104778</v>
      </c>
      <c r="W78" s="16">
        <f t="shared" si="55"/>
        <v>53.134693520905238</v>
      </c>
      <c r="X78" s="14">
        <f t="shared" si="56"/>
        <v>0.53388090349075967</v>
      </c>
      <c r="Y78" s="15">
        <f t="shared" si="57"/>
        <v>0.46611909650924033</v>
      </c>
      <c r="Z78" s="15">
        <f t="shared" si="58"/>
        <v>6.4463279304469401</v>
      </c>
      <c r="AA78" s="16">
        <f t="shared" si="59"/>
        <v>53.22316396522347</v>
      </c>
      <c r="AC78">
        <v>17</v>
      </c>
      <c r="AD78">
        <f t="shared" si="73"/>
        <v>21.05</v>
      </c>
      <c r="AE78" s="14">
        <f t="shared" si="60"/>
        <v>0.70166666666666666</v>
      </c>
      <c r="AF78" s="15">
        <f t="shared" si="61"/>
        <v>0.29833333333333334</v>
      </c>
      <c r="AG78" s="15">
        <f t="shared" si="62"/>
        <v>3.3403812056737587</v>
      </c>
      <c r="AH78" s="16">
        <f t="shared" si="63"/>
        <v>51.670190602836882</v>
      </c>
      <c r="AI78" s="14">
        <f t="shared" si="64"/>
        <v>0.42100000000000004</v>
      </c>
      <c r="AJ78" s="15">
        <f t="shared" si="65"/>
        <v>0.57899999999999996</v>
      </c>
      <c r="AK78" s="15">
        <f t="shared" si="66"/>
        <v>6.4829521276595754</v>
      </c>
      <c r="AL78" s="16">
        <f t="shared" si="67"/>
        <v>53.241476063829786</v>
      </c>
      <c r="AM78" s="14">
        <f t="shared" si="68"/>
        <v>0.24764705882352941</v>
      </c>
      <c r="AN78" s="15">
        <f t="shared" si="69"/>
        <v>0.75235294117647056</v>
      </c>
      <c r="AO78" s="15">
        <f t="shared" si="70"/>
        <v>8.4239518147684613</v>
      </c>
      <c r="AP78" s="16">
        <f t="shared" si="71"/>
        <v>54.211975907384229</v>
      </c>
    </row>
    <row r="79" spans="1:42" x14ac:dyDescent="0.15">
      <c r="A79" s="31" t="s">
        <v>102</v>
      </c>
      <c r="B79" s="50">
        <f>(V48_Nom)/(Ramp_C*Ramp_R*Fsw)</f>
        <v>5.2083333333333339</v>
      </c>
      <c r="C79" s="31" t="s">
        <v>1</v>
      </c>
      <c r="D79" s="34">
        <f>IF(B79&lt;Constants!$C$44,1,IF(B79&gt;Constants!$C$43,1,0))</f>
        <v>0</v>
      </c>
      <c r="E79" s="34" t="s">
        <v>209</v>
      </c>
      <c r="N79">
        <v>18</v>
      </c>
      <c r="O79">
        <f t="shared" si="72"/>
        <v>49.8</v>
      </c>
      <c r="P79" s="14">
        <f t="shared" si="48"/>
        <v>0.37148594377510041</v>
      </c>
      <c r="Q79" s="15">
        <f t="shared" si="49"/>
        <v>0.62851405622489964</v>
      </c>
      <c r="R79" s="15">
        <f t="shared" si="50"/>
        <v>6.184845766042895</v>
      </c>
      <c r="S79" s="16">
        <f t="shared" si="51"/>
        <v>53.092422883021449</v>
      </c>
      <c r="T79" s="14">
        <f t="shared" si="52"/>
        <v>0.40160642570281124</v>
      </c>
      <c r="U79" s="15">
        <f t="shared" si="53"/>
        <v>0.59839357429718876</v>
      </c>
      <c r="V79" s="15">
        <f t="shared" si="54"/>
        <v>6.3658890882679646</v>
      </c>
      <c r="W79" s="16">
        <f t="shared" si="55"/>
        <v>53.182944544133981</v>
      </c>
      <c r="X79" s="14">
        <f t="shared" si="56"/>
        <v>0.52208835341365467</v>
      </c>
      <c r="Y79" s="15">
        <f t="shared" si="57"/>
        <v>0.47791164658634533</v>
      </c>
      <c r="Z79" s="15">
        <f t="shared" si="58"/>
        <v>6.6094163889600965</v>
      </c>
      <c r="AA79" s="16">
        <f t="shared" si="59"/>
        <v>53.30470819448005</v>
      </c>
      <c r="AC79">
        <v>18</v>
      </c>
      <c r="AD79">
        <f t="shared" si="73"/>
        <v>21.2</v>
      </c>
      <c r="AE79" s="14">
        <f t="shared" si="60"/>
        <v>0.70666666666666667</v>
      </c>
      <c r="AF79" s="15">
        <f t="shared" si="61"/>
        <v>0.29333333333333333</v>
      </c>
      <c r="AG79" s="15">
        <f t="shared" si="62"/>
        <v>3.3078014184397171</v>
      </c>
      <c r="AH79" s="16">
        <f t="shared" si="63"/>
        <v>51.653900709219862</v>
      </c>
      <c r="AI79" s="14">
        <f t="shared" si="64"/>
        <v>0.42399999999999999</v>
      </c>
      <c r="AJ79" s="15">
        <f t="shared" si="65"/>
        <v>0.57600000000000007</v>
      </c>
      <c r="AK79" s="15">
        <f t="shared" si="66"/>
        <v>6.4953191489361712</v>
      </c>
      <c r="AL79" s="16">
        <f t="shared" si="67"/>
        <v>53.247659574468088</v>
      </c>
      <c r="AM79" s="14">
        <f t="shared" si="68"/>
        <v>0.24941176470588233</v>
      </c>
      <c r="AN79" s="15">
        <f t="shared" si="69"/>
        <v>0.75058823529411767</v>
      </c>
      <c r="AO79" s="15">
        <f t="shared" si="70"/>
        <v>8.4640801001251553</v>
      </c>
      <c r="AP79" s="16">
        <f t="shared" si="71"/>
        <v>54.232040050062579</v>
      </c>
    </row>
    <row r="80" spans="1:42" x14ac:dyDescent="0.15">
      <c r="A80" s="31" t="s">
        <v>103</v>
      </c>
      <c r="B80" s="61">
        <f>(V48_Max)/(Ramp_C*Ramp_R*Fsw)</f>
        <v>8.8541666666666679</v>
      </c>
      <c r="C80" s="31" t="s">
        <v>1</v>
      </c>
      <c r="D80" s="34">
        <f>IF(B80&lt;Constants!$C$44,1,IF(B80&gt;Constants!$C$43,1,0))</f>
        <v>0</v>
      </c>
      <c r="E80" s="34" t="s">
        <v>209</v>
      </c>
      <c r="N80">
        <v>19</v>
      </c>
      <c r="O80">
        <f t="shared" si="72"/>
        <v>50.900000000000006</v>
      </c>
      <c r="P80" s="14">
        <f t="shared" si="48"/>
        <v>0.36345776031434179</v>
      </c>
      <c r="Q80" s="15">
        <f t="shared" si="49"/>
        <v>0.63654223968565815</v>
      </c>
      <c r="R80" s="15">
        <f t="shared" si="50"/>
        <v>6.2638465075450407</v>
      </c>
      <c r="S80" s="16">
        <f t="shared" si="51"/>
        <v>53.13192325377252</v>
      </c>
      <c r="T80" s="14">
        <f t="shared" si="52"/>
        <v>0.39292730844793711</v>
      </c>
      <c r="U80" s="15">
        <f t="shared" si="53"/>
        <v>0.60707269155206289</v>
      </c>
      <c r="V80" s="15">
        <f t="shared" si="54"/>
        <v>6.4582201228942866</v>
      </c>
      <c r="W80" s="16">
        <f t="shared" si="55"/>
        <v>53.229110061447145</v>
      </c>
      <c r="X80" s="14">
        <f t="shared" si="56"/>
        <v>0.51080550098231825</v>
      </c>
      <c r="Y80" s="15">
        <f t="shared" si="57"/>
        <v>0.48919449901768175</v>
      </c>
      <c r="Z80" s="15">
        <f t="shared" si="58"/>
        <v>6.7654558374785791</v>
      </c>
      <c r="AA80" s="16">
        <f t="shared" si="59"/>
        <v>53.382727918739292</v>
      </c>
      <c r="AC80">
        <v>19</v>
      </c>
      <c r="AD80">
        <f t="shared" si="73"/>
        <v>21.35</v>
      </c>
      <c r="AE80" s="14">
        <f t="shared" si="60"/>
        <v>0.71166666666666667</v>
      </c>
      <c r="AF80" s="15">
        <f t="shared" si="61"/>
        <v>0.28833333333333333</v>
      </c>
      <c r="AG80" s="15">
        <f t="shared" si="62"/>
        <v>3.2744237588652476</v>
      </c>
      <c r="AH80" s="16">
        <f t="shared" si="63"/>
        <v>51.637211879432627</v>
      </c>
      <c r="AI80" s="14">
        <f t="shared" si="64"/>
        <v>0.42700000000000005</v>
      </c>
      <c r="AJ80" s="15">
        <f t="shared" si="65"/>
        <v>0.57299999999999995</v>
      </c>
      <c r="AK80" s="15">
        <f t="shared" si="66"/>
        <v>6.5072074468085113</v>
      </c>
      <c r="AL80" s="16">
        <f t="shared" si="67"/>
        <v>53.253603723404254</v>
      </c>
      <c r="AM80" s="14">
        <f t="shared" si="68"/>
        <v>0.25117647058823533</v>
      </c>
      <c r="AN80" s="15">
        <f t="shared" si="69"/>
        <v>0.74882352941176467</v>
      </c>
      <c r="AO80" s="15">
        <f t="shared" si="70"/>
        <v>8.5039267834793506</v>
      </c>
      <c r="AP80" s="16">
        <f t="shared" si="71"/>
        <v>54.251963391739679</v>
      </c>
    </row>
    <row r="81" spans="1:42" x14ac:dyDescent="0.15">
      <c r="N81">
        <v>20</v>
      </c>
      <c r="O81">
        <f t="shared" si="72"/>
        <v>52</v>
      </c>
      <c r="P81" s="14">
        <f t="shared" si="48"/>
        <v>0.35576923076923078</v>
      </c>
      <c r="Q81" s="15">
        <f t="shared" si="49"/>
        <v>0.64423076923076916</v>
      </c>
      <c r="R81" s="15">
        <f t="shared" si="50"/>
        <v>6.339504909983634</v>
      </c>
      <c r="S81" s="16">
        <f t="shared" si="51"/>
        <v>53.169752454991816</v>
      </c>
      <c r="T81" s="14">
        <f t="shared" si="52"/>
        <v>0.38461538461538464</v>
      </c>
      <c r="U81" s="15">
        <f t="shared" si="53"/>
        <v>0.61538461538461542</v>
      </c>
      <c r="V81" s="15">
        <f t="shared" si="54"/>
        <v>6.5466448445171856</v>
      </c>
      <c r="W81" s="16">
        <f t="shared" si="55"/>
        <v>53.273322422258595</v>
      </c>
      <c r="X81" s="14">
        <f t="shared" si="56"/>
        <v>0.5</v>
      </c>
      <c r="Y81" s="15">
        <f t="shared" si="57"/>
        <v>0.5</v>
      </c>
      <c r="Z81" s="15">
        <f t="shared" si="58"/>
        <v>6.914893617021276</v>
      </c>
      <c r="AA81" s="16">
        <f t="shared" si="59"/>
        <v>53.457446808510639</v>
      </c>
      <c r="AC81">
        <v>20</v>
      </c>
      <c r="AD81">
        <f t="shared" si="73"/>
        <v>21.5</v>
      </c>
      <c r="AE81" s="14">
        <f t="shared" si="60"/>
        <v>0.71666666666666667</v>
      </c>
      <c r="AF81" s="15">
        <f t="shared" si="61"/>
        <v>0.28333333333333333</v>
      </c>
      <c r="AG81" s="15">
        <f t="shared" si="62"/>
        <v>3.2402482269503547</v>
      </c>
      <c r="AH81" s="16">
        <f t="shared" si="63"/>
        <v>51.620124113475178</v>
      </c>
      <c r="AI81" s="14">
        <f t="shared" si="64"/>
        <v>0.43</v>
      </c>
      <c r="AJ81" s="15">
        <f t="shared" si="65"/>
        <v>0.57000000000000006</v>
      </c>
      <c r="AK81" s="15">
        <f t="shared" si="66"/>
        <v>6.5186170212765955</v>
      </c>
      <c r="AL81" s="16">
        <f t="shared" si="67"/>
        <v>53.259308510638299</v>
      </c>
      <c r="AM81" s="14">
        <f t="shared" si="68"/>
        <v>0.25294117647058822</v>
      </c>
      <c r="AN81" s="15">
        <f t="shared" si="69"/>
        <v>0.74705882352941178</v>
      </c>
      <c r="AO81" s="15">
        <f t="shared" si="70"/>
        <v>8.5434918648310383</v>
      </c>
      <c r="AP81" s="16">
        <f t="shared" si="71"/>
        <v>54.27174593241552</v>
      </c>
    </row>
    <row r="82" spans="1:42" x14ac:dyDescent="0.15">
      <c r="A82" s="44" t="s">
        <v>112</v>
      </c>
      <c r="B82" s="45"/>
      <c r="C82" s="46"/>
      <c r="N82">
        <v>21</v>
      </c>
      <c r="O82">
        <f t="shared" si="72"/>
        <v>53.1</v>
      </c>
      <c r="P82" s="14">
        <f t="shared" si="48"/>
        <v>0.34839924670433142</v>
      </c>
      <c r="Q82" s="15">
        <f t="shared" si="49"/>
        <v>0.65160075329566858</v>
      </c>
      <c r="R82" s="15">
        <f t="shared" si="50"/>
        <v>6.4120286893456742</v>
      </c>
      <c r="S82" s="16">
        <f t="shared" si="51"/>
        <v>53.206014344672838</v>
      </c>
      <c r="T82" s="14">
        <f t="shared" si="52"/>
        <v>0.37664783427495291</v>
      </c>
      <c r="U82" s="15">
        <f t="shared" si="53"/>
        <v>0.62335216572504715</v>
      </c>
      <c r="V82" s="15">
        <f t="shared" si="54"/>
        <v>6.6314060183515648</v>
      </c>
      <c r="W82" s="16">
        <f t="shared" si="55"/>
        <v>53.315703009175785</v>
      </c>
      <c r="X82" s="14">
        <f t="shared" si="56"/>
        <v>0.4896421845574388</v>
      </c>
      <c r="Y82" s="15">
        <f t="shared" si="57"/>
        <v>0.5103578154425612</v>
      </c>
      <c r="Z82" s="15">
        <f t="shared" si="58"/>
        <v>7.0581400008013793</v>
      </c>
      <c r="AA82" s="16">
        <f t="shared" si="59"/>
        <v>53.529070000400687</v>
      </c>
      <c r="AC82">
        <v>21</v>
      </c>
      <c r="AD82">
        <f t="shared" si="73"/>
        <v>21.65</v>
      </c>
      <c r="AE82" s="14">
        <f t="shared" si="60"/>
        <v>0.72166666666666657</v>
      </c>
      <c r="AF82" s="15">
        <f t="shared" si="61"/>
        <v>0.27833333333333343</v>
      </c>
      <c r="AG82" s="15">
        <f t="shared" si="62"/>
        <v>3.2052748226950358</v>
      </c>
      <c r="AH82" s="16">
        <f t="shared" si="63"/>
        <v>51.602637411347516</v>
      </c>
      <c r="AI82" s="14">
        <f t="shared" si="64"/>
        <v>0.433</v>
      </c>
      <c r="AJ82" s="15">
        <f t="shared" si="65"/>
        <v>0.56699999999999995</v>
      </c>
      <c r="AK82" s="15">
        <f t="shared" si="66"/>
        <v>6.5295478723404266</v>
      </c>
      <c r="AL82" s="16">
        <f t="shared" si="67"/>
        <v>53.264773936170215</v>
      </c>
      <c r="AM82" s="14">
        <f t="shared" si="68"/>
        <v>0.25470588235294117</v>
      </c>
      <c r="AN82" s="15">
        <f t="shared" si="69"/>
        <v>0.74529411764705888</v>
      </c>
      <c r="AO82" s="15">
        <f t="shared" si="70"/>
        <v>8.5827753441802255</v>
      </c>
      <c r="AP82" s="16">
        <f t="shared" si="71"/>
        <v>54.29138767209011</v>
      </c>
    </row>
    <row r="83" spans="1:42" x14ac:dyDescent="0.15">
      <c r="A83" s="31" t="s">
        <v>210</v>
      </c>
      <c r="B83" s="49">
        <f>Design_Converter!B72*(10^-3)</f>
        <v>2E-3</v>
      </c>
      <c r="C83" s="31" t="s">
        <v>23</v>
      </c>
      <c r="N83">
        <v>22</v>
      </c>
      <c r="O83">
        <f t="shared" si="72"/>
        <v>54.2</v>
      </c>
      <c r="P83" s="14">
        <f t="shared" si="48"/>
        <v>0.34132841328413283</v>
      </c>
      <c r="Q83" s="15">
        <f t="shared" si="49"/>
        <v>0.65867158671586723</v>
      </c>
      <c r="R83" s="15">
        <f t="shared" si="50"/>
        <v>6.4816086990657142</v>
      </c>
      <c r="S83" s="16">
        <f t="shared" si="51"/>
        <v>53.240804349532858</v>
      </c>
      <c r="T83" s="14">
        <f t="shared" si="52"/>
        <v>0.36900369003690037</v>
      </c>
      <c r="U83" s="15">
        <f t="shared" si="53"/>
        <v>0.63099630996309963</v>
      </c>
      <c r="V83" s="15">
        <f t="shared" si="54"/>
        <v>6.7127267017351029</v>
      </c>
      <c r="W83" s="16">
        <f t="shared" si="55"/>
        <v>53.356363350867554</v>
      </c>
      <c r="X83" s="14">
        <f t="shared" si="56"/>
        <v>0.47970479704797048</v>
      </c>
      <c r="Y83" s="15">
        <f t="shared" si="57"/>
        <v>0.52029520295202958</v>
      </c>
      <c r="Z83" s="15">
        <f t="shared" si="58"/>
        <v>7.1955719557195588</v>
      </c>
      <c r="AA83" s="16">
        <f t="shared" si="59"/>
        <v>53.597785977859779</v>
      </c>
      <c r="AC83">
        <v>22</v>
      </c>
      <c r="AD83">
        <f t="shared" si="73"/>
        <v>21.8</v>
      </c>
      <c r="AE83" s="14">
        <f t="shared" si="60"/>
        <v>0.72666666666666668</v>
      </c>
      <c r="AF83" s="15">
        <f t="shared" si="61"/>
        <v>0.27333333333333332</v>
      </c>
      <c r="AG83" s="15">
        <f t="shared" si="62"/>
        <v>3.1695035460992909</v>
      </c>
      <c r="AH83" s="16">
        <f t="shared" si="63"/>
        <v>51.584751773049646</v>
      </c>
      <c r="AI83" s="14">
        <f t="shared" si="64"/>
        <v>0.436</v>
      </c>
      <c r="AJ83" s="15">
        <f t="shared" si="65"/>
        <v>0.56400000000000006</v>
      </c>
      <c r="AK83" s="15">
        <f t="shared" si="66"/>
        <v>6.54</v>
      </c>
      <c r="AL83" s="16">
        <f t="shared" si="67"/>
        <v>53.27</v>
      </c>
      <c r="AM83" s="14">
        <f t="shared" si="68"/>
        <v>0.25647058823529412</v>
      </c>
      <c r="AN83" s="15">
        <f t="shared" si="69"/>
        <v>0.74352941176470588</v>
      </c>
      <c r="AO83" s="15">
        <f t="shared" si="70"/>
        <v>8.6217772215269104</v>
      </c>
      <c r="AP83" s="16">
        <f t="shared" si="71"/>
        <v>54.310888610763456</v>
      </c>
    </row>
    <row r="84" spans="1:42" x14ac:dyDescent="0.15">
      <c r="A84" s="31" t="s">
        <v>115</v>
      </c>
      <c r="B84" s="50">
        <f>(Constants!C33*Calculations!B83/(Constants!C34))*(10^6)</f>
        <v>0.01</v>
      </c>
      <c r="C84" s="31" t="s">
        <v>32</v>
      </c>
      <c r="N84">
        <v>23</v>
      </c>
      <c r="O84">
        <f t="shared" si="72"/>
        <v>55.3</v>
      </c>
      <c r="P84" s="14">
        <f t="shared" si="48"/>
        <v>0.3345388788426763</v>
      </c>
      <c r="Q84" s="15">
        <f t="shared" si="49"/>
        <v>0.6654611211573237</v>
      </c>
      <c r="R84" s="15">
        <f t="shared" si="50"/>
        <v>6.548420607133238</v>
      </c>
      <c r="S84" s="16">
        <f t="shared" si="51"/>
        <v>53.274210303566619</v>
      </c>
      <c r="T84" s="14">
        <f t="shared" si="52"/>
        <v>0.36166365280289331</v>
      </c>
      <c r="U84" s="15">
        <f t="shared" si="53"/>
        <v>0.63833634719710663</v>
      </c>
      <c r="V84" s="15">
        <f t="shared" si="54"/>
        <v>6.7908122042245394</v>
      </c>
      <c r="W84" s="16">
        <f t="shared" si="55"/>
        <v>53.395406102112268</v>
      </c>
      <c r="X84" s="14">
        <f t="shared" si="56"/>
        <v>0.47016274864376134</v>
      </c>
      <c r="Y84" s="15">
        <f t="shared" si="57"/>
        <v>0.5298372513562386</v>
      </c>
      <c r="Z84" s="15">
        <f t="shared" si="58"/>
        <v>7.3275364549267055</v>
      </c>
      <c r="AA84" s="16">
        <f t="shared" si="59"/>
        <v>53.663768227463351</v>
      </c>
      <c r="AC84">
        <v>23</v>
      </c>
      <c r="AD84">
        <f t="shared" si="73"/>
        <v>21.95</v>
      </c>
      <c r="AE84" s="14">
        <f t="shared" si="60"/>
        <v>0.73166666666666669</v>
      </c>
      <c r="AF84" s="15">
        <f t="shared" si="61"/>
        <v>0.26833333333333331</v>
      </c>
      <c r="AG84" s="15">
        <f t="shared" si="62"/>
        <v>3.1329343971631212</v>
      </c>
      <c r="AH84" s="16">
        <f t="shared" si="63"/>
        <v>51.566467198581563</v>
      </c>
      <c r="AI84" s="14">
        <f t="shared" si="64"/>
        <v>0.439</v>
      </c>
      <c r="AJ84" s="15">
        <f t="shared" si="65"/>
        <v>0.56099999999999994</v>
      </c>
      <c r="AK84" s="15">
        <f t="shared" si="66"/>
        <v>6.5499734042553195</v>
      </c>
      <c r="AL84" s="16">
        <f t="shared" si="67"/>
        <v>53.274986702127663</v>
      </c>
      <c r="AM84" s="14">
        <f t="shared" si="68"/>
        <v>0.25823529411764706</v>
      </c>
      <c r="AN84" s="15">
        <f t="shared" si="69"/>
        <v>0.74176470588235288</v>
      </c>
      <c r="AO84" s="15">
        <f t="shared" si="70"/>
        <v>8.6604974968710877</v>
      </c>
      <c r="AP84" s="16">
        <f t="shared" si="71"/>
        <v>54.330248748435544</v>
      </c>
    </row>
    <row r="85" spans="1:42" x14ac:dyDescent="0.15">
      <c r="A85" s="31" t="s">
        <v>181</v>
      </c>
      <c r="B85" s="49">
        <f>Design_Converter!B74</f>
        <v>0.01</v>
      </c>
      <c r="C85" s="31" t="s">
        <v>32</v>
      </c>
      <c r="N85">
        <v>24</v>
      </c>
      <c r="O85">
        <f t="shared" si="72"/>
        <v>56.400000000000006</v>
      </c>
      <c r="P85" s="14">
        <f t="shared" si="48"/>
        <v>0.32801418439716307</v>
      </c>
      <c r="Q85" s="15">
        <f t="shared" si="49"/>
        <v>0.67198581560283688</v>
      </c>
      <c r="R85" s="15">
        <f t="shared" si="50"/>
        <v>6.61262637694281</v>
      </c>
      <c r="S85" s="16">
        <f t="shared" si="51"/>
        <v>53.306313188471407</v>
      </c>
      <c r="T85" s="14">
        <f t="shared" si="52"/>
        <v>0.35460992907801414</v>
      </c>
      <c r="U85" s="15">
        <f t="shared" si="53"/>
        <v>0.64539007092198586</v>
      </c>
      <c r="V85" s="15">
        <f t="shared" si="54"/>
        <v>6.8658518183189985</v>
      </c>
      <c r="W85" s="16">
        <f t="shared" si="55"/>
        <v>53.432925909159501</v>
      </c>
      <c r="X85" s="14">
        <f t="shared" si="56"/>
        <v>0.46099290780141838</v>
      </c>
      <c r="Y85" s="15">
        <f t="shared" si="57"/>
        <v>0.53900709219858167</v>
      </c>
      <c r="Z85" s="15">
        <f t="shared" si="58"/>
        <v>7.4543534027463414</v>
      </c>
      <c r="AA85" s="16">
        <f t="shared" si="59"/>
        <v>53.727176701373168</v>
      </c>
      <c r="AC85">
        <v>24</v>
      </c>
      <c r="AD85">
        <f t="shared" si="73"/>
        <v>22.1</v>
      </c>
      <c r="AE85" s="14">
        <f t="shared" si="60"/>
        <v>0.73666666666666669</v>
      </c>
      <c r="AF85" s="15">
        <f t="shared" si="61"/>
        <v>0.26333333333333331</v>
      </c>
      <c r="AG85" s="15">
        <f t="shared" si="62"/>
        <v>3.0955673758865245</v>
      </c>
      <c r="AH85" s="16">
        <f t="shared" si="63"/>
        <v>51.547783687943266</v>
      </c>
      <c r="AI85" s="14">
        <f t="shared" si="64"/>
        <v>0.442</v>
      </c>
      <c r="AJ85" s="15">
        <f t="shared" si="65"/>
        <v>0.55800000000000005</v>
      </c>
      <c r="AK85" s="15">
        <f t="shared" si="66"/>
        <v>6.5594680851063831</v>
      </c>
      <c r="AL85" s="16">
        <f t="shared" si="67"/>
        <v>53.279734042553194</v>
      </c>
      <c r="AM85" s="14">
        <f t="shared" si="68"/>
        <v>0.26</v>
      </c>
      <c r="AN85" s="15">
        <f t="shared" si="69"/>
        <v>0.74</v>
      </c>
      <c r="AO85" s="15">
        <f t="shared" si="70"/>
        <v>8.6989361702127663</v>
      </c>
      <c r="AP85" s="16">
        <f t="shared" si="71"/>
        <v>54.34946808510638</v>
      </c>
    </row>
    <row r="86" spans="1:42" x14ac:dyDescent="0.15">
      <c r="A86" s="31" t="s">
        <v>183</v>
      </c>
      <c r="B86" s="50">
        <f>1000*(Constants!C34*(B85*10^-6)/(Constants!C33))</f>
        <v>2</v>
      </c>
      <c r="C86" s="31" t="s">
        <v>114</v>
      </c>
      <c r="N86">
        <v>25</v>
      </c>
      <c r="O86">
        <f t="shared" si="72"/>
        <v>57.5</v>
      </c>
      <c r="P86" s="14">
        <f t="shared" si="48"/>
        <v>0.32173913043478258</v>
      </c>
      <c r="Q86" s="15">
        <f t="shared" si="49"/>
        <v>0.67826086956521747</v>
      </c>
      <c r="R86" s="15">
        <f t="shared" si="50"/>
        <v>6.6743755781683625</v>
      </c>
      <c r="S86" s="16">
        <f t="shared" si="51"/>
        <v>53.337187789084183</v>
      </c>
      <c r="T86" s="14">
        <f t="shared" si="52"/>
        <v>0.34782608695652173</v>
      </c>
      <c r="U86" s="15">
        <f t="shared" si="53"/>
        <v>0.65217391304347827</v>
      </c>
      <c r="V86" s="15">
        <f t="shared" si="54"/>
        <v>6.9380203515263643</v>
      </c>
      <c r="W86" s="16">
        <f t="shared" si="55"/>
        <v>53.469010175763181</v>
      </c>
      <c r="X86" s="14">
        <f t="shared" si="56"/>
        <v>0.45217391304347826</v>
      </c>
      <c r="Y86" s="15">
        <f t="shared" si="57"/>
        <v>0.54782608695652169</v>
      </c>
      <c r="Z86" s="15">
        <f t="shared" si="58"/>
        <v>7.5763182238667905</v>
      </c>
      <c r="AA86" s="16">
        <f t="shared" si="59"/>
        <v>53.788159111933396</v>
      </c>
      <c r="AC86">
        <v>25</v>
      </c>
      <c r="AD86">
        <f t="shared" si="73"/>
        <v>22.25</v>
      </c>
      <c r="AE86" s="14">
        <f t="shared" si="60"/>
        <v>0.7416666666666667</v>
      </c>
      <c r="AF86" s="15">
        <f t="shared" si="61"/>
        <v>0.2583333333333333</v>
      </c>
      <c r="AG86" s="15">
        <f t="shared" si="62"/>
        <v>3.0574024822695041</v>
      </c>
      <c r="AH86" s="16">
        <f t="shared" si="63"/>
        <v>51.528701241134755</v>
      </c>
      <c r="AI86" s="14">
        <f t="shared" si="64"/>
        <v>0.44500000000000001</v>
      </c>
      <c r="AJ86" s="15">
        <f t="shared" si="65"/>
        <v>0.55499999999999994</v>
      </c>
      <c r="AK86" s="15">
        <f t="shared" si="66"/>
        <v>6.5684840425531918</v>
      </c>
      <c r="AL86" s="16">
        <f t="shared" si="67"/>
        <v>53.284242021276597</v>
      </c>
      <c r="AM86" s="14">
        <f t="shared" si="68"/>
        <v>0.26176470588235295</v>
      </c>
      <c r="AN86" s="15">
        <f t="shared" si="69"/>
        <v>0.7382352941176471</v>
      </c>
      <c r="AO86" s="15">
        <f t="shared" si="70"/>
        <v>8.7370932415519409</v>
      </c>
      <c r="AP86" s="16">
        <f t="shared" si="71"/>
        <v>54.368546620775973</v>
      </c>
    </row>
    <row r="87" spans="1:42" x14ac:dyDescent="0.15">
      <c r="N87">
        <v>26</v>
      </c>
      <c r="O87">
        <f t="shared" si="72"/>
        <v>58.6</v>
      </c>
      <c r="P87" s="14">
        <f t="shared" si="48"/>
        <v>0.31569965870307165</v>
      </c>
      <c r="Q87" s="15">
        <f t="shared" si="49"/>
        <v>0.6843003412969284</v>
      </c>
      <c r="R87" s="15">
        <f t="shared" si="50"/>
        <v>6.7338065499963697</v>
      </c>
      <c r="S87" s="16">
        <f t="shared" si="51"/>
        <v>53.366903274998187</v>
      </c>
      <c r="T87" s="14">
        <f t="shared" si="52"/>
        <v>0.34129692832764502</v>
      </c>
      <c r="U87" s="15">
        <f t="shared" si="53"/>
        <v>0.65870307167235498</v>
      </c>
      <c r="V87" s="15">
        <f t="shared" si="54"/>
        <v>7.0074794858761162</v>
      </c>
      <c r="W87" s="16">
        <f t="shared" si="55"/>
        <v>53.503739742938059</v>
      </c>
      <c r="X87" s="14">
        <f t="shared" si="56"/>
        <v>0.44368600682593856</v>
      </c>
      <c r="Y87" s="15">
        <f t="shared" si="57"/>
        <v>0.55631399317406149</v>
      </c>
      <c r="Z87" s="15">
        <f t="shared" si="58"/>
        <v>7.6937041609178713</v>
      </c>
      <c r="AA87" s="16">
        <f t="shared" si="59"/>
        <v>53.846852080458937</v>
      </c>
      <c r="AC87">
        <v>26</v>
      </c>
      <c r="AD87">
        <f t="shared" si="73"/>
        <v>22.4</v>
      </c>
      <c r="AE87" s="14">
        <f t="shared" si="60"/>
        <v>0.74666666666666659</v>
      </c>
      <c r="AF87" s="15">
        <f t="shared" si="61"/>
        <v>0.25333333333333341</v>
      </c>
      <c r="AG87" s="15">
        <f t="shared" si="62"/>
        <v>3.0184397163120571</v>
      </c>
      <c r="AH87" s="16">
        <f t="shared" si="63"/>
        <v>51.50921985815603</v>
      </c>
      <c r="AI87" s="14">
        <f t="shared" si="64"/>
        <v>0.44799999999999995</v>
      </c>
      <c r="AJ87" s="15">
        <f t="shared" si="65"/>
        <v>0.55200000000000005</v>
      </c>
      <c r="AK87" s="15">
        <f t="shared" si="66"/>
        <v>6.5770212765957448</v>
      </c>
      <c r="AL87" s="16">
        <f t="shared" si="67"/>
        <v>53.288510638297872</v>
      </c>
      <c r="AM87" s="14">
        <f t="shared" si="68"/>
        <v>0.26352941176470585</v>
      </c>
      <c r="AN87" s="15">
        <f t="shared" si="69"/>
        <v>0.73647058823529421</v>
      </c>
      <c r="AO87" s="15">
        <f t="shared" si="70"/>
        <v>8.7749687108886114</v>
      </c>
      <c r="AP87" s="16">
        <f t="shared" si="71"/>
        <v>54.387484355444307</v>
      </c>
    </row>
    <row r="88" spans="1:42" x14ac:dyDescent="0.15">
      <c r="A88" s="31" t="s">
        <v>160</v>
      </c>
      <c r="B88" s="53"/>
      <c r="C88" s="31"/>
      <c r="N88">
        <v>27</v>
      </c>
      <c r="O88">
        <f t="shared" si="72"/>
        <v>59.7</v>
      </c>
      <c r="P88" s="14">
        <f t="shared" si="48"/>
        <v>0.30988274706867669</v>
      </c>
      <c r="Q88" s="15">
        <f t="shared" si="49"/>
        <v>0.69011725293132331</v>
      </c>
      <c r="R88" s="15">
        <f t="shared" si="50"/>
        <v>6.7910474357603619</v>
      </c>
      <c r="S88" s="16">
        <f t="shared" si="51"/>
        <v>53.395523717880181</v>
      </c>
      <c r="T88" s="14">
        <f t="shared" si="52"/>
        <v>0.3350083752093802</v>
      </c>
      <c r="U88" s="15">
        <f t="shared" si="53"/>
        <v>0.6649916247906198</v>
      </c>
      <c r="V88" s="15">
        <f t="shared" si="54"/>
        <v>7.0743789871342528</v>
      </c>
      <c r="W88" s="16">
        <f t="shared" si="55"/>
        <v>53.537189493567126</v>
      </c>
      <c r="X88" s="14">
        <f t="shared" si="56"/>
        <v>0.43551088777219427</v>
      </c>
      <c r="Y88" s="15">
        <f t="shared" si="57"/>
        <v>0.56448911222780573</v>
      </c>
      <c r="Z88" s="15">
        <f t="shared" si="58"/>
        <v>7.806764318044122</v>
      </c>
      <c r="AA88" s="16">
        <f t="shared" si="59"/>
        <v>53.903382159022058</v>
      </c>
      <c r="AC88">
        <v>27</v>
      </c>
      <c r="AD88">
        <f t="shared" si="73"/>
        <v>22.55</v>
      </c>
      <c r="AE88" s="14">
        <f t="shared" si="60"/>
        <v>0.75166666666666671</v>
      </c>
      <c r="AF88" s="15">
        <f t="shared" si="61"/>
        <v>0.24833333333333329</v>
      </c>
      <c r="AG88" s="15">
        <f t="shared" si="62"/>
        <v>2.9786790780141845</v>
      </c>
      <c r="AH88" s="16">
        <f t="shared" si="63"/>
        <v>51.489339539007091</v>
      </c>
      <c r="AI88" s="14">
        <f t="shared" si="64"/>
        <v>0.45100000000000001</v>
      </c>
      <c r="AJ88" s="15">
        <f t="shared" si="65"/>
        <v>0.54899999999999993</v>
      </c>
      <c r="AK88" s="15">
        <f t="shared" si="66"/>
        <v>6.5850797872340427</v>
      </c>
      <c r="AL88" s="16">
        <f t="shared" si="67"/>
        <v>53.292539893617018</v>
      </c>
      <c r="AM88" s="14">
        <f t="shared" si="68"/>
        <v>0.26529411764705885</v>
      </c>
      <c r="AN88" s="15">
        <f t="shared" si="69"/>
        <v>0.7347058823529411</v>
      </c>
      <c r="AO88" s="15">
        <f t="shared" si="70"/>
        <v>8.8125625782227814</v>
      </c>
      <c r="AP88" s="16">
        <f t="shared" si="71"/>
        <v>54.406281289111391</v>
      </c>
    </row>
    <row r="89" spans="1:42" x14ac:dyDescent="0.15">
      <c r="A89" s="31" t="s">
        <v>161</v>
      </c>
      <c r="B89" s="49">
        <f>Design_Converter!B80</f>
        <v>60</v>
      </c>
      <c r="C89" s="31" t="s">
        <v>1</v>
      </c>
      <c r="N89">
        <v>28</v>
      </c>
      <c r="O89">
        <f t="shared" si="72"/>
        <v>60.800000000000004</v>
      </c>
      <c r="P89" s="14">
        <f t="shared" si="48"/>
        <v>0.30427631578947367</v>
      </c>
      <c r="Q89" s="15">
        <f t="shared" si="49"/>
        <v>0.69572368421052633</v>
      </c>
      <c r="R89" s="15">
        <f t="shared" si="50"/>
        <v>6.8462171052631584</v>
      </c>
      <c r="S89" s="16">
        <f t="shared" si="51"/>
        <v>53.423108552631582</v>
      </c>
      <c r="T89" s="14">
        <f t="shared" si="52"/>
        <v>0.3289473684210526</v>
      </c>
      <c r="U89" s="15">
        <f t="shared" si="53"/>
        <v>0.67105263157894735</v>
      </c>
      <c r="V89" s="15">
        <f t="shared" si="54"/>
        <v>7.1388577827547595</v>
      </c>
      <c r="W89" s="16">
        <f t="shared" si="55"/>
        <v>53.569428891377378</v>
      </c>
      <c r="X89" s="14">
        <f t="shared" si="56"/>
        <v>0.42763157894736842</v>
      </c>
      <c r="Y89" s="15">
        <f t="shared" si="57"/>
        <v>0.57236842105263164</v>
      </c>
      <c r="Z89" s="15">
        <f t="shared" si="58"/>
        <v>7.9157334826427785</v>
      </c>
      <c r="AA89" s="16">
        <f t="shared" si="59"/>
        <v>53.957866741321389</v>
      </c>
      <c r="AC89">
        <v>28</v>
      </c>
      <c r="AD89">
        <f t="shared" si="73"/>
        <v>22.7</v>
      </c>
      <c r="AE89" s="14">
        <f t="shared" si="60"/>
        <v>0.7566666666666666</v>
      </c>
      <c r="AF89" s="15">
        <f t="shared" si="61"/>
        <v>0.2433333333333334</v>
      </c>
      <c r="AG89" s="15">
        <f t="shared" si="62"/>
        <v>2.9381205673758868</v>
      </c>
      <c r="AH89" s="16">
        <f t="shared" si="63"/>
        <v>51.469060283687945</v>
      </c>
      <c r="AI89" s="14">
        <f t="shared" si="64"/>
        <v>0.45399999999999996</v>
      </c>
      <c r="AJ89" s="15">
        <f t="shared" si="65"/>
        <v>0.54600000000000004</v>
      </c>
      <c r="AK89" s="15">
        <f t="shared" si="66"/>
        <v>6.5926595744680849</v>
      </c>
      <c r="AL89" s="16">
        <f t="shared" si="67"/>
        <v>53.296329787234043</v>
      </c>
      <c r="AM89" s="14">
        <f t="shared" si="68"/>
        <v>0.26705882352941174</v>
      </c>
      <c r="AN89" s="15">
        <f t="shared" si="69"/>
        <v>0.73294117647058821</v>
      </c>
      <c r="AO89" s="15">
        <f t="shared" si="70"/>
        <v>8.8498748435544421</v>
      </c>
      <c r="AP89" s="16">
        <f t="shared" si="71"/>
        <v>54.424937421777223</v>
      </c>
    </row>
    <row r="90" spans="1:42" ht="15" x14ac:dyDescent="0.25">
      <c r="A90" s="31" t="s">
        <v>162</v>
      </c>
      <c r="B90" s="54">
        <f>Constants!C19*Constants!C18/(B89-Constants!C18)/1000-1</f>
        <v>59.443764345830147</v>
      </c>
      <c r="C90" s="67" t="s">
        <v>104</v>
      </c>
      <c r="N90">
        <v>29</v>
      </c>
      <c r="O90">
        <f t="shared" si="72"/>
        <v>61.900000000000006</v>
      </c>
      <c r="P90" s="14">
        <f t="shared" si="48"/>
        <v>0.29886914378029078</v>
      </c>
      <c r="Q90" s="15">
        <f t="shared" si="49"/>
        <v>0.70113085621970916</v>
      </c>
      <c r="R90" s="15">
        <f t="shared" si="50"/>
        <v>6.8994259787577787</v>
      </c>
      <c r="S90" s="16">
        <f t="shared" si="51"/>
        <v>53.449712989378888</v>
      </c>
      <c r="T90" s="14">
        <f t="shared" si="52"/>
        <v>0.32310177705977378</v>
      </c>
      <c r="U90" s="15">
        <f t="shared" si="53"/>
        <v>0.67689822294022628</v>
      </c>
      <c r="V90" s="15">
        <f t="shared" si="54"/>
        <v>7.2010449248960233</v>
      </c>
      <c r="W90" s="16">
        <f t="shared" si="55"/>
        <v>53.600522462448012</v>
      </c>
      <c r="X90" s="14">
        <f t="shared" si="56"/>
        <v>0.42003231017770593</v>
      </c>
      <c r="Y90" s="15">
        <f t="shared" si="57"/>
        <v>0.57996768982229407</v>
      </c>
      <c r="Z90" s="15">
        <f t="shared" si="58"/>
        <v>8.0208297528615127</v>
      </c>
      <c r="AA90" s="16">
        <f t="shared" si="59"/>
        <v>54.010414876430758</v>
      </c>
      <c r="AC90">
        <v>29</v>
      </c>
      <c r="AD90">
        <f t="shared" si="73"/>
        <v>22.85</v>
      </c>
      <c r="AE90" s="14">
        <f t="shared" si="60"/>
        <v>0.76166666666666671</v>
      </c>
      <c r="AF90" s="15">
        <f t="shared" si="61"/>
        <v>0.23833333333333329</v>
      </c>
      <c r="AG90" s="15">
        <f t="shared" si="62"/>
        <v>2.896764184397163</v>
      </c>
      <c r="AH90" s="16">
        <f t="shared" si="63"/>
        <v>51.448382092198578</v>
      </c>
      <c r="AI90" s="14">
        <f t="shared" si="64"/>
        <v>0.45700000000000002</v>
      </c>
      <c r="AJ90" s="15">
        <f t="shared" si="65"/>
        <v>0.54299999999999993</v>
      </c>
      <c r="AK90" s="15">
        <f t="shared" si="66"/>
        <v>6.5997606382978731</v>
      </c>
      <c r="AL90" s="16">
        <f t="shared" si="67"/>
        <v>53.29988031914894</v>
      </c>
      <c r="AM90" s="14">
        <f t="shared" si="68"/>
        <v>0.26882352941176474</v>
      </c>
      <c r="AN90" s="15">
        <f t="shared" si="69"/>
        <v>0.73117647058823532</v>
      </c>
      <c r="AO90" s="15">
        <f t="shared" si="70"/>
        <v>8.8869055068836058</v>
      </c>
      <c r="AP90" s="16">
        <f t="shared" si="71"/>
        <v>54.443452753441804</v>
      </c>
    </row>
    <row r="91" spans="1:42" ht="15" x14ac:dyDescent="0.25">
      <c r="A91" s="31" t="s">
        <v>164</v>
      </c>
      <c r="B91" s="49">
        <f>Design_Converter!B82</f>
        <v>60</v>
      </c>
      <c r="C91" s="67" t="s">
        <v>104</v>
      </c>
      <c r="N91">
        <v>30</v>
      </c>
      <c r="O91">
        <f t="shared" si="72"/>
        <v>63</v>
      </c>
      <c r="P91" s="14">
        <f t="shared" si="48"/>
        <v>0.29365079365079366</v>
      </c>
      <c r="Q91" s="15">
        <f t="shared" si="49"/>
        <v>0.70634920634920628</v>
      </c>
      <c r="R91" s="15">
        <f t="shared" si="50"/>
        <v>6.9507767646065526</v>
      </c>
      <c r="S91" s="16">
        <f t="shared" si="51"/>
        <v>53.475388382303279</v>
      </c>
      <c r="T91" s="14">
        <f t="shared" si="52"/>
        <v>0.31746031746031744</v>
      </c>
      <c r="U91" s="15">
        <f t="shared" si="53"/>
        <v>0.68253968253968256</v>
      </c>
      <c r="V91" s="15">
        <f t="shared" si="54"/>
        <v>7.2610604525498141</v>
      </c>
      <c r="W91" s="16">
        <f t="shared" si="55"/>
        <v>53.630530226274907</v>
      </c>
      <c r="X91" s="14">
        <f t="shared" si="56"/>
        <v>0.41269841269841268</v>
      </c>
      <c r="Y91" s="15">
        <f t="shared" si="57"/>
        <v>0.58730158730158732</v>
      </c>
      <c r="Z91" s="15">
        <f t="shared" si="58"/>
        <v>8.1222559945964203</v>
      </c>
      <c r="AA91" s="16">
        <f t="shared" si="59"/>
        <v>54.061127997298208</v>
      </c>
      <c r="AC91">
        <v>30</v>
      </c>
      <c r="AD91">
        <f t="shared" si="73"/>
        <v>23</v>
      </c>
      <c r="AE91" s="14">
        <f t="shared" si="60"/>
        <v>0.76666666666666672</v>
      </c>
      <c r="AF91" s="15">
        <f t="shared" si="61"/>
        <v>0.23333333333333328</v>
      </c>
      <c r="AG91" s="15">
        <f t="shared" si="62"/>
        <v>2.8546099290780145</v>
      </c>
      <c r="AH91" s="16">
        <f t="shared" si="63"/>
        <v>51.427304964539005</v>
      </c>
      <c r="AI91" s="14">
        <f t="shared" si="64"/>
        <v>0.46</v>
      </c>
      <c r="AJ91" s="15">
        <f t="shared" si="65"/>
        <v>0.54</v>
      </c>
      <c r="AK91" s="15">
        <f t="shared" si="66"/>
        <v>6.6063829787234045</v>
      </c>
      <c r="AL91" s="16">
        <f t="shared" si="67"/>
        <v>53.303191489361701</v>
      </c>
      <c r="AM91" s="14">
        <f t="shared" si="68"/>
        <v>0.27058823529411763</v>
      </c>
      <c r="AN91" s="15">
        <f t="shared" si="69"/>
        <v>0.72941176470588243</v>
      </c>
      <c r="AO91" s="15">
        <f t="shared" si="70"/>
        <v>8.9236545682102619</v>
      </c>
      <c r="AP91" s="16">
        <f t="shared" si="71"/>
        <v>54.461827284105134</v>
      </c>
    </row>
    <row r="92" spans="1:42" ht="15" x14ac:dyDescent="0.25">
      <c r="A92" s="31" t="s">
        <v>163</v>
      </c>
      <c r="B92" s="54">
        <f>((B91*1000+Constants!C19)/((B91+1)*1000))*Constants!C18</f>
        <v>59.44426229508197</v>
      </c>
      <c r="C92" s="67" t="s">
        <v>1</v>
      </c>
      <c r="N92">
        <v>31</v>
      </c>
      <c r="O92">
        <f t="shared" si="72"/>
        <v>64.099999999999994</v>
      </c>
      <c r="P92" s="14">
        <f t="shared" si="48"/>
        <v>0.2886115444617785</v>
      </c>
      <c r="Q92" s="15">
        <f t="shared" si="49"/>
        <v>0.7113884555382215</v>
      </c>
      <c r="R92" s="15">
        <f t="shared" si="50"/>
        <v>7.0003651209878184</v>
      </c>
      <c r="S92" s="16">
        <f t="shared" si="51"/>
        <v>53.500182560493911</v>
      </c>
      <c r="T92" s="14">
        <f t="shared" si="52"/>
        <v>0.31201248049921998</v>
      </c>
      <c r="U92" s="15">
        <f t="shared" si="53"/>
        <v>0.68798751950078008</v>
      </c>
      <c r="V92" s="15">
        <f t="shared" si="54"/>
        <v>7.3190161649019148</v>
      </c>
      <c r="W92" s="16">
        <f t="shared" si="55"/>
        <v>53.659508082450955</v>
      </c>
      <c r="X92" s="14">
        <f t="shared" si="56"/>
        <v>0.405616224648986</v>
      </c>
      <c r="Y92" s="15">
        <f t="shared" si="57"/>
        <v>0.59438377535101394</v>
      </c>
      <c r="Z92" s="15">
        <f t="shared" si="58"/>
        <v>8.220201148471471</v>
      </c>
      <c r="AA92" s="16">
        <f t="shared" si="59"/>
        <v>54.110100574235737</v>
      </c>
      <c r="AC92">
        <v>31</v>
      </c>
      <c r="AD92">
        <f t="shared" si="73"/>
        <v>23.15</v>
      </c>
      <c r="AE92" s="14">
        <f t="shared" si="60"/>
        <v>0.77166666666666661</v>
      </c>
      <c r="AF92" s="15">
        <f t="shared" si="61"/>
        <v>0.22833333333333339</v>
      </c>
      <c r="AG92" s="15">
        <f t="shared" si="62"/>
        <v>2.8116578014184404</v>
      </c>
      <c r="AH92" s="16">
        <f t="shared" si="63"/>
        <v>51.405828900709217</v>
      </c>
      <c r="AI92" s="14">
        <f t="shared" si="64"/>
        <v>0.46299999999999997</v>
      </c>
      <c r="AJ92" s="15">
        <f t="shared" si="65"/>
        <v>0.53700000000000003</v>
      </c>
      <c r="AK92" s="15">
        <f t="shared" si="66"/>
        <v>6.612526595744681</v>
      </c>
      <c r="AL92" s="16">
        <f t="shared" si="67"/>
        <v>53.306263297872341</v>
      </c>
      <c r="AM92" s="14">
        <f t="shared" si="68"/>
        <v>0.27235294117647058</v>
      </c>
      <c r="AN92" s="15">
        <f t="shared" si="69"/>
        <v>0.72764705882352942</v>
      </c>
      <c r="AO92" s="15">
        <f t="shared" si="70"/>
        <v>8.9601220275344193</v>
      </c>
      <c r="AP92" s="16">
        <f t="shared" si="71"/>
        <v>54.480061013767212</v>
      </c>
    </row>
    <row r="93" spans="1:42" x14ac:dyDescent="0.15">
      <c r="A93" s="31" t="s">
        <v>165</v>
      </c>
      <c r="B93" s="49">
        <f>Design_Converter!B85</f>
        <v>28</v>
      </c>
      <c r="C93" s="31" t="s">
        <v>1</v>
      </c>
      <c r="N93">
        <v>32</v>
      </c>
      <c r="O93">
        <f t="shared" si="72"/>
        <v>65.2</v>
      </c>
      <c r="P93" s="14">
        <f t="shared" ref="P93:P111" si="74">IF(I_Channel&lt;(($O93-V12_Min)*V12_Min)/((2*Lm*Fsw)*$O93),SQRT((2*I_Channel*Lm*Fsw*V12_Min)/($O93*($O93-V12_Min))),(V12_Min/$O93))</f>
        <v>0.28374233128834353</v>
      </c>
      <c r="Q93" s="15">
        <f t="shared" ref="Q93:Q111" si="75">IF(I_Channel&lt;(($O93-V12_Min)*V12_Min)/((2*Lm*Fsw)*$O93),SQRT((2*I_Channel*Lm*Fsw*V12_Min)/($O93*($O93-V12_Min)))*(($O93-V12_Min)/(V12_Min)),1-(V12_Min/$O93))</f>
        <v>0.71625766871165641</v>
      </c>
      <c r="R93" s="15">
        <f t="shared" ref="R93:R111" si="76">IF(I_Channel&lt;(($O93-V12_Min)*V12_Min)/((2*Lm*Fsw)*$O93),(P93/(Fsw*Lm))*($O93-V12_Min),((P93/(Fsw*Lm))*($O93-V12_Min)))</f>
        <v>7.0482802506200235</v>
      </c>
      <c r="S93" s="16">
        <f t="shared" ref="S93:S111" si="77">IF(I_Channel&lt;(($O93-V12_Min)*V12_Min)/((2*Lm*Fsw)*$O93),(P93/(Fsw*Lm))*($O93-V12_Min),(R93/2)+I_Channel)</f>
        <v>53.524140125310012</v>
      </c>
      <c r="T93" s="14">
        <f t="shared" ref="T93:T111" si="78">IF(I_Channel&lt;(($O93-V12_Nom)*V12_Nom)/((2*Lm*Fsw)*$O93),SQRT((2*I_Channel*Lm*Fsw*V12_Nom)/($O93*($O93-V12_Nom))),(V12_Nom/$O93))</f>
        <v>0.30674846625766872</v>
      </c>
      <c r="U93" s="15">
        <f t="shared" ref="U93:U111" si="79">IF(I_Channel&lt;(($O93-V12_Nom)*V12_Nom)/((2*Lm*Fsw)*$O93),SQRT((2*I_Channel*Lm*Fsw*V12_Nom)/($O93*($O93-V12_Nom)))*(($O93-V12_Nom)/(V12_Nom)),1-(V12_Nom/$O93))</f>
        <v>0.69325153374233128</v>
      </c>
      <c r="V93" s="15">
        <f t="shared" ref="V93:V111" si="80">IF(I_Channel&lt;(($O93-V12_Nom)*V12_Nom)/((2*Lm*Fsw)*$O93),(T93/(Fsw*Lm))*($O93-V12_Nom),((T93/(Fsw*Lm))*($O93-V12_Nom)))</f>
        <v>7.3750163164077804</v>
      </c>
      <c r="W93" s="16">
        <f t="shared" ref="W93:W111" si="81">IF(I_Channel&lt;(($O93-V12_Nom)*V12_Nom)/((2*Lm*Fsw)*$O93),(T93/(Fsw*Lm))*($O93-V12_Nom),(V93/2)+I_Channel)</f>
        <v>53.68750815820389</v>
      </c>
      <c r="X93" s="14">
        <f t="shared" ref="X93:X111" si="82">IF(I_Channel&lt;(($O93-V12_Max)*V12_Max)/((2*Lm*Fsw)*$O93),SQRT((2*I_Channel*Lm*Fsw*V12_Max)/($O93*($O93-V12_Max))),(V12_Max/$O93))</f>
        <v>0.3987730061349693</v>
      </c>
      <c r="Y93" s="15">
        <f t="shared" ref="Y93:Y111" si="83">IF(I_Channel&lt;(($O93-V12_Max)*V12_Max)/((2*Lm*Fsw)*$O93),SQRT((2*I_Channel*Lm*Fsw*V12_Max)/($O93*($O93-V12_Max)))*(($O93-V12_Max)/(V12_Max)),1-(V12_Max/$O93))</f>
        <v>0.60122699386503076</v>
      </c>
      <c r="Z93" s="15">
        <f t="shared" ref="Z93:Z111" si="84">IF(I_Channel&lt;(($O93-V12_Max)*V12_Max)/((2*Lm*Fsw)*$O93),(X93/(Fsw*Lm))*($O93-V12_Max),((X93/(Fsw*Lm))*($O93-V12_Max)))</f>
        <v>8.3148414045163825</v>
      </c>
      <c r="AA93" s="16">
        <f t="shared" ref="AA93:AA111" si="85">IF(I_Channel&lt;(($O93-V12_Max)*V12_Max)/((2*Lm*Fsw)*$O93),(X93/(Fsw*Lm))*($O93-V12_Max),(Z93/2)+I_Channel)</f>
        <v>54.157420702258193</v>
      </c>
      <c r="AC93">
        <v>32</v>
      </c>
      <c r="AD93">
        <f t="shared" si="73"/>
        <v>23.3</v>
      </c>
      <c r="AE93" s="14">
        <f t="shared" ref="AE93:AE111" si="86">IF(I_Channel&lt;((V48_Min-$AD93)*$AD93)/((2*Lm*Fsw)*V48_Min),SQRT((2*I_Channel*Lm*Fsw*$AD93)/(V48_Min*(V48_Min-$AD93))),($AD93/V48_Min))</f>
        <v>0.77666666666666673</v>
      </c>
      <c r="AF93" s="15">
        <f t="shared" ref="AF93:AF111" si="87">IF(I_Channel&lt;((V48_Min-$AD93)*$AD93)/((2*Lm*Fsw)*V48_Min),SQRT((2*I_Channel*Lm*Fsw*$AD93)/(V48_Min*(V48_Min-$AD93)))*((V48_Min-$AD93)/($AD93)),1-($AD93/V48_Min))</f>
        <v>0.22333333333333327</v>
      </c>
      <c r="AG93" s="15">
        <f t="shared" ref="AG93:AG111" si="88">IF(I_Channel&lt;((V48_Min-$AD93)*$AD93)/((2*Lm*Fsw)*V48_Min),(AE93/(Fsw*Lm))*(V48_Min-$AD93),((AE93/(Fsw*Lm))*(V48_Min-$AD93)))</f>
        <v>2.7679078014184397</v>
      </c>
      <c r="AH93" s="16">
        <f t="shared" ref="AH93:AH111" si="89">IF(I_Channel&lt;((V48_Min-$AD93)*$AD93)/((2*Lm*Fsw)*V48_Min),(AE93/(Fsw*Lm))*(V48_Min-$AD93),(AG93/2)+I_Channel)</f>
        <v>51.383953900709223</v>
      </c>
      <c r="AI93" s="14">
        <f t="shared" ref="AI93:AI111" si="90">IF(I_Channel&lt;((V48_Nom-$AD93)*$AD93)/((2*Lm*Fsw)*V48_Nom),SQRT((2*I_Channel*Lm*Fsw*$AD93)/(V48_Nom*(V48_Nom-$AD93))),($AD93/V48_Nom))</f>
        <v>0.46600000000000003</v>
      </c>
      <c r="AJ93" s="15">
        <f t="shared" ref="AJ93:AJ111" si="91">IF(I_Channel&lt;((V48_Nom-$AD93)*$AD93)/((2*Lm*Fsw)*V48_Nom),SQRT((2*I_Channel*Lm*Fsw*$AD93)/(V48_Nom*(V48_Nom-$AD93)))*((V48_Nom-$AD93)/($AD93)),1-($AD93/V48_Nom))</f>
        <v>0.53400000000000003</v>
      </c>
      <c r="AK93" s="15">
        <f t="shared" ref="AK93:AK111" si="92">IF(I_Channel&lt;((V48_Nom-$AD93)*$AD93)/((2*Lm*Fsw)*V48_Nom),(AI93/(Fsw*Lm))*(V48_Nom-$AD93),((AI93/(Fsw*Lm))*(V48_Nom-$AD93)))</f>
        <v>6.6181914893617027</v>
      </c>
      <c r="AL93" s="16">
        <f t="shared" ref="AL93:AL111" si="93">IF(I_Channel&lt;((V48_Nom-$AD93)*$AD93)/((2*Lm*Fsw)*V48_Nom),(AI93/(Fsw*Lm))*(V48_Nom-$AD93),(AK93/2)+I_Channel)</f>
        <v>53.309095744680853</v>
      </c>
      <c r="AM93" s="14">
        <f t="shared" ref="AM93:AM111" si="94">IF(I_Channel&lt;((V48_Max-$AD93)*$AD93)/((2*Lm*Fsw)*V48_Max),SQRT((2*I_Channel*Lm*Fsw*$AD93)/(V48_Max*(V48_Max-$AD93))),($AD93/V48_Max))</f>
        <v>0.27411764705882352</v>
      </c>
      <c r="AN93" s="15">
        <f t="shared" ref="AN93:AN111" si="95">IF(I_Channel&lt;((V48_Max-$AD93)*$AD93)/((2*Lm*Fsw)*V48_Max),SQRT((2*I_Channel*Lm*Fsw*$AD93)/(V48_Max*(V48_Max-$AD93)))*((V48_Max-$AD93)/($AD93)),1-($AD93/V48_Max))</f>
        <v>0.72588235294117642</v>
      </c>
      <c r="AO93" s="15">
        <f t="shared" ref="AO93:AO111" si="96">IF(I_Channel&lt;((V48_Max-$AD93)*$AD93)/((2*Lm*Fsw)*V48_Max),(AM93/(Fsw*Lm))*(V48_Max-$AD93),((AM93/(Fsw*Lm))*(V48_Max-$AD93)))</f>
        <v>8.9963078848560709</v>
      </c>
      <c r="AP93" s="16">
        <f t="shared" ref="AP93:AP111" si="97">IF(I_Channel&lt;((V48_Max-$AD93)*$AD93)/((2*Lm*Fsw)*V48_Max),(AM93/(Fsw*Lm))*(V48_Max-$AD93),(AO93/2)+I_Channel)</f>
        <v>54.498153942428033</v>
      </c>
    </row>
    <row r="94" spans="1:42" ht="15" x14ac:dyDescent="0.25">
      <c r="A94" s="31" t="s">
        <v>166</v>
      </c>
      <c r="B94" s="54">
        <f>Constants!C20*Constants!C18/(B93-Constants!C18)/1000-1</f>
        <v>43.191683759090061</v>
      </c>
      <c r="C94" s="67" t="s">
        <v>104</v>
      </c>
      <c r="N94">
        <v>33</v>
      </c>
      <c r="O94">
        <f t="shared" ref="O94:O111" si="98">((V48_Max-V48_Min)/50)*N94+V48_Min</f>
        <v>66.300000000000011</v>
      </c>
      <c r="P94" s="14">
        <f t="shared" si="74"/>
        <v>0.27903469079939663</v>
      </c>
      <c r="Q94" s="15">
        <f t="shared" si="75"/>
        <v>0.72096530920060342</v>
      </c>
      <c r="R94" s="15">
        <f t="shared" si="76"/>
        <v>7.0946054362825341</v>
      </c>
      <c r="S94" s="16">
        <f t="shared" si="77"/>
        <v>53.547302718141268</v>
      </c>
      <c r="T94" s="14">
        <f t="shared" si="78"/>
        <v>0.30165912518853688</v>
      </c>
      <c r="U94" s="15">
        <f t="shared" si="79"/>
        <v>0.69834087481146312</v>
      </c>
      <c r="V94" s="15">
        <f t="shared" si="80"/>
        <v>7.4291582426751397</v>
      </c>
      <c r="W94" s="16">
        <f t="shared" si="81"/>
        <v>53.714579121337572</v>
      </c>
      <c r="X94" s="14">
        <f t="shared" si="82"/>
        <v>0.39215686274509798</v>
      </c>
      <c r="Y94" s="15">
        <f t="shared" si="83"/>
        <v>0.60784313725490202</v>
      </c>
      <c r="Z94" s="15">
        <f t="shared" si="84"/>
        <v>8.4063412599082206</v>
      </c>
      <c r="AA94" s="16">
        <f t="shared" si="85"/>
        <v>54.203170629954109</v>
      </c>
      <c r="AC94">
        <v>33</v>
      </c>
      <c r="AD94">
        <f t="shared" ref="AD94:AD111" si="99">((V12_Max-V12_Min)/50)*AC94+V12_Min</f>
        <v>23.45</v>
      </c>
      <c r="AE94" s="14">
        <f t="shared" si="86"/>
        <v>0.78166666666666662</v>
      </c>
      <c r="AF94" s="15">
        <f t="shared" si="87"/>
        <v>0.21833333333333338</v>
      </c>
      <c r="AG94" s="15">
        <f t="shared" si="88"/>
        <v>2.7233599290780144</v>
      </c>
      <c r="AH94" s="16">
        <f t="shared" si="89"/>
        <v>51.361679964539007</v>
      </c>
      <c r="AI94" s="14">
        <f t="shared" si="90"/>
        <v>0.46899999999999997</v>
      </c>
      <c r="AJ94" s="15">
        <f t="shared" si="91"/>
        <v>0.53100000000000003</v>
      </c>
      <c r="AK94" s="15">
        <f t="shared" si="92"/>
        <v>6.6233776595744684</v>
      </c>
      <c r="AL94" s="16">
        <f t="shared" si="93"/>
        <v>53.311688829787236</v>
      </c>
      <c r="AM94" s="14">
        <f t="shared" si="94"/>
        <v>0.27588235294117647</v>
      </c>
      <c r="AN94" s="15">
        <f t="shared" si="95"/>
        <v>0.72411764705882353</v>
      </c>
      <c r="AO94" s="15">
        <f t="shared" si="96"/>
        <v>9.0322121401752185</v>
      </c>
      <c r="AP94" s="16">
        <f t="shared" si="97"/>
        <v>54.516106070087609</v>
      </c>
    </row>
    <row r="95" spans="1:42" ht="15" x14ac:dyDescent="0.25">
      <c r="A95" s="31" t="s">
        <v>167</v>
      </c>
      <c r="B95" s="49">
        <f>Design_Converter!B87</f>
        <v>43</v>
      </c>
      <c r="C95" s="67" t="s">
        <v>104</v>
      </c>
      <c r="N95">
        <v>34</v>
      </c>
      <c r="O95">
        <f t="shared" si="98"/>
        <v>67.400000000000006</v>
      </c>
      <c r="P95" s="14">
        <f t="shared" si="74"/>
        <v>0.27448071216617209</v>
      </c>
      <c r="Q95" s="15">
        <f t="shared" si="75"/>
        <v>0.72551928783382791</v>
      </c>
      <c r="R95" s="15">
        <f t="shared" si="76"/>
        <v>7.1394185238967118</v>
      </c>
      <c r="S95" s="16">
        <f t="shared" si="77"/>
        <v>53.569709261948354</v>
      </c>
      <c r="T95" s="14">
        <f t="shared" si="78"/>
        <v>0.29673590504451036</v>
      </c>
      <c r="U95" s="15">
        <f t="shared" si="79"/>
        <v>0.70326409495548958</v>
      </c>
      <c r="V95" s="15">
        <f t="shared" si="80"/>
        <v>7.4815329250584011</v>
      </c>
      <c r="W95" s="16">
        <f t="shared" si="81"/>
        <v>53.740766462529201</v>
      </c>
      <c r="X95" s="14">
        <f t="shared" si="82"/>
        <v>0.38575667655786344</v>
      </c>
      <c r="Y95" s="15">
        <f t="shared" si="83"/>
        <v>0.6142433234421365</v>
      </c>
      <c r="Z95" s="15">
        <f t="shared" si="84"/>
        <v>8.4948544731359306</v>
      </c>
      <c r="AA95" s="16">
        <f t="shared" si="85"/>
        <v>54.247427236567965</v>
      </c>
      <c r="AC95">
        <v>34</v>
      </c>
      <c r="AD95">
        <f t="shared" si="99"/>
        <v>23.6</v>
      </c>
      <c r="AE95" s="14">
        <f t="shared" si="86"/>
        <v>0.78666666666666674</v>
      </c>
      <c r="AF95" s="15">
        <f t="shared" si="87"/>
        <v>0.21333333333333326</v>
      </c>
      <c r="AG95" s="15">
        <f t="shared" si="88"/>
        <v>2.678014184397163</v>
      </c>
      <c r="AH95" s="16">
        <f t="shared" si="89"/>
        <v>51.339007092198578</v>
      </c>
      <c r="AI95" s="14">
        <f t="shared" si="90"/>
        <v>0.47200000000000003</v>
      </c>
      <c r="AJ95" s="15">
        <f t="shared" si="91"/>
        <v>0.52800000000000002</v>
      </c>
      <c r="AK95" s="15">
        <f t="shared" si="92"/>
        <v>6.6280851063829793</v>
      </c>
      <c r="AL95" s="16">
        <f t="shared" si="93"/>
        <v>53.314042553191491</v>
      </c>
      <c r="AM95" s="14">
        <f t="shared" si="94"/>
        <v>0.27764705882352941</v>
      </c>
      <c r="AN95" s="15">
        <f t="shared" si="95"/>
        <v>0.72235294117647064</v>
      </c>
      <c r="AO95" s="15">
        <f t="shared" si="96"/>
        <v>9.0678347934918655</v>
      </c>
      <c r="AP95" s="16">
        <f t="shared" si="97"/>
        <v>54.533917396745935</v>
      </c>
    </row>
    <row r="96" spans="1:42" ht="15" x14ac:dyDescent="0.25">
      <c r="A96" s="31" t="s">
        <v>168</v>
      </c>
      <c r="B96" s="54">
        <f>(Constants!C18*(Constants!C20+(Calculations!B95*1000)))/(Calculations!B95*1000)</f>
        <v>28.743139534883721</v>
      </c>
      <c r="C96" s="67" t="s">
        <v>1</v>
      </c>
      <c r="N96">
        <v>35</v>
      </c>
      <c r="O96">
        <f t="shared" si="98"/>
        <v>68.5</v>
      </c>
      <c r="P96" s="14">
        <f t="shared" si="74"/>
        <v>0.27007299270072993</v>
      </c>
      <c r="Q96" s="15">
        <f t="shared" si="75"/>
        <v>0.72992700729927007</v>
      </c>
      <c r="R96" s="15">
        <f t="shared" si="76"/>
        <v>7.1827923590619669</v>
      </c>
      <c r="S96" s="16">
        <f t="shared" si="77"/>
        <v>53.591396179530982</v>
      </c>
      <c r="T96" s="14">
        <f t="shared" si="78"/>
        <v>0.29197080291970801</v>
      </c>
      <c r="U96" s="15">
        <f t="shared" si="79"/>
        <v>0.70802919708029199</v>
      </c>
      <c r="V96" s="15">
        <f t="shared" si="80"/>
        <v>7.5322255008541692</v>
      </c>
      <c r="W96" s="16">
        <f t="shared" si="81"/>
        <v>53.766112750427084</v>
      </c>
      <c r="X96" s="14">
        <f t="shared" si="82"/>
        <v>0.37956204379562042</v>
      </c>
      <c r="Y96" s="15">
        <f t="shared" si="83"/>
        <v>0.62043795620437958</v>
      </c>
      <c r="Z96" s="15">
        <f t="shared" si="84"/>
        <v>8.5805249262307814</v>
      </c>
      <c r="AA96" s="16">
        <f t="shared" si="85"/>
        <v>54.29026246311539</v>
      </c>
      <c r="AC96">
        <v>35</v>
      </c>
      <c r="AD96">
        <f t="shared" si="99"/>
        <v>23.75</v>
      </c>
      <c r="AE96" s="14">
        <f t="shared" si="86"/>
        <v>0.79166666666666663</v>
      </c>
      <c r="AF96" s="15">
        <f t="shared" si="87"/>
        <v>0.20833333333333337</v>
      </c>
      <c r="AG96" s="15">
        <f t="shared" si="88"/>
        <v>2.6318705673758864</v>
      </c>
      <c r="AH96" s="16">
        <f t="shared" si="89"/>
        <v>51.315935283687942</v>
      </c>
      <c r="AI96" s="14">
        <f t="shared" si="90"/>
        <v>0.47499999999999998</v>
      </c>
      <c r="AJ96" s="15">
        <f t="shared" si="91"/>
        <v>0.52500000000000002</v>
      </c>
      <c r="AK96" s="15">
        <f t="shared" si="92"/>
        <v>6.6323138297872344</v>
      </c>
      <c r="AL96" s="16">
        <f t="shared" si="93"/>
        <v>53.316156914893618</v>
      </c>
      <c r="AM96" s="14">
        <f t="shared" si="94"/>
        <v>0.27941176470588236</v>
      </c>
      <c r="AN96" s="15">
        <f t="shared" si="95"/>
        <v>0.72058823529411764</v>
      </c>
      <c r="AO96" s="15">
        <f t="shared" si="96"/>
        <v>9.1031758448060085</v>
      </c>
      <c r="AP96" s="16">
        <f t="shared" si="97"/>
        <v>54.551587922403002</v>
      </c>
    </row>
    <row r="97" spans="1:42" x14ac:dyDescent="0.15">
      <c r="N97">
        <v>36</v>
      </c>
      <c r="O97">
        <f t="shared" si="98"/>
        <v>69.599999999999994</v>
      </c>
      <c r="P97" s="14">
        <f t="shared" si="74"/>
        <v>0.26580459770114945</v>
      </c>
      <c r="Q97" s="15">
        <f t="shared" si="75"/>
        <v>0.73419540229885061</v>
      </c>
      <c r="R97" s="15">
        <f t="shared" si="76"/>
        <v>7.2247951821961358</v>
      </c>
      <c r="S97" s="16">
        <f t="shared" si="77"/>
        <v>53.612397591098066</v>
      </c>
      <c r="T97" s="14">
        <f t="shared" si="78"/>
        <v>0.2873563218390805</v>
      </c>
      <c r="U97" s="15">
        <f t="shared" si="79"/>
        <v>0.71264367816091956</v>
      </c>
      <c r="V97" s="15">
        <f t="shared" si="80"/>
        <v>7.5813157251161662</v>
      </c>
      <c r="W97" s="16">
        <f t="shared" si="81"/>
        <v>53.790657862558085</v>
      </c>
      <c r="X97" s="14">
        <f t="shared" si="82"/>
        <v>0.37356321839080464</v>
      </c>
      <c r="Y97" s="15">
        <f t="shared" si="83"/>
        <v>0.62643678160919536</v>
      </c>
      <c r="Z97" s="15">
        <f t="shared" si="84"/>
        <v>8.6634874052335533</v>
      </c>
      <c r="AA97" s="16">
        <f t="shared" si="85"/>
        <v>54.331743702616777</v>
      </c>
      <c r="AC97">
        <v>36</v>
      </c>
      <c r="AD97">
        <f t="shared" si="99"/>
        <v>23.9</v>
      </c>
      <c r="AE97" s="14">
        <f t="shared" si="86"/>
        <v>0.79666666666666663</v>
      </c>
      <c r="AF97" s="15">
        <f t="shared" si="87"/>
        <v>0.20333333333333337</v>
      </c>
      <c r="AG97" s="15">
        <f t="shared" si="88"/>
        <v>2.5849290780141851</v>
      </c>
      <c r="AH97" s="16">
        <f t="shared" si="89"/>
        <v>51.292464539007092</v>
      </c>
      <c r="AI97" s="14">
        <f t="shared" si="90"/>
        <v>0.47799999999999998</v>
      </c>
      <c r="AJ97" s="15">
        <f t="shared" si="91"/>
        <v>0.52200000000000002</v>
      </c>
      <c r="AK97" s="15">
        <f t="shared" si="92"/>
        <v>6.6360638297872345</v>
      </c>
      <c r="AL97" s="16">
        <f t="shared" si="93"/>
        <v>53.318031914893616</v>
      </c>
      <c r="AM97" s="14">
        <f t="shared" si="94"/>
        <v>0.28117647058823525</v>
      </c>
      <c r="AN97" s="15">
        <f t="shared" si="95"/>
        <v>0.71882352941176475</v>
      </c>
      <c r="AO97" s="15">
        <f t="shared" si="96"/>
        <v>9.1382352941176475</v>
      </c>
      <c r="AP97" s="16">
        <f t="shared" si="97"/>
        <v>54.569117647058825</v>
      </c>
    </row>
    <row r="98" spans="1:42" x14ac:dyDescent="0.15">
      <c r="A98" s="32" t="s">
        <v>169</v>
      </c>
      <c r="B98" s="53"/>
      <c r="C98" s="31"/>
      <c r="N98">
        <v>37</v>
      </c>
      <c r="O98">
        <f t="shared" si="98"/>
        <v>70.7</v>
      </c>
      <c r="P98" s="14">
        <f t="shared" si="74"/>
        <v>0.26166902404526166</v>
      </c>
      <c r="Q98" s="15">
        <f t="shared" si="75"/>
        <v>0.73833097595473829</v>
      </c>
      <c r="R98" s="15">
        <f t="shared" si="76"/>
        <v>7.2654909867886488</v>
      </c>
      <c r="S98" s="16">
        <f t="shared" si="77"/>
        <v>53.632745493394324</v>
      </c>
      <c r="T98" s="14">
        <f t="shared" si="78"/>
        <v>0.28288543140028288</v>
      </c>
      <c r="U98" s="15">
        <f t="shared" si="79"/>
        <v>0.71711456859971712</v>
      </c>
      <c r="V98" s="15">
        <f t="shared" si="80"/>
        <v>7.6288783893586931</v>
      </c>
      <c r="W98" s="16">
        <f t="shared" si="81"/>
        <v>53.814439194679345</v>
      </c>
      <c r="X98" s="14">
        <f t="shared" si="82"/>
        <v>0.36775106082036774</v>
      </c>
      <c r="Y98" s="15">
        <f t="shared" si="83"/>
        <v>0.63224893917963221</v>
      </c>
      <c r="Z98" s="15">
        <f t="shared" si="84"/>
        <v>8.7438683078034245</v>
      </c>
      <c r="AA98" s="16">
        <f t="shared" si="85"/>
        <v>54.371934153901712</v>
      </c>
      <c r="AC98">
        <v>37</v>
      </c>
      <c r="AD98">
        <f t="shared" si="99"/>
        <v>24.05</v>
      </c>
      <c r="AE98" s="14">
        <f t="shared" si="86"/>
        <v>0.80166666666666664</v>
      </c>
      <c r="AF98" s="15">
        <f t="shared" si="87"/>
        <v>0.19833333333333336</v>
      </c>
      <c r="AG98" s="15">
        <f t="shared" si="88"/>
        <v>2.5371897163120565</v>
      </c>
      <c r="AH98" s="16">
        <f t="shared" si="89"/>
        <v>51.268594858156028</v>
      </c>
      <c r="AI98" s="14">
        <f t="shared" si="90"/>
        <v>0.48100000000000004</v>
      </c>
      <c r="AJ98" s="15">
        <f t="shared" si="91"/>
        <v>0.51899999999999991</v>
      </c>
      <c r="AK98" s="15">
        <f t="shared" si="92"/>
        <v>6.6393351063829797</v>
      </c>
      <c r="AL98" s="16">
        <f t="shared" si="93"/>
        <v>53.319667553191493</v>
      </c>
      <c r="AM98" s="14">
        <f t="shared" si="94"/>
        <v>0.28294117647058825</v>
      </c>
      <c r="AN98" s="15">
        <f t="shared" si="95"/>
        <v>0.71705882352941175</v>
      </c>
      <c r="AO98" s="15">
        <f t="shared" si="96"/>
        <v>9.1730131414267859</v>
      </c>
      <c r="AP98" s="16">
        <f t="shared" si="97"/>
        <v>54.586506570713397</v>
      </c>
    </row>
    <row r="99" spans="1:42" x14ac:dyDescent="0.15">
      <c r="A99" s="31" t="s">
        <v>170</v>
      </c>
      <c r="B99" s="49">
        <f>IF(Design_Converter!B93=Lists!A2,0,1)</f>
        <v>0</v>
      </c>
      <c r="C99" s="31"/>
      <c r="E99" s="34" t="s">
        <v>220</v>
      </c>
      <c r="N99">
        <v>38</v>
      </c>
      <c r="O99">
        <f t="shared" si="98"/>
        <v>71.800000000000011</v>
      </c>
      <c r="P99" s="14">
        <f t="shared" si="74"/>
        <v>0.25766016713091916</v>
      </c>
      <c r="Q99" s="15">
        <f t="shared" si="75"/>
        <v>0.7423398328690809</v>
      </c>
      <c r="R99" s="15">
        <f t="shared" si="76"/>
        <v>7.3049398447223384</v>
      </c>
      <c r="S99" s="16">
        <f t="shared" si="77"/>
        <v>53.652469922361171</v>
      </c>
      <c r="T99" s="14">
        <f t="shared" si="78"/>
        <v>0.27855153203342614</v>
      </c>
      <c r="U99" s="15">
        <f t="shared" si="79"/>
        <v>0.7214484679665738</v>
      </c>
      <c r="V99" s="15">
        <f t="shared" si="80"/>
        <v>7.6749837017720637</v>
      </c>
      <c r="W99" s="16">
        <f t="shared" si="81"/>
        <v>53.837491850886032</v>
      </c>
      <c r="X99" s="14">
        <f t="shared" si="82"/>
        <v>0.36211699164345396</v>
      </c>
      <c r="Y99" s="15">
        <f t="shared" si="83"/>
        <v>0.6378830083565461</v>
      </c>
      <c r="Z99" s="15">
        <f t="shared" si="84"/>
        <v>8.8217862857820197</v>
      </c>
      <c r="AA99" s="16">
        <f t="shared" si="85"/>
        <v>54.410893142891013</v>
      </c>
      <c r="AC99">
        <v>38</v>
      </c>
      <c r="AD99">
        <f t="shared" si="99"/>
        <v>24.2</v>
      </c>
      <c r="AE99" s="14">
        <f t="shared" si="86"/>
        <v>0.80666666666666664</v>
      </c>
      <c r="AF99" s="15">
        <f t="shared" si="87"/>
        <v>0.19333333333333336</v>
      </c>
      <c r="AG99" s="15">
        <f t="shared" si="88"/>
        <v>2.488652482269504</v>
      </c>
      <c r="AH99" s="16">
        <f t="shared" si="89"/>
        <v>51.24432624113475</v>
      </c>
      <c r="AI99" s="14">
        <f t="shared" si="90"/>
        <v>0.48399999999999999</v>
      </c>
      <c r="AJ99" s="15">
        <f t="shared" si="91"/>
        <v>0.51600000000000001</v>
      </c>
      <c r="AK99" s="15">
        <f t="shared" si="92"/>
        <v>6.6421276595744683</v>
      </c>
      <c r="AL99" s="16">
        <f t="shared" si="93"/>
        <v>53.321063829787235</v>
      </c>
      <c r="AM99" s="14">
        <f t="shared" si="94"/>
        <v>0.28470588235294114</v>
      </c>
      <c r="AN99" s="15">
        <f t="shared" si="95"/>
        <v>0.71529411764705886</v>
      </c>
      <c r="AO99" s="15">
        <f t="shared" si="96"/>
        <v>9.207509386733415</v>
      </c>
      <c r="AP99" s="16">
        <f t="shared" si="97"/>
        <v>54.60375469336671</v>
      </c>
    </row>
    <row r="100" spans="1:42" x14ac:dyDescent="0.15">
      <c r="A100" s="31" t="s">
        <v>174</v>
      </c>
      <c r="B100" s="49">
        <f>Design_Converter!B94</f>
        <v>24</v>
      </c>
      <c r="C100" s="31" t="s">
        <v>1</v>
      </c>
      <c r="N100">
        <v>39</v>
      </c>
      <c r="O100">
        <f t="shared" si="98"/>
        <v>72.900000000000006</v>
      </c>
      <c r="P100" s="14">
        <f t="shared" si="74"/>
        <v>0.25377229080932784</v>
      </c>
      <c r="Q100" s="15">
        <f t="shared" si="75"/>
        <v>0.74622770919067216</v>
      </c>
      <c r="R100" s="15">
        <f t="shared" si="76"/>
        <v>7.3431982021422533</v>
      </c>
      <c r="S100" s="16">
        <f t="shared" si="77"/>
        <v>53.671599101071124</v>
      </c>
      <c r="T100" s="14">
        <f t="shared" si="78"/>
        <v>0.2743484224965706</v>
      </c>
      <c r="U100" s="15">
        <f t="shared" si="79"/>
        <v>0.72565157750342935</v>
      </c>
      <c r="V100" s="15">
        <f t="shared" si="80"/>
        <v>7.7196976330152056</v>
      </c>
      <c r="W100" s="16">
        <f t="shared" si="81"/>
        <v>53.859848816507601</v>
      </c>
      <c r="X100" s="14">
        <f t="shared" si="82"/>
        <v>0.35665294924554181</v>
      </c>
      <c r="Y100" s="15">
        <f t="shared" si="83"/>
        <v>0.64334705075445819</v>
      </c>
      <c r="Z100" s="15">
        <f t="shared" si="84"/>
        <v>8.8973528295829336</v>
      </c>
      <c r="AA100" s="16">
        <f t="shared" si="85"/>
        <v>54.448676414791464</v>
      </c>
      <c r="AC100">
        <v>39</v>
      </c>
      <c r="AD100">
        <f t="shared" si="99"/>
        <v>24.35</v>
      </c>
      <c r="AE100" s="14">
        <f t="shared" si="86"/>
        <v>0.81166666666666676</v>
      </c>
      <c r="AF100" s="15">
        <f t="shared" si="87"/>
        <v>0.18833333333333324</v>
      </c>
      <c r="AG100" s="15">
        <f t="shared" si="88"/>
        <v>2.4393173758865245</v>
      </c>
      <c r="AH100" s="16">
        <f t="shared" si="89"/>
        <v>51.219658687943266</v>
      </c>
      <c r="AI100" s="14">
        <f t="shared" si="90"/>
        <v>0.48700000000000004</v>
      </c>
      <c r="AJ100" s="15">
        <f t="shared" si="91"/>
        <v>0.5129999999999999</v>
      </c>
      <c r="AK100" s="15">
        <f t="shared" si="92"/>
        <v>6.6444414893617028</v>
      </c>
      <c r="AL100" s="16">
        <f t="shared" si="93"/>
        <v>53.322220744680848</v>
      </c>
      <c r="AM100" s="14">
        <f t="shared" si="94"/>
        <v>0.28647058823529414</v>
      </c>
      <c r="AN100" s="15">
        <f t="shared" si="95"/>
        <v>0.71352941176470586</v>
      </c>
      <c r="AO100" s="15">
        <f t="shared" si="96"/>
        <v>9.2417240300375472</v>
      </c>
      <c r="AP100" s="16">
        <f t="shared" si="97"/>
        <v>54.620862015018773</v>
      </c>
    </row>
    <row r="101" spans="1:42" ht="15" x14ac:dyDescent="0.25">
      <c r="A101" s="31" t="s">
        <v>175</v>
      </c>
      <c r="B101" s="49">
        <f>Design_Converter!B95</f>
        <v>10</v>
      </c>
      <c r="C101" s="67" t="s">
        <v>104</v>
      </c>
      <c r="N101">
        <v>40</v>
      </c>
      <c r="O101">
        <f t="shared" si="98"/>
        <v>74</v>
      </c>
      <c r="P101" s="14">
        <f t="shared" si="74"/>
        <v>0.25</v>
      </c>
      <c r="Q101" s="15">
        <f t="shared" si="75"/>
        <v>0.75</v>
      </c>
      <c r="R101" s="15">
        <f t="shared" si="76"/>
        <v>7.3803191489361701</v>
      </c>
      <c r="S101" s="16">
        <f t="shared" si="77"/>
        <v>53.690159574468083</v>
      </c>
      <c r="T101" s="14">
        <f t="shared" si="78"/>
        <v>0.27027027027027029</v>
      </c>
      <c r="U101" s="15">
        <f t="shared" si="79"/>
        <v>0.72972972972972971</v>
      </c>
      <c r="V101" s="15">
        <f t="shared" si="80"/>
        <v>7.7630822311673384</v>
      </c>
      <c r="W101" s="16">
        <f t="shared" si="81"/>
        <v>53.881541115583673</v>
      </c>
      <c r="X101" s="14">
        <f t="shared" si="82"/>
        <v>0.35135135135135137</v>
      </c>
      <c r="Y101" s="15">
        <f t="shared" si="83"/>
        <v>0.64864864864864868</v>
      </c>
      <c r="Z101" s="15">
        <f t="shared" si="84"/>
        <v>8.9706728004600365</v>
      </c>
      <c r="AA101" s="16">
        <f t="shared" si="85"/>
        <v>54.485336400230018</v>
      </c>
      <c r="AC101">
        <v>40</v>
      </c>
      <c r="AD101">
        <f t="shared" si="99"/>
        <v>24.5</v>
      </c>
      <c r="AE101" s="14">
        <f t="shared" si="86"/>
        <v>0.81666666666666665</v>
      </c>
      <c r="AF101" s="15">
        <f t="shared" si="87"/>
        <v>0.18333333333333335</v>
      </c>
      <c r="AG101" s="15">
        <f t="shared" si="88"/>
        <v>2.3891843971631208</v>
      </c>
      <c r="AH101" s="16">
        <f t="shared" si="89"/>
        <v>51.19459219858156</v>
      </c>
      <c r="AI101" s="14">
        <f t="shared" si="90"/>
        <v>0.49</v>
      </c>
      <c r="AJ101" s="15">
        <f t="shared" si="91"/>
        <v>0.51</v>
      </c>
      <c r="AK101" s="15">
        <f t="shared" si="92"/>
        <v>6.6462765957446814</v>
      </c>
      <c r="AL101" s="16">
        <f t="shared" si="93"/>
        <v>53.32313829787234</v>
      </c>
      <c r="AM101" s="14">
        <f t="shared" si="94"/>
        <v>0.28823529411764703</v>
      </c>
      <c r="AN101" s="15">
        <f t="shared" si="95"/>
        <v>0.71176470588235297</v>
      </c>
      <c r="AO101" s="15">
        <f t="shared" si="96"/>
        <v>9.2756570713391735</v>
      </c>
      <c r="AP101" s="16">
        <f t="shared" si="97"/>
        <v>54.637828535669584</v>
      </c>
    </row>
    <row r="102" spans="1:42" ht="15" x14ac:dyDescent="0.25">
      <c r="A102" s="31" t="s">
        <v>176</v>
      </c>
      <c r="B102" s="53">
        <f>((B100-Constants!C11)/(Constants!C11))*B101</f>
        <v>86</v>
      </c>
      <c r="C102" s="67" t="s">
        <v>104</v>
      </c>
      <c r="N102">
        <v>41</v>
      </c>
      <c r="O102">
        <f t="shared" si="98"/>
        <v>75.099999999999994</v>
      </c>
      <c r="P102" s="14">
        <f t="shared" si="74"/>
        <v>0.24633821571238351</v>
      </c>
      <c r="Q102" s="15">
        <f t="shared" si="75"/>
        <v>0.75366178428761654</v>
      </c>
      <c r="R102" s="15">
        <f t="shared" si="76"/>
        <v>7.4163526645323978</v>
      </c>
      <c r="S102" s="16">
        <f t="shared" si="77"/>
        <v>53.708176332266198</v>
      </c>
      <c r="T102" s="14">
        <f t="shared" si="78"/>
        <v>0.26631158455392812</v>
      </c>
      <c r="U102" s="15">
        <f t="shared" si="79"/>
        <v>0.73368841544607188</v>
      </c>
      <c r="V102" s="15">
        <f t="shared" si="80"/>
        <v>7.8051959090007648</v>
      </c>
      <c r="W102" s="16">
        <f t="shared" si="81"/>
        <v>53.902597954500379</v>
      </c>
      <c r="X102" s="14">
        <f t="shared" si="82"/>
        <v>0.34620505992010653</v>
      </c>
      <c r="Y102" s="15">
        <f t="shared" si="83"/>
        <v>0.65379494007989347</v>
      </c>
      <c r="Z102" s="15">
        <f t="shared" si="84"/>
        <v>9.0418449159985261</v>
      </c>
      <c r="AA102" s="16">
        <f t="shared" si="85"/>
        <v>54.520922457999262</v>
      </c>
      <c r="AC102">
        <v>41</v>
      </c>
      <c r="AD102">
        <f t="shared" si="99"/>
        <v>24.65</v>
      </c>
      <c r="AE102" s="14">
        <f t="shared" si="86"/>
        <v>0.82166666666666666</v>
      </c>
      <c r="AF102" s="15">
        <f t="shared" si="87"/>
        <v>0.17833333333333334</v>
      </c>
      <c r="AG102" s="15">
        <f t="shared" si="88"/>
        <v>2.3382535460992915</v>
      </c>
      <c r="AH102" s="16">
        <f t="shared" si="89"/>
        <v>51.169126773049648</v>
      </c>
      <c r="AI102" s="14">
        <f t="shared" si="90"/>
        <v>0.49299999999999999</v>
      </c>
      <c r="AJ102" s="15">
        <f t="shared" si="91"/>
        <v>0.50700000000000001</v>
      </c>
      <c r="AK102" s="15">
        <f t="shared" si="92"/>
        <v>6.6476329787234043</v>
      </c>
      <c r="AL102" s="16">
        <f t="shared" si="93"/>
        <v>53.323816489361704</v>
      </c>
      <c r="AM102" s="14">
        <f t="shared" si="94"/>
        <v>0.28999999999999998</v>
      </c>
      <c r="AN102" s="15">
        <f t="shared" si="95"/>
        <v>0.71</v>
      </c>
      <c r="AO102" s="15">
        <f t="shared" si="96"/>
        <v>9.3093085106382976</v>
      </c>
      <c r="AP102" s="16">
        <f t="shared" si="97"/>
        <v>54.654654255319151</v>
      </c>
    </row>
    <row r="103" spans="1:42" ht="15" x14ac:dyDescent="0.25">
      <c r="A103" s="31" t="s">
        <v>177</v>
      </c>
      <c r="B103" s="49">
        <f>Design_Converter!B97</f>
        <v>86.6</v>
      </c>
      <c r="C103" s="67" t="s">
        <v>104</v>
      </c>
      <c r="N103">
        <v>42</v>
      </c>
      <c r="O103">
        <f t="shared" si="98"/>
        <v>76.2</v>
      </c>
      <c r="P103" s="14">
        <f t="shared" si="74"/>
        <v>0.24278215223097113</v>
      </c>
      <c r="Q103" s="15">
        <f t="shared" si="75"/>
        <v>0.7572178477690289</v>
      </c>
      <c r="R103" s="15">
        <f t="shared" si="76"/>
        <v>7.4513458424079984</v>
      </c>
      <c r="S103" s="16">
        <f t="shared" si="77"/>
        <v>53.725672921204001</v>
      </c>
      <c r="T103" s="14">
        <f t="shared" si="78"/>
        <v>0.26246719160104987</v>
      </c>
      <c r="U103" s="15">
        <f t="shared" si="79"/>
        <v>0.73753280839895008</v>
      </c>
      <c r="V103" s="15">
        <f t="shared" si="80"/>
        <v>7.8460937063718106</v>
      </c>
      <c r="W103" s="16">
        <f t="shared" si="81"/>
        <v>53.923046853185909</v>
      </c>
      <c r="X103" s="14">
        <f t="shared" si="82"/>
        <v>0.3412073490813648</v>
      </c>
      <c r="Y103" s="15">
        <f t="shared" si="83"/>
        <v>0.65879265091863526</v>
      </c>
      <c r="Z103" s="15">
        <f t="shared" si="84"/>
        <v>9.1109621935555936</v>
      </c>
      <c r="AA103" s="16">
        <f t="shared" si="85"/>
        <v>54.555481096777797</v>
      </c>
      <c r="AC103">
        <v>42</v>
      </c>
      <c r="AD103">
        <f t="shared" si="99"/>
        <v>24.8</v>
      </c>
      <c r="AE103" s="14">
        <f t="shared" si="86"/>
        <v>0.82666666666666666</v>
      </c>
      <c r="AF103" s="15">
        <f t="shared" si="87"/>
        <v>0.17333333333333334</v>
      </c>
      <c r="AG103" s="15">
        <f t="shared" si="88"/>
        <v>2.2865248226950352</v>
      </c>
      <c r="AH103" s="16">
        <f t="shared" si="89"/>
        <v>51.143262411347514</v>
      </c>
      <c r="AI103" s="14">
        <f t="shared" si="90"/>
        <v>0.496</v>
      </c>
      <c r="AJ103" s="15">
        <f t="shared" si="91"/>
        <v>0.504</v>
      </c>
      <c r="AK103" s="15">
        <f t="shared" si="92"/>
        <v>6.6485106382978723</v>
      </c>
      <c r="AL103" s="16">
        <f t="shared" si="93"/>
        <v>53.324255319148939</v>
      </c>
      <c r="AM103" s="14">
        <f t="shared" si="94"/>
        <v>0.29176470588235293</v>
      </c>
      <c r="AN103" s="15">
        <f t="shared" si="95"/>
        <v>0.70823529411764707</v>
      </c>
      <c r="AO103" s="15">
        <f t="shared" si="96"/>
        <v>9.3426783479349194</v>
      </c>
      <c r="AP103" s="16">
        <f t="shared" si="97"/>
        <v>54.671339173967461</v>
      </c>
    </row>
    <row r="104" spans="1:42" x14ac:dyDescent="0.15">
      <c r="A104" s="31" t="s">
        <v>240</v>
      </c>
      <c r="B104" s="49">
        <f>IF(Design_Converter!B98=Lists!C2,0,1)</f>
        <v>0</v>
      </c>
      <c r="C104" s="31"/>
      <c r="E104" s="34" t="s">
        <v>239</v>
      </c>
      <c r="N104">
        <v>43</v>
      </c>
      <c r="O104">
        <f t="shared" si="98"/>
        <v>77.300000000000011</v>
      </c>
      <c r="P104" s="14">
        <f t="shared" si="74"/>
        <v>0.23932729624838289</v>
      </c>
      <c r="Q104" s="15">
        <f t="shared" si="75"/>
        <v>0.76067270375161711</v>
      </c>
      <c r="R104" s="15">
        <f t="shared" si="76"/>
        <v>7.4853430954281484</v>
      </c>
      <c r="S104" s="16">
        <f t="shared" si="77"/>
        <v>53.742671547714075</v>
      </c>
      <c r="T104" s="14">
        <f t="shared" si="78"/>
        <v>0.25873221216041392</v>
      </c>
      <c r="U104" s="15">
        <f t="shared" si="79"/>
        <v>0.74126778783958613</v>
      </c>
      <c r="V104" s="15">
        <f t="shared" si="80"/>
        <v>7.8858275302083616</v>
      </c>
      <c r="W104" s="16">
        <f t="shared" si="81"/>
        <v>53.94291376510418</v>
      </c>
      <c r="X104" s="14">
        <f t="shared" si="82"/>
        <v>0.33635187580853809</v>
      </c>
      <c r="Y104" s="15">
        <f t="shared" si="83"/>
        <v>0.66364812419146191</v>
      </c>
      <c r="Z104" s="15">
        <f t="shared" si="84"/>
        <v>9.1781123558393674</v>
      </c>
      <c r="AA104" s="16">
        <f t="shared" si="85"/>
        <v>54.589056177919687</v>
      </c>
      <c r="AC104">
        <v>43</v>
      </c>
      <c r="AD104">
        <f t="shared" si="99"/>
        <v>24.95</v>
      </c>
      <c r="AE104" s="14">
        <f t="shared" si="86"/>
        <v>0.83166666666666667</v>
      </c>
      <c r="AF104" s="15">
        <f t="shared" si="87"/>
        <v>0.16833333333333333</v>
      </c>
      <c r="AG104" s="15">
        <f t="shared" si="88"/>
        <v>2.2339982269503551</v>
      </c>
      <c r="AH104" s="16">
        <f t="shared" si="89"/>
        <v>51.116999113475174</v>
      </c>
      <c r="AI104" s="14">
        <f t="shared" si="90"/>
        <v>0.499</v>
      </c>
      <c r="AJ104" s="15">
        <f t="shared" si="91"/>
        <v>0.501</v>
      </c>
      <c r="AK104" s="15">
        <f t="shared" si="92"/>
        <v>6.6489095744680862</v>
      </c>
      <c r="AL104" s="16">
        <f t="shared" si="93"/>
        <v>53.324454787234046</v>
      </c>
      <c r="AM104" s="14">
        <f t="shared" si="94"/>
        <v>0.29352941176470587</v>
      </c>
      <c r="AN104" s="15">
        <f t="shared" si="95"/>
        <v>0.70647058823529418</v>
      </c>
      <c r="AO104" s="15">
        <f t="shared" si="96"/>
        <v>9.3757665832290371</v>
      </c>
      <c r="AP104" s="16">
        <f t="shared" si="97"/>
        <v>54.687883291614519</v>
      </c>
    </row>
    <row r="105" spans="1:42" x14ac:dyDescent="0.15">
      <c r="A105" s="31" t="s">
        <v>242</v>
      </c>
      <c r="B105" s="49">
        <f>Design_Converter!B99</f>
        <v>2.4</v>
      </c>
      <c r="C105" s="31" t="s">
        <v>1</v>
      </c>
      <c r="N105">
        <v>44</v>
      </c>
      <c r="O105">
        <f t="shared" si="98"/>
        <v>78.400000000000006</v>
      </c>
      <c r="P105" s="14">
        <f t="shared" si="74"/>
        <v>0.23596938775510201</v>
      </c>
      <c r="Q105" s="15">
        <f t="shared" si="75"/>
        <v>0.76403061224489799</v>
      </c>
      <c r="R105" s="15">
        <f t="shared" si="76"/>
        <v>7.5183863438992624</v>
      </c>
      <c r="S105" s="16">
        <f t="shared" si="77"/>
        <v>53.759193171949633</v>
      </c>
      <c r="T105" s="14">
        <f t="shared" si="78"/>
        <v>0.25510204081632654</v>
      </c>
      <c r="U105" s="15">
        <f t="shared" si="79"/>
        <v>0.74489795918367352</v>
      </c>
      <c r="V105" s="15">
        <f t="shared" si="80"/>
        <v>7.9244463742943996</v>
      </c>
      <c r="W105" s="16">
        <f t="shared" si="81"/>
        <v>53.962223187147202</v>
      </c>
      <c r="X105" s="14">
        <f t="shared" si="82"/>
        <v>0.33163265306122447</v>
      </c>
      <c r="Y105" s="15">
        <f t="shared" si="83"/>
        <v>0.66836734693877553</v>
      </c>
      <c r="Z105" s="15">
        <f t="shared" si="84"/>
        <v>9.2433782023447701</v>
      </c>
      <c r="AA105" s="16">
        <f t="shared" si="85"/>
        <v>54.621689101172386</v>
      </c>
      <c r="AC105">
        <v>44</v>
      </c>
      <c r="AD105">
        <f t="shared" si="99"/>
        <v>25.1</v>
      </c>
      <c r="AE105" s="14">
        <f t="shared" si="86"/>
        <v>0.83666666666666667</v>
      </c>
      <c r="AF105" s="15">
        <f t="shared" si="87"/>
        <v>0.16333333333333333</v>
      </c>
      <c r="AG105" s="15">
        <f t="shared" si="88"/>
        <v>2.1806737588652476</v>
      </c>
      <c r="AH105" s="16">
        <f t="shared" si="89"/>
        <v>51.090336879432627</v>
      </c>
      <c r="AI105" s="14">
        <f t="shared" si="90"/>
        <v>0.502</v>
      </c>
      <c r="AJ105" s="15">
        <f t="shared" si="91"/>
        <v>0.498</v>
      </c>
      <c r="AK105" s="15">
        <f t="shared" si="92"/>
        <v>6.6488297872340425</v>
      </c>
      <c r="AL105" s="16">
        <f t="shared" si="93"/>
        <v>53.324414893617018</v>
      </c>
      <c r="AM105" s="14">
        <f t="shared" si="94"/>
        <v>0.29529411764705882</v>
      </c>
      <c r="AN105" s="15">
        <f t="shared" si="95"/>
        <v>0.70470588235294118</v>
      </c>
      <c r="AO105" s="15">
        <f t="shared" si="96"/>
        <v>9.4085732165206508</v>
      </c>
      <c r="AP105" s="16">
        <f t="shared" si="97"/>
        <v>54.704286608260325</v>
      </c>
    </row>
    <row r="106" spans="1:42" ht="15" x14ac:dyDescent="0.25">
      <c r="A106" s="31" t="s">
        <v>243</v>
      </c>
      <c r="B106" s="63">
        <f>((B105/Constants!C13)-(B103*1000))/(1+(B103/B101))/1000</f>
        <v>0.97308488612836441</v>
      </c>
      <c r="C106" s="67" t="s">
        <v>104</v>
      </c>
      <c r="N106">
        <v>45</v>
      </c>
      <c r="O106">
        <f t="shared" si="98"/>
        <v>79.5</v>
      </c>
      <c r="P106" s="14">
        <f t="shared" si="74"/>
        <v>0.23270440251572327</v>
      </c>
      <c r="Q106" s="15">
        <f t="shared" si="75"/>
        <v>0.76729559748427678</v>
      </c>
      <c r="R106" s="15">
        <f t="shared" si="76"/>
        <v>7.5505151880101709</v>
      </c>
      <c r="S106" s="16">
        <f t="shared" si="77"/>
        <v>53.775257594005083</v>
      </c>
      <c r="T106" s="14">
        <f t="shared" si="78"/>
        <v>0.25157232704402516</v>
      </c>
      <c r="U106" s="15">
        <f t="shared" si="79"/>
        <v>0.7484276729559749</v>
      </c>
      <c r="V106" s="15">
        <f t="shared" si="80"/>
        <v>7.9619965208082437</v>
      </c>
      <c r="W106" s="16">
        <f t="shared" si="81"/>
        <v>53.980998260404121</v>
      </c>
      <c r="X106" s="14">
        <f t="shared" si="82"/>
        <v>0.32704402515723269</v>
      </c>
      <c r="Y106" s="15">
        <f t="shared" si="83"/>
        <v>0.67295597484276737</v>
      </c>
      <c r="Z106" s="15">
        <f t="shared" si="84"/>
        <v>9.3068379499531648</v>
      </c>
      <c r="AA106" s="16">
        <f t="shared" si="85"/>
        <v>54.653418974976582</v>
      </c>
      <c r="AC106">
        <v>45</v>
      </c>
      <c r="AD106">
        <f t="shared" si="99"/>
        <v>25.25</v>
      </c>
      <c r="AE106" s="14">
        <f t="shared" si="86"/>
        <v>0.84166666666666667</v>
      </c>
      <c r="AF106" s="15">
        <f t="shared" si="87"/>
        <v>0.15833333333333333</v>
      </c>
      <c r="AG106" s="15">
        <f t="shared" si="88"/>
        <v>2.1265514184397163</v>
      </c>
      <c r="AH106" s="16">
        <f t="shared" si="89"/>
        <v>51.063275709219859</v>
      </c>
      <c r="AI106" s="14">
        <f t="shared" si="90"/>
        <v>0.505</v>
      </c>
      <c r="AJ106" s="15">
        <f t="shared" si="91"/>
        <v>0.495</v>
      </c>
      <c r="AK106" s="15">
        <f t="shared" si="92"/>
        <v>6.6482712765957448</v>
      </c>
      <c r="AL106" s="16">
        <f t="shared" si="93"/>
        <v>53.324135638297875</v>
      </c>
      <c r="AM106" s="14">
        <f t="shared" si="94"/>
        <v>0.29705882352941176</v>
      </c>
      <c r="AN106" s="15">
        <f t="shared" si="95"/>
        <v>0.70294117647058818</v>
      </c>
      <c r="AO106" s="15">
        <f t="shared" si="96"/>
        <v>9.4410982478097623</v>
      </c>
      <c r="AP106" s="16">
        <f t="shared" si="97"/>
        <v>54.720549123904881</v>
      </c>
    </row>
    <row r="107" spans="1:42" ht="15" x14ac:dyDescent="0.25">
      <c r="A107" s="31" t="s">
        <v>244</v>
      </c>
      <c r="B107" s="49">
        <f>Design_Converter!B101</f>
        <v>0.97299999999999998</v>
      </c>
      <c r="C107" s="67" t="s">
        <v>104</v>
      </c>
      <c r="N107">
        <v>46</v>
      </c>
      <c r="O107">
        <f t="shared" si="98"/>
        <v>80.599999999999994</v>
      </c>
      <c r="P107" s="14">
        <f t="shared" si="74"/>
        <v>0.22952853598014891</v>
      </c>
      <c r="Q107" s="15">
        <f t="shared" si="75"/>
        <v>0.77047146401985112</v>
      </c>
      <c r="R107" s="15">
        <f t="shared" si="76"/>
        <v>7.5817670661527909</v>
      </c>
      <c r="S107" s="16">
        <f t="shared" si="77"/>
        <v>53.790883533076396</v>
      </c>
      <c r="T107" s="14">
        <f t="shared" si="78"/>
        <v>0.24813895781637718</v>
      </c>
      <c r="U107" s="15">
        <f t="shared" si="79"/>
        <v>0.75186104218362282</v>
      </c>
      <c r="V107" s="15">
        <f t="shared" si="80"/>
        <v>7.9985217253576906</v>
      </c>
      <c r="W107" s="16">
        <f t="shared" si="81"/>
        <v>53.999260862678845</v>
      </c>
      <c r="X107" s="14">
        <f t="shared" si="82"/>
        <v>0.32258064516129037</v>
      </c>
      <c r="Y107" s="15">
        <f t="shared" si="83"/>
        <v>0.67741935483870963</v>
      </c>
      <c r="Z107" s="15">
        <f t="shared" si="84"/>
        <v>9.3685655456417294</v>
      </c>
      <c r="AA107" s="16">
        <f t="shared" si="85"/>
        <v>54.684282772820865</v>
      </c>
      <c r="AC107">
        <v>46</v>
      </c>
      <c r="AD107">
        <f t="shared" si="99"/>
        <v>25.4</v>
      </c>
      <c r="AE107" s="14">
        <f t="shared" si="86"/>
        <v>0.84666666666666657</v>
      </c>
      <c r="AF107" s="15">
        <f t="shared" si="87"/>
        <v>0.15333333333333343</v>
      </c>
      <c r="AG107" s="15">
        <f t="shared" si="88"/>
        <v>2.0716312056737594</v>
      </c>
      <c r="AH107" s="16">
        <f t="shared" si="89"/>
        <v>51.035815602836877</v>
      </c>
      <c r="AI107" s="14">
        <f t="shared" si="90"/>
        <v>0.50800000000000001</v>
      </c>
      <c r="AJ107" s="15">
        <f t="shared" si="91"/>
        <v>0.49199999999999999</v>
      </c>
      <c r="AK107" s="15">
        <f t="shared" si="92"/>
        <v>6.6472340425531922</v>
      </c>
      <c r="AL107" s="16">
        <f t="shared" si="93"/>
        <v>53.323617021276597</v>
      </c>
      <c r="AM107" s="14">
        <f t="shared" si="94"/>
        <v>0.29882352941176471</v>
      </c>
      <c r="AN107" s="15">
        <f t="shared" si="95"/>
        <v>0.70117647058823529</v>
      </c>
      <c r="AO107" s="15">
        <f t="shared" si="96"/>
        <v>9.4733416770963714</v>
      </c>
      <c r="AP107" s="16">
        <f t="shared" si="97"/>
        <v>54.736670838548186</v>
      </c>
    </row>
    <row r="108" spans="1:42" ht="15" x14ac:dyDescent="0.25">
      <c r="A108" s="1" t="s">
        <v>179</v>
      </c>
      <c r="B108" s="63">
        <f>IF(B104=0,Constants!C13*Calculations!B103*1000,((B103*1000)+(B107*1000)*(1+(B103/B101)))*Constants!C13)</f>
        <v>2.165</v>
      </c>
      <c r="C108" s="67" t="s">
        <v>1</v>
      </c>
      <c r="N108">
        <v>47</v>
      </c>
      <c r="O108">
        <f t="shared" si="98"/>
        <v>81.7</v>
      </c>
      <c r="P108" s="14">
        <f t="shared" si="74"/>
        <v>0.22643818849449204</v>
      </c>
      <c r="Q108" s="15">
        <f t="shared" si="75"/>
        <v>0.77356181150550796</v>
      </c>
      <c r="R108" s="15">
        <f t="shared" si="76"/>
        <v>7.6121774004531373</v>
      </c>
      <c r="S108" s="16">
        <f t="shared" si="77"/>
        <v>53.806088700226567</v>
      </c>
      <c r="T108" s="14">
        <f t="shared" si="78"/>
        <v>0.24479804161566707</v>
      </c>
      <c r="U108" s="15">
        <f t="shared" si="79"/>
        <v>0.75520195838433291</v>
      </c>
      <c r="V108" s="15">
        <f t="shared" si="80"/>
        <v>8.0340633870673734</v>
      </c>
      <c r="W108" s="16">
        <f t="shared" si="81"/>
        <v>54.017031693533688</v>
      </c>
      <c r="X108" s="14">
        <f t="shared" si="82"/>
        <v>0.31823745410036719</v>
      </c>
      <c r="Y108" s="15">
        <f t="shared" si="83"/>
        <v>0.68176254589963281</v>
      </c>
      <c r="Z108" s="15">
        <f t="shared" si="84"/>
        <v>9.4286309539310924</v>
      </c>
      <c r="AA108" s="16">
        <f t="shared" si="85"/>
        <v>54.714315476965545</v>
      </c>
      <c r="AC108">
        <v>47</v>
      </c>
      <c r="AD108">
        <f t="shared" si="99"/>
        <v>25.55</v>
      </c>
      <c r="AE108" s="14">
        <f t="shared" si="86"/>
        <v>0.85166666666666668</v>
      </c>
      <c r="AF108" s="15">
        <f t="shared" si="87"/>
        <v>0.14833333333333332</v>
      </c>
      <c r="AG108" s="15">
        <f t="shared" si="88"/>
        <v>2.0159131205673759</v>
      </c>
      <c r="AH108" s="16">
        <f t="shared" si="89"/>
        <v>51.007956560283688</v>
      </c>
      <c r="AI108" s="14">
        <f t="shared" si="90"/>
        <v>0.51100000000000001</v>
      </c>
      <c r="AJ108" s="15">
        <f t="shared" si="91"/>
        <v>0.48899999999999999</v>
      </c>
      <c r="AK108" s="15">
        <f t="shared" si="92"/>
        <v>6.6457180851063837</v>
      </c>
      <c r="AL108" s="16">
        <f t="shared" si="93"/>
        <v>53.322859042553191</v>
      </c>
      <c r="AM108" s="14">
        <f t="shared" si="94"/>
        <v>0.30058823529411766</v>
      </c>
      <c r="AN108" s="15">
        <f t="shared" si="95"/>
        <v>0.6994117647058824</v>
      </c>
      <c r="AO108" s="15">
        <f t="shared" si="96"/>
        <v>9.5053035043804766</v>
      </c>
      <c r="AP108" s="16">
        <f t="shared" si="97"/>
        <v>54.752651752190239</v>
      </c>
    </row>
    <row r="109" spans="1:42" ht="15" x14ac:dyDescent="0.25">
      <c r="A109" s="1" t="s">
        <v>245</v>
      </c>
      <c r="B109" s="53">
        <f>Constants!C11*((Calculations!B101+Calculations!B103)/Calculations!B101)</f>
        <v>24.15</v>
      </c>
      <c r="C109" s="67" t="s">
        <v>1</v>
      </c>
      <c r="N109">
        <v>48</v>
      </c>
      <c r="O109">
        <f t="shared" si="98"/>
        <v>82.800000000000011</v>
      </c>
      <c r="P109" s="14">
        <f t="shared" si="74"/>
        <v>0.22342995169082122</v>
      </c>
      <c r="Q109" s="15">
        <f t="shared" si="75"/>
        <v>0.77657004830917875</v>
      </c>
      <c r="R109" s="15">
        <f t="shared" si="76"/>
        <v>7.6417797307020257</v>
      </c>
      <c r="S109" s="16">
        <f t="shared" si="77"/>
        <v>53.820889865351013</v>
      </c>
      <c r="T109" s="14">
        <f t="shared" si="78"/>
        <v>0.24154589371980673</v>
      </c>
      <c r="U109" s="15">
        <f t="shared" si="79"/>
        <v>0.75845410628019327</v>
      </c>
      <c r="V109" s="15">
        <f t="shared" si="80"/>
        <v>8.0686607051084405</v>
      </c>
      <c r="W109" s="16">
        <f t="shared" si="81"/>
        <v>54.034330352554221</v>
      </c>
      <c r="X109" s="14">
        <f t="shared" si="82"/>
        <v>0.31400966183574874</v>
      </c>
      <c r="Y109" s="15">
        <f t="shared" si="83"/>
        <v>0.68599033816425126</v>
      </c>
      <c r="Z109" s="15">
        <f t="shared" si="84"/>
        <v>9.4871004214204966</v>
      </c>
      <c r="AA109" s="16">
        <f t="shared" si="85"/>
        <v>54.743550210710247</v>
      </c>
      <c r="AC109">
        <v>48</v>
      </c>
      <c r="AD109">
        <f t="shared" si="99"/>
        <v>25.7</v>
      </c>
      <c r="AE109" s="14">
        <f t="shared" si="86"/>
        <v>0.85666666666666669</v>
      </c>
      <c r="AF109" s="15">
        <f t="shared" si="87"/>
        <v>0.14333333333333331</v>
      </c>
      <c r="AG109" s="15">
        <f t="shared" si="88"/>
        <v>1.9593971631205678</v>
      </c>
      <c r="AH109" s="16">
        <f t="shared" si="89"/>
        <v>50.979698581560285</v>
      </c>
      <c r="AI109" s="14">
        <f t="shared" si="90"/>
        <v>0.51400000000000001</v>
      </c>
      <c r="AJ109" s="15">
        <f t="shared" si="91"/>
        <v>0.48599999999999999</v>
      </c>
      <c r="AK109" s="15">
        <f t="shared" si="92"/>
        <v>6.6437234042553204</v>
      </c>
      <c r="AL109" s="16">
        <f t="shared" si="93"/>
        <v>53.321861702127663</v>
      </c>
      <c r="AM109" s="14">
        <f t="shared" si="94"/>
        <v>0.3023529411764706</v>
      </c>
      <c r="AN109" s="15">
        <f t="shared" si="95"/>
        <v>0.6976470588235294</v>
      </c>
      <c r="AO109" s="15">
        <f t="shared" si="96"/>
        <v>9.5369837296620794</v>
      </c>
      <c r="AP109" s="16">
        <f t="shared" si="97"/>
        <v>54.768491864831041</v>
      </c>
    </row>
    <row r="110" spans="1:42" ht="15" x14ac:dyDescent="0.25">
      <c r="A110" s="1" t="s">
        <v>246</v>
      </c>
      <c r="B110" s="62">
        <f>B109-B108</f>
        <v>21.984999999999999</v>
      </c>
      <c r="C110" s="68" t="s">
        <v>1</v>
      </c>
      <c r="N110">
        <v>49</v>
      </c>
      <c r="O110">
        <f t="shared" si="98"/>
        <v>83.9</v>
      </c>
      <c r="P110" s="14">
        <f t="shared" si="74"/>
        <v>0.22050059594755661</v>
      </c>
      <c r="Q110" s="15">
        <f t="shared" si="75"/>
        <v>0.77949940405244345</v>
      </c>
      <c r="R110" s="15">
        <f t="shared" si="76"/>
        <v>7.6706058377501085</v>
      </c>
      <c r="S110" s="16">
        <f t="shared" si="77"/>
        <v>53.835302918875051</v>
      </c>
      <c r="T110" s="14">
        <f t="shared" si="78"/>
        <v>0.23837902264600713</v>
      </c>
      <c r="U110" s="15">
        <f t="shared" si="79"/>
        <v>0.76162097735399281</v>
      </c>
      <c r="V110" s="15">
        <f t="shared" si="80"/>
        <v>8.1023508229148185</v>
      </c>
      <c r="W110" s="16">
        <f t="shared" si="81"/>
        <v>54.051175411457407</v>
      </c>
      <c r="X110" s="14">
        <f t="shared" si="82"/>
        <v>0.30989272943980928</v>
      </c>
      <c r="Y110" s="15">
        <f t="shared" si="83"/>
        <v>0.69010727056019072</v>
      </c>
      <c r="Z110" s="15">
        <f t="shared" si="84"/>
        <v>9.5440367205132759</v>
      </c>
      <c r="AA110" s="16">
        <f t="shared" si="85"/>
        <v>54.772018360256638</v>
      </c>
      <c r="AC110">
        <v>49</v>
      </c>
      <c r="AD110">
        <f t="shared" si="99"/>
        <v>25.85</v>
      </c>
      <c r="AE110" s="14">
        <f t="shared" si="86"/>
        <v>0.86166666666666669</v>
      </c>
      <c r="AF110" s="15">
        <f t="shared" si="87"/>
        <v>0.13833333333333331</v>
      </c>
      <c r="AG110" s="15">
        <f t="shared" si="88"/>
        <v>1.9020833333333329</v>
      </c>
      <c r="AH110" s="16">
        <f t="shared" si="89"/>
        <v>50.951041666666669</v>
      </c>
      <c r="AI110" s="14">
        <f t="shared" si="90"/>
        <v>0.51700000000000002</v>
      </c>
      <c r="AJ110" s="15">
        <f t="shared" si="91"/>
        <v>0.48299999999999998</v>
      </c>
      <c r="AK110" s="15">
        <f t="shared" si="92"/>
        <v>6.6412500000000003</v>
      </c>
      <c r="AL110" s="16">
        <f t="shared" si="93"/>
        <v>53.320625</v>
      </c>
      <c r="AM110" s="14">
        <f t="shared" si="94"/>
        <v>0.30411764705882355</v>
      </c>
      <c r="AN110" s="15">
        <f t="shared" si="95"/>
        <v>0.6958823529411764</v>
      </c>
      <c r="AO110" s="15">
        <f t="shared" si="96"/>
        <v>9.5683823529411764</v>
      </c>
      <c r="AP110" s="16">
        <f t="shared" si="97"/>
        <v>54.784191176470586</v>
      </c>
    </row>
    <row r="111" spans="1:42" ht="15" x14ac:dyDescent="0.25">
      <c r="A111" s="1" t="s">
        <v>178</v>
      </c>
      <c r="B111" s="53">
        <f>Constants!C12*(Calculations!B101+Calculations!B103)/Calculations!B101</f>
        <v>12.074999999999999</v>
      </c>
      <c r="C111" s="67" t="s">
        <v>1</v>
      </c>
      <c r="N111">
        <v>50</v>
      </c>
      <c r="O111">
        <f t="shared" si="98"/>
        <v>85</v>
      </c>
      <c r="P111" s="14">
        <f t="shared" si="74"/>
        <v>0.21764705882352942</v>
      </c>
      <c r="Q111" s="15">
        <f t="shared" si="75"/>
        <v>0.78235294117647058</v>
      </c>
      <c r="R111" s="15">
        <f t="shared" si="76"/>
        <v>7.698685857321653</v>
      </c>
      <c r="S111" s="16">
        <f t="shared" si="77"/>
        <v>53.849342928660825</v>
      </c>
      <c r="T111" s="14">
        <f t="shared" si="78"/>
        <v>0.23529411764705882</v>
      </c>
      <c r="U111" s="15">
        <f t="shared" si="79"/>
        <v>0.76470588235294112</v>
      </c>
      <c r="V111" s="15">
        <f t="shared" si="80"/>
        <v>8.1351689612015026</v>
      </c>
      <c r="W111" s="16">
        <f t="shared" si="81"/>
        <v>54.06758448060075</v>
      </c>
      <c r="X111" s="14">
        <f t="shared" si="82"/>
        <v>0.30588235294117649</v>
      </c>
      <c r="Y111" s="15">
        <f t="shared" si="83"/>
        <v>0.69411764705882351</v>
      </c>
      <c r="Z111" s="15">
        <f t="shared" si="84"/>
        <v>9.599499374217773</v>
      </c>
      <c r="AA111" s="16">
        <f t="shared" si="85"/>
        <v>54.799749687108886</v>
      </c>
      <c r="AC111">
        <v>50</v>
      </c>
      <c r="AD111">
        <f t="shared" si="99"/>
        <v>26</v>
      </c>
      <c r="AE111" s="14">
        <f t="shared" si="86"/>
        <v>0.8666666666666667</v>
      </c>
      <c r="AF111" s="15">
        <f t="shared" si="87"/>
        <v>0.1333333333333333</v>
      </c>
      <c r="AG111" s="15">
        <f t="shared" si="88"/>
        <v>1.843971631205674</v>
      </c>
      <c r="AH111" s="16">
        <f t="shared" si="89"/>
        <v>50.921985815602838</v>
      </c>
      <c r="AI111" s="14">
        <f t="shared" si="90"/>
        <v>0.52</v>
      </c>
      <c r="AJ111" s="15">
        <f t="shared" si="91"/>
        <v>0.48</v>
      </c>
      <c r="AK111" s="15">
        <f t="shared" si="92"/>
        <v>6.6382978723404253</v>
      </c>
      <c r="AL111" s="16">
        <f t="shared" si="93"/>
        <v>53.319148936170215</v>
      </c>
      <c r="AM111" s="14">
        <f t="shared" si="94"/>
        <v>0.30588235294117649</v>
      </c>
      <c r="AN111" s="15">
        <f t="shared" si="95"/>
        <v>0.69411764705882351</v>
      </c>
      <c r="AO111" s="15">
        <f t="shared" si="96"/>
        <v>9.599499374217773</v>
      </c>
      <c r="AP111" s="16">
        <f t="shared" si="97"/>
        <v>54.799749687108886</v>
      </c>
    </row>
    <row r="114" spans="1:28" ht="15.75" customHeight="1" x14ac:dyDescent="0.15">
      <c r="A114" s="40" t="s">
        <v>184</v>
      </c>
    </row>
    <row r="115" spans="1:28" x14ac:dyDescent="0.15">
      <c r="A115" s="31" t="s">
        <v>211</v>
      </c>
      <c r="B115" s="49">
        <f>Design_Converter!B110</f>
        <v>3.3</v>
      </c>
      <c r="C115" s="31" t="s">
        <v>1</v>
      </c>
      <c r="D115" s="34">
        <f>IF(B115&gt;Constants!C48,1,0)</f>
        <v>0</v>
      </c>
      <c r="E115" s="34" t="s">
        <v>188</v>
      </c>
    </row>
    <row r="116" spans="1:28" ht="15" x14ac:dyDescent="0.25">
      <c r="A116" s="31" t="s">
        <v>212</v>
      </c>
      <c r="B116" s="54">
        <f>(B115/((Constants!C6/Constants!C16)+(Constants!C15)))/1000</f>
        <v>11.999999999999998</v>
      </c>
      <c r="C116" s="67" t="s">
        <v>104</v>
      </c>
    </row>
    <row r="117" spans="1:28" s="21" customFormat="1" ht="15" x14ac:dyDescent="0.25">
      <c r="A117" s="31" t="s">
        <v>186</v>
      </c>
      <c r="B117" s="59">
        <f>Design_Converter!B112</f>
        <v>12</v>
      </c>
      <c r="C117" s="67" t="s">
        <v>104</v>
      </c>
      <c r="D117" s="34"/>
      <c r="E117" s="34"/>
      <c r="F117"/>
      <c r="G117"/>
      <c r="H117"/>
      <c r="AB117"/>
    </row>
    <row r="118" spans="1:28" x14ac:dyDescent="0.15">
      <c r="A118" s="31" t="s">
        <v>213</v>
      </c>
      <c r="B118" s="50">
        <f>((Constants!C6/Constants!C16)+(Constants!C15))*B117*1000</f>
        <v>3.3</v>
      </c>
      <c r="C118" s="31" t="s">
        <v>1</v>
      </c>
      <c r="D118" s="34">
        <f>IF(B118&gt;Constants!C48,1,0)</f>
        <v>0</v>
      </c>
      <c r="E118" s="34" t="s">
        <v>188</v>
      </c>
    </row>
    <row r="119" spans="1:28" x14ac:dyDescent="0.15">
      <c r="A119" s="31" t="s">
        <v>214</v>
      </c>
      <c r="B119" s="50">
        <f>(Constants!C15)*B117*1000</f>
        <v>0.3</v>
      </c>
      <c r="C119" s="31" t="s">
        <v>1</v>
      </c>
    </row>
    <row r="120" spans="1:28" x14ac:dyDescent="0.15">
      <c r="A120" s="31" t="s">
        <v>215</v>
      </c>
      <c r="B120" s="54">
        <f>((100*10^-6)/(B117*1000))*(10^9)</f>
        <v>8.3333333333333321</v>
      </c>
      <c r="C120" s="31" t="s">
        <v>40</v>
      </c>
      <c r="E120" s="34" t="s">
        <v>217</v>
      </c>
    </row>
    <row r="121" spans="1:28" x14ac:dyDescent="0.15">
      <c r="A121" s="31" t="s">
        <v>216</v>
      </c>
      <c r="B121" s="49">
        <f>Design_Converter!B116</f>
        <v>8.1999999999999993</v>
      </c>
      <c r="C121" s="31" t="s">
        <v>40</v>
      </c>
    </row>
    <row r="122" spans="1:28" x14ac:dyDescent="0.15">
      <c r="A122" s="31" t="s">
        <v>218</v>
      </c>
      <c r="B122" s="57">
        <f>(1/(2*PI()*B117*1000*(B121*10^-9)))*(1/1000)</f>
        <v>1.6174282834542213</v>
      </c>
      <c r="C122" s="31" t="s">
        <v>3</v>
      </c>
    </row>
    <row r="123" spans="1:28" x14ac:dyDescent="0.15">
      <c r="A123" s="31" t="s">
        <v>219</v>
      </c>
      <c r="B123" s="54">
        <f>((B64*Rcs/(Constants!C16))*(B117*1000)*(10^(-(LOG10(Fsw/(B122*1000))))))*1000</f>
        <v>1.9737078552789296</v>
      </c>
      <c r="C123" s="31" t="s">
        <v>72</v>
      </c>
    </row>
    <row r="126" spans="1:28" x14ac:dyDescent="0.15">
      <c r="A126" s="34" t="s">
        <v>223</v>
      </c>
    </row>
    <row r="127" spans="1:28" x14ac:dyDescent="0.15">
      <c r="A127" s="31" t="s">
        <v>227</v>
      </c>
      <c r="B127" s="49">
        <f>IF(Design_Converter!B123=Lists!G2,0,1)</f>
        <v>1</v>
      </c>
      <c r="C127" s="31"/>
      <c r="E127" s="34" t="s">
        <v>228</v>
      </c>
    </row>
    <row r="128" spans="1:28" x14ac:dyDescent="0.15">
      <c r="A128" s="31" t="s">
        <v>229</v>
      </c>
      <c r="B128" s="49">
        <f>Design_Converter!B124*(10^-9)</f>
        <v>5.5000000000000003E-8</v>
      </c>
      <c r="C128" s="31" t="s">
        <v>23</v>
      </c>
      <c r="D128" s="34">
        <f>IF(B128&lt;Constants!C31,1,IF(B128&gt;Constants!C32,1,0))</f>
        <v>0</v>
      </c>
      <c r="E128" s="34" t="s">
        <v>247</v>
      </c>
    </row>
    <row r="129" spans="1:8" ht="15" x14ac:dyDescent="0.25">
      <c r="A129" s="31" t="s">
        <v>231</v>
      </c>
      <c r="B129" s="53">
        <f>(B128-Constants!C27)/(Constants!C26*1000)</f>
        <v>9.75</v>
      </c>
      <c r="C129" s="67" t="s">
        <v>104</v>
      </c>
    </row>
    <row r="130" spans="1:8" ht="15" x14ac:dyDescent="0.25">
      <c r="A130" s="31" t="s">
        <v>232</v>
      </c>
      <c r="B130" s="49">
        <f>Design_Converter!B126</f>
        <v>10</v>
      </c>
      <c r="C130" s="67" t="s">
        <v>104</v>
      </c>
    </row>
    <row r="131" spans="1:8" x14ac:dyDescent="0.15">
      <c r="A131" s="31" t="s">
        <v>233</v>
      </c>
      <c r="B131" s="53">
        <f>IF(B127=1,(((B130*1000)*Constants!C26)+Constants!C27)*(10^9),(Constants!C29*(10^9)))</f>
        <v>56</v>
      </c>
      <c r="C131" s="31" t="s">
        <v>97</v>
      </c>
    </row>
    <row r="132" spans="1:8" x14ac:dyDescent="0.15">
      <c r="A132" s="31" t="s">
        <v>234</v>
      </c>
      <c r="B132" s="53">
        <f>IF(B127=1,(((B130*1000)*Constants!C26)+Constants!C27)*(10^9),(Constants!C30*(10^9)))</f>
        <v>56</v>
      </c>
      <c r="C132" s="31" t="s">
        <v>97</v>
      </c>
    </row>
    <row r="133" spans="1:8" x14ac:dyDescent="0.15">
      <c r="H133" s="21"/>
    </row>
    <row r="134" spans="1:8" x14ac:dyDescent="0.15">
      <c r="A134" s="47" t="s">
        <v>252</v>
      </c>
      <c r="B134" s="47"/>
      <c r="C134" s="47"/>
    </row>
    <row r="135" spans="1:8" x14ac:dyDescent="0.15">
      <c r="A135" s="31" t="s">
        <v>250</v>
      </c>
      <c r="B135" s="49">
        <f>Design_Converter!B134</f>
        <v>25</v>
      </c>
      <c r="C135" s="31" t="s">
        <v>251</v>
      </c>
    </row>
    <row r="136" spans="1:8" x14ac:dyDescent="0.15">
      <c r="A136" s="31" t="s">
        <v>254</v>
      </c>
      <c r="B136" s="63">
        <f>1/(Ramp_C*Ramp_R*Fsw)</f>
        <v>0.10416666666666667</v>
      </c>
      <c r="C136" s="31" t="s">
        <v>255</v>
      </c>
    </row>
    <row r="137" spans="1:8" x14ac:dyDescent="0.15">
      <c r="A137" s="31" t="s">
        <v>253</v>
      </c>
      <c r="B137" s="63">
        <f>(Rcs+(B135/1000))/(2*PI()*Lm*1000)</f>
        <v>0.88043160008282539</v>
      </c>
      <c r="C137" s="31" t="s">
        <v>3</v>
      </c>
    </row>
    <row r="138" spans="1:8" x14ac:dyDescent="0.15">
      <c r="A138" s="31" t="s">
        <v>256</v>
      </c>
      <c r="B138" s="60">
        <f>1/(B136*(Rcs+(B135/1000)))</f>
        <v>369.23076923076917</v>
      </c>
      <c r="C138" s="31" t="s">
        <v>42</v>
      </c>
    </row>
    <row r="139" spans="1:8" x14ac:dyDescent="0.15">
      <c r="A139" s="31" t="s">
        <v>257</v>
      </c>
      <c r="B139" s="53">
        <f>Fsw/10</f>
        <v>40000</v>
      </c>
      <c r="C139" s="31" t="s">
        <v>87</v>
      </c>
    </row>
    <row r="140" spans="1:8" x14ac:dyDescent="0.15">
      <c r="A140" s="31" t="s">
        <v>258</v>
      </c>
      <c r="B140" s="49">
        <f>Design_Converter!B137*1000</f>
        <v>40000</v>
      </c>
      <c r="C140" s="31" t="s">
        <v>87</v>
      </c>
    </row>
    <row r="141" spans="1:8" x14ac:dyDescent="0.15">
      <c r="A141" s="31" t="s">
        <v>265</v>
      </c>
      <c r="B141" s="60">
        <f>B137*1000</f>
        <v>880.43160008282541</v>
      </c>
      <c r="C141" s="31" t="s">
        <v>87</v>
      </c>
    </row>
    <row r="142" spans="1:8" x14ac:dyDescent="0.15">
      <c r="A142" s="31" t="s">
        <v>266</v>
      </c>
      <c r="B142" s="53">
        <f>IF(B140*100&gt;=Fsw/2,Fsw/2,B140*100)</f>
        <v>200000</v>
      </c>
      <c r="C142" s="31" t="s">
        <v>87</v>
      </c>
    </row>
    <row r="143" spans="1:8" ht="15" x14ac:dyDescent="0.25">
      <c r="A143" s="31" t="s">
        <v>259</v>
      </c>
      <c r="B143" s="63">
        <f>((B136/(Rcs*gm*Acs))*IMABS(COMPLEX(Rcs+(B135/1000),2*PI()*B140*Lm)))/1000</f>
        <v>2.4615102986900763</v>
      </c>
      <c r="C143" s="67" t="s">
        <v>104</v>
      </c>
    </row>
    <row r="144" spans="1:8" ht="15" x14ac:dyDescent="0.25">
      <c r="A144" s="31" t="s">
        <v>260</v>
      </c>
      <c r="B144" s="49">
        <f>Design_Converter!B139</f>
        <v>2.4</v>
      </c>
      <c r="C144" s="67" t="s">
        <v>104</v>
      </c>
    </row>
    <row r="145" spans="1:7" x14ac:dyDescent="0.15">
      <c r="A145" s="31" t="s">
        <v>261</v>
      </c>
      <c r="B145" s="60">
        <f>(Lm/((Rcs+(B135/1000))*(B143*1000)))*(10^9)</f>
        <v>73.438340219591751</v>
      </c>
      <c r="C145" s="31" t="s">
        <v>40</v>
      </c>
    </row>
    <row r="146" spans="1:7" x14ac:dyDescent="0.15">
      <c r="A146" s="31" t="s">
        <v>262</v>
      </c>
      <c r="B146" s="49">
        <f>Design_Converter!B141</f>
        <v>70</v>
      </c>
      <c r="C146" s="31" t="s">
        <v>40</v>
      </c>
    </row>
    <row r="147" spans="1:7" x14ac:dyDescent="0.15">
      <c r="A147" s="31" t="s">
        <v>263</v>
      </c>
      <c r="B147" s="70">
        <f>B145/100</f>
        <v>0.73438340219591747</v>
      </c>
      <c r="C147" s="69" t="s">
        <v>40</v>
      </c>
      <c r="D147" s="35"/>
      <c r="E147" s="66" t="s">
        <v>267</v>
      </c>
      <c r="F147" s="21"/>
      <c r="G147" s="21"/>
    </row>
    <row r="148" spans="1:7" x14ac:dyDescent="0.15">
      <c r="A148" s="31" t="s">
        <v>264</v>
      </c>
      <c r="B148" s="49">
        <f>Design_Converter!B143</f>
        <v>0.7</v>
      </c>
      <c r="C148" s="31" t="s">
        <v>40</v>
      </c>
    </row>
    <row r="149" spans="1:7" x14ac:dyDescent="0.15">
      <c r="A149" s="31" t="s">
        <v>268</v>
      </c>
      <c r="B149" s="63">
        <f>(1/(2*PI()*B144*1000*B146*(10^-9)))/1000</f>
        <v>0.94735085173747235</v>
      </c>
      <c r="C149" s="31" t="s">
        <v>3</v>
      </c>
    </row>
    <row r="150" spans="1:7" x14ac:dyDescent="0.15">
      <c r="A150" s="31" t="s">
        <v>269</v>
      </c>
      <c r="B150" s="60">
        <f>(1/(2*PI()*B144*1000*B148*(10^-9)))/1000</f>
        <v>94.735085173747237</v>
      </c>
      <c r="C150" s="31" t="s">
        <v>3</v>
      </c>
    </row>
    <row r="151" spans="1:7" x14ac:dyDescent="0.15">
      <c r="A151" s="34" t="s">
        <v>278</v>
      </c>
      <c r="E151" s="34" t="s">
        <v>280</v>
      </c>
    </row>
    <row r="152" spans="1:7" x14ac:dyDescent="0.15">
      <c r="A152" s="34" t="s">
        <v>279</v>
      </c>
      <c r="E152" s="34" t="s">
        <v>280</v>
      </c>
    </row>
    <row r="156" spans="1:7" x14ac:dyDescent="0.15">
      <c r="A156" s="34" t="s">
        <v>399</v>
      </c>
    </row>
    <row r="157" spans="1:7" x14ac:dyDescent="0.15">
      <c r="A157" s="31" t="s">
        <v>433</v>
      </c>
      <c r="B157" s="49">
        <f>Design_Converter!B152</f>
        <v>3.3</v>
      </c>
      <c r="C157" s="31" t="s">
        <v>1</v>
      </c>
    </row>
    <row r="158" spans="1:7" x14ac:dyDescent="0.15">
      <c r="A158" s="31" t="s">
        <v>419</v>
      </c>
      <c r="B158" s="49">
        <f>Design_Converter!B153*1000</f>
        <v>5000</v>
      </c>
      <c r="C158" s="31" t="s">
        <v>56</v>
      </c>
    </row>
    <row r="159" spans="1:7" x14ac:dyDescent="0.15">
      <c r="A159" s="31" t="s">
        <v>434</v>
      </c>
      <c r="B159" s="53">
        <f>(B158*V12_Nom/B157)-B158</f>
        <v>25303.030303030304</v>
      </c>
      <c r="C159" s="31" t="s">
        <v>56</v>
      </c>
    </row>
    <row r="160" spans="1:7" x14ac:dyDescent="0.15">
      <c r="A160" s="31" t="s">
        <v>418</v>
      </c>
      <c r="B160" s="49">
        <f>Design_Converter!B155*1000</f>
        <v>25000</v>
      </c>
      <c r="C160" s="31" t="s">
        <v>56</v>
      </c>
    </row>
    <row r="161" spans="1:5" x14ac:dyDescent="0.15">
      <c r="A161" s="31" t="s">
        <v>410</v>
      </c>
      <c r="B161" s="63">
        <f>V12_Nom/(I_Channel_Design*np)</f>
        <v>0.44444444444444442</v>
      </c>
      <c r="C161" s="31" t="s">
        <v>56</v>
      </c>
    </row>
    <row r="162" spans="1:5" x14ac:dyDescent="0.15">
      <c r="A162" s="31" t="s">
        <v>411</v>
      </c>
      <c r="B162" s="60">
        <f>1/(2*PI()*Zo_Buck_Cout*B161)</f>
        <v>484.70306166318966</v>
      </c>
      <c r="C162" s="31" t="s">
        <v>87</v>
      </c>
      <c r="E162" s="34" t="s">
        <v>437</v>
      </c>
    </row>
    <row r="163" spans="1:5" x14ac:dyDescent="0.15">
      <c r="A163" s="31" t="s">
        <v>438</v>
      </c>
      <c r="B163" s="103">
        <f>1/(2*PI()*Zo_Buck_Resr*Zo_Buck_Cout)</f>
        <v>1923.4248478698005</v>
      </c>
      <c r="C163" s="31" t="s">
        <v>87</v>
      </c>
      <c r="E163" s="34" t="s">
        <v>441</v>
      </c>
    </row>
    <row r="164" spans="1:5" x14ac:dyDescent="0.15">
      <c r="A164" s="31" t="s">
        <v>439</v>
      </c>
      <c r="B164" s="53">
        <f>B140/10</f>
        <v>4000</v>
      </c>
      <c r="C164" s="31" t="s">
        <v>87</v>
      </c>
      <c r="E164" s="34" t="s">
        <v>442</v>
      </c>
    </row>
    <row r="165" spans="1:5" x14ac:dyDescent="0.15">
      <c r="A165" s="31" t="s">
        <v>440</v>
      </c>
      <c r="B165" s="53">
        <f>Design_Converter!B157*1000</f>
        <v>4000</v>
      </c>
      <c r="C165" s="31" t="s">
        <v>87</v>
      </c>
    </row>
    <row r="166" spans="1:5" x14ac:dyDescent="0.15">
      <c r="A166" s="32" t="s">
        <v>404</v>
      </c>
      <c r="B166" s="53"/>
      <c r="C166" s="31"/>
    </row>
    <row r="167" spans="1:5" x14ac:dyDescent="0.15">
      <c r="A167" s="31" t="s">
        <v>408</v>
      </c>
      <c r="B167" s="63">
        <f>10^(Compensation!S134/20)</f>
        <v>3.4521422698141868</v>
      </c>
      <c r="C167" s="31" t="s">
        <v>42</v>
      </c>
    </row>
    <row r="168" spans="1:5" x14ac:dyDescent="0.15">
      <c r="A168" s="31" t="s">
        <v>414</v>
      </c>
      <c r="B168" s="60">
        <f>B162</f>
        <v>484.70306166318966</v>
      </c>
      <c r="C168" s="31" t="s">
        <v>87</v>
      </c>
    </row>
    <row r="169" spans="1:5" x14ac:dyDescent="0.15">
      <c r="A169" s="31" t="s">
        <v>417</v>
      </c>
      <c r="B169" s="103">
        <f>IF(B163&gt;(Fsw/2),Fsw/2,B163)</f>
        <v>1923.4248478698005</v>
      </c>
      <c r="C169" s="31" t="s">
        <v>87</v>
      </c>
    </row>
    <row r="170" spans="1:5" x14ac:dyDescent="0.15">
      <c r="A170" s="31" t="s">
        <v>413</v>
      </c>
      <c r="B170" s="63">
        <f>((B160*B165)/(B168*B167))*SQRT(((1+((B165^2)/(B169^2)))/(1+((B165^2)/(B168^2)))))</f>
        <v>16589.721116244749</v>
      </c>
      <c r="C170" s="104" t="s">
        <v>56</v>
      </c>
    </row>
    <row r="171" spans="1:5" x14ac:dyDescent="0.15">
      <c r="A171" s="31" t="s">
        <v>420</v>
      </c>
      <c r="B171" s="105">
        <f>Design_Converter!B159*1000</f>
        <v>16000</v>
      </c>
      <c r="C171" s="31" t="s">
        <v>56</v>
      </c>
    </row>
    <row r="172" spans="1:5" x14ac:dyDescent="0.15">
      <c r="A172" s="31" t="s">
        <v>422</v>
      </c>
      <c r="B172" s="53">
        <f>1/(2*PI()*B168*B170)</f>
        <v>1.9792710995848382E-8</v>
      </c>
      <c r="C172" s="31" t="s">
        <v>425</v>
      </c>
    </row>
    <row r="173" spans="1:5" x14ac:dyDescent="0.15">
      <c r="A173" s="31" t="s">
        <v>421</v>
      </c>
      <c r="B173" s="49">
        <f>Design_Converter!B161*(10^-9)</f>
        <v>2E-8</v>
      </c>
      <c r="C173" s="31" t="s">
        <v>425</v>
      </c>
    </row>
    <row r="174" spans="1:5" x14ac:dyDescent="0.15">
      <c r="A174" s="31" t="s">
        <v>423</v>
      </c>
      <c r="B174" s="53">
        <f>1/(2*PI()*B169*B170)</f>
        <v>4.9877631709537922E-9</v>
      </c>
      <c r="C174" s="31"/>
    </row>
    <row r="175" spans="1:5" x14ac:dyDescent="0.15">
      <c r="A175" s="31" t="s">
        <v>424</v>
      </c>
      <c r="B175" s="49">
        <f>Design_Converter!B163*(10^-9)</f>
        <v>5.0000000000000001E-9</v>
      </c>
      <c r="C175" s="31"/>
    </row>
    <row r="176" spans="1:5" x14ac:dyDescent="0.15">
      <c r="A176" s="31" t="s">
        <v>435</v>
      </c>
      <c r="B176" s="63">
        <f>1/(2*PI()*B171*B173)/1000</f>
        <v>0.49735919716217303</v>
      </c>
      <c r="C176" s="31" t="s">
        <v>3</v>
      </c>
    </row>
    <row r="177" spans="1:5" x14ac:dyDescent="0.15">
      <c r="A177" s="31" t="s">
        <v>436</v>
      </c>
      <c r="B177" s="63">
        <f>1/(2*PI()*B171*B175)/1000</f>
        <v>1.9894367886486921</v>
      </c>
      <c r="C177" s="31" t="s">
        <v>3</v>
      </c>
    </row>
    <row r="180" spans="1:5" x14ac:dyDescent="0.15">
      <c r="A180" s="34" t="s">
        <v>396</v>
      </c>
    </row>
    <row r="181" spans="1:5" x14ac:dyDescent="0.15">
      <c r="A181" s="31" t="s">
        <v>433</v>
      </c>
      <c r="B181" s="49">
        <f>Design_Converter!B171</f>
        <v>3.3</v>
      </c>
      <c r="C181" s="31" t="s">
        <v>1</v>
      </c>
    </row>
    <row r="182" spans="1:5" x14ac:dyDescent="0.15">
      <c r="A182" s="31" t="s">
        <v>419</v>
      </c>
      <c r="B182" s="49">
        <f>Design_Converter!B172*1000</f>
        <v>1000</v>
      </c>
      <c r="C182" s="31" t="s">
        <v>56</v>
      </c>
    </row>
    <row r="183" spans="1:5" x14ac:dyDescent="0.15">
      <c r="A183" s="31" t="s">
        <v>434</v>
      </c>
      <c r="B183" s="53">
        <f>(B182*V48_Nom/B181)-B182</f>
        <v>14151.515151515152</v>
      </c>
      <c r="C183" s="31" t="s">
        <v>56</v>
      </c>
    </row>
    <row r="184" spans="1:5" x14ac:dyDescent="0.15">
      <c r="A184" s="31" t="s">
        <v>418</v>
      </c>
      <c r="B184" s="49">
        <f>Design_Converter!B174*1000</f>
        <v>14000</v>
      </c>
      <c r="C184" s="31" t="s">
        <v>56</v>
      </c>
    </row>
    <row r="185" spans="1:5" x14ac:dyDescent="0.15">
      <c r="A185" s="31" t="s">
        <v>410</v>
      </c>
      <c r="B185" s="53">
        <f>(V48_Nom^2)/(V12_Min*I_Channel_Design*np)</f>
        <v>3.0030030030030028</v>
      </c>
      <c r="C185" s="31" t="s">
        <v>56</v>
      </c>
      <c r="E185" s="34" t="s">
        <v>406</v>
      </c>
    </row>
    <row r="186" spans="1:5" x14ac:dyDescent="0.15">
      <c r="A186" s="31" t="s">
        <v>400</v>
      </c>
      <c r="B186" s="103">
        <f>2/(((V48_Nom^2)/(V12_Min*I_Channel_Design*np))*(2*PI()*Zo_Boost_Cout))</f>
        <v>166.40061554034898</v>
      </c>
      <c r="C186" s="31" t="s">
        <v>87</v>
      </c>
      <c r="E186" s="34" t="s">
        <v>405</v>
      </c>
    </row>
    <row r="187" spans="1:5" x14ac:dyDescent="0.15">
      <c r="A187" s="31" t="s">
        <v>397</v>
      </c>
      <c r="B187" s="103">
        <f>(((V12_Min/V48_Nom)^2)*B185)/(2*PI()*(Lm/np))</f>
        <v>27842.708720567978</v>
      </c>
      <c r="C187" s="31" t="s">
        <v>87</v>
      </c>
      <c r="E187" s="34" t="s">
        <v>405</v>
      </c>
    </row>
    <row r="188" spans="1:5" x14ac:dyDescent="0.15">
      <c r="A188" s="31" t="s">
        <v>402</v>
      </c>
      <c r="B188" s="63">
        <f>B187/5</f>
        <v>5568.541744113596</v>
      </c>
      <c r="C188" s="31" t="s">
        <v>87</v>
      </c>
      <c r="E188" s="34" t="s">
        <v>412</v>
      </c>
    </row>
    <row r="189" spans="1:5" x14ac:dyDescent="0.15">
      <c r="A189" s="31" t="s">
        <v>401</v>
      </c>
      <c r="B189" s="49">
        <f>Design_Converter!B176*1000</f>
        <v>5500</v>
      </c>
      <c r="C189" s="31" t="s">
        <v>87</v>
      </c>
    </row>
    <row r="190" spans="1:5" x14ac:dyDescent="0.15">
      <c r="A190" s="32" t="s">
        <v>404</v>
      </c>
      <c r="B190" s="32"/>
      <c r="C190" s="32"/>
    </row>
    <row r="191" spans="1:5" x14ac:dyDescent="0.15">
      <c r="A191" s="31" t="s">
        <v>408</v>
      </c>
      <c r="B191" s="63">
        <f>10^(Compensation!S224/20)</f>
        <v>0.70020424330736108</v>
      </c>
      <c r="C191" s="31" t="s">
        <v>409</v>
      </c>
    </row>
    <row r="192" spans="1:5" x14ac:dyDescent="0.15">
      <c r="A192" s="31" t="s">
        <v>414</v>
      </c>
      <c r="B192" s="63">
        <f>2/(2*PI()*B185*Zo_Boost_Cout)</f>
        <v>166.40061554034898</v>
      </c>
      <c r="C192" s="31" t="s">
        <v>416</v>
      </c>
    </row>
    <row r="193" spans="1:5" x14ac:dyDescent="0.15">
      <c r="A193" s="31" t="s">
        <v>417</v>
      </c>
      <c r="B193" s="53">
        <f>Fsw/2</f>
        <v>200000</v>
      </c>
      <c r="C193" s="31" t="s">
        <v>403</v>
      </c>
      <c r="E193" s="34" t="s">
        <v>415</v>
      </c>
    </row>
    <row r="194" spans="1:5" x14ac:dyDescent="0.15">
      <c r="A194" s="31" t="s">
        <v>413</v>
      </c>
      <c r="B194" s="63">
        <f>((B184*B189)/(B191*B192))*SQRT((1+((B189/B193)^2))/(1+((B189/B192)^2)))</f>
        <v>19992.577091595798</v>
      </c>
      <c r="C194" s="31" t="s">
        <v>56</v>
      </c>
    </row>
    <row r="195" spans="1:5" x14ac:dyDescent="0.15">
      <c r="A195" s="31" t="s">
        <v>420</v>
      </c>
      <c r="B195" s="49">
        <f>Design_Converter!B178*1000</f>
        <v>20000</v>
      </c>
      <c r="C195" s="31" t="s">
        <v>56</v>
      </c>
    </row>
    <row r="196" spans="1:5" x14ac:dyDescent="0.15">
      <c r="A196" s="31" t="s">
        <v>422</v>
      </c>
      <c r="B196" s="53">
        <f>1/(2*PI()*B194*B192)</f>
        <v>4.7840578634483207E-8</v>
      </c>
      <c r="C196" s="31" t="s">
        <v>425</v>
      </c>
    </row>
    <row r="197" spans="1:5" x14ac:dyDescent="0.15">
      <c r="A197" s="31" t="s">
        <v>421</v>
      </c>
      <c r="B197" s="49">
        <f>Design_Converter!B180*(10^-9)</f>
        <v>4.7000000000000004E-8</v>
      </c>
      <c r="C197" s="31" t="s">
        <v>425</v>
      </c>
    </row>
    <row r="198" spans="1:5" x14ac:dyDescent="0.15">
      <c r="A198" s="31" t="s">
        <v>423</v>
      </c>
      <c r="B198" s="53">
        <f>1/(2*PI()*B194*B193)</f>
        <v>3.9803508662922373E-11</v>
      </c>
      <c r="C198" s="31" t="s">
        <v>425</v>
      </c>
    </row>
    <row r="199" spans="1:5" x14ac:dyDescent="0.15">
      <c r="A199" s="31" t="s">
        <v>424</v>
      </c>
      <c r="B199" s="49">
        <f>Design_Converter!B182*(10^-9)</f>
        <v>3E-11</v>
      </c>
      <c r="C199" s="31" t="s">
        <v>425</v>
      </c>
    </row>
    <row r="200" spans="1:5" x14ac:dyDescent="0.15">
      <c r="A200" s="31" t="s">
        <v>435</v>
      </c>
      <c r="B200" s="60">
        <f>1/(2*PI()*B195*B197)</f>
        <v>169.31376924669715</v>
      </c>
      <c r="C200" s="31" t="s">
        <v>87</v>
      </c>
    </row>
    <row r="201" spans="1:5" x14ac:dyDescent="0.15">
      <c r="A201" s="31" t="s">
        <v>436</v>
      </c>
      <c r="B201" s="103">
        <f>1/(2*PI()*B195*B199)</f>
        <v>265258.23848649225</v>
      </c>
      <c r="C201" s="31" t="s">
        <v>87</v>
      </c>
    </row>
  </sheetData>
  <mergeCells count="13">
    <mergeCell ref="A14:C14"/>
    <mergeCell ref="A6:C6"/>
    <mergeCell ref="A10:C10"/>
    <mergeCell ref="A63:C63"/>
    <mergeCell ref="A40:C40"/>
    <mergeCell ref="A21:C21"/>
    <mergeCell ref="AD58:AO58"/>
    <mergeCell ref="AB4:AE4"/>
    <mergeCell ref="AF4:AI4"/>
    <mergeCell ref="AJ4:AM4"/>
    <mergeCell ref="P4:S4"/>
    <mergeCell ref="T4:W4"/>
    <mergeCell ref="X4:AA4"/>
  </mergeCells>
  <phoneticPr fontId="30"/>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defaultColWidth="8.875" defaultRowHeight="13.5" x14ac:dyDescent="0.15"/>
  <cols>
    <col min="1" max="1" width="27.5" customWidth="1"/>
    <col min="2" max="2" width="11.625" customWidth="1"/>
    <col min="3" max="3" width="12" customWidth="1"/>
    <col min="4" max="4" width="11.875" customWidth="1"/>
    <col min="7" max="7" width="10.5" customWidth="1"/>
    <col min="8" max="8" width="9.5" customWidth="1"/>
    <col min="10" max="10" width="17.5" customWidth="1"/>
    <col min="13" max="13" width="16.375" customWidth="1"/>
    <col min="14" max="14" width="16" bestFit="1" customWidth="1"/>
    <col min="15" max="15" width="13.875" customWidth="1"/>
    <col min="18" max="18" width="17.5" customWidth="1"/>
    <col min="21" max="21" width="12" customWidth="1"/>
    <col min="32" max="32" width="13.5" bestFit="1" customWidth="1"/>
  </cols>
  <sheetData>
    <row r="3" spans="2:30" x14ac:dyDescent="0.15">
      <c r="B3" t="s">
        <v>270</v>
      </c>
    </row>
    <row r="4" spans="2:30" x14ac:dyDescent="0.15">
      <c r="B4" t="s">
        <v>271</v>
      </c>
    </row>
    <row r="5" spans="2:30" x14ac:dyDescent="0.15">
      <c r="B5" s="206" t="s">
        <v>33</v>
      </c>
      <c r="C5" s="206"/>
      <c r="D5" s="195" t="s">
        <v>272</v>
      </c>
      <c r="E5" s="195"/>
      <c r="F5" s="195"/>
      <c r="G5" s="195" t="s">
        <v>276</v>
      </c>
      <c r="H5" s="195"/>
      <c r="I5" s="195"/>
      <c r="J5" s="195" t="s">
        <v>277</v>
      </c>
      <c r="K5" s="195"/>
      <c r="L5" s="195"/>
    </row>
    <row r="6" spans="2:30" x14ac:dyDescent="0.15">
      <c r="B6" s="206"/>
      <c r="C6" s="206"/>
      <c r="D6" s="195"/>
      <c r="E6" s="195"/>
      <c r="F6" s="195"/>
      <c r="G6" s="195"/>
      <c r="H6" s="195"/>
      <c r="I6" s="195"/>
      <c r="J6" s="195"/>
      <c r="K6" s="195"/>
      <c r="L6" s="195"/>
    </row>
    <row r="7" spans="2:30" s="2" customFormat="1" ht="27" x14ac:dyDescent="0.15">
      <c r="B7" s="71" t="s">
        <v>35</v>
      </c>
      <c r="C7" s="71" t="s">
        <v>34</v>
      </c>
      <c r="D7" s="72" t="s">
        <v>273</v>
      </c>
      <c r="E7" s="72" t="s">
        <v>274</v>
      </c>
      <c r="F7" s="72" t="s">
        <v>275</v>
      </c>
      <c r="G7" s="72" t="s">
        <v>273</v>
      </c>
      <c r="H7" s="72" t="s">
        <v>274</v>
      </c>
      <c r="I7" s="72" t="s">
        <v>275</v>
      </c>
      <c r="J7" s="72" t="s">
        <v>273</v>
      </c>
      <c r="K7" s="72" t="s">
        <v>274</v>
      </c>
      <c r="L7" s="72" t="s">
        <v>275</v>
      </c>
    </row>
    <row r="8" spans="2:30" x14ac:dyDescent="0.15">
      <c r="B8" s="1">
        <v>1</v>
      </c>
      <c r="C8" s="1">
        <f>2*PI()*B8</f>
        <v>6.2831853071795862</v>
      </c>
      <c r="D8" s="73" t="str">
        <f>IMPRODUCT(COMPLEX(1/(Calculations!$B$136*(Rcs+(Calculations!$B$135/1000))),0),IMDIV(COMPLEX(1,0),COMPLEX(1,(C8*Lm)/(Rcs+(Calculations!$B$135/1000)))))</f>
        <v>369.230292902802-0.419374194279338i</v>
      </c>
      <c r="E8" s="1">
        <f>20*LOG10(IMABS(D8))</f>
        <v>51.345952098734102</v>
      </c>
      <c r="F8" s="1">
        <f>IMARGUMENT(D8)*(180/PI())</f>
        <v>-6.5076895092640766E-2</v>
      </c>
      <c r="G8" s="1" t="str">
        <f t="shared" ref="G8:G39" si="0">IMPRODUCT(COMPLEX(-(gm*Acs*Rcs)/(IL_Comp_Ccomp+IL_Comp_Chf),0),IMDIV(COMPLEX(1,C8*IL_Comp_Rcomp*IL_Comp_Ccomp),IMPRODUCT(COMPLEX(0,C8),COMPLEX(1,C8*IL_Comp_Rcomp*((IL_Comp_Ccomp*IL_Comp_Chf)/(IL_Comp_Ccomp+IL_Comp_Chf))))))</f>
        <v>-0.117635525915981+112.556538069532i</v>
      </c>
      <c r="H8" s="1">
        <f>20*LOG(IMABS(G8))</f>
        <v>41.027419282220841</v>
      </c>
      <c r="I8" s="1">
        <f>IMARGUMENT(G8)*(180/PI())</f>
        <v>90.059881165655796</v>
      </c>
      <c r="J8" s="1" t="str">
        <f>IMPRODUCT(D8,G8)</f>
        <v>3.76870777404879+41559.3328528426i</v>
      </c>
      <c r="K8" s="1">
        <f>20*LOG(IMABS(J8))</f>
        <v>92.37337138095495</v>
      </c>
      <c r="L8" s="1">
        <f>IMARGUMENT(J8)*(180/PI())</f>
        <v>89.994804270563165</v>
      </c>
      <c r="AA8" t="s">
        <v>87</v>
      </c>
      <c r="AB8" t="s">
        <v>293</v>
      </c>
      <c r="AC8" t="s">
        <v>294</v>
      </c>
      <c r="AD8" t="s">
        <v>274</v>
      </c>
    </row>
    <row r="9" spans="2:30" x14ac:dyDescent="0.15">
      <c r="B9" s="1">
        <v>2</v>
      </c>
      <c r="C9" s="1">
        <f t="shared" ref="C9:C62" si="1">2*PI()*B9</f>
        <v>12.566370614359172</v>
      </c>
      <c r="D9" s="73" t="str">
        <f>IMPRODUCT(COMPLEX(1/(Calculations!$B$136*(Rcs+(Calculations!$B$135/1000))),0),IMDIV(COMPLEX(1,0),COMPLEX(1,(C9*Lm)/(Rcs+(Calculations!$B$135/1000)))))</f>
        <v>369.228863926274-0.838745142476802i</v>
      </c>
      <c r="E9" s="1">
        <f t="shared" ref="E9:E62" si="2">20*LOG10(IMABS(D9))</f>
        <v>51.34593529085474</v>
      </c>
      <c r="F9" s="1">
        <f t="shared" ref="F9:F62" si="3">IMARGUMENT(D9)*(180/PI())</f>
        <v>-0.13015362228010594</v>
      </c>
      <c r="G9" s="1" t="str">
        <f t="shared" si="0"/>
        <v>-0.117635525877433+56.2782708789217i</v>
      </c>
      <c r="H9" s="1">
        <f t="shared" ref="H9:H62" si="4">20*LOG(IMABS(G9))</f>
        <v>35.006833884711327</v>
      </c>
      <c r="I9" s="1">
        <f t="shared" ref="I9:I62" si="5">IMARGUMENT(G9)*(180/PI())</f>
        <v>90.119762196533827</v>
      </c>
      <c r="J9" s="1" t="str">
        <f t="shared" ref="J9:J62" si="6">IMPRODUCT(D9,G9)</f>
        <v>3.76869474959484+20779.6606865853i</v>
      </c>
      <c r="K9" s="1">
        <f t="shared" ref="K9:K62" si="7">20*LOG(IMABS(J9))</f>
        <v>86.352769175566081</v>
      </c>
      <c r="L9" s="1">
        <f t="shared" ref="L9:L62" si="8">IMARGUMENT(J9)*(180/PI())</f>
        <v>89.989608574253737</v>
      </c>
      <c r="Y9" t="s">
        <v>290</v>
      </c>
      <c r="AA9">
        <f>Calculations!B137*1000</f>
        <v>880.43160008282541</v>
      </c>
      <c r="AB9">
        <f>2*PI()*AA9</f>
        <v>5531.9148936170222</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2.08601196416048+45.5169904141852i</v>
      </c>
      <c r="AD9">
        <f>20*LOG10(IMABS(AC9))</f>
        <v>33.172582805277543</v>
      </c>
    </row>
    <row r="10" spans="2:30" x14ac:dyDescent="0.15">
      <c r="B10" s="1">
        <v>3</v>
      </c>
      <c r="C10" s="1">
        <f t="shared" si="1"/>
        <v>18.849555921538759</v>
      </c>
      <c r="D10" s="73" t="str">
        <f>IMPRODUCT(COMPLEX(1/(Calculations!$B$136*(Rcs+(Calculations!$B$135/1000))),0),IMDIV(COMPLEX(1,0),COMPLEX(1,(C10*Lm)/(Rcs+(Calculations!$B$135/1000)))))</f>
        <v>369.226482323307-1.25810959859428i</v>
      </c>
      <c r="E10" s="1">
        <f t="shared" si="2"/>
        <v>51.345907277867028</v>
      </c>
      <c r="F10" s="1">
        <f t="shared" si="3"/>
        <v>-0.19523001365982051</v>
      </c>
      <c r="G10" s="1" t="str">
        <f t="shared" si="0"/>
        <v>-0.117635525813188+37.5188493016761i</v>
      </c>
      <c r="H10" s="1">
        <f t="shared" si="4"/>
        <v>31.485032896439989</v>
      </c>
      <c r="I10" s="1">
        <f t="shared" si="5"/>
        <v>90.179642957858178</v>
      </c>
      <c r="J10" s="1" t="str">
        <f t="shared" si="6"/>
        <v>3.76867304239502+13853.1007468603i</v>
      </c>
      <c r="K10" s="1">
        <f t="shared" si="7"/>
        <v>82.830940174307017</v>
      </c>
      <c r="L10" s="1">
        <f t="shared" si="8"/>
        <v>89.984412944198354</v>
      </c>
      <c r="Y10" t="s">
        <v>291</v>
      </c>
      <c r="AA10">
        <f>Calculations!B149*1000</f>
        <v>947.35085173747234</v>
      </c>
      <c r="AB10">
        <f t="shared" ref="AB10:AB11" si="9">2*PI()*AA10</f>
        <v>5952.3809523809532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1.96295909592141+42.1868478601754i</v>
      </c>
      <c r="AD10">
        <f t="shared" ref="AD10:AD11" si="10">20*LOG10(IMABS(AC10))</f>
        <v>32.512934072541391</v>
      </c>
    </row>
    <row r="11" spans="2:30" x14ac:dyDescent="0.15">
      <c r="B11" s="1">
        <v>4</v>
      </c>
      <c r="C11" s="1">
        <f t="shared" si="1"/>
        <v>25.132741228718345</v>
      </c>
      <c r="D11" s="73" t="str">
        <f>IMPRODUCT(COMPLEX(1/(Calculations!$B$136*(Rcs+(Calculations!$B$135/1000))),0),IMDIV(COMPLEX(1,0),COMPLEX(1,(C11*Lm)/(Rcs+(Calculations!$B$135/1000)))))</f>
        <v>369.223148130769-1.67746431680115i</v>
      </c>
      <c r="E11" s="1">
        <f t="shared" si="2"/>
        <v>51.345868059987822</v>
      </c>
      <c r="F11" s="1">
        <f t="shared" si="3"/>
        <v>-0.26030590133440634</v>
      </c>
      <c r="G11" s="1" t="str">
        <f t="shared" si="0"/>
        <v>-0.117635525723245+28.1391391277719i</v>
      </c>
      <c r="H11" s="1">
        <f t="shared" si="4"/>
        <v>28.986292034026771</v>
      </c>
      <c r="I11" s="1">
        <f t="shared" si="5"/>
        <v>90.23952331485647</v>
      </c>
      <c r="J11" s="1" t="str">
        <f t="shared" si="6"/>
        <v>3.76864265278583+10389.8188638424i</v>
      </c>
      <c r="K11" s="1">
        <f t="shared" si="7"/>
        <v>80.332160094014569</v>
      </c>
      <c r="L11" s="1">
        <f t="shared" si="8"/>
        <v>89.979217413522079</v>
      </c>
      <c r="Y11" t="s">
        <v>292</v>
      </c>
      <c r="AA11">
        <f>Calculations!B150*1000</f>
        <v>94735.08517374724</v>
      </c>
      <c r="AB11">
        <f t="shared" si="9"/>
        <v>595238.09523809527</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0.203987517093898+0.20573654390458i</v>
      </c>
      <c r="AD11">
        <f t="shared" si="10"/>
        <v>-10.760391445764517</v>
      </c>
    </row>
    <row r="12" spans="2:30" x14ac:dyDescent="0.15">
      <c r="B12" s="1">
        <v>5</v>
      </c>
      <c r="C12" s="1">
        <f t="shared" si="1"/>
        <v>31.415926535897931</v>
      </c>
      <c r="D12" s="73" t="str">
        <f>IMPRODUCT(COMPLEX(1/(Calculations!$B$136*(Rcs+(Calculations!$B$135/1000))),0),IMDIV(COMPLEX(1,0),COMPLEX(1,(C12*Lm)/(Rcs+(Calculations!$B$135/1000)))))</f>
        <v>369.218861400273-2.09680605151802i</v>
      </c>
      <c r="E12" s="1">
        <f t="shared" si="2"/>
        <v>51.345817637520632</v>
      </c>
      <c r="F12" s="1">
        <f t="shared" si="3"/>
        <v>-0.32538111741428183</v>
      </c>
      <c r="G12" s="1" t="str">
        <f t="shared" si="0"/>
        <v>-0.117635525607602+22.5113135152041i</v>
      </c>
      <c r="H12" s="1">
        <f t="shared" si="4"/>
        <v>27.048135320302404</v>
      </c>
      <c r="I12" s="1">
        <f t="shared" si="5"/>
        <v>90.299403132761782</v>
      </c>
      <c r="J12" s="1" t="str">
        <f t="shared" si="6"/>
        <v>3.76860358123788+8311.8482035902i</v>
      </c>
      <c r="K12" s="1">
        <f t="shared" si="7"/>
        <v>78.393952957823046</v>
      </c>
      <c r="L12" s="1">
        <f t="shared" si="8"/>
        <v>89.974022015347515</v>
      </c>
    </row>
    <row r="13" spans="2:30" x14ac:dyDescent="0.15">
      <c r="B13" s="1">
        <v>6</v>
      </c>
      <c r="C13" s="1">
        <f t="shared" si="1"/>
        <v>37.699111843077517</v>
      </c>
      <c r="D13" s="73" t="str">
        <f>IMPRODUCT(COMPLEX(1/(Calculations!$B$136*(Rcs+(Calculations!$B$135/1000))),0),IMDIV(COMPLEX(1,0),COMPLEX(1,(C13*Lm)/(Rcs+(Calculations!$B$135/1000)))))</f>
        <v>369.213622198173-2.51613155750048i</v>
      </c>
      <c r="E13" s="1">
        <f t="shared" si="2"/>
        <v>51.345756010855709</v>
      </c>
      <c r="F13" s="1">
        <f t="shared" si="3"/>
        <v>-0.39045549402026641</v>
      </c>
      <c r="G13" s="1" t="str">
        <f t="shared" si="0"/>
        <v>-0.117635525466262+18.7594301833045i</v>
      </c>
      <c r="H13" s="1">
        <f t="shared" si="4"/>
        <v>25.464563622179522</v>
      </c>
      <c r="I13" s="1">
        <f t="shared" si="5"/>
        <v>90.359282276814383</v>
      </c>
      <c r="J13" s="1" t="str">
        <f t="shared" si="6"/>
        <v>3.76855582835545+6926.5331548095i</v>
      </c>
      <c r="K13" s="1">
        <f t="shared" si="7"/>
        <v>76.810319633035235</v>
      </c>
      <c r="L13" s="1">
        <f t="shared" si="8"/>
        <v>89.968826782794125</v>
      </c>
    </row>
    <row r="14" spans="2:30" x14ac:dyDescent="0.15">
      <c r="B14" s="1">
        <v>7</v>
      </c>
      <c r="C14" s="1">
        <f t="shared" si="1"/>
        <v>43.982297150257104</v>
      </c>
      <c r="D14" s="73" t="str">
        <f>IMPRODUCT(COMPLEX(1/(Calculations!$B$136*(Rcs+(Calculations!$B$135/1000))),0),IMDIV(COMPLEX(1,0),COMPLEX(1,(C14*Lm)/(Rcs+(Calculations!$B$135/1000)))))</f>
        <v>369.207430605568-2.93543758992277i</v>
      </c>
      <c r="E14" s="1">
        <f t="shared" si="2"/>
        <v>51.345683180470054</v>
      </c>
      <c r="F14" s="1">
        <f t="shared" si="3"/>
        <v>-0.4555288632861676</v>
      </c>
      <c r="G14" s="1" t="str">
        <f t="shared" si="0"/>
        <v>-0.117635525299223+16.0795138689297i</v>
      </c>
      <c r="H14" s="1">
        <f t="shared" si="4"/>
        <v>24.125690728433959</v>
      </c>
      <c r="I14" s="1">
        <f t="shared" si="5"/>
        <v>90.419160612263553</v>
      </c>
      <c r="J14" s="1" t="str">
        <f t="shared" si="6"/>
        <v>3.76849939487834+5937.021312677i</v>
      </c>
      <c r="K14" s="1">
        <f t="shared" si="7"/>
        <v>75.471373908904013</v>
      </c>
      <c r="L14" s="1">
        <f t="shared" si="8"/>
        <v>89.963631748977392</v>
      </c>
    </row>
    <row r="15" spans="2:30" x14ac:dyDescent="0.15">
      <c r="B15" s="1">
        <v>8</v>
      </c>
      <c r="C15" s="1">
        <f t="shared" si="1"/>
        <v>50.26548245743669</v>
      </c>
      <c r="D15" s="73" t="str">
        <f>IMPRODUCT(COMPLEX(1/(Calculations!$B$136*(Rcs+(Calculations!$B$135/1000))),0),IMDIV(COMPLEX(1,0),COMPLEX(1,(C15*Lm)/(Rcs+(Calculations!$B$135/1000)))))</f>
        <v>369.200286718291-3.35472090446148i</v>
      </c>
      <c r="E15" s="1">
        <f t="shared" si="2"/>
        <v>51.345599146927306</v>
      </c>
      <c r="F15" s="1">
        <f t="shared" si="3"/>
        <v>-0.52060105736138751</v>
      </c>
      <c r="G15" s="1" t="str">
        <f t="shared" si="0"/>
        <v>-0.117635525106486+14.0695769405078i</v>
      </c>
      <c r="H15" s="1">
        <f t="shared" si="4"/>
        <v>22.965924363363452</v>
      </c>
      <c r="I15" s="1">
        <f t="shared" si="5"/>
        <v>90.479038004369372</v>
      </c>
      <c r="J15" s="1" t="str">
        <f t="shared" si="6"/>
        <v>3.76843428167935+5194.88647479572i</v>
      </c>
      <c r="K15" s="1">
        <f t="shared" si="7"/>
        <v>74.311523510290769</v>
      </c>
      <c r="L15" s="1">
        <f t="shared" si="8"/>
        <v>89.958436947007982</v>
      </c>
    </row>
    <row r="16" spans="2:30" x14ac:dyDescent="0.15">
      <c r="B16" s="1">
        <v>9</v>
      </c>
      <c r="C16" s="1">
        <f t="shared" si="1"/>
        <v>56.548667764616276</v>
      </c>
      <c r="D16" s="73" t="str">
        <f>IMPRODUCT(COMPLEX(1/(Calculations!$B$136*(Rcs+(Calculations!$B$135/1000))),0),IMDIV(COMPLEX(1,0),COMPLEX(1,(C16*Lm)/(Rcs+(Calculations!$B$135/1000)))))</f>
        <v>369.192190646909-3.77397825737922i</v>
      </c>
      <c r="E16" s="1">
        <f t="shared" si="2"/>
        <v>51.345503910877795</v>
      </c>
      <c r="F16" s="1">
        <f t="shared" si="3"/>
        <v>-0.58567190841351979</v>
      </c>
      <c r="G16" s="1" t="str">
        <f t="shared" si="0"/>
        <v>-0.11763552488805+12.5062929360545i</v>
      </c>
      <c r="H16" s="1">
        <f t="shared" si="4"/>
        <v>21.942956164030413</v>
      </c>
      <c r="I16" s="1">
        <f t="shared" si="5"/>
        <v>90.538914318404537</v>
      </c>
      <c r="J16" s="1" t="str">
        <f t="shared" si="6"/>
        <v>3.76836048976685+4617.66963984715i</v>
      </c>
      <c r="K16" s="1">
        <f t="shared" si="7"/>
        <v>73.288460074908215</v>
      </c>
      <c r="L16" s="1">
        <f t="shared" si="8"/>
        <v>89.95324240999102</v>
      </c>
    </row>
    <row r="17" spans="2:12" x14ac:dyDescent="0.15">
      <c r="B17" s="1">
        <v>10</v>
      </c>
      <c r="C17" s="1">
        <f t="shared" si="1"/>
        <v>62.831853071795862</v>
      </c>
      <c r="D17" s="73" t="str">
        <f>IMPRODUCT(COMPLEX(1/(Calculations!$B$136*(Rcs+(Calculations!$B$135/1000))),0),IMDIV(COMPLEX(1,0),COMPLEX(1,(C17*Lm)/(Rcs+(Calculations!$B$135/1000)))))</f>
        <v>369.183142516721-4.19320640560826i</v>
      </c>
      <c r="E17" s="1">
        <f t="shared" si="2"/>
        <v>51.345397473058554</v>
      </c>
      <c r="F17" s="1">
        <f t="shared" si="3"/>
        <v>-0.65074124863094418</v>
      </c>
      <c r="G17" s="1" t="str">
        <f t="shared" si="0"/>
        <v>-0.117635524643917+11.2556659783793i</v>
      </c>
      <c r="H17" s="1">
        <f t="shared" si="4"/>
        <v>21.027898277013101</v>
      </c>
      <c r="I17" s="1">
        <f t="shared" si="5"/>
        <v>90.598789419656171</v>
      </c>
      <c r="J17" s="1" t="str">
        <f t="shared" si="6"/>
        <v>3.76827802028259+4155.89540705208i</v>
      </c>
      <c r="K17" s="1">
        <f t="shared" si="7"/>
        <v>72.373295750071676</v>
      </c>
      <c r="L17" s="1">
        <f t="shared" si="8"/>
        <v>89.948048171025221</v>
      </c>
    </row>
    <row r="18" spans="2:12" x14ac:dyDescent="0.15">
      <c r="B18" s="1">
        <v>20</v>
      </c>
      <c r="C18" s="1">
        <f t="shared" si="1"/>
        <v>125.66370614359172</v>
      </c>
      <c r="D18" s="73" t="str">
        <f>IMPRODUCT(COMPLEX(1/(Calculations!$B$136*(Rcs+(Calculations!$B$135/1000))),0),IMDIV(COMPLEX(1,0),COMPLEX(1,(C18*Lm)/(Rcs+(Calculations!$B$135/1000)))))</f>
        <v>369.040336065937-8.38316880110207i</v>
      </c>
      <c r="E18" s="1">
        <f t="shared" si="2"/>
        <v>51.343717221586516</v>
      </c>
      <c r="F18" s="1">
        <f t="shared" si="3"/>
        <v>-1.3013146563941138</v>
      </c>
      <c r="G18" s="1" t="str">
        <f t="shared" si="0"/>
        <v>-0.117635520789175+5.62785143074346i</v>
      </c>
      <c r="H18" s="1">
        <f t="shared" si="4"/>
        <v>15.00874954051935</v>
      </c>
      <c r="I18" s="1">
        <f t="shared" si="5"/>
        <v>91.197444106148353</v>
      </c>
      <c r="J18" s="1" t="str">
        <f t="shared" si="6"/>
        <v>3.76697640611756+2077.89034175851i</v>
      </c>
      <c r="K18" s="1">
        <f t="shared" si="7"/>
        <v>66.352466762105863</v>
      </c>
      <c r="L18" s="1">
        <f t="shared" si="8"/>
        <v>89.896129449754241</v>
      </c>
    </row>
    <row r="19" spans="2:12" x14ac:dyDescent="0.15">
      <c r="B19" s="1">
        <v>30</v>
      </c>
      <c r="C19" s="1">
        <f t="shared" si="1"/>
        <v>188.49555921538757</v>
      </c>
      <c r="D19" s="73" t="str">
        <f>IMPRODUCT(COMPLEX(1/(Calculations!$B$136*(Rcs+(Calculations!$B$135/1000))),0),IMDIV(COMPLEX(1,0),COMPLEX(1,(C19*Lm)/(Rcs+(Calculations!$B$135/1000)))))</f>
        <v>368.802570667631-12.5666515365737i</v>
      </c>
      <c r="E19" s="1">
        <f t="shared" si="2"/>
        <v>51.34091824627339</v>
      </c>
      <c r="F19" s="1">
        <f t="shared" si="3"/>
        <v>-1.9515526420164087</v>
      </c>
      <c r="G19" s="1" t="str">
        <f t="shared" si="0"/>
        <v>-0.117635514364605+3.75192144444252i</v>
      </c>
      <c r="H19" s="1">
        <f t="shared" si="4"/>
        <v>11.489341910124939</v>
      </c>
      <c r="I19" s="1">
        <f t="shared" si="5"/>
        <v>91.795829506322249</v>
      </c>
      <c r="J19" s="1" t="str">
        <f t="shared" si="6"/>
        <v>3.76480928543205+1385.19655817076i</v>
      </c>
      <c r="K19" s="1">
        <f t="shared" si="7"/>
        <v>62.830260156398332</v>
      </c>
      <c r="L19" s="1">
        <f t="shared" si="8"/>
        <v>89.84427686430584</v>
      </c>
    </row>
    <row r="20" spans="2:12" x14ac:dyDescent="0.15">
      <c r="B20" s="1">
        <v>40</v>
      </c>
      <c r="C20" s="1">
        <f t="shared" si="1"/>
        <v>251.32741228718345</v>
      </c>
      <c r="D20" s="73" t="str">
        <f>IMPRODUCT(COMPLEX(1/(Calculations!$B$136*(Rcs+(Calculations!$B$135/1000))),0),IMDIV(COMPLEX(1,0),COMPLEX(1,(C20*Lm)/(Rcs+(Calculations!$B$135/1000)))))</f>
        <v>368.470213356321-16.7404356373241i</v>
      </c>
      <c r="E20" s="1">
        <f t="shared" si="2"/>
        <v>51.337002708924729</v>
      </c>
      <c r="F20" s="1">
        <f t="shared" si="3"/>
        <v>-2.601288142411057</v>
      </c>
      <c r="G20" s="1" t="str">
        <f t="shared" si="0"/>
        <v>-0.117635505370211+2.81396259847332i</v>
      </c>
      <c r="H20" s="1">
        <f t="shared" si="4"/>
        <v>8.9939494892427181</v>
      </c>
      <c r="I20" s="1">
        <f t="shared" si="5"/>
        <v>92.393811426442156</v>
      </c>
      <c r="J20" s="1" t="str">
        <f t="shared" si="6"/>
        <v>3.76178000353961+1038.83066864249i</v>
      </c>
      <c r="K20" s="1">
        <f t="shared" si="7"/>
        <v>60.330952198167481</v>
      </c>
      <c r="L20" s="1">
        <f t="shared" si="8"/>
        <v>89.792523284031105</v>
      </c>
    </row>
    <row r="21" spans="2:12" x14ac:dyDescent="0.15">
      <c r="B21" s="1">
        <v>50</v>
      </c>
      <c r="C21" s="1">
        <f t="shared" si="1"/>
        <v>314.15926535897933</v>
      </c>
      <c r="D21" s="73" t="str">
        <f>IMPRODUCT(COMPLEX(1/(Calculations!$B$136*(Rcs+(Calculations!$B$135/1000))),0),IMDIV(COMPLEX(1,0),COMPLEX(1,(C21*Lm)/(Rcs+(Calculations!$B$135/1000)))))</f>
        <v>368.043775997739-20.9013270288752i</v>
      </c>
      <c r="E21" s="1">
        <f t="shared" si="2"/>
        <v>51.331973628280451</v>
      </c>
      <c r="F21" s="1">
        <f t="shared" si="3"/>
        <v>-3.2503548692706445</v>
      </c>
      <c r="G21" s="1" t="str">
        <f t="shared" si="0"/>
        <v>-0.11763549380599+2.25119220863452i</v>
      </c>
      <c r="H21" s="1">
        <f t="shared" si="4"/>
        <v>7.0600940472352569</v>
      </c>
      <c r="I21" s="1">
        <f t="shared" si="5"/>
        <v>92.991256210401787</v>
      </c>
      <c r="J21" s="1" t="str">
        <f t="shared" si="6"/>
        <v>3.75789322581076+830.996018888781i</v>
      </c>
      <c r="K21" s="1">
        <f t="shared" si="7"/>
        <v>58.392067675515719</v>
      </c>
      <c r="L21" s="1">
        <f t="shared" si="8"/>
        <v>89.740901341131149</v>
      </c>
    </row>
    <row r="22" spans="2:12" x14ac:dyDescent="0.15">
      <c r="B22" s="1">
        <v>60</v>
      </c>
      <c r="C22" s="1">
        <f t="shared" si="1"/>
        <v>376.99111843077515</v>
      </c>
      <c r="D22" s="73" t="str">
        <f>IMPRODUCT(COMPLEX(1/(Calculations!$B$136*(Rcs+(Calculations!$B$135/1000))),0),IMDIV(COMPLEX(1,0),COMPLEX(1,(C22*Lm)/(Rcs+(Calculations!$B$135/1000)))))</f>
        <v>367.523913323347-25.0461646280374i</v>
      </c>
      <c r="E22" s="1">
        <f t="shared" si="2"/>
        <v>51.325834872277312</v>
      </c>
      <c r="F22" s="1">
        <f t="shared" si="3"/>
        <v>-3.8985875626800706</v>
      </c>
      <c r="G22" s="1" t="str">
        <f t="shared" si="0"/>
        <v>-0.117635479671946+1.87601604685852i</v>
      </c>
      <c r="H22" s="1">
        <f t="shared" si="4"/>
        <v>5.4817735622799901</v>
      </c>
      <c r="I22" s="1">
        <f t="shared" si="5"/>
        <v>93.588030916147844</v>
      </c>
      <c r="J22" s="1" t="str">
        <f t="shared" si="6"/>
        <v>3.75315491975579+692.427076588801i</v>
      </c>
      <c r="K22" s="1">
        <f t="shared" si="7"/>
        <v>56.807608434557302</v>
      </c>
      <c r="L22" s="1">
        <f t="shared" si="8"/>
        <v>89.689443353467766</v>
      </c>
    </row>
    <row r="23" spans="2:12" x14ac:dyDescent="0.15">
      <c r="B23" s="1">
        <v>70</v>
      </c>
      <c r="C23" s="1">
        <f t="shared" si="1"/>
        <v>439.82297150257102</v>
      </c>
      <c r="D23" s="73" t="str">
        <f>IMPRODUCT(COMPLEX(1/(Calculations!$B$136*(Rcs+(Calculations!$B$135/1000))),0),IMDIV(COMPLEX(1,0),COMPLEX(1,(C23*Lm)/(Rcs+(Calculations!$B$135/1000)))))</f>
        <v>366.911420427501-29.1718282573103i</v>
      </c>
      <c r="E23" s="1">
        <f t="shared" si="2"/>
        <v>51.31859114817216</v>
      </c>
      <c r="F23" s="1">
        <f t="shared" si="3"/>
        <v>-4.545822240789585</v>
      </c>
      <c r="G23" s="1" t="str">
        <f t="shared" si="0"/>
        <v>-0.11763546296808+1.60803658683016i</v>
      </c>
      <c r="H23" s="1">
        <f t="shared" si="4"/>
        <v>4.1490983055308908</v>
      </c>
      <c r="I23" s="1">
        <f t="shared" si="5"/>
        <v>94.184003489737037</v>
      </c>
      <c r="J23" s="1" t="str">
        <f t="shared" si="6"/>
        <v>3.74757233221594+593.438629695919i</v>
      </c>
      <c r="K23" s="1">
        <f t="shared" si="7"/>
        <v>55.467689453703045</v>
      </c>
      <c r="L23" s="1">
        <f t="shared" si="8"/>
        <v>89.638181248947447</v>
      </c>
    </row>
    <row r="24" spans="2:12" x14ac:dyDescent="0.15">
      <c r="B24" s="1">
        <v>80</v>
      </c>
      <c r="C24" s="1">
        <f t="shared" si="1"/>
        <v>502.6548245743669</v>
      </c>
      <c r="D24" s="73" t="str">
        <f>IMPRODUCT(COMPLEX(1/(Calculations!$B$136*(Rcs+(Calculations!$B$135/1000))),0),IMDIV(COMPLEX(1,0),COMPLEX(1,(C24*Lm)/(Rcs+(Calculations!$B$135/1000)))))</f>
        <v>366.207229745055-33.2752463415084i</v>
      </c>
      <c r="E24" s="1">
        <f t="shared" si="2"/>
        <v>51.310247990578823</v>
      </c>
      <c r="F24" s="1">
        <f t="shared" si="3"/>
        <v>-5.1918964446156428</v>
      </c>
      <c r="G24" s="1" t="str">
        <f t="shared" si="0"/>
        <v>-0.117635443694394+1.40705506539146i</v>
      </c>
      <c r="H24" s="1">
        <f t="shared" si="4"/>
        <v>2.9964718625155355</v>
      </c>
      <c r="I24" s="1">
        <f t="shared" si="5"/>
        <v>94.779042936463355</v>
      </c>
      <c r="J24" s="1" t="str">
        <f t="shared" si="6"/>
        <v>3.74115396181362+519.188085963177i</v>
      </c>
      <c r="K24" s="1">
        <f t="shared" si="7"/>
        <v>54.30671985309435</v>
      </c>
      <c r="L24" s="1">
        <f t="shared" si="8"/>
        <v>89.587146491847719</v>
      </c>
    </row>
    <row r="25" spans="2:12" x14ac:dyDescent="0.15">
      <c r="B25" s="1">
        <v>90</v>
      </c>
      <c r="C25" s="1">
        <f t="shared" si="1"/>
        <v>565.48667764616278</v>
      </c>
      <c r="D25" s="73" t="str">
        <f>IMPRODUCT(COMPLEX(1/(Calculations!$B$136*(Rcs+(Calculations!$B$135/1000))),0),IMDIV(COMPLEX(1,0),COMPLEX(1,(C25*Lm)/(Rcs+(Calculations!$B$135/1000)))))</f>
        <v>365.412407530715-37.353403347484i</v>
      </c>
      <c r="E25" s="1">
        <f t="shared" si="2"/>
        <v>51.300811747482122</v>
      </c>
      <c r="F25" s="1">
        <f t="shared" si="3"/>
        <v>-5.8366494770724833</v>
      </c>
      <c r="G25" s="1" t="str">
        <f t="shared" si="0"/>
        <v>-0.117635421850891+1.25073883634317i</v>
      </c>
      <c r="H25" s="1">
        <f t="shared" si="4"/>
        <v>1.9815811194374902</v>
      </c>
      <c r="I25" s="1">
        <f t="shared" si="5"/>
        <v>95.373019488509073</v>
      </c>
      <c r="J25" s="1" t="str">
        <f t="shared" si="6"/>
        <v>3.73390952686385+461.42957274067i</v>
      </c>
      <c r="K25" s="1">
        <f t="shared" si="7"/>
        <v>53.282392866919601</v>
      </c>
      <c r="L25" s="1">
        <f t="shared" si="8"/>
        <v>89.536370011436603</v>
      </c>
    </row>
    <row r="26" spans="2:12" x14ac:dyDescent="0.15">
      <c r="B26" s="1">
        <v>100</v>
      </c>
      <c r="C26" s="1">
        <f t="shared" si="1"/>
        <v>628.31853071795865</v>
      </c>
      <c r="D26" s="73" t="str">
        <f>IMPRODUCT(COMPLEX(1/(Calculations!$B$136*(Rcs+(Calculations!$B$135/1000))),0),IMDIV(COMPLEX(1,0),COMPLEX(1,(C26*Lm)/(Rcs+(Calculations!$B$135/1000)))))</f>
        <v>364.528149864741-41.403346930125i</v>
      </c>
      <c r="E26" s="1">
        <f t="shared" si="2"/>
        <v>51.290289564302178</v>
      </c>
      <c r="F26" s="1">
        <f t="shared" si="3"/>
        <v>-6.4799226353771768</v>
      </c>
      <c r="G26" s="1" t="str">
        <f t="shared" si="0"/>
        <v>-0.117635397437574+1.12568831196545i</v>
      </c>
      <c r="H26" s="1">
        <f t="shared" si="4"/>
        <v>1.0755328702682743</v>
      </c>
      <c r="I26" s="1">
        <f t="shared" si="5"/>
        <v>95.965804768594481</v>
      </c>
      <c r="J26" s="1" t="str">
        <f t="shared" si="6"/>
        <v>3.72584992896996+415.2155768565i</v>
      </c>
      <c r="K26" s="1">
        <f t="shared" si="7"/>
        <v>52.365822434570461</v>
      </c>
      <c r="L26" s="1">
        <f t="shared" si="8"/>
        <v>89.485882133217316</v>
      </c>
    </row>
    <row r="27" spans="2:12" x14ac:dyDescent="0.15">
      <c r="B27" s="1">
        <v>200</v>
      </c>
      <c r="C27" s="1">
        <f t="shared" si="1"/>
        <v>1256.6370614359173</v>
      </c>
      <c r="D27" s="73" t="str">
        <f>IMPRODUCT(COMPLEX(1/(Calculations!$B$136*(Rcs+(Calculations!$B$135/1000))),0),IMDIV(COMPLEX(1,0),COMPLEX(1,(C27*Lm)/(Rcs+(Calculations!$B$135/1000)))))</f>
        <v>351.112566241239-79.759192243488i</v>
      </c>
      <c r="E27" s="1">
        <f t="shared" si="2"/>
        <v>51.127442581158924</v>
      </c>
      <c r="F27" s="1">
        <f t="shared" si="3"/>
        <v>-12.79819599264974</v>
      </c>
      <c r="G27" s="1" t="str">
        <f t="shared" si="0"/>
        <v>-0.117635011965487+0.563028570523718i</v>
      </c>
      <c r="H27" s="1">
        <f t="shared" si="4"/>
        <v>-4.8038308097981437</v>
      </c>
      <c r="I27" s="1">
        <f t="shared" si="5"/>
        <v>101.80119109181959</v>
      </c>
      <c r="J27" s="1" t="str">
        <f t="shared" si="6"/>
        <v>3.60357306395647+207.068879797639i</v>
      </c>
      <c r="K27" s="1">
        <f t="shared" si="7"/>
        <v>46.323611771360767</v>
      </c>
      <c r="L27" s="1">
        <f t="shared" si="8"/>
        <v>89.002995099169837</v>
      </c>
    </row>
    <row r="28" spans="2:12" x14ac:dyDescent="0.15">
      <c r="B28" s="1">
        <v>300</v>
      </c>
      <c r="C28" s="1">
        <f t="shared" si="1"/>
        <v>1884.9555921538758</v>
      </c>
      <c r="D28" s="73" t="str">
        <f>IMPRODUCT(COMPLEX(1/(Calculations!$B$136*(Rcs+(Calculations!$B$135/1000))),0),IMDIV(COMPLEX(1,0),COMPLEX(1,(C28*Lm)/(Rcs+(Calculations!$B$135/1000)))))</f>
        <v>330.820790938148-112.724528824395i</v>
      </c>
      <c r="E28" s="1">
        <f t="shared" si="2"/>
        <v>50.868906807073373</v>
      </c>
      <c r="F28" s="1">
        <f t="shared" si="3"/>
        <v>-18.816131350201932</v>
      </c>
      <c r="G28" s="1" t="str">
        <f t="shared" si="0"/>
        <v>-0.117634369517625+0.375557283604201i</v>
      </c>
      <c r="H28" s="1">
        <f t="shared" si="4"/>
        <v>-8.1000152464728874</v>
      </c>
      <c r="I28" s="1">
        <f t="shared" si="5"/>
        <v>107.39192162263257</v>
      </c>
      <c r="J28" s="1" t="str">
        <f t="shared" si="6"/>
        <v>3.41862267552217+137.502436481953i</v>
      </c>
      <c r="K28" s="1">
        <f t="shared" si="7"/>
        <v>42.768891560600473</v>
      </c>
      <c r="L28" s="1">
        <f t="shared" si="8"/>
        <v>88.575790272430652</v>
      </c>
    </row>
    <row r="29" spans="2:12" x14ac:dyDescent="0.15">
      <c r="B29" s="1">
        <v>400</v>
      </c>
      <c r="C29" s="1">
        <f t="shared" si="1"/>
        <v>2513.2741228718346</v>
      </c>
      <c r="D29" s="73" t="str">
        <f>IMPRODUCT(COMPLEX(1/(Calculations!$B$136*(Rcs+(Calculations!$B$135/1000))),0),IMDIV(COMPLEX(1,0),COMPLEX(1,(C29*Lm)/(Rcs+(Calculations!$B$135/1000)))))</f>
        <v>306.057691299312-139.048935213375i</v>
      </c>
      <c r="E29" s="1">
        <f t="shared" si="2"/>
        <v>50.531011829600857</v>
      </c>
      <c r="F29" s="1">
        <f t="shared" si="3"/>
        <v>-24.433373095750845</v>
      </c>
      <c r="G29" s="1" t="str">
        <f t="shared" si="0"/>
        <v>-0.117633470102407+0.281883108300971i</v>
      </c>
      <c r="H29" s="1">
        <f t="shared" si="4"/>
        <v>-10.301382791726832</v>
      </c>
      <c r="I29" s="1">
        <f t="shared" si="5"/>
        <v>112.6514090676655</v>
      </c>
      <c r="J29" s="1" t="str">
        <f t="shared" si="6"/>
        <v>3.19291778481715+102.629302106063i</v>
      </c>
      <c r="K29" s="1">
        <f t="shared" si="7"/>
        <v>40.229629037874012</v>
      </c>
      <c r="L29" s="1">
        <f t="shared" si="8"/>
        <v>88.218035971914659</v>
      </c>
    </row>
    <row r="30" spans="2:12" x14ac:dyDescent="0.15">
      <c r="B30" s="1">
        <v>500</v>
      </c>
      <c r="C30" s="1">
        <f t="shared" si="1"/>
        <v>3141.5926535897929</v>
      </c>
      <c r="D30" s="73" t="str">
        <f>IMPRODUCT(COMPLEX(1/(Calculations!$B$136*(Rcs+(Calculations!$B$135/1000))),0),IMDIV(COMPLEX(1,0),COMPLEX(1,(C30*Lm)/(Rcs+(Calculations!$B$135/1000)))))</f>
        <v>279.188522071455-158.552079483057i</v>
      </c>
      <c r="E30" s="1">
        <f t="shared" si="2"/>
        <v>50.131954447809903</v>
      </c>
      <c r="F30" s="1">
        <f t="shared" si="3"/>
        <v>-29.592385294176545</v>
      </c>
      <c r="G30" s="1" t="str">
        <f t="shared" si="0"/>
        <v>-0.11763231373162+0.225727775388352i</v>
      </c>
      <c r="H30" s="1">
        <f t="shared" si="4"/>
        <v>-11.884894070855861</v>
      </c>
      <c r="I30" s="1">
        <f t="shared" si="5"/>
        <v>117.52513179904075</v>
      </c>
      <c r="J30" s="1" t="str">
        <f t="shared" si="6"/>
        <v>2.94801636633092+81.6714519577031i</v>
      </c>
      <c r="K30" s="1">
        <f t="shared" si="7"/>
        <v>38.247060376954046</v>
      </c>
      <c r="L30" s="1">
        <f t="shared" si="8"/>
        <v>87.932746504864227</v>
      </c>
    </row>
    <row r="31" spans="2:12" x14ac:dyDescent="0.15">
      <c r="B31" s="1">
        <v>600</v>
      </c>
      <c r="C31" s="1">
        <f t="shared" si="1"/>
        <v>3769.9111843077517</v>
      </c>
      <c r="D31" s="73" t="str">
        <f>IMPRODUCT(COMPLEX(1/(Calculations!$B$136*(Rcs+(Calculations!$B$135/1000))),0),IMDIV(COMPLEX(1,0),COMPLEX(1,(C31*Lm)/(Rcs+(Calculations!$B$135/1000)))))</f>
        <v>252.134412718507-171.825554213266i</v>
      </c>
      <c r="E31" s="1">
        <f t="shared" si="2"/>
        <v>49.689300097368758</v>
      </c>
      <c r="F31" s="1">
        <f t="shared" si="3"/>
        <v>-34.273801914058431</v>
      </c>
      <c r="G31" s="1" t="str">
        <f t="shared" si="0"/>
        <v>-0.117630900420422+0.188331861254107i</v>
      </c>
      <c r="H31" s="1">
        <f t="shared" si="4"/>
        <v>-13.071009447546309</v>
      </c>
      <c r="I31" s="1">
        <f t="shared" si="5"/>
        <v>121.98864139265082</v>
      </c>
      <c r="J31" s="1" t="str">
        <f t="shared" si="6"/>
        <v>2.70142844095058+67.6969378908321i</v>
      </c>
      <c r="K31" s="1">
        <f t="shared" si="7"/>
        <v>36.618290649822441</v>
      </c>
      <c r="L31" s="1">
        <f t="shared" si="8"/>
        <v>87.714839478592395</v>
      </c>
    </row>
    <row r="32" spans="2:12" x14ac:dyDescent="0.15">
      <c r="B32" s="1">
        <v>700</v>
      </c>
      <c r="C32" s="1">
        <f t="shared" si="1"/>
        <v>4398.22971502571</v>
      </c>
      <c r="D32" s="73" t="str">
        <f>IMPRODUCT(COMPLEX(1/(Calculations!$B$136*(Rcs+(Calculations!$B$135/1000))),0),IMDIV(COMPLEX(1,0),COMPLEX(1,(C32*Lm)/(Rcs+(Calculations!$B$135/1000)))))</f>
        <v>226.226639178283-179.864792915089i</v>
      </c>
      <c r="E32" s="1">
        <f t="shared" si="2"/>
        <v>49.21841628748102</v>
      </c>
      <c r="F32" s="1">
        <f t="shared" si="3"/>
        <v>-38.486967382384705</v>
      </c>
      <c r="G32" s="1" t="str">
        <f t="shared" si="0"/>
        <v>-0.117629230187335+0.161655612461332i</v>
      </c>
      <c r="H32" s="1">
        <f t="shared" si="4"/>
        <v>-13.982748394065636</v>
      </c>
      <c r="I32" s="1">
        <f t="shared" si="5"/>
        <v>126.04163034614822</v>
      </c>
      <c r="J32" s="1" t="str">
        <f t="shared" si="6"/>
        <v>2.46528784450993+57.7281630398405i</v>
      </c>
      <c r="K32" s="1">
        <f t="shared" si="7"/>
        <v>35.235667893415396</v>
      </c>
      <c r="L32" s="1">
        <f t="shared" si="8"/>
        <v>87.554662963763519</v>
      </c>
    </row>
    <row r="33" spans="2:12" x14ac:dyDescent="0.15">
      <c r="B33" s="1">
        <v>800</v>
      </c>
      <c r="C33" s="1">
        <f t="shared" si="1"/>
        <v>5026.5482457436692</v>
      </c>
      <c r="D33" s="73" t="str">
        <f>IMPRODUCT(COMPLEX(1/(Calculations!$B$136*(Rcs+(Calculations!$B$135/1000))),0),IMDIV(COMPLEX(1,0),COMPLEX(1,(C33*Lm)/(Rcs+(Calculations!$B$135/1000)))))</f>
        <v>202.247724699079-183.771436354672i</v>
      </c>
      <c r="E33" s="1">
        <f t="shared" si="2"/>
        <v>48.731815295375192</v>
      </c>
      <c r="F33" s="1">
        <f t="shared" si="3"/>
        <v>-42.259705847696146</v>
      </c>
      <c r="G33" s="1" t="str">
        <f t="shared" si="0"/>
        <v>-0.117627303054249+0.141679151888947i</v>
      </c>
      <c r="H33" s="1">
        <f t="shared" si="4"/>
        <v>-14.696829107782367</v>
      </c>
      <c r="I33" s="1">
        <f t="shared" si="5"/>
        <v>129.70071936675993</v>
      </c>
      <c r="J33" s="1" t="str">
        <f t="shared" si="6"/>
        <v>2.24672683893265+50.2708245436404i</v>
      </c>
      <c r="K33" s="1">
        <f t="shared" si="7"/>
        <v>34.034986187592835</v>
      </c>
      <c r="L33" s="1">
        <f t="shared" si="8"/>
        <v>87.441013519063787</v>
      </c>
    </row>
    <row r="34" spans="2:12" x14ac:dyDescent="0.15">
      <c r="B34" s="1">
        <v>900</v>
      </c>
      <c r="C34" s="1">
        <f t="shared" si="1"/>
        <v>5654.8667764616275</v>
      </c>
      <c r="D34" s="73" t="str">
        <f>IMPRODUCT(COMPLEX(1/(Calculations!$B$136*(Rcs+(Calculations!$B$135/1000))),0),IMDIV(COMPLEX(1,0),COMPLEX(1,(C34*Lm)/(Rcs+(Calculations!$B$135/1000)))))</f>
        <v>180.557726538478-184.57078763341i</v>
      </c>
      <c r="E34" s="1">
        <f t="shared" si="2"/>
        <v>48.239139628286985</v>
      </c>
      <c r="F34" s="1">
        <f t="shared" si="3"/>
        <v>-45.629702137707604</v>
      </c>
      <c r="G34" s="1" t="str">
        <f t="shared" si="0"/>
        <v>-0.117625119046419+0.126169214111869i</v>
      </c>
      <c r="H34" s="1">
        <f t="shared" si="4"/>
        <v>-15.264496900359848</v>
      </c>
      <c r="I34" s="1">
        <f t="shared" si="5"/>
        <v>132.99281507893298</v>
      </c>
      <c r="J34" s="1" t="str">
        <f t="shared" si="6"/>
        <v>2.04902714487676+44.4909873270567i</v>
      </c>
      <c r="K34" s="1">
        <f t="shared" si="7"/>
        <v>32.974642727927147</v>
      </c>
      <c r="L34" s="1">
        <f t="shared" si="8"/>
        <v>87.363112941225396</v>
      </c>
    </row>
    <row r="35" spans="2:12" x14ac:dyDescent="0.15">
      <c r="B35" s="1">
        <v>1000</v>
      </c>
      <c r="C35" s="1">
        <f t="shared" si="1"/>
        <v>6283.1853071795858</v>
      </c>
      <c r="D35" s="73" t="str">
        <f>IMPRODUCT(COMPLEX(1/(Calculations!$B$136*(Rcs+(Calculations!$B$135/1000))),0),IMDIV(COMPLEX(1,0),COMPLEX(1,(C35*Lm)/(Rcs+(Calculations!$B$135/1000)))))</f>
        <v>161.232160470872-183.128547925477i</v>
      </c>
      <c r="E35" s="1">
        <f t="shared" si="2"/>
        <v>47.747495585300932</v>
      </c>
      <c r="F35" s="1">
        <f t="shared" si="3"/>
        <v>-48.638289298201457</v>
      </c>
      <c r="G35" s="1" t="str">
        <f t="shared" si="0"/>
        <v>-0.117622678192463+0.113785839553095i</v>
      </c>
      <c r="H35" s="1">
        <f t="shared" si="4"/>
        <v>-15.721519396957159</v>
      </c>
      <c r="I35" s="1">
        <f t="shared" si="5"/>
        <v>135.94989813407162</v>
      </c>
      <c r="J35" s="1" t="str">
        <f t="shared" si="6"/>
        <v>1.87287704649866+39.8860070026289i</v>
      </c>
      <c r="K35" s="1">
        <f t="shared" si="7"/>
        <v>32.025976188343769</v>
      </c>
      <c r="L35" s="1">
        <f t="shared" si="8"/>
        <v>87.311608835870189</v>
      </c>
    </row>
    <row r="36" spans="2:12" x14ac:dyDescent="0.15">
      <c r="B36" s="1">
        <v>2000</v>
      </c>
      <c r="C36" s="1">
        <f t="shared" si="1"/>
        <v>12566.370614359172</v>
      </c>
      <c r="D36" s="73" t="str">
        <f>IMPRODUCT(COMPLEX(1/(Calculations!$B$136*(Rcs+(Calculations!$B$135/1000))),0),IMDIV(COMPLEX(1,0),COMPLEX(1,(C36*Lm)/(Rcs+(Calculations!$B$135/1000)))))</f>
        <v>59.9378579918145-136.155626368194i</v>
      </c>
      <c r="E36" s="1">
        <f t="shared" si="2"/>
        <v>43.449991035089141</v>
      </c>
      <c r="F36" s="1">
        <f t="shared" si="3"/>
        <v>-66.240147390567344</v>
      </c>
      <c r="G36" s="1" t="str">
        <f t="shared" si="0"/>
        <v>-0.117584151816059+0.0587360685493158i</v>
      </c>
      <c r="H36" s="1">
        <f t="shared" si="4"/>
        <v>-17.625578477035006</v>
      </c>
      <c r="I36" s="1">
        <f t="shared" si="5"/>
        <v>153.45678575645775</v>
      </c>
      <c r="J36" s="1" t="str">
        <f t="shared" si="6"/>
        <v>0.949504010098371+19.5302579771947i</v>
      </c>
      <c r="K36" s="1">
        <f t="shared" si="7"/>
        <v>25.824412558054139</v>
      </c>
      <c r="L36" s="1">
        <f t="shared" si="8"/>
        <v>87.216638365890404</v>
      </c>
    </row>
    <row r="37" spans="2:12" x14ac:dyDescent="0.15">
      <c r="B37" s="1">
        <v>3000</v>
      </c>
      <c r="C37" s="1">
        <f t="shared" si="1"/>
        <v>18849.555921538758</v>
      </c>
      <c r="D37" s="73" t="str">
        <f>IMPRODUCT(COMPLEX(1/(Calculations!$B$136*(Rcs+(Calculations!$B$135/1000))),0),IMDIV(COMPLEX(1,0),COMPLEX(1,(C37*Lm)/(Rcs+(Calculations!$B$135/1000)))))</f>
        <v>29.2796083041986-99.7679148548647i</v>
      </c>
      <c r="E37" s="1">
        <f t="shared" si="2"/>
        <v>40.338631476032248</v>
      </c>
      <c r="F37" s="1">
        <f t="shared" si="3"/>
        <v>-73.64423886080391</v>
      </c>
      <c r="G37" s="1" t="str">
        <f t="shared" si="0"/>
        <v>-0.117519997242606+0.041203534322941i</v>
      </c>
      <c r="H37" s="1">
        <f t="shared" si="4"/>
        <v>-18.094251371956044</v>
      </c>
      <c r="I37" s="1">
        <f t="shared" si="5"/>
        <v>160.67888942316881</v>
      </c>
      <c r="J37" s="1" t="str">
        <f t="shared" si="6"/>
        <v>0.669851216876669+12.9311484243686i</v>
      </c>
      <c r="K37" s="1">
        <f t="shared" si="7"/>
        <v>22.244380104076228</v>
      </c>
      <c r="L37" s="1">
        <f t="shared" si="8"/>
        <v>87.034650562364931</v>
      </c>
    </row>
    <row r="38" spans="2:12" x14ac:dyDescent="0.15">
      <c r="B38" s="1">
        <v>4000</v>
      </c>
      <c r="C38" s="1">
        <f t="shared" si="1"/>
        <v>25132.741228718343</v>
      </c>
      <c r="D38" s="73" t="str">
        <f>IMPRODUCT(COMPLEX(1/(Calculations!$B$136*(Rcs+(Calculations!$B$135/1000))),0),IMDIV(COMPLEX(1,0),COMPLEX(1,(C38*Lm)/(Rcs+(Calculations!$B$135/1000)))))</f>
        <v>17.0617063263128-77.5151928881597i</v>
      </c>
      <c r="E38" s="1">
        <f t="shared" si="2"/>
        <v>37.993203474831944</v>
      </c>
      <c r="F38" s="1">
        <f t="shared" si="3"/>
        <v>-77.586684795950404</v>
      </c>
      <c r="G38" s="1" t="str">
        <f t="shared" si="0"/>
        <v>-0.117430298360405+0.033048302631661i</v>
      </c>
      <c r="H38" s="1">
        <f t="shared" si="4"/>
        <v>-18.273367947712238</v>
      </c>
      <c r="I38" s="1">
        <f t="shared" si="5"/>
        <v>164.28185340209458</v>
      </c>
      <c r="J38" s="1" t="str">
        <f t="shared" si="6"/>
        <v>0.558184288682956+9.66649266240545i</v>
      </c>
      <c r="K38" s="1">
        <f t="shared" si="7"/>
        <v>19.719835527119702</v>
      </c>
      <c r="L38" s="1">
        <f t="shared" si="8"/>
        <v>86.695168606144193</v>
      </c>
    </row>
    <row r="39" spans="2:12" x14ac:dyDescent="0.15">
      <c r="B39" s="1">
        <v>5000</v>
      </c>
      <c r="C39" s="1">
        <f t="shared" si="1"/>
        <v>31415.926535897932</v>
      </c>
      <c r="D39" s="73" t="str">
        <f>IMPRODUCT(COMPLEX(1/(Calculations!$B$136*(Rcs+(Calculations!$B$135/1000))),0),IMDIV(COMPLEX(1,0),COMPLEX(1,(C39*Lm)/(Rcs+(Calculations!$B$135/1000)))))</f>
        <v>11.1042124401888-63.0611874854566i</v>
      </c>
      <c r="E39" s="1">
        <f t="shared" si="2"/>
        <v>36.127856469618727</v>
      </c>
      <c r="F39" s="1">
        <f t="shared" si="3"/>
        <v>-80.013373607633923</v>
      </c>
      <c r="G39" s="1" t="str">
        <f t="shared" si="0"/>
        <v>-0.117315172229229+0.0286417518415474i</v>
      </c>
      <c r="H39" s="1">
        <f t="shared" si="4"/>
        <v>-18.361471804687085</v>
      </c>
      <c r="I39" s="1">
        <f t="shared" si="5"/>
        <v>166.27999649441304</v>
      </c>
      <c r="J39" s="1" t="str">
        <f t="shared" si="6"/>
        <v>0.503490287901046+7.71607816794375i</v>
      </c>
      <c r="K39" s="1">
        <f t="shared" si="7"/>
        <v>17.766384664931639</v>
      </c>
      <c r="L39" s="1">
        <f t="shared" si="8"/>
        <v>86.266622886779146</v>
      </c>
    </row>
    <row r="40" spans="2:12" x14ac:dyDescent="0.15">
      <c r="B40" s="1">
        <v>6000</v>
      </c>
      <c r="C40" s="1">
        <f t="shared" si="1"/>
        <v>37699.111843077517</v>
      </c>
      <c r="D40" s="73" t="str">
        <f>IMPRODUCT(COMPLEX(1/(Calculations!$B$136*(Rcs+(Calculations!$B$135/1000))),0),IMDIV(COMPLEX(1,0),COMPLEX(1,(C40*Lm)/(Rcs+(Calculations!$B$135/1000)))))</f>
        <v>7.78277651718225-53.0383724285915i</v>
      </c>
      <c r="E40" s="1">
        <f t="shared" si="2"/>
        <v>34.584324449087553</v>
      </c>
      <c r="F40" s="1">
        <f t="shared" si="3"/>
        <v>-81.652073771038275</v>
      </c>
      <c r="G40" s="1" t="str">
        <f t="shared" ref="G40:G62" si="11">IMPRODUCT(COMPLEX(-(gm*Acs*Rcs)/(IL_Comp_Ccomp+IL_Comp_Chf),0),IMDIV(COMPLEX(1,C40*IL_Comp_Rcomp*IL_Comp_Ccomp),IMPRODUCT(COMPLEX(0,C40),COMPLEX(1,C40*IL_Comp_Rcomp*((IL_Comp_Ccomp*IL_Comp_Chf)/(IL_Comp_Ccomp+IL_Comp_Chf))))))</f>
        <v>-0.117174768699285+0.0261071518298908i</v>
      </c>
      <c r="H40" s="1">
        <f t="shared" si="4"/>
        <v>-18.412905187073399</v>
      </c>
      <c r="I40" s="1">
        <f t="shared" si="5"/>
        <v>167.43936403467035</v>
      </c>
      <c r="J40" s="1" t="str">
        <f t="shared" si="6"/>
        <v>0.472735803564475+6.41794514969893i</v>
      </c>
      <c r="K40" s="1">
        <f t="shared" si="7"/>
        <v>16.171419262014155</v>
      </c>
      <c r="L40" s="1">
        <f t="shared" si="8"/>
        <v>85.787290263632102</v>
      </c>
    </row>
    <row r="41" spans="2:12" x14ac:dyDescent="0.15">
      <c r="B41" s="1">
        <v>7000</v>
      </c>
      <c r="C41" s="1">
        <f t="shared" si="1"/>
        <v>43982.297150257102</v>
      </c>
      <c r="D41" s="73" t="str">
        <f>IMPRODUCT(COMPLEX(1/(Calculations!$B$136*(Rcs+(Calculations!$B$135/1000))),0),IMDIV(COMPLEX(1,0),COMPLEX(1,(C41*Lm)/(Rcs+(Calculations!$B$135/1000)))))</f>
        <v>5.75011413849832-45.717122108863i</v>
      </c>
      <c r="E41" s="1">
        <f t="shared" si="2"/>
        <v>33.269743504936862</v>
      </c>
      <c r="F41" s="1">
        <f t="shared" si="3"/>
        <v>-82.831213561251147</v>
      </c>
      <c r="G41" s="1" t="str">
        <f t="shared" si="11"/>
        <v>-0.11700926992528+0.0246397481193424i</v>
      </c>
      <c r="H41" s="1">
        <f t="shared" si="4"/>
        <v>-18.44716007014264</v>
      </c>
      <c r="I41" s="1">
        <f t="shared" si="5"/>
        <v>168.10842663553532</v>
      </c>
      <c r="J41" s="1" t="str">
        <f t="shared" si="6"/>
        <v>0.453641716170885+5.49100844507301i</v>
      </c>
      <c r="K41" s="1">
        <f t="shared" si="7"/>
        <v>14.822583434794232</v>
      </c>
      <c r="L41" s="1">
        <f t="shared" si="8"/>
        <v>85.277213074284191</v>
      </c>
    </row>
    <row r="42" spans="2:12" x14ac:dyDescent="0.15">
      <c r="B42" s="1">
        <v>8000</v>
      </c>
      <c r="C42" s="1">
        <f t="shared" si="1"/>
        <v>50265.482457436687</v>
      </c>
      <c r="D42" s="73" t="str">
        <f>IMPRODUCT(COMPLEX(1/(Calculations!$B$136*(Rcs+(Calculations!$B$135/1000))),0),IMDIV(COMPLEX(1,0),COMPLEX(1,(C42*Lm)/(Rcs+(Calculations!$B$135/1000)))))</f>
        <v>4.41855876541152-40.1490247737208i</v>
      </c>
      <c r="E42" s="1">
        <f t="shared" si="2"/>
        <v>32.125785204136839</v>
      </c>
      <c r="F42" s="1">
        <f t="shared" si="3"/>
        <v>-83.719647375662532</v>
      </c>
      <c r="G42" s="1" t="str">
        <f t="shared" si="11"/>
        <v>-0.11681888977853+0.0238367841309175i</v>
      </c>
      <c r="H42" s="1">
        <f t="shared" si="4"/>
        <v>-18.472578627732595</v>
      </c>
      <c r="I42" s="1">
        <f t="shared" si="5"/>
        <v>168.4671712563686</v>
      </c>
      <c r="J42" s="1" t="str">
        <f t="shared" si="6"/>
        <v>0.440852507201476+4.79548873121765i</v>
      </c>
      <c r="K42" s="1">
        <f t="shared" si="7"/>
        <v>13.653206576404246</v>
      </c>
      <c r="L42" s="1">
        <f t="shared" si="8"/>
        <v>84.747523880706055</v>
      </c>
    </row>
    <row r="43" spans="2:12" x14ac:dyDescent="0.15">
      <c r="B43" s="1">
        <v>9000</v>
      </c>
      <c r="C43" s="1">
        <f t="shared" si="1"/>
        <v>56548.667764616279</v>
      </c>
      <c r="D43" s="73" t="str">
        <f>IMPRODUCT(COMPLEX(1/(Calculations!$B$136*(Rcs+(Calculations!$B$135/1000))),0),IMDIV(COMPLEX(1,0),COMPLEX(1,(C43*Lm)/(Rcs+(Calculations!$B$135/1000)))))</f>
        <v>3.49999744197928-35.77788095617i</v>
      </c>
      <c r="E43" s="1">
        <f t="shared" si="2"/>
        <v>31.113656120091147</v>
      </c>
      <c r="F43" s="1">
        <f t="shared" si="3"/>
        <v>-84.412776104330575</v>
      </c>
      <c r="G43" s="1" t="str">
        <f t="shared" si="11"/>
        <v>-0.116603873160634+0.0234741763148438i</v>
      </c>
      <c r="H43" s="1">
        <f t="shared" si="4"/>
        <v>-18.493202915686343</v>
      </c>
      <c r="I43" s="1">
        <f t="shared" si="5"/>
        <v>168.61760785663651</v>
      </c>
      <c r="J43" s="1" t="str">
        <f t="shared" si="6"/>
        <v>0.431743027949531+4.25399905002403i</v>
      </c>
      <c r="K43" s="1">
        <f t="shared" si="7"/>
        <v>12.620453204404797</v>
      </c>
      <c r="L43" s="1">
        <f t="shared" si="8"/>
        <v>84.20483175230595</v>
      </c>
    </row>
    <row r="44" spans="2:12" x14ac:dyDescent="0.15">
      <c r="B44" s="1">
        <v>10000</v>
      </c>
      <c r="C44" s="1">
        <f t="shared" si="1"/>
        <v>62831.853071795864</v>
      </c>
      <c r="D44" s="73" t="str">
        <f>IMPRODUCT(COMPLEX(1/(Calculations!$B$136*(Rcs+(Calculations!$B$135/1000))),0),IMDIV(COMPLEX(1,0),COMPLEX(1,(C44*Lm)/(Rcs+(Calculations!$B$135/1000)))))</f>
        <v>2.84011308627115-32.2581911644696i</v>
      </c>
      <c r="E44" s="1">
        <f t="shared" si="2"/>
        <v>30.206335179910543</v>
      </c>
      <c r="F44" s="1">
        <f t="shared" si="3"/>
        <v>-84.968472544019519</v>
      </c>
      <c r="G44" s="1" t="str">
        <f t="shared" si="11"/>
        <v>-0.116364495222792+0.0234171851057011i</v>
      </c>
      <c r="H44" s="1">
        <f t="shared" si="4"/>
        <v>-18.511179719162772</v>
      </c>
      <c r="I44" s="1">
        <f t="shared" si="5"/>
        <v>168.62177244420891</v>
      </c>
      <c r="J44" s="1" t="str">
        <f t="shared" si="6"/>
        <v>0.424907708013888+3.82021558551617i</v>
      </c>
      <c r="K44" s="1">
        <f t="shared" si="7"/>
        <v>11.69515546074777</v>
      </c>
      <c r="L44" s="1">
        <f t="shared" si="8"/>
        <v>83.653299900189396</v>
      </c>
    </row>
    <row r="45" spans="2:12" x14ac:dyDescent="0.15">
      <c r="B45" s="1">
        <v>20000</v>
      </c>
      <c r="C45" s="1">
        <f t="shared" si="1"/>
        <v>125663.70614359173</v>
      </c>
      <c r="D45" s="73" t="str">
        <f>IMPRODUCT(COMPLEX(1/(Calculations!$B$136*(Rcs+(Calculations!$B$135/1000))),0),IMDIV(COMPLEX(1,0),COMPLEX(1,(C45*Lm)/(Rcs+(Calculations!$B$135/1000)))))</f>
        <v>0.714148177913604-16.2226839165341i</v>
      </c>
      <c r="E45" s="1">
        <f t="shared" si="2"/>
        <v>24.210862175361015</v>
      </c>
      <c r="F45" s="1">
        <f t="shared" si="3"/>
        <v>-87.479376655932839</v>
      </c>
      <c r="G45" s="1" t="str">
        <f t="shared" si="11"/>
        <v>-0.112711028047144+0.0291872245181098i</v>
      </c>
      <c r="H45" s="1">
        <f t="shared" si="4"/>
        <v>-18.678790148061097</v>
      </c>
      <c r="I45" s="1">
        <f t="shared" si="5"/>
        <v>165.48181413238098</v>
      </c>
      <c r="J45" s="1" t="str">
        <f t="shared" si="6"/>
        <v>0.393002742447572+1.84931938512439i</v>
      </c>
      <c r="K45" s="1">
        <f t="shared" si="7"/>
        <v>5.5320720272999155</v>
      </c>
      <c r="L45" s="1">
        <f t="shared" si="8"/>
        <v>78.002437476448151</v>
      </c>
    </row>
    <row r="46" spans="2:12" x14ac:dyDescent="0.15">
      <c r="B46" s="1">
        <v>30000</v>
      </c>
      <c r="C46" s="1">
        <f t="shared" si="1"/>
        <v>188495.55921538759</v>
      </c>
      <c r="D46" s="73" t="str">
        <f>IMPRODUCT(COMPLEX(1/(Calculations!$B$136*(Rcs+(Calculations!$B$135/1000))),0),IMDIV(COMPLEX(1,0),COMPLEX(1,(C46*Lm)/(Rcs+(Calculations!$B$135/1000)))))</f>
        <v>0.317740611529198-10.8267562692879i</v>
      </c>
      <c r="E46" s="1">
        <f t="shared" si="2"/>
        <v>20.693706121270495</v>
      </c>
      <c r="F46" s="1">
        <f t="shared" si="3"/>
        <v>-88.318982008631139</v>
      </c>
      <c r="G46" s="1" t="str">
        <f t="shared" si="11"/>
        <v>-0.10710637429596+0.037333713811827i</v>
      </c>
      <c r="H46" s="1">
        <f t="shared" si="4"/>
        <v>-18.905705762824486</v>
      </c>
      <c r="I46" s="1">
        <f t="shared" si="5"/>
        <v>160.78314717400769</v>
      </c>
      <c r="J46" s="1" t="str">
        <f t="shared" si="6"/>
        <v>0.370170975200525+1.17147704644671i</v>
      </c>
      <c r="K46" s="1">
        <f t="shared" si="7"/>
        <v>1.7880003584460291</v>
      </c>
      <c r="L46" s="1">
        <f t="shared" si="8"/>
        <v>72.464165165376599</v>
      </c>
    </row>
    <row r="47" spans="2:12" x14ac:dyDescent="0.15">
      <c r="B47" s="1">
        <v>40000</v>
      </c>
      <c r="C47" s="1">
        <f t="shared" si="1"/>
        <v>251327.41228718346</v>
      </c>
      <c r="D47" s="73" t="str">
        <f>IMPRODUCT(COMPLEX(1/(Calculations!$B$136*(Rcs+(Calculations!$B$135/1000))),0),IMDIV(COMPLEX(1,0),COMPLEX(1,(C47*Lm)/(Rcs+(Calculations!$B$135/1000)))))</f>
        <v>0.178796408960556-8.12312547363072i</v>
      </c>
      <c r="E47" s="1">
        <f t="shared" si="2"/>
        <v>18.196566770215124</v>
      </c>
      <c r="F47" s="1">
        <f t="shared" si="3"/>
        <v>-88.739078231137967</v>
      </c>
      <c r="G47" s="1" t="str">
        <f t="shared" si="11"/>
        <v>-0.100135331452296+0.0446754443818675i</v>
      </c>
      <c r="H47" s="1">
        <f t="shared" si="4"/>
        <v>-19.199878776519444</v>
      </c>
      <c r="I47" s="1">
        <f t="shared" si="5"/>
        <v>155.95592889978093</v>
      </c>
      <c r="J47" s="1" t="str">
        <f t="shared" si="6"/>
        <v>0.345000402630375+0.821399670754796i</v>
      </c>
      <c r="K47" s="1">
        <f t="shared" si="7"/>
        <v>-1.0033120063043195</v>
      </c>
      <c r="L47" s="1">
        <f t="shared" si="8"/>
        <v>67.216850668642977</v>
      </c>
    </row>
    <row r="48" spans="2:12" x14ac:dyDescent="0.15">
      <c r="B48" s="1">
        <v>50000</v>
      </c>
      <c r="C48" s="1">
        <f t="shared" si="1"/>
        <v>314159.26535897929</v>
      </c>
      <c r="D48" s="73" t="str">
        <f>IMPRODUCT(COMPLEX(1/(Calculations!$B$136*(Rcs+(Calculations!$B$135/1000))),0),IMDIV(COMPLEX(1,0),COMPLEX(1,(C48*Lm)/(Rcs+(Calculations!$B$135/1000)))))</f>
        <v>0.114449653342105-6.49963343724476i</v>
      </c>
      <c r="E48" s="1">
        <f t="shared" si="2"/>
        <v>16.259123666416627</v>
      </c>
      <c r="F48" s="1">
        <f t="shared" si="3"/>
        <v>-88.991203958438604</v>
      </c>
      <c r="G48" s="1" t="str">
        <f t="shared" si="11"/>
        <v>-0.0924029587192135+0.0505374006926602i</v>
      </c>
      <c r="H48" s="1">
        <f t="shared" si="4"/>
        <v>-19.549769973495426</v>
      </c>
      <c r="I48" s="1">
        <f t="shared" si="5"/>
        <v>151.32469006486753</v>
      </c>
      <c r="J48" s="1" t="str">
        <f t="shared" si="6"/>
        <v>0.317899092780252+0.606369348181833i</v>
      </c>
      <c r="K48" s="1">
        <f t="shared" si="7"/>
        <v>-3.2906463070787995</v>
      </c>
      <c r="L48" s="1">
        <f t="shared" si="8"/>
        <v>62.333486106428929</v>
      </c>
    </row>
    <row r="49" spans="2:12" x14ac:dyDescent="0.15">
      <c r="B49" s="1">
        <v>60000</v>
      </c>
      <c r="C49" s="1">
        <f t="shared" si="1"/>
        <v>376991.11843077518</v>
      </c>
      <c r="D49" s="73" t="str">
        <f>IMPRODUCT(COMPLEX(1/(Calculations!$B$136*(Rcs+(Calculations!$B$135/1000))),0),IMDIV(COMPLEX(1,0),COMPLEX(1,(C49*Lm)/(Rcs+(Calculations!$B$135/1000)))))</f>
        <v>0.0794864542838156-5.41687424279213i</v>
      </c>
      <c r="E49" s="1">
        <f t="shared" si="2"/>
        <v>14.675910095613659</v>
      </c>
      <c r="F49" s="1">
        <f t="shared" si="3"/>
        <v>-89.159310089015364</v>
      </c>
      <c r="G49" s="1" t="str">
        <f t="shared" si="11"/>
        <v>-0.0844341441296188+0.0548224271133475i</v>
      </c>
      <c r="H49" s="1">
        <f t="shared" si="4"/>
        <v>-19.941923931058572</v>
      </c>
      <c r="I49" s="1">
        <f t="shared" si="5"/>
        <v>147.00465254449242</v>
      </c>
      <c r="J49" s="1" t="str">
        <f t="shared" si="6"/>
        <v>0.290254822620289+0.461726780894403i</v>
      </c>
      <c r="K49" s="1">
        <f t="shared" si="7"/>
        <v>-5.2660138354449195</v>
      </c>
      <c r="L49" s="1">
        <f t="shared" si="8"/>
        <v>57.845342455477052</v>
      </c>
    </row>
    <row r="50" spans="2:12" x14ac:dyDescent="0.15">
      <c r="B50" s="1">
        <v>70000</v>
      </c>
      <c r="C50" s="1">
        <f t="shared" si="1"/>
        <v>439822.97150257102</v>
      </c>
      <c r="D50" s="73" t="str">
        <f>IMPRODUCT(COMPLEX(1/(Calculations!$B$136*(Rcs+(Calculations!$B$135/1000))),0),IMDIV(COMPLEX(1,0),COMPLEX(1,(C50*Lm)/(Rcs+(Calculations!$B$135/1000)))))</f>
        <v>0.0584015468560024-4.64330026266162i</v>
      </c>
      <c r="E50" s="1">
        <f t="shared" si="2"/>
        <v>13.337222352998046</v>
      </c>
      <c r="F50" s="1">
        <f t="shared" si="3"/>
        <v>-89.279394928247399</v>
      </c>
      <c r="G50" s="1" t="str">
        <f t="shared" si="11"/>
        <v>-0.0766245828815318+0.0576654781615432i</v>
      </c>
      <c r="H50" s="1">
        <f t="shared" si="4"/>
        <v>-20.363710933975749</v>
      </c>
      <c r="I50" s="1">
        <f t="shared" si="5"/>
        <v>143.0359231610035</v>
      </c>
      <c r="J50" s="1" t="str">
        <f t="shared" si="6"/>
        <v>0.263283135726524+0.359158698944979i</v>
      </c>
      <c r="K50" s="1">
        <f t="shared" si="7"/>
        <v>-7.0264885809776985</v>
      </c>
      <c r="L50" s="1">
        <f t="shared" si="8"/>
        <v>53.756528232756132</v>
      </c>
    </row>
    <row r="51" spans="2:12" x14ac:dyDescent="0.15">
      <c r="B51" s="1">
        <v>80000</v>
      </c>
      <c r="C51" s="1">
        <f t="shared" si="1"/>
        <v>502654.82457436691</v>
      </c>
      <c r="D51" s="73" t="str">
        <f>IMPRODUCT(COMPLEX(1/(Calculations!$B$136*(Rcs+(Calculations!$B$135/1000))),0),IMDIV(COMPLEX(1,0),COMPLEX(1,(C51*Lm)/(Rcs+(Calculations!$B$135/1000)))))</f>
        <v>0.0447153419672326-4.06303835191979i</v>
      </c>
      <c r="E51" s="1">
        <f t="shared" si="2"/>
        <v>12.177544415014518</v>
      </c>
      <c r="F51" s="1">
        <f t="shared" si="3"/>
        <v>-89.369462770364692</v>
      </c>
      <c r="G51" s="1" t="str">
        <f t="shared" si="11"/>
        <v>-0.0692355809937563+0.0592947646465913i</v>
      </c>
      <c r="H51" s="1">
        <f t="shared" si="4"/>
        <v>-20.804285160373045</v>
      </c>
      <c r="I51" s="1">
        <f t="shared" si="5"/>
        <v>139.42257582808224</v>
      </c>
      <c r="J51" s="1" t="str">
        <f t="shared" si="6"/>
        <v>0.237821010146722+0.28395820657312i</v>
      </c>
      <c r="K51" s="1">
        <f t="shared" si="7"/>
        <v>-8.626740745358525</v>
      </c>
      <c r="L51" s="1">
        <f t="shared" si="8"/>
        <v>50.05311305771766</v>
      </c>
    </row>
    <row r="52" spans="2:12" x14ac:dyDescent="0.15">
      <c r="B52" s="1">
        <v>90000</v>
      </c>
      <c r="C52" s="1">
        <f t="shared" si="1"/>
        <v>565486.6776461628</v>
      </c>
      <c r="D52" s="73" t="str">
        <f>IMPRODUCT(COMPLEX(1/(Calculations!$B$136*(Rcs+(Calculations!$B$135/1000))),0),IMDIV(COMPLEX(1,0),COMPLEX(1,(C52*Lm)/(Rcs+(Calculations!$B$135/1000)))))</f>
        <v>0.0353315385848721-3.61168144389565i</v>
      </c>
      <c r="E52" s="1">
        <f t="shared" si="2"/>
        <v>11.154604351662238</v>
      </c>
      <c r="F52" s="1">
        <f t="shared" si="3"/>
        <v>-89.439517713863523</v>
      </c>
      <c r="G52" s="1" t="str">
        <f t="shared" si="11"/>
        <v>-0.0624143923103807+0.0599583235726907i</v>
      </c>
      <c r="H52" s="1">
        <f t="shared" si="4"/>
        <v>-21.254858907131535</v>
      </c>
      <c r="I52" s="1">
        <f t="shared" si="5"/>
        <v>136.14979455278444</v>
      </c>
      <c r="J52" s="1" t="str">
        <f t="shared" si="6"/>
        <v>0.214345168144413+0.227539322362218i</v>
      </c>
      <c r="K52" s="1">
        <f t="shared" si="7"/>
        <v>-10.100254555469286</v>
      </c>
      <c r="L52" s="1">
        <f t="shared" si="8"/>
        <v>46.710276838920862</v>
      </c>
    </row>
    <row r="53" spans="2:12" x14ac:dyDescent="0.15">
      <c r="B53" s="1">
        <v>100000</v>
      </c>
      <c r="C53" s="1">
        <f t="shared" si="1"/>
        <v>628318.53071795858</v>
      </c>
      <c r="D53" s="73" t="str">
        <f>IMPRODUCT(COMPLEX(1/(Calculations!$B$136*(Rcs+(Calculations!$B$135/1000))),0),IMDIV(COMPLEX(1,0),COMPLEX(1,(C53*Lm)/(Rcs+(Calculations!$B$135/1000)))))</f>
        <v>0.0286190665775938-3.25057239823078i</v>
      </c>
      <c r="E53" s="1">
        <f t="shared" si="2"/>
        <v>10.239533500337021</v>
      </c>
      <c r="F53" s="1">
        <f t="shared" si="3"/>
        <v>-89.495562885362773</v>
      </c>
      <c r="G53" s="1" t="str">
        <f t="shared" si="11"/>
        <v>-0.0562234996209931+0.059886088152351i</v>
      </c>
      <c r="H53" s="1">
        <f t="shared" si="4"/>
        <v>-21.708619042266779</v>
      </c>
      <c r="I53" s="1">
        <f t="shared" si="5"/>
        <v>133.19324736893566</v>
      </c>
      <c r="J53" s="1" t="str">
        <f t="shared" si="6"/>
        <v>0.193055001107169+0.184472439943843i</v>
      </c>
      <c r="K53" s="1">
        <f t="shared" si="7"/>
        <v>-11.469085541929751</v>
      </c>
      <c r="L53" s="1">
        <f t="shared" si="8"/>
        <v>43.697684483572949</v>
      </c>
    </row>
    <row r="54" spans="2:12" x14ac:dyDescent="0.15">
      <c r="B54" s="1">
        <v>200000</v>
      </c>
      <c r="C54" s="1">
        <f t="shared" si="1"/>
        <v>1256637.0614359172</v>
      </c>
      <c r="D54" s="73" t="str">
        <f>IMPRODUCT(COMPLEX(1/(Calculations!$B$136*(Rcs+(Calculations!$B$135/1000))),0),IMDIV(COMPLEX(1,0),COMPLEX(1,(C54*Lm)/(Rcs+(Calculations!$B$135/1000)))))</f>
        <v>0.00715518259290025-1.625380686524i</v>
      </c>
      <c r="E54" s="1">
        <f t="shared" si="2"/>
        <v>4.2191860605443896</v>
      </c>
      <c r="F54" s="1">
        <f t="shared" si="3"/>
        <v>-89.747776555097062</v>
      </c>
      <c r="G54" s="1" t="str">
        <f t="shared" si="11"/>
        <v>-0.0219095828861084+0.0463592397900226i</v>
      </c>
      <c r="H54" s="1">
        <f t="shared" si="4"/>
        <v>-25.801749003096152</v>
      </c>
      <c r="I54" s="1">
        <f t="shared" si="5"/>
        <v>115.29562636230865</v>
      </c>
      <c r="J54" s="1" t="str">
        <f t="shared" si="6"/>
        <v>0.0751946459305533+0.035943121698443i</v>
      </c>
      <c r="K54" s="1">
        <f t="shared" si="7"/>
        <v>-21.58256294255176</v>
      </c>
      <c r="L54" s="1">
        <f t="shared" si="8"/>
        <v>25.547849807211566</v>
      </c>
    </row>
    <row r="55" spans="2:12" x14ac:dyDescent="0.15">
      <c r="B55" s="1">
        <v>300000</v>
      </c>
      <c r="C55" s="1">
        <f t="shared" si="1"/>
        <v>1884955.5921538759</v>
      </c>
      <c r="D55" s="73" t="str">
        <f>IMPRODUCT(COMPLEX(1/(Calculations!$B$136*(Rcs+(Calculations!$B$135/1000))),0),IMDIV(COMPLEX(1,0),COMPLEX(1,(C55*Lm)/(Rcs+(Calculations!$B$135/1000)))))</f>
        <v>0.00318011538920352-1.08359879026526i</v>
      </c>
      <c r="E55" s="1">
        <f t="shared" si="2"/>
        <v>0.69740763539091033</v>
      </c>
      <c r="F55" s="1">
        <f t="shared" si="3"/>
        <v>-89.831850433300971</v>
      </c>
      <c r="G55" s="1" t="str">
        <f t="shared" si="11"/>
        <v>-0.0108614489148951+0.0344298677663537i</v>
      </c>
      <c r="H55" s="1">
        <f t="shared" si="4"/>
        <v>-28.849266593143724</v>
      </c>
      <c r="I55" s="1">
        <f t="shared" si="5"/>
        <v>107.50870809195946</v>
      </c>
      <c r="J55" s="1" t="str">
        <f t="shared" si="6"/>
        <v>0.0372736223997704+0.0118789438570403i</v>
      </c>
      <c r="K55" s="1">
        <f t="shared" si="7"/>
        <v>-28.151858957752825</v>
      </c>
      <c r="L55" s="1">
        <f t="shared" si="8"/>
        <v>17.676857658658555</v>
      </c>
    </row>
    <row r="56" spans="2:12" x14ac:dyDescent="0.15">
      <c r="B56" s="1">
        <v>400000</v>
      </c>
      <c r="C56" s="1">
        <f t="shared" si="1"/>
        <v>2513274.1228718343</v>
      </c>
      <c r="D56" s="73" t="str">
        <f>IMPRODUCT(COMPLEX(1/(Calculations!$B$136*(Rcs+(Calculations!$B$135/1000))),0),IMDIV(COMPLEX(1,0),COMPLEX(1,(C56*Lm)/(Rcs+(Calculations!$B$135/1000)))))</f>
        <v>0.00178882164689562-0.812702155046385i</v>
      </c>
      <c r="E56" s="1">
        <f t="shared" si="2"/>
        <v>-1.8013507320701041</v>
      </c>
      <c r="F56" s="1">
        <f t="shared" si="3"/>
        <v>-89.87388766657385</v>
      </c>
      <c r="G56" s="1" t="str">
        <f t="shared" si="11"/>
        <v>-0.00636674969709385+0.0268975602506681i</v>
      </c>
      <c r="H56" s="1">
        <f t="shared" si="4"/>
        <v>-31.16898541598654</v>
      </c>
      <c r="I56" s="1">
        <f t="shared" si="5"/>
        <v>103.3170174829781</v>
      </c>
      <c r="J56" s="1" t="str">
        <f t="shared" si="6"/>
        <v>0.0218483162015294+0.00522238613749417i</v>
      </c>
      <c r="K56" s="1">
        <f t="shared" si="7"/>
        <v>-32.970336148056646</v>
      </c>
      <c r="L56" s="1">
        <f t="shared" si="8"/>
        <v>13.443129816404278</v>
      </c>
    </row>
    <row r="57" spans="2:12" x14ac:dyDescent="0.15">
      <c r="B57" s="1">
        <v>500000</v>
      </c>
      <c r="C57" s="1">
        <f t="shared" si="1"/>
        <v>3141592.653589793</v>
      </c>
      <c r="D57" s="73" t="str">
        <f>IMPRODUCT(COMPLEX(1/(Calculations!$B$136*(Rcs+(Calculations!$B$135/1000))),0),IMDIV(COMPLEX(1,0),COMPLEX(1,(C57*Lm)/(Rcs+(Calculations!$B$135/1000)))))</f>
        <v>0.0011448478507436-0.650162857986867i</v>
      </c>
      <c r="E57" s="1">
        <f t="shared" si="2"/>
        <v>-3.7395434176897728</v>
      </c>
      <c r="F57" s="1">
        <f t="shared" si="3"/>
        <v>-89.899110074604948</v>
      </c>
      <c r="G57" s="1" t="str">
        <f t="shared" si="11"/>
        <v>-0.0041556899510875+0.0219411673659259i</v>
      </c>
      <c r="H57" s="1">
        <f t="shared" si="4"/>
        <v>-33.021740567577361</v>
      </c>
      <c r="I57" s="1">
        <f t="shared" si="5"/>
        <v>100.72486657652355</v>
      </c>
      <c r="J57" s="1" t="str">
        <f t="shared" si="6"/>
        <v>0.0142605744494897+0.00272699455380804i</v>
      </c>
      <c r="K57" s="1">
        <f t="shared" si="7"/>
        <v>-36.761283985267134</v>
      </c>
      <c r="L57" s="1">
        <f t="shared" si="8"/>
        <v>10.825756501918624</v>
      </c>
    </row>
    <row r="58" spans="2:12" x14ac:dyDescent="0.15">
      <c r="B58" s="1">
        <v>600000</v>
      </c>
      <c r="C58" s="1">
        <f t="shared" si="1"/>
        <v>3769911.1843077517</v>
      </c>
      <c r="D58" s="73" t="str">
        <f>IMPRODUCT(COMPLEX(1/(Calculations!$B$136*(Rcs+(Calculations!$B$135/1000))),0),IMDIV(COMPLEX(1,0),COMPLEX(1,(C58*Lm)/(Rcs+(Calculations!$B$135/1000)))))</f>
        <v>0.000795033982909857-0.541802894967696i</v>
      </c>
      <c r="E58" s="1">
        <f t="shared" si="2"/>
        <v>-5.3231642240709789</v>
      </c>
      <c r="F58" s="1">
        <f t="shared" si="3"/>
        <v>-89.915925035619495</v>
      </c>
      <c r="G58" s="1" t="str">
        <f t="shared" si="11"/>
        <v>-0.00291738697423843+0.0184817792138759i</v>
      </c>
      <c r="H58" s="1">
        <f t="shared" si="4"/>
        <v>-34.558236317116567</v>
      </c>
      <c r="I58" s="1">
        <f t="shared" si="5"/>
        <v>98.970241034083671</v>
      </c>
      <c r="J58" s="1" t="str">
        <f t="shared" si="6"/>
        <v>0.0100111620604459+0.0015953423509231i</v>
      </c>
      <c r="K58" s="1">
        <f t="shared" si="7"/>
        <v>-39.881400541187574</v>
      </c>
      <c r="L58" s="1">
        <f t="shared" si="8"/>
        <v>9.0543159984642294</v>
      </c>
    </row>
    <row r="59" spans="2:12" x14ac:dyDescent="0.15">
      <c r="B59" s="1">
        <v>700000</v>
      </c>
      <c r="C59" s="1">
        <f t="shared" si="1"/>
        <v>4398229.7150257099</v>
      </c>
      <c r="D59" s="73" t="str">
        <f>IMPRODUCT(COMPLEX(1/(Calculations!$B$136*(Rcs+(Calculations!$B$135/1000))),0),IMDIV(COMPLEX(1,0),COMPLEX(1,(C59*Lm)/(Rcs+(Calculations!$B$135/1000)))))</f>
        <v>0.000584106933366771-0.464402746696368i</v>
      </c>
      <c r="E59" s="1">
        <f t="shared" si="2"/>
        <v>-6.6620975357246479</v>
      </c>
      <c r="F59" s="1">
        <f t="shared" si="3"/>
        <v>-89.92793573109418</v>
      </c>
      <c r="G59" s="1" t="str">
        <f t="shared" si="11"/>
        <v>-0.00215758248671919+0.0159453821037064i</v>
      </c>
      <c r="H59" s="1">
        <f t="shared" si="4"/>
        <v>-35.868505502546718</v>
      </c>
      <c r="I59" s="1">
        <f t="shared" si="5"/>
        <v>97.705936118809518</v>
      </c>
      <c r="J59" s="1" t="str">
        <f t="shared" si="6"/>
        <v>0.00740381898719456+0.00101130104129833i</v>
      </c>
      <c r="K59" s="1">
        <f t="shared" si="7"/>
        <v>-42.530603038271366</v>
      </c>
      <c r="L59" s="1">
        <f t="shared" si="8"/>
        <v>7.7780003877153518</v>
      </c>
    </row>
    <row r="60" spans="2:12" x14ac:dyDescent="0.15">
      <c r="B60" s="1">
        <v>800000</v>
      </c>
      <c r="C60" s="1">
        <f t="shared" si="1"/>
        <v>5026548.2457436686</v>
      </c>
      <c r="D60" s="73" t="str">
        <f>IMPRODUCT(COMPLEX(1/(Calculations!$B$136*(Rcs+(Calculations!$B$135/1000))),0),IMDIV(COMPLEX(1,0),COMPLEX(1,(C60*Lm)/(Rcs+(Calculations!$B$135/1000)))))</f>
        <v>0.000447207036670338-0.406352554023064i</v>
      </c>
      <c r="E60" s="1">
        <f t="shared" si="2"/>
        <v>-7.8219348650401175</v>
      </c>
      <c r="F60" s="1">
        <f t="shared" si="3"/>
        <v>-89.93694375691426</v>
      </c>
      <c r="G60" s="1" t="str">
        <f t="shared" si="11"/>
        <v>-0.00165903081737644+0.0140118376385022i</v>
      </c>
      <c r="H60" s="1">
        <f t="shared" si="4"/>
        <v>-37.009636915911472</v>
      </c>
      <c r="I60" s="1">
        <f t="shared" si="5"/>
        <v>96.752502403496436</v>
      </c>
      <c r="J60" s="1" t="str">
        <f t="shared" si="6"/>
        <v>0.00569300408070628+0.000680417602232508i</v>
      </c>
      <c r="K60" s="1">
        <f t="shared" si="7"/>
        <v>-44.831571780951592</v>
      </c>
      <c r="L60" s="1">
        <f t="shared" si="8"/>
        <v>6.8155586465821836</v>
      </c>
    </row>
    <row r="61" spans="2:12" x14ac:dyDescent="0.15">
      <c r="B61" s="1">
        <v>900000</v>
      </c>
      <c r="C61" s="1">
        <f t="shared" si="1"/>
        <v>5654866.7764616273</v>
      </c>
      <c r="D61" s="73" t="str">
        <f>IMPRODUCT(COMPLEX(1/(Calculations!$B$136*(Rcs+(Calculations!$B$135/1000))),0),IMDIV(COMPLEX(1,0),COMPLEX(1,(C61*Lm)/(Rcs+(Calculations!$B$135/1000)))))</f>
        <v>0.000353348859535926-0.361202362060173i</v>
      </c>
      <c r="E61" s="1">
        <f t="shared" si="2"/>
        <v>-8.8449842100133349</v>
      </c>
      <c r="F61" s="1">
        <f t="shared" si="3"/>
        <v>-89.943950001396715</v>
      </c>
      <c r="G61" s="1" t="str">
        <f t="shared" si="11"/>
        <v>-0.00131473066088656+0.0124915706538874i</v>
      </c>
      <c r="H61" s="1">
        <f t="shared" si="4"/>
        <v>-38.019814815073175</v>
      </c>
      <c r="I61" s="1">
        <f t="shared" si="5"/>
        <v>96.008227888500457</v>
      </c>
      <c r="J61" s="1" t="str">
        <f t="shared" si="6"/>
        <v>0.00451152026744605+0.000479297702429521i</v>
      </c>
      <c r="K61" s="1">
        <f t="shared" si="7"/>
        <v>-46.864799025086505</v>
      </c>
      <c r="L61" s="1">
        <f t="shared" si="8"/>
        <v>6.0642778871037422</v>
      </c>
    </row>
    <row r="62" spans="2:12" x14ac:dyDescent="0.15">
      <c r="B62" s="1">
        <v>1000000</v>
      </c>
      <c r="C62" s="1">
        <f t="shared" si="1"/>
        <v>6283185.307179586</v>
      </c>
      <c r="D62" s="73" t="str">
        <f>IMPRODUCT(COMPLEX(1/(Calculations!$B$136*(Rcs+(Calculations!$B$135/1000))),0),IMDIV(COMPLEX(1,0),COMPLEX(1,(C62*Lm)/(Rcs+(Calculations!$B$135/1000)))))</f>
        <v>0.000286212628265408-0.325082184963015i</v>
      </c>
      <c r="E62" s="1">
        <f t="shared" si="2"/>
        <v>-9.7601332315602605</v>
      </c>
      <c r="F62" s="1">
        <f t="shared" si="3"/>
        <v>-89.949554998199616</v>
      </c>
      <c r="G62" s="1" t="str">
        <f t="shared" si="11"/>
        <v>-0.00106719802839231+0.0112660981137714i</v>
      </c>
      <c r="H62" s="1">
        <f t="shared" si="4"/>
        <v>-38.925733499539952</v>
      </c>
      <c r="I62" s="1">
        <f t="shared" si="5"/>
        <v>95.411281790215497</v>
      </c>
      <c r="J62" s="1" t="str">
        <f t="shared" si="6"/>
        <v>0.00366210234527992+0.000350151566409432i</v>
      </c>
      <c r="K62" s="1">
        <f t="shared" si="7"/>
        <v>-48.685866731100226</v>
      </c>
      <c r="L62" s="1">
        <f t="shared" si="8"/>
        <v>5.4617267920158881</v>
      </c>
    </row>
    <row r="69" spans="2:97" x14ac:dyDescent="0.15">
      <c r="Q69" t="s">
        <v>398</v>
      </c>
    </row>
    <row r="74" spans="2:97" ht="28.5" x14ac:dyDescent="0.3">
      <c r="B74" s="30" t="s">
        <v>192</v>
      </c>
      <c r="C74" s="29"/>
      <c r="D74" s="29"/>
      <c r="E74" s="29"/>
    </row>
    <row r="75" spans="2:97" ht="28.5" x14ac:dyDescent="0.3">
      <c r="B75" s="29"/>
      <c r="C75" s="29"/>
      <c r="D75" s="29"/>
      <c r="E75" s="29"/>
    </row>
    <row r="76" spans="2:97" ht="14.25" thickBot="1" x14ac:dyDescent="0.2">
      <c r="B76" s="206" t="s">
        <v>33</v>
      </c>
      <c r="C76" s="206"/>
      <c r="D76" s="216" t="s">
        <v>31</v>
      </c>
      <c r="E76" s="195"/>
      <c r="F76" s="195"/>
      <c r="G76" s="195"/>
      <c r="H76" s="195"/>
      <c r="I76" s="195"/>
      <c r="J76" s="195"/>
      <c r="K76" s="195"/>
      <c r="L76" s="195"/>
      <c r="M76" s="195"/>
      <c r="N76" s="195"/>
      <c r="O76" s="195"/>
      <c r="P76" s="195"/>
      <c r="Q76" s="195"/>
      <c r="R76" s="195"/>
      <c r="S76" s="195"/>
      <c r="T76" s="195"/>
    </row>
    <row r="77" spans="2:97" ht="14.25" thickBot="1" x14ac:dyDescent="0.2">
      <c r="B77" s="206"/>
      <c r="C77" s="206"/>
      <c r="D77" s="196" t="s">
        <v>0</v>
      </c>
      <c r="E77" s="197"/>
      <c r="F77" s="198"/>
      <c r="G77" s="196" t="s">
        <v>386</v>
      </c>
      <c r="H77" s="197"/>
      <c r="I77" s="198"/>
      <c r="J77" s="196" t="s">
        <v>387</v>
      </c>
      <c r="K77" s="197"/>
      <c r="L77" s="198"/>
      <c r="M77" s="196" t="s">
        <v>390</v>
      </c>
      <c r="N77" s="198"/>
      <c r="O77" s="207" t="s">
        <v>444</v>
      </c>
      <c r="P77" s="217"/>
      <c r="Q77" s="208"/>
      <c r="R77" s="218" t="s">
        <v>445</v>
      </c>
      <c r="S77" s="219"/>
      <c r="T77" s="219"/>
      <c r="U77" s="195" t="s">
        <v>393</v>
      </c>
      <c r="V77" s="195"/>
      <c r="W77" s="195"/>
      <c r="X77" t="s">
        <v>387</v>
      </c>
    </row>
    <row r="78" spans="2:97" ht="40.5" x14ac:dyDescent="0.1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x14ac:dyDescent="0.15">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0.444442075977176-0.000916935572055987i</v>
      </c>
      <c r="E79" s="1">
        <f t="shared" ref="E79:E137" si="14">20*LOG(IMABS(D79))</f>
        <v>-7.0436781644241169</v>
      </c>
      <c r="F79" s="6">
        <f t="shared" ref="F79" si="15">IMARGUMENT(D79)*(180/PI())</f>
        <v>-0.11820767354041692</v>
      </c>
      <c r="G79" s="5" t="str">
        <f t="shared" ref="G79:G110" si="16">IMDIV(COMPLEX(V48_Max,0),IMSUM(COMPLEX(Rcs/np,(Lm*C79)/np),D79))</f>
        <v>191.035317039247+0.387345584558206i</v>
      </c>
      <c r="H79" s="1">
        <f>20*LOG10(IMABS(G79))</f>
        <v>45.622291124019931</v>
      </c>
      <c r="I79" s="6">
        <f>IMARGUMENT(G79)*(180/PI())</f>
        <v>0.1161734758708776</v>
      </c>
      <c r="J79" s="26" t="str">
        <f t="shared" ref="J79:J110" si="17">IMDIV(IMPRODUCT(COMPLEX(V48_Max,0),D79),IMSUM(COMPLEX(Rcs/np,(Lm*C79)/np),D79))</f>
        <v>84.9044880608261-0.00301440199063641i</v>
      </c>
      <c r="K79" s="1">
        <f>20*LOG10(IMABS(J79))</f>
        <v>38.578612959595816</v>
      </c>
      <c r="L79" s="6">
        <f>IMARGUMENT(J79)*(180/PI())</f>
        <v>-2.0341976695389783E-3</v>
      </c>
      <c r="M79" s="26">
        <f t="shared" ref="M79:M110" si="18">(Ramp_C*Ramp_R*Fsw)/(V48_Max)</f>
        <v>0.11294117647058823</v>
      </c>
      <c r="N79" s="6">
        <f t="shared" ref="N79:N110" si="19">(Rcs*Acs)/np</f>
        <v>2.5000000000000001E-2</v>
      </c>
      <c r="O79" s="5" t="str">
        <f t="shared" ref="O79:O110" si="20">IMPRODUCT(COMPLEX(gm/(IL_Comp_Ccomp+IL_Comp_Chf),0),IMDIV(COMPLEX(1,C79*IL_Comp_Rcomp*IL_Comp_Ccomp),IMPRODUCT(COMPLEX(0,C79),COMPLEX(1,C79*IL_Comp_Rcomp*IL_Comp_Chf))))</f>
        <v>2.35247524726262-2251.13076163405i</v>
      </c>
      <c r="P79" s="1">
        <f t="shared" ref="P79:P137" si="21">20*LOG(IMABS(O79))</f>
        <v>67.048019195490951</v>
      </c>
      <c r="Q79" s="6">
        <f t="shared" ref="Q79" si="22">IMARGUMENT(O79)*(180/PI())</f>
        <v>-89.940124822463019</v>
      </c>
      <c r="R79" s="5" t="str">
        <f>IMDIV(IMPRODUCT(J79,O79,COMPLEX(M79,0)),IMSUM(COMPLEX(1,0),IMPRODUCT(G79,O79,COMPLEX(N79,0),COMPLEX(M79,0))))</f>
        <v>17.7775957903926-0.0513180369719375i</v>
      </c>
      <c r="S79" s="1">
        <f>20*LOG10(IMABS(R79))</f>
        <v>24.997496737239679</v>
      </c>
      <c r="T79" s="6">
        <f>IMARGUMENT(R79)*(180/PI())</f>
        <v>-0.16539349859468294</v>
      </c>
      <c r="U79" t="str">
        <f>IMPRODUCT(COMPLEX(-1,0),IMDIV(COMPLEX(1,C79*Calculations!$B$171*Calculations!$B$173),IMPRODUCT(COMPLEX(0,C79*Calculations!$B$160),COMPLEX((Calculations!$B$173+Calculations!$B$175),C79*Calculations!$B$171*Calculations!$B$173*Calculations!$B$175))))</f>
        <v>-0.409599933766217+254.648073656938i</v>
      </c>
      <c r="V79">
        <f>20*LOG10(IMABS(U79))</f>
        <v>48.118819140396063</v>
      </c>
      <c r="W79">
        <f>IMARGUMENT(U79)*(180/PI())</f>
        <v>90.092159846006808</v>
      </c>
      <c r="X79" t="str">
        <f>IMPRODUCT(U79,R79)</f>
        <v>5.78633720049202+4527.05154213971i</v>
      </c>
      <c r="Y79">
        <f>20*LOG10(IMABS(X79))</f>
        <v>73.116315877635742</v>
      </c>
      <c r="Z79">
        <f>IMARGUMENT(X79)*(180/PI())</f>
        <v>89.926766347412126</v>
      </c>
    </row>
    <row r="80" spans="2:97" x14ac:dyDescent="0.15">
      <c r="B80" s="1">
        <v>2</v>
      </c>
      <c r="C80" s="22">
        <f t="shared" si="12"/>
        <v>12.566370614359172</v>
      </c>
      <c r="D80" s="26" t="str">
        <f t="shared" si="13"/>
        <v>0.444434970764997-0.00183383443823428i</v>
      </c>
      <c r="E80" s="1">
        <f t="shared" si="14"/>
        <v>-7.0437615698566312</v>
      </c>
      <c r="F80" s="6">
        <f t="shared" ref="F80:F133" si="23">IMARGUMENT(D80)*(180/PI())</f>
        <v>-0.2364133883549456</v>
      </c>
      <c r="G80" s="5" t="str">
        <f t="shared" si="16"/>
        <v>191.036011570248+0.774690596832429i</v>
      </c>
      <c r="H80" s="1">
        <f t="shared" ref="H80:H137" si="24">20*LOG10(IMABS(G80))</f>
        <v>45.622376265647127</v>
      </c>
      <c r="I80" s="6">
        <f t="shared" ref="I80:I133" si="25">IMARGUMENT(G80)*(180/PI())</f>
        <v>0.23234498017881669</v>
      </c>
      <c r="J80" s="26" t="str">
        <f t="shared" si="17"/>
        <v>84.9045048715803-0.00602882420530605i</v>
      </c>
      <c r="K80" s="1">
        <f t="shared" ref="K80:K137" si="26">20*LOG10(IMABS(J80))</f>
        <v>38.578614695790499</v>
      </c>
      <c r="L80" s="6">
        <f t="shared" ref="L80:L133" si="27">IMARGUMENT(J80)*(180/PI())</f>
        <v>-4.0684081761299404E-3</v>
      </c>
      <c r="M80" s="26">
        <f t="shared" si="18"/>
        <v>0.11294117647058823</v>
      </c>
      <c r="N80" s="6">
        <f t="shared" si="19"/>
        <v>2.5000000000000001E-2</v>
      </c>
      <c r="O80" s="5" t="str">
        <f t="shared" si="20"/>
        <v>2.35247524647624-1125.56541806524i</v>
      </c>
      <c r="P80" s="1">
        <f t="shared" si="21"/>
        <v>61.027433797952796</v>
      </c>
      <c r="Q80" s="6">
        <f t="shared" ref="Q80:Q133" si="28">IMARGUMENT(O80)*(180/PI())</f>
        <v>-89.880249779703774</v>
      </c>
      <c r="R80" s="5" t="str">
        <f t="shared" ref="R80:R133" si="29">IMDIV(IMPRODUCT(J80,O80,COMPLEX(M80,0)),IMSUM(COMPLEX(1,0),IMPRODUCT(G80,O80,COMPLEX(N80,0),COMPLEX(M80,0))))</f>
        <v>17.7770498560907-0.102632176813038i</v>
      </c>
      <c r="S80" s="1">
        <f t="shared" ref="S80:S137" si="30">20*LOG10(IMABS(R80))</f>
        <v>24.997338560199061</v>
      </c>
      <c r="T80" s="6">
        <f t="shared" ref="T80:T133" si="31">IMARGUMENT(R80)*(180/PI())</f>
        <v>-0.33078183891782192</v>
      </c>
      <c r="U80" t="str">
        <f>IMPRODUCT(COMPLEX(-1,0),IMDIV(COMPLEX(1,C80*Calculations!$B$171*Calculations!$B$173),IMPRODUCT(COMPLEX(0,C80*Calculations!$B$160),COMPLEX((Calculations!$B$173+Calculations!$B$175),C80*Calculations!$B$171*Calculations!$B$173*Calculations!$B$175))))</f>
        <v>-0.409599735064995+127.324283893169i</v>
      </c>
      <c r="V80">
        <f t="shared" ref="V80:V137" si="32">20*LOG10(IMABS(U80))</f>
        <v>42.098269790011003</v>
      </c>
      <c r="W80">
        <f t="shared" ref="W80:W134" si="33">IMARGUMENT(U80)*(180/PI())</f>
        <v>90.184318768063477</v>
      </c>
      <c r="X80" t="str">
        <f t="shared" ref="X80:X134" si="34">IMPRODUCT(U80,R80)</f>
        <v>5.78609350582521+2263.49218077234i</v>
      </c>
      <c r="Y80">
        <f t="shared" ref="Y80:Y137" si="35">20*LOG10(IMABS(X80))</f>
        <v>67.095608350210057</v>
      </c>
      <c r="Z80">
        <f t="shared" ref="Z80:Z134" si="36">IMARGUMENT(X80)*(180/PI())</f>
        <v>89.853536929145662</v>
      </c>
    </row>
    <row r="81" spans="2:26" x14ac:dyDescent="0.15">
      <c r="B81" s="1">
        <v>3</v>
      </c>
      <c r="C81" s="22">
        <f t="shared" si="12"/>
        <v>18.849555921538759</v>
      </c>
      <c r="D81" s="26" t="str">
        <f t="shared" si="13"/>
        <v>0.444423129376741-0.00275065989755495i</v>
      </c>
      <c r="E81" s="1">
        <f t="shared" si="14"/>
        <v>-7.0439005750508308</v>
      </c>
      <c r="F81" s="6">
        <f t="shared" si="23"/>
        <v>-0.35461518587575402</v>
      </c>
      <c r="G81" s="5" t="str">
        <f t="shared" si="16"/>
        <v>191.037169120593+1.16203446453991i</v>
      </c>
      <c r="H81" s="1">
        <f t="shared" si="24"/>
        <v>45.622518164493194</v>
      </c>
      <c r="I81" s="6">
        <f t="shared" si="25"/>
        <v>0.34851254151898065</v>
      </c>
      <c r="J81" s="26" t="str">
        <f t="shared" si="17"/>
        <v>84.9045328894488-0.00904328686798401i</v>
      </c>
      <c r="K81" s="1">
        <f t="shared" si="26"/>
        <v>38.578617589442359</v>
      </c>
      <c r="L81" s="6">
        <f t="shared" si="27"/>
        <v>-6.1026443567723278E-3</v>
      </c>
      <c r="M81" s="26">
        <f t="shared" si="18"/>
        <v>0.11294117647058823</v>
      </c>
      <c r="N81" s="6">
        <f t="shared" si="19"/>
        <v>2.5000000000000001E-2</v>
      </c>
      <c r="O81" s="5" t="str">
        <f t="shared" si="20"/>
        <v>2.35247524516564-750.376986763732i</v>
      </c>
      <c r="P81" s="1">
        <f t="shared" si="21"/>
        <v>57.505632809633774</v>
      </c>
      <c r="Q81" s="6">
        <f t="shared" si="28"/>
        <v>-89.820375006498253</v>
      </c>
      <c r="R81" s="5" t="str">
        <f t="shared" si="29"/>
        <v>17.776140058422-0.153938523388012i</v>
      </c>
      <c r="S81" s="1">
        <f t="shared" si="30"/>
        <v>24.997074945917962</v>
      </c>
      <c r="T81" s="6">
        <f t="shared" si="31"/>
        <v>-0.49615986349953861</v>
      </c>
      <c r="U81" t="str">
        <f>IMPRODUCT(COMPLEX(-1,0),IMDIV(COMPLEX(1,C81*Calculations!$B$171*Calculations!$B$173),IMPRODUCT(COMPLEX(0,C81*Calculations!$B$160),COMPLEX((Calculations!$B$173+Calculations!$B$175),C81*Calculations!$B$171*Calculations!$B$173*Calculations!$B$175))))</f>
        <v>-0.409599403896722+84.8831304447573i</v>
      </c>
      <c r="V81">
        <f t="shared" si="32"/>
        <v>38.576528878971111</v>
      </c>
      <c r="W81">
        <f t="shared" si="33"/>
        <v>90.276475842265057</v>
      </c>
      <c r="X81" t="str">
        <f t="shared" si="34"/>
        <v>5.78568738970365+1508.95746851073i</v>
      </c>
      <c r="Y81">
        <f t="shared" si="35"/>
        <v>63.573603824889098</v>
      </c>
      <c r="Z81">
        <f t="shared" si="36"/>
        <v>89.780315978765515</v>
      </c>
    </row>
    <row r="82" spans="2:26" x14ac:dyDescent="0.15">
      <c r="B82" s="1">
        <v>4</v>
      </c>
      <c r="C82" s="22">
        <f t="shared" si="12"/>
        <v>25.132741228718345</v>
      </c>
      <c r="D82" s="26" t="str">
        <f t="shared" si="13"/>
        <v>0.444406552760341-0.00366737525883219i</v>
      </c>
      <c r="E82" s="1">
        <f t="shared" si="14"/>
        <v>-7.0440951742172349</v>
      </c>
      <c r="F82" s="6">
        <f t="shared" si="23"/>
        <v>-0.47281110785108382</v>
      </c>
      <c r="G82" s="5" t="str">
        <f t="shared" si="16"/>
        <v>191.038789688292+1.54937661540036i</v>
      </c>
      <c r="H82" s="1">
        <f t="shared" si="24"/>
        <v>45.622716814759592</v>
      </c>
      <c r="I82" s="6">
        <f t="shared" si="25"/>
        <v>0.46467418880272288</v>
      </c>
      <c r="J82" s="26" t="str">
        <f t="shared" si="17"/>
        <v>84.9045721143475-0.0120578102025261i</v>
      </c>
      <c r="K82" s="1">
        <f t="shared" si="26"/>
        <v>38.578621640542352</v>
      </c>
      <c r="L82" s="6">
        <f t="shared" si="27"/>
        <v>-8.136919048358596E-3</v>
      </c>
      <c r="M82" s="26">
        <f t="shared" si="18"/>
        <v>0.11294117647058823</v>
      </c>
      <c r="N82" s="6">
        <f t="shared" si="19"/>
        <v>2.5000000000000001E-2</v>
      </c>
      <c r="O82" s="5" t="str">
        <f t="shared" si="20"/>
        <v>2.3524752433308-562.782783529052i</v>
      </c>
      <c r="P82" s="1">
        <f t="shared" si="21"/>
        <v>55.006891947153811</v>
      </c>
      <c r="Q82" s="6">
        <f t="shared" si="28"/>
        <v>-89.760500637618733</v>
      </c>
      <c r="R82" s="5" t="str">
        <f t="shared" si="29"/>
        <v>17.7748665366008-0.205233182552141i</v>
      </c>
      <c r="S82" s="1">
        <f t="shared" si="30"/>
        <v>24.996705915572456</v>
      </c>
      <c r="T82" s="6">
        <f t="shared" si="31"/>
        <v>-0.66152241647301302</v>
      </c>
      <c r="U82" t="str">
        <f>IMPRODUCT(COMPLEX(-1,0),IMDIV(COMPLEX(1,C82*Calculations!$B$171*Calculations!$B$173),IMPRODUCT(COMPLEX(0,C82*Calculations!$B$160),COMPLEX((Calculations!$B$173+Calculations!$B$175),C82*Calculations!$B$171*Calculations!$B$173*Calculations!$B$175))))</f>
        <v>-0.409598940262038+63.6626360747851i</v>
      </c>
      <c r="V82">
        <f t="shared" si="32"/>
        <v>36.077872121932351</v>
      </c>
      <c r="W82">
        <f t="shared" si="33"/>
        <v>90.368630144796882</v>
      </c>
      <c r="X82" t="str">
        <f t="shared" si="34"/>
        <v>5.78511891459604+1131.67892289157i</v>
      </c>
      <c r="Y82">
        <f t="shared" si="35"/>
        <v>61.074578037504786</v>
      </c>
      <c r="Z82">
        <f t="shared" si="36"/>
        <v>89.707107728323891</v>
      </c>
    </row>
    <row r="83" spans="2:26" x14ac:dyDescent="0.15">
      <c r="B83" s="1">
        <v>5</v>
      </c>
      <c r="C83" s="22">
        <f t="shared" si="12"/>
        <v>31.415926535897931</v>
      </c>
      <c r="D83" s="26" t="str">
        <f t="shared" si="13"/>
        <v>0.444385242242637-0.00458394384556792i</v>
      </c>
      <c r="E83" s="1">
        <f t="shared" si="14"/>
        <v>-7.0443453592516576</v>
      </c>
      <c r="F83" s="6">
        <f t="shared" si="23"/>
        <v>-0.59099919650320543</v>
      </c>
      <c r="G83" s="5" t="str">
        <f t="shared" si="16"/>
        <v>191.040873270562+1.93671647713714i</v>
      </c>
      <c r="H83" s="1">
        <f t="shared" si="24"/>
        <v>45.622972208329564</v>
      </c>
      <c r="I83" s="6">
        <f t="shared" si="25"/>
        <v>0.58082795141557808</v>
      </c>
      <c r="J83" s="26" t="str">
        <f t="shared" si="17"/>
        <v>84.9046225461597-0.0150724144326204i</v>
      </c>
      <c r="K83" s="1">
        <f t="shared" si="26"/>
        <v>38.578626849077921</v>
      </c>
      <c r="L83" s="6">
        <f t="shared" si="27"/>
        <v>-1.0171245087628157E-2</v>
      </c>
      <c r="M83" s="26">
        <f t="shared" si="18"/>
        <v>0.11294117647058823</v>
      </c>
      <c r="N83" s="6">
        <f t="shared" si="19"/>
        <v>2.5000000000000001E-2</v>
      </c>
      <c r="O83" s="5" t="str">
        <f t="shared" si="20"/>
        <v>2.3524752409717-450.2262715211i</v>
      </c>
      <c r="P83" s="1">
        <f t="shared" si="21"/>
        <v>53.068735233343631</v>
      </c>
      <c r="Q83" s="6">
        <f t="shared" si="28"/>
        <v>-89.700626807832194</v>
      </c>
      <c r="R83" s="5" t="str">
        <f t="shared" si="29"/>
        <v>17.7732294854522-0.256512263145214i</v>
      </c>
      <c r="S83" s="1">
        <f t="shared" si="30"/>
        <v>24.996231498801325</v>
      </c>
      <c r="T83" s="6">
        <f t="shared" si="31"/>
        <v>-0.82686434437520862</v>
      </c>
      <c r="U83" t="str">
        <f>IMPRODUCT(COMPLEX(-1,0),IMDIV(COMPLEX(1,C83*Calculations!$B$171*Calculations!$B$173),IMPRODUCT(COMPLEX(0,C83*Calculations!$B$160),COMPLEX((Calculations!$B$173+Calculations!$B$175),C83*Calculations!$B$171*Calculations!$B$173*Calculations!$B$175))))</f>
        <v>-0.409598344161843+50.9304053357419i</v>
      </c>
      <c r="V83">
        <f t="shared" si="32"/>
        <v>34.13982353897643</v>
      </c>
      <c r="W83">
        <f t="shared" si="33"/>
        <v>90.460780751979826</v>
      </c>
      <c r="X83" t="str">
        <f t="shared" si="34"/>
        <v>5.78438816792457+905.302848817482i</v>
      </c>
      <c r="Y83">
        <f t="shared" si="35"/>
        <v>59.136055037777751</v>
      </c>
      <c r="Z83">
        <f t="shared" si="36"/>
        <v>89.63391640760463</v>
      </c>
    </row>
    <row r="84" spans="2:26" x14ac:dyDescent="0.15">
      <c r="B84" s="1">
        <v>6</v>
      </c>
      <c r="C84" s="22">
        <f t="shared" si="12"/>
        <v>37.699111843077517</v>
      </c>
      <c r="D84" s="26" t="str">
        <f t="shared" si="13"/>
        <v>0.444359199529109-0.00550032900084141i</v>
      </c>
      <c r="E84" s="1">
        <f t="shared" si="14"/>
        <v>-7.044651119736324</v>
      </c>
      <c r="F84" s="6">
        <f t="shared" si="23"/>
        <v>-0.70917749468629787</v>
      </c>
      <c r="G84" s="5" t="str">
        <f t="shared" si="16"/>
        <v>191.043419863827+2.32405347747856i</v>
      </c>
      <c r="H84" s="1">
        <f t="shared" si="24"/>
        <v>45.623284334769224</v>
      </c>
      <c r="I84" s="6">
        <f t="shared" si="25"/>
        <v>0.69697185937519279</v>
      </c>
      <c r="J84" s="26" t="str">
        <f t="shared" si="17"/>
        <v>84.9046841847353-0.0180871197817148i</v>
      </c>
      <c r="K84" s="1">
        <f t="shared" si="26"/>
        <v>38.578633215032902</v>
      </c>
      <c r="L84" s="6">
        <f t="shared" si="27"/>
        <v>-1.2205635311105216E-2</v>
      </c>
      <c r="M84" s="26">
        <f t="shared" si="18"/>
        <v>0.11294117647058823</v>
      </c>
      <c r="N84" s="6">
        <f t="shared" si="19"/>
        <v>2.5000000000000001E-2</v>
      </c>
      <c r="O84" s="5" t="str">
        <f t="shared" si="20"/>
        <v>2.35247523808835-375.188605126512i</v>
      </c>
      <c r="P84" s="1">
        <f t="shared" si="21"/>
        <v>51.485163535115852</v>
      </c>
      <c r="Q84" s="6">
        <f t="shared" si="28"/>
        <v>-89.640753651898336</v>
      </c>
      <c r="R84" s="5" t="str">
        <f t="shared" si="29"/>
        <v>17.771229155338-0.307771877983886i</v>
      </c>
      <c r="S84" s="1">
        <f t="shared" si="30"/>
        <v>24.995651733698708</v>
      </c>
      <c r="T84" s="6">
        <f t="shared" si="31"/>
        <v>-0.99218049694672106</v>
      </c>
      <c r="U84" t="str">
        <f>IMPRODUCT(COMPLEX(-1,0),IMDIV(COMPLEX(1,C84*Calculations!$B$171*Calculations!$B$173),IMPRODUCT(COMPLEX(0,C84*Calculations!$B$160),COMPLEX((Calculations!$B$173+Calculations!$B$175),C84*Calculations!$B$171*Calculations!$B$173*Calculations!$B$175))))</f>
        <v>-0.409597615597297+42.4423064116832i</v>
      </c>
      <c r="V84">
        <f t="shared" si="32"/>
        <v>32.55638399348156</v>
      </c>
      <c r="W84">
        <f t="shared" si="33"/>
        <v>90.552926740315343</v>
      </c>
      <c r="X84" t="str">
        <f t="shared" si="34"/>
        <v>5.78349526203165+754.378015750463i</v>
      </c>
      <c r="Y84">
        <f t="shared" si="35"/>
        <v>57.552035727180254</v>
      </c>
      <c r="Z84">
        <f t="shared" si="36"/>
        <v>89.560746243368627</v>
      </c>
    </row>
    <row r="85" spans="2:26" x14ac:dyDescent="0.15">
      <c r="B85" s="1">
        <v>7</v>
      </c>
      <c r="C85" s="22">
        <f t="shared" si="12"/>
        <v>43.982297150257104</v>
      </c>
      <c r="D85" s="26" t="str">
        <f t="shared" si="13"/>
        <v>0.444328426703539-0.00641649409219319i</v>
      </c>
      <c r="E85" s="1">
        <f t="shared" si="14"/>
        <v>-7.0450124429412098</v>
      </c>
      <c r="F85" s="6">
        <f t="shared" si="23"/>
        <v>-0.82734404604416656</v>
      </c>
      <c r="G85" s="5" t="str">
        <f t="shared" si="16"/>
        <v>191.046429463712+2.71138704415902i</v>
      </c>
      <c r="H85" s="1">
        <f t="shared" si="24"/>
        <v>45.623653181328706</v>
      </c>
      <c r="I85" s="6">
        <f t="shared" si="25"/>
        <v>0.81310394348910964</v>
      </c>
      <c r="J85" s="26" t="str">
        <f t="shared" si="17"/>
        <v>84.9047570298902-0.0211019464729751i</v>
      </c>
      <c r="K85" s="1">
        <f t="shared" si="26"/>
        <v>38.578640738387492</v>
      </c>
      <c r="L85" s="6">
        <f t="shared" si="27"/>
        <v>-1.424010255505735E-2</v>
      </c>
      <c r="M85" s="26">
        <f t="shared" si="18"/>
        <v>0.11294117647058823</v>
      </c>
      <c r="N85" s="6">
        <f t="shared" si="19"/>
        <v>2.5000000000000001E-2</v>
      </c>
      <c r="O85" s="5" t="str">
        <f t="shared" si="20"/>
        <v>2.35247523468077-321.590279082421i</v>
      </c>
      <c r="P85" s="1">
        <f t="shared" si="21"/>
        <v>50.146290641246352</v>
      </c>
      <c r="Q85" s="6">
        <f t="shared" si="28"/>
        <v>-89.58088130456791</v>
      </c>
      <c r="R85" s="5" t="str">
        <f t="shared" si="29"/>
        <v>17.7688658520604-0.359008144851889i</v>
      </c>
      <c r="S85" s="1">
        <f t="shared" si="30"/>
        <v>24.99496666680416</v>
      </c>
      <c r="T85" s="6">
        <f t="shared" si="31"/>
        <v>-1.1574657279303786</v>
      </c>
      <c r="U85" t="str">
        <f>IMPRODUCT(COMPLEX(-1,0),IMDIV(COMPLEX(1,C85*Calculations!$B$171*Calculations!$B$173),IMPRODUCT(COMPLEX(0,C85*Calculations!$B$160),COMPLEX((Calculations!$B$173+Calculations!$B$175),C85*Calculations!$B$171*Calculations!$B$173*Calculations!$B$175))))</f>
        <v>-0.409596754569812+36.3794256671139i</v>
      </c>
      <c r="V85">
        <f t="shared" si="32"/>
        <v>31.217667269904581</v>
      </c>
      <c r="W85">
        <f t="shared" si="33"/>
        <v>90.645067186530625</v>
      </c>
      <c r="X85" t="str">
        <f t="shared" si="34"/>
        <v>5.78244033413746+646.568183024945i</v>
      </c>
      <c r="Y85">
        <f t="shared" si="35"/>
        <v>56.212633936708734</v>
      </c>
      <c r="Z85">
        <f t="shared" si="36"/>
        <v>89.487601458600253</v>
      </c>
    </row>
    <row r="86" spans="2:26" x14ac:dyDescent="0.15">
      <c r="B86" s="1">
        <v>8</v>
      </c>
      <c r="C86" s="22">
        <f t="shared" si="12"/>
        <v>50.26548245743669</v>
      </c>
      <c r="D86" s="26" t="str">
        <f t="shared" si="13"/>
        <v>0.444292926227593-0.00733240251650236i</v>
      </c>
      <c r="E86" s="1">
        <f t="shared" si="14"/>
        <v>-7.0454293138257569</v>
      </c>
      <c r="F86" s="6">
        <f t="shared" si="23"/>
        <v>-0.94549689516783886</v>
      </c>
      <c r="G86" s="5" t="str">
        <f t="shared" si="16"/>
        <v>191.049902065049+3.09871660492032i</v>
      </c>
      <c r="H86" s="1">
        <f t="shared" si="24"/>
        <v>45.624078732944113</v>
      </c>
      <c r="I86" s="6">
        <f t="shared" si="25"/>
        <v>0.92922223551240501</v>
      </c>
      <c r="J86" s="26" t="str">
        <f t="shared" si="17"/>
        <v>84.9048410814076-0.0241169147292144i</v>
      </c>
      <c r="K86" s="1">
        <f t="shared" si="26"/>
        <v>38.578649419118364</v>
      </c>
      <c r="L86" s="6">
        <f t="shared" si="27"/>
        <v>-1.6274659655434384E-2</v>
      </c>
      <c r="M86" s="26">
        <f t="shared" si="18"/>
        <v>0.11294117647058823</v>
      </c>
      <c r="N86" s="6">
        <f t="shared" si="19"/>
        <v>2.5000000000000001E-2</v>
      </c>
      <c r="O86" s="5" t="str">
        <f t="shared" si="20"/>
        <v>2.35247523074895-281.391540757387i</v>
      </c>
      <c r="P86" s="1">
        <f t="shared" si="21"/>
        <v>48.986524276032824</v>
      </c>
      <c r="Q86" s="6">
        <f t="shared" si="28"/>
        <v>-89.521009900580793</v>
      </c>
      <c r="R86" s="5" t="str">
        <f t="shared" si="29"/>
        <v>17.7661399367449-0.410217187487578i</v>
      </c>
      <c r="S86" s="1">
        <f t="shared" si="30"/>
        <v>24.994176353090619</v>
      </c>
      <c r="T86" s="6">
        <f t="shared" si="31"/>
        <v>-1.3227148958682997</v>
      </c>
      <c r="U86" t="str">
        <f>IMPRODUCT(COMPLEX(-1,0),IMDIV(COMPLEX(1,C86*Calculations!$B$171*Calculations!$B$173),IMPRODUCT(COMPLEX(0,C86*Calculations!$B$160),COMPLEX((Calculations!$B$173+Calculations!$B$175),C86*Calculations!$B$171*Calculations!$B$173*Calculations!$B$175))))</f>
        <v>-0.409595761081054+31.8323062842058i</v>
      </c>
      <c r="V86">
        <f t="shared" si="32"/>
        <v>30.058081087439746</v>
      </c>
      <c r="W86">
        <f t="shared" si="33"/>
        <v>90.737201167623653</v>
      </c>
      <c r="X86" t="str">
        <f t="shared" si="34"/>
        <v>5.78122354628652+565.705231175642i</v>
      </c>
      <c r="Y86">
        <f t="shared" si="35"/>
        <v>55.052257440530369</v>
      </c>
      <c r="Z86">
        <f t="shared" si="36"/>
        <v>89.414486271755365</v>
      </c>
    </row>
    <row r="87" spans="2:26" x14ac:dyDescent="0.15">
      <c r="B87" s="1">
        <v>9</v>
      </c>
      <c r="C87" s="22">
        <f t="shared" si="12"/>
        <v>56.548667764616276</v>
      </c>
      <c r="D87" s="26" t="str">
        <f t="shared" si="13"/>
        <v>0.444252700940329-0.00824801770485543i</v>
      </c>
      <c r="E87" s="1">
        <f t="shared" si="14"/>
        <v>-7.0459017150408769</v>
      </c>
      <c r="F87" s="6">
        <f t="shared" si="23"/>
        <v>-1.0636340877529358</v>
      </c>
      <c r="G87" s="5" t="str">
        <f t="shared" si="16"/>
        <v>191.053837661875+3.48604158751283i</v>
      </c>
      <c r="H87" s="1">
        <f t="shared" si="24"/>
        <v>45.624560972239401</v>
      </c>
      <c r="I87" s="6">
        <f t="shared" si="25"/>
        <v>1.0453247683051203</v>
      </c>
      <c r="J87" s="26" t="str">
        <f t="shared" si="17"/>
        <v>84.9049363390369-0.0271320447728325i</v>
      </c>
      <c r="K87" s="1">
        <f t="shared" si="26"/>
        <v>38.578659257198531</v>
      </c>
      <c r="L87" s="6">
        <f t="shared" si="27"/>
        <v>-1.8309319447814398E-2</v>
      </c>
      <c r="M87" s="26">
        <f t="shared" si="18"/>
        <v>0.11294117647058823</v>
      </c>
      <c r="N87" s="6">
        <f t="shared" si="19"/>
        <v>2.5000000000000001E-2</v>
      </c>
      <c r="O87" s="5" t="str">
        <f t="shared" si="20"/>
        <v>2.35247522629286-250.125860911725i</v>
      </c>
      <c r="P87" s="1">
        <f t="shared" si="21"/>
        <v>47.963556076537699</v>
      </c>
      <c r="Q87" s="6">
        <f t="shared" si="28"/>
        <v>-89.461139574664301</v>
      </c>
      <c r="R87" s="5" t="str">
        <f t="shared" si="29"/>
        <v>17.7630518257025-0.461395136568301i</v>
      </c>
      <c r="S87" s="1">
        <f t="shared" si="30"/>
        <v>24.993280855950562</v>
      </c>
      <c r="T87" s="6">
        <f t="shared" si="31"/>
        <v>-1.4879228648971172</v>
      </c>
      <c r="U87" t="str">
        <f>IMPRODUCT(COMPLEX(-1,0),IMDIV(COMPLEX(1,C87*Calculations!$B$171*Calculations!$B$173),IMPRODUCT(COMPLEX(0,C87*Calculations!$B$160),COMPLEX((Calculations!$B$173+Calculations!$B$175),C87*Calculations!$B$171*Calculations!$B$173*Calculations!$B$175))))</f>
        <v>-0.409594635132958+28.2956944752059i</v>
      </c>
      <c r="V87">
        <f t="shared" si="32"/>
        <v>29.035317077262043</v>
      </c>
      <c r="W87">
        <f t="shared" si="33"/>
        <v>90.829327760908313</v>
      </c>
      <c r="X87" t="str">
        <f t="shared" si="34"/>
        <v>5.77984508528611+502.806872379941i</v>
      </c>
      <c r="Y87">
        <f t="shared" si="35"/>
        <v>54.028597933212609</v>
      </c>
      <c r="Z87">
        <f t="shared" si="36"/>
        <v>89.341404896011198</v>
      </c>
    </row>
    <row r="88" spans="2:26" x14ac:dyDescent="0.15">
      <c r="B88" s="1">
        <v>10</v>
      </c>
      <c r="C88" s="22">
        <f t="shared" si="12"/>
        <v>62.831853071795862</v>
      </c>
      <c r="D88" s="26" t="str">
        <f t="shared" si="13"/>
        <v>0.44420775405763-0.00916330312740593i</v>
      </c>
      <c r="E88" s="1">
        <f t="shared" si="14"/>
        <v>-7.0464296269312712</v>
      </c>
      <c r="F88" s="6">
        <f t="shared" si="23"/>
        <v>-1.181753670756865</v>
      </c>
      <c r="G88" s="5" t="str">
        <f t="shared" si="16"/>
        <v>191.058236247431+3.87336141969675i</v>
      </c>
      <c r="H88" s="1">
        <f t="shared" si="24"/>
        <v>45.625099879528719</v>
      </c>
      <c r="I88" s="6">
        <f t="shared" si="25"/>
        <v>1.1614095759894991</v>
      </c>
      <c r="J88" s="26" t="str">
        <f t="shared" si="17"/>
        <v>84.9050428024939-0.0301473568257798i</v>
      </c>
      <c r="K88" s="1">
        <f t="shared" si="26"/>
        <v>38.578670252597426</v>
      </c>
      <c r="L88" s="6">
        <f t="shared" si="27"/>
        <v>-2.0344094767366098E-2</v>
      </c>
      <c r="M88" s="26">
        <f t="shared" si="18"/>
        <v>0.11294117647058823</v>
      </c>
      <c r="N88" s="6">
        <f t="shared" si="19"/>
        <v>2.5000000000000001E-2</v>
      </c>
      <c r="O88" s="5" t="str">
        <f t="shared" si="20"/>
        <v>2.35247522131255-225.113322001624i</v>
      </c>
      <c r="P88" s="1">
        <f t="shared" si="21"/>
        <v>47.048498189339185</v>
      </c>
      <c r="Q88" s="6">
        <f t="shared" si="28"/>
        <v>-89.401270461531297</v>
      </c>
      <c r="R88" s="5" t="str">
        <f t="shared" si="29"/>
        <v>17.7596019902708-0.512538130691077i</v>
      </c>
      <c r="S88" s="1">
        <f t="shared" si="30"/>
        <v>24.992280247179778</v>
      </c>
      <c r="T88" s="6">
        <f t="shared" si="31"/>
        <v>-1.6530845055411278</v>
      </c>
      <c r="U88" t="str">
        <f>IMPRODUCT(COMPLEX(-1,0),IMDIV(COMPLEX(1,C88*Calculations!$B$171*Calculations!$B$173),IMPRODUCT(COMPLEX(0,C88*Calculations!$B$160),COMPLEX((Calculations!$B$173+Calculations!$B$175),C88*Calculations!$B$171*Calculations!$B$173*Calculations!$B$175))))</f>
        <v>-0.409593376727706+25.4664379673986i</v>
      </c>
      <c r="V88">
        <f t="shared" si="32"/>
        <v>28.120487379278821</v>
      </c>
      <c r="W88">
        <f t="shared" si="33"/>
        <v>90.921446044059351</v>
      </c>
      <c r="X88" t="str">
        <f t="shared" si="34"/>
        <v>5.77830516263564+452.483734634572i</v>
      </c>
      <c r="Y88">
        <f t="shared" si="35"/>
        <v>53.112767626458613</v>
      </c>
      <c r="Z88">
        <f t="shared" si="36"/>
        <v>89.268361538518221</v>
      </c>
    </row>
    <row r="89" spans="2:26" x14ac:dyDescent="0.15">
      <c r="B89" s="1">
        <v>20</v>
      </c>
      <c r="C89" s="22">
        <f t="shared" si="12"/>
        <v>125.66370614359172</v>
      </c>
      <c r="D89" s="26" t="str">
        <f t="shared" si="13"/>
        <v>0.443499572895833-0.0182900212655804i</v>
      </c>
      <c r="E89" s="1">
        <f t="shared" si="14"/>
        <v>-7.0547558660421448</v>
      </c>
      <c r="F89" s="6">
        <f t="shared" si="23"/>
        <v>-2.3615525198177534</v>
      </c>
      <c r="G89" s="5" t="str">
        <f t="shared" si="16"/>
        <v>191.127684427858+7.74615058577932i</v>
      </c>
      <c r="H89" s="1">
        <f t="shared" si="24"/>
        <v>45.633599715868883</v>
      </c>
      <c r="I89" s="6">
        <f t="shared" si="25"/>
        <v>2.3208514945299386</v>
      </c>
      <c r="J89" s="26" t="str">
        <f t="shared" si="17"/>
        <v>84.9067236712648-0.0603149362467148i</v>
      </c>
      <c r="K89" s="1">
        <f t="shared" si="26"/>
        <v>38.578843849826733</v>
      </c>
      <c r="L89" s="6">
        <f t="shared" si="27"/>
        <v>-4.0701025287806301E-2</v>
      </c>
      <c r="M89" s="26">
        <f t="shared" si="18"/>
        <v>0.11294117647058823</v>
      </c>
      <c r="N89" s="6">
        <f t="shared" si="19"/>
        <v>2.5000000000000001E-2</v>
      </c>
      <c r="O89" s="5" t="str">
        <f t="shared" si="20"/>
        <v>2.35247514267598-112.557033482947i</v>
      </c>
      <c r="P89" s="1">
        <f t="shared" si="21"/>
        <v>41.029349449985006</v>
      </c>
      <c r="Q89" s="6">
        <f t="shared" si="28"/>
        <v>-88.802675656222604</v>
      </c>
      <c r="R89" s="5" t="str">
        <f t="shared" si="29"/>
        <v>17.7053514105206-1.02120364190334i</v>
      </c>
      <c r="S89" s="1">
        <f t="shared" si="30"/>
        <v>24.976514780002468</v>
      </c>
      <c r="T89" s="6">
        <f t="shared" si="31"/>
        <v>-3.3010305069080719</v>
      </c>
      <c r="U89" t="str">
        <f>IMPRODUCT(COMPLEX(-1,0),IMDIV(COMPLEX(1,C89*Calculations!$B$171*Calculations!$B$173),IMPRODUCT(COMPLEX(0,C89*Calculations!$B$160),COMPLEX((Calculations!$B$173+Calculations!$B$175),C89*Calculations!$B$171*Calculations!$B$173*Calculations!$B$175))))</f>
        <v>-0.409573508195949+12.7356894329502i</v>
      </c>
      <c r="V89">
        <f t="shared" si="32"/>
        <v>22.104938500028201</v>
      </c>
      <c r="W89">
        <f t="shared" si="33"/>
        <v>91.841969254559388</v>
      </c>
      <c r="X89" t="str">
        <f t="shared" si="34"/>
        <v>5.75408954002961+225.908114823834i</v>
      </c>
      <c r="Y89">
        <f t="shared" si="35"/>
        <v>47.081453280030672</v>
      </c>
      <c r="Z89">
        <f t="shared" si="36"/>
        <v>88.540938747651325</v>
      </c>
    </row>
    <row r="90" spans="2:26" x14ac:dyDescent="0.15">
      <c r="B90" s="1">
        <v>30</v>
      </c>
      <c r="C90" s="22">
        <f t="shared" si="12"/>
        <v>188.49555921538757</v>
      </c>
      <c r="D90" s="26" t="str">
        <f t="shared" si="13"/>
        <v>0.442325533350493-0.0273440547026176i</v>
      </c>
      <c r="E90" s="1">
        <f t="shared" si="14"/>
        <v>-7.0685945682555147</v>
      </c>
      <c r="F90" s="6">
        <f t="shared" si="23"/>
        <v>-3.5374574269732029</v>
      </c>
      <c r="G90" s="5" t="str">
        <f t="shared" si="16"/>
        <v>191.243418144509+11.6177953673257i</v>
      </c>
      <c r="H90" s="1">
        <f t="shared" si="24"/>
        <v>45.647727686901277</v>
      </c>
      <c r="I90" s="6">
        <f t="shared" si="25"/>
        <v>3.4763738049047004</v>
      </c>
      <c r="J90" s="26" t="str">
        <f t="shared" si="17"/>
        <v>84.9095245625891-0.0905229550497962i</v>
      </c>
      <c r="K90" s="1">
        <f t="shared" si="26"/>
        <v>38.57913311864575</v>
      </c>
      <c r="L90" s="6">
        <f t="shared" si="27"/>
        <v>-6.1083622068500973E-2</v>
      </c>
      <c r="M90" s="26">
        <f t="shared" si="18"/>
        <v>0.11294117647058823</v>
      </c>
      <c r="N90" s="6">
        <f t="shared" si="19"/>
        <v>2.5000000000000001E-2</v>
      </c>
      <c r="O90" s="5" t="str">
        <f t="shared" si="20"/>
        <v>2.35247501161503-75.0384361909661i</v>
      </c>
      <c r="P90" s="1">
        <f t="shared" si="21"/>
        <v>37.509941814823136</v>
      </c>
      <c r="Q90" s="6">
        <f t="shared" si="28"/>
        <v>-88.204350137224253</v>
      </c>
      <c r="R90" s="5" t="str">
        <f t="shared" si="29"/>
        <v>17.6158458964949-1.52222172903505i</v>
      </c>
      <c r="S90" s="1">
        <f t="shared" si="30"/>
        <v>24.950378542652931</v>
      </c>
      <c r="T90" s="6">
        <f t="shared" si="31"/>
        <v>-4.938778662276988</v>
      </c>
      <c r="U90" t="str">
        <f>IMPRODUCT(COMPLEX(-1,0),IMDIV(COMPLEX(1,C90*Calculations!$B$171*Calculations!$B$173),IMPRODUCT(COMPLEX(0,C90*Calculations!$B$160),COMPLEX((Calculations!$B$173+Calculations!$B$175),C90*Calculations!$B$171*Calculations!$B$173*Calculations!$B$175))))</f>
        <v>-0.409540398259481+8.49320421053681i</v>
      </c>
      <c r="V90">
        <f t="shared" si="32"/>
        <v>18.591517590115831</v>
      </c>
      <c r="W90">
        <f t="shared" si="33"/>
        <v>92.760651296672947</v>
      </c>
      <c r="X90" t="str">
        <f t="shared" si="34"/>
        <v>5.71413945428294+150.238387833426i</v>
      </c>
      <c r="Y90">
        <f t="shared" si="35"/>
        <v>43.541896132768741</v>
      </c>
      <c r="Z90">
        <f t="shared" si="36"/>
        <v>87.821872634395959</v>
      </c>
    </row>
    <row r="91" spans="2:26" x14ac:dyDescent="0.15">
      <c r="B91" s="1">
        <v>40</v>
      </c>
      <c r="C91" s="22">
        <f t="shared" si="12"/>
        <v>251.32741228718345</v>
      </c>
      <c r="D91" s="26" t="str">
        <f t="shared" si="13"/>
        <v>0.440694898782526-0.0362902608262291i</v>
      </c>
      <c r="E91" s="1">
        <f t="shared" si="14"/>
        <v>-7.0878887227928287</v>
      </c>
      <c r="F91" s="6">
        <f t="shared" si="23"/>
        <v>-4.7075603633760741</v>
      </c>
      <c r="G91" s="5" t="str">
        <f t="shared" si="16"/>
        <v>191.40541752487+15.4877238787635i</v>
      </c>
      <c r="H91" s="1">
        <f t="shared" si="24"/>
        <v>45.667426692039399</v>
      </c>
      <c r="I91" s="6">
        <f t="shared" si="25"/>
        <v>4.6260556582471457</v>
      </c>
      <c r="J91" s="26" t="str">
        <f t="shared" si="17"/>
        <v>84.9134446417145-0.12079161840742i</v>
      </c>
      <c r="K91" s="1">
        <f t="shared" si="26"/>
        <v>38.579537969246559</v>
      </c>
      <c r="L91" s="6">
        <f t="shared" si="27"/>
        <v>-8.1504705128927823E-2</v>
      </c>
      <c r="M91" s="26">
        <f t="shared" si="18"/>
        <v>0.11294117647058823</v>
      </c>
      <c r="N91" s="6">
        <f t="shared" si="19"/>
        <v>2.5000000000000001E-2</v>
      </c>
      <c r="O91" s="5" t="str">
        <f t="shared" si="20"/>
        <v>2.35247482812972-56.2792617056183i</v>
      </c>
      <c r="P91" s="1">
        <f t="shared" si="21"/>
        <v>35.014549387266463</v>
      </c>
      <c r="Q91" s="6">
        <f t="shared" si="28"/>
        <v>-87.606428098268054</v>
      </c>
      <c r="R91" s="5" t="str">
        <f t="shared" si="29"/>
        <v>17.4924176460785-2.01200807209272i</v>
      </c>
      <c r="S91" s="1">
        <f t="shared" si="30"/>
        <v>24.914077148247245</v>
      </c>
      <c r="T91" s="6">
        <f t="shared" si="31"/>
        <v>-6.5614249661081061</v>
      </c>
      <c r="U91" t="str">
        <f>IMPRODUCT(COMPLEX(-1,0),IMDIV(COMPLEX(1,C91*Calculations!$B$171*Calculations!$B$173),IMPRODUCT(COMPLEX(0,C91*Calculations!$B$160),COMPLEX((Calculations!$B$173+Calculations!$B$175),C91*Calculations!$B$171*Calculations!$B$173*Calculations!$B$175))))</f>
        <v>-0.409494053340811+6.37278441684528i</v>
      </c>
      <c r="V91">
        <f t="shared" si="32"/>
        <v>16.104479307463219</v>
      </c>
      <c r="W91">
        <f t="shared" si="33"/>
        <v>93.676582778753414</v>
      </c>
      <c r="X91" t="str">
        <f t="shared" si="34"/>
        <v>5.65905268377639+112.299311928674i</v>
      </c>
      <c r="Y91">
        <f t="shared" si="35"/>
        <v>41.018556455710453</v>
      </c>
      <c r="Z91">
        <f t="shared" si="36"/>
        <v>87.115157812645307</v>
      </c>
    </row>
    <row r="92" spans="2:26" x14ac:dyDescent="0.15">
      <c r="B92" s="1">
        <v>50</v>
      </c>
      <c r="C92" s="22">
        <f t="shared" si="12"/>
        <v>314.15926535897933</v>
      </c>
      <c r="D92" s="26" t="str">
        <f t="shared" si="13"/>
        <v>0.438620382368658-0.045094899671722i</v>
      </c>
      <c r="E92" s="1">
        <f t="shared" si="14"/>
        <v>-7.1125595667552641</v>
      </c>
      <c r="F92" s="6">
        <f t="shared" si="23"/>
        <v>-5.8699991696727434</v>
      </c>
      <c r="G92" s="5" t="str">
        <f t="shared" si="16"/>
        <v>191.613654754574+19.3553646024553i</v>
      </c>
      <c r="H92" s="1">
        <f t="shared" si="24"/>
        <v>45.692617842726939</v>
      </c>
      <c r="I92" s="6">
        <f t="shared" si="25"/>
        <v>5.7680220909046254</v>
      </c>
      <c r="J92" s="26" t="str">
        <f t="shared" si="17"/>
        <v>84.9184827403647-0.151141114075782i</v>
      </c>
      <c r="K92" s="1">
        <f t="shared" si="26"/>
        <v>38.580058275971687</v>
      </c>
      <c r="L92" s="6">
        <f t="shared" si="27"/>
        <v>-0.10197707876813468</v>
      </c>
      <c r="M92" s="26">
        <f t="shared" si="18"/>
        <v>0.11294117647058823</v>
      </c>
      <c r="N92" s="6">
        <f t="shared" si="19"/>
        <v>2.5000000000000001E-2</v>
      </c>
      <c r="O92" s="5" t="str">
        <f t="shared" si="20"/>
        <v>2.35247459222009-45.0238563428768i</v>
      </c>
      <c r="P92" s="1">
        <f t="shared" si="21"/>
        <v>33.080693936677612</v>
      </c>
      <c r="Q92" s="6">
        <f t="shared" si="28"/>
        <v>-87.009043195456215</v>
      </c>
      <c r="R92" s="5" t="str">
        <f t="shared" si="29"/>
        <v>17.3368623420971-2.4872516739241i</v>
      </c>
      <c r="S92" s="1">
        <f t="shared" si="30"/>
        <v>24.867891256387754</v>
      </c>
      <c r="T92" s="6">
        <f t="shared" si="31"/>
        <v>-8.1642911543997734</v>
      </c>
      <c r="U92" t="str">
        <f>IMPRODUCT(COMPLEX(-1,0),IMDIV(COMPLEX(1,C92*Calculations!$B$171*Calculations!$B$173),IMPRODUCT(COMPLEX(0,C92*Calculations!$B$160),COMPLEX((Calculations!$B$173+Calculations!$B$175),C92*Calculations!$B$171*Calculations!$B$173*Calculations!$B$175))))</f>
        <v>-0.409434482427095+5.10119034765822i</v>
      </c>
      <c r="V92">
        <f t="shared" si="32"/>
        <v>14.181318429477505</v>
      </c>
      <c r="W92">
        <f t="shared" si="33"/>
        <v>94.58886758943342</v>
      </c>
      <c r="X92" t="str">
        <f t="shared" si="34"/>
        <v>5.58963497127205+89.457001439964i</v>
      </c>
      <c r="Y92">
        <f t="shared" si="35"/>
        <v>39.04920968586525</v>
      </c>
      <c r="Z92">
        <f t="shared" si="36"/>
        <v>86.424576435033643</v>
      </c>
    </row>
    <row r="93" spans="2:26" x14ac:dyDescent="0.15">
      <c r="B93" s="1">
        <v>60</v>
      </c>
      <c r="C93" s="22">
        <f t="shared" si="12"/>
        <v>376.99111843077515</v>
      </c>
      <c r="D93" s="26" t="str">
        <f t="shared" si="13"/>
        <v>0.436117902764846-0.0537260416023341i</v>
      </c>
      <c r="E93" s="1">
        <f t="shared" si="14"/>
        <v>-7.1425076026547449</v>
      </c>
      <c r="F93" s="6">
        <f t="shared" si="23"/>
        <v>-7.0229714445359832</v>
      </c>
      <c r="G93" s="5" t="str">
        <f t="shared" si="16"/>
        <v>191.868094084554+23.2201465111803i</v>
      </c>
      <c r="H93" s="1">
        <f t="shared" si="24"/>
        <v>45.723201480042341</v>
      </c>
      <c r="I93" s="6">
        <f t="shared" si="25"/>
        <v>6.9004579181914556</v>
      </c>
      <c r="J93" s="26" t="str">
        <f t="shared" si="17"/>
        <v>84.9246373571156-0.181591606598868i</v>
      </c>
      <c r="K93" s="1">
        <f t="shared" si="26"/>
        <v>38.580693877387574</v>
      </c>
      <c r="L93" s="6">
        <f t="shared" si="27"/>
        <v>-0.12251352634451124</v>
      </c>
      <c r="M93" s="26">
        <f t="shared" si="18"/>
        <v>0.11294117647058823</v>
      </c>
      <c r="N93" s="6">
        <f t="shared" si="19"/>
        <v>2.5000000000000001E-2</v>
      </c>
      <c r="O93" s="5" t="str">
        <f t="shared" si="20"/>
        <v>2.35247430388616-37.5203355413888i</v>
      </c>
      <c r="P93" s="1">
        <f t="shared" si="21"/>
        <v>31.502373441233967</v>
      </c>
      <c r="Q93" s="6">
        <f t="shared" si="28"/>
        <v>-86.412328370838182</v>
      </c>
      <c r="R93" s="5" t="str">
        <f t="shared" si="29"/>
        <v>17.1513754595839-2.9449840365255i</v>
      </c>
      <c r="S93" s="1">
        <f t="shared" si="30"/>
        <v>24.812169820469432</v>
      </c>
      <c r="T93" s="6">
        <f t="shared" si="31"/>
        <v>-9.7429869543008607</v>
      </c>
      <c r="U93" t="str">
        <f>IMPRODUCT(COMPLEX(-1,0),IMDIV(COMPLEX(1,C93*Calculations!$B$171*Calculations!$B$173),IMPRODUCT(COMPLEX(0,C93*Calculations!$B$160),COMPLEX((Calculations!$B$173+Calculations!$B$175),C93*Calculations!$B$171*Calculations!$B$173*Calculations!$B$175))))</f>
        <v>-0.409361697065776+4.25400866212114i</v>
      </c>
      <c r="V93">
        <f t="shared" si="32"/>
        <v>12.615998622911857</v>
      </c>
      <c r="W93">
        <f t="shared" si="33"/>
        <v>95.496627076701415</v>
      </c>
      <c r="X93" t="str">
        <f t="shared" si="34"/>
        <v>5.50687143604039+74.1676634353855i</v>
      </c>
      <c r="Y93">
        <f t="shared" si="35"/>
        <v>37.428168443381288</v>
      </c>
      <c r="Z93">
        <f t="shared" si="36"/>
        <v>85.75364012240054</v>
      </c>
    </row>
    <row r="94" spans="2:26" x14ac:dyDescent="0.15">
      <c r="B94" s="1">
        <v>70</v>
      </c>
      <c r="C94" s="22">
        <f t="shared" si="12"/>
        <v>439.82297150257102</v>
      </c>
      <c r="D94" s="26" t="str">
        <f t="shared" si="13"/>
        <v>0.433206285217192-0.0621539272581875i</v>
      </c>
      <c r="E94" s="1">
        <f t="shared" si="14"/>
        <v>-7.1776138589693304</v>
      </c>
      <c r="F94" s="6">
        <f t="shared" si="23"/>
        <v>-8.1647472975345501</v>
      </c>
      <c r="G94" s="5" t="str">
        <f t="shared" si="16"/>
        <v>192.168691840228+27.0814991904731i</v>
      </c>
      <c r="H94" s="1">
        <f t="shared" si="24"/>
        <v>45.759058435348258</v>
      </c>
      <c r="I94" s="6">
        <f t="shared" si="25"/>
        <v>8.0216204924613841</v>
      </c>
      <c r="J94" s="26" t="str">
        <f t="shared" si="17"/>
        <v>84.9319066578796-0.212163231521328i</v>
      </c>
      <c r="K94" s="1">
        <f t="shared" si="26"/>
        <v>38.5814445763789</v>
      </c>
      <c r="L94" s="6">
        <f t="shared" si="27"/>
        <v>-0.14312680507315831</v>
      </c>
      <c r="M94" s="26">
        <f t="shared" si="18"/>
        <v>0.11294117647058823</v>
      </c>
      <c r="N94" s="6">
        <f t="shared" si="19"/>
        <v>2.5000000000000001E-2</v>
      </c>
      <c r="O94" s="5" t="str">
        <f t="shared" si="20"/>
        <v>2.35247396312797-32.1607487748508i</v>
      </c>
      <c r="P94" s="1">
        <f t="shared" si="21"/>
        <v>30.169698172089554</v>
      </c>
      <c r="Q94" s="6">
        <f t="shared" si="28"/>
        <v>-85.816415678353238</v>
      </c>
      <c r="R94" s="5" t="str">
        <f t="shared" si="29"/>
        <v>16.9384778271066-3.38263198629588i</v>
      </c>
      <c r="S94" s="1">
        <f t="shared" si="30"/>
        <v>24.747321999243287</v>
      </c>
      <c r="T94" s="6">
        <f t="shared" si="31"/>
        <v>-11.293462327238995</v>
      </c>
      <c r="U94" t="str">
        <f>IMPRODUCT(COMPLEX(-1,0),IMDIV(COMPLEX(1,C94*Calculations!$B$171*Calculations!$B$173),IMPRODUCT(COMPLEX(0,C94*Calculations!$B$160),COMPLEX((Calculations!$B$173+Calculations!$B$175),C94*Calculations!$B$171*Calculations!$B$173*Calculations!$B$175))))</f>
        <v>-0.409275711358988+3.64934783768204i</v>
      </c>
      <c r="V94">
        <f t="shared" si="32"/>
        <v>11.298588813267465</v>
      </c>
      <c r="W94">
        <f t="shared" si="33"/>
        <v>96.399004021764767</v>
      </c>
      <c r="X94" t="str">
        <f t="shared" si="34"/>
        <v>5.41189316283547+63.1988265444336i</v>
      </c>
      <c r="Y94">
        <f t="shared" si="35"/>
        <v>36.045910812510762</v>
      </c>
      <c r="Z94">
        <f t="shared" si="36"/>
        <v>85.105541694525783</v>
      </c>
    </row>
    <row r="95" spans="2:26" x14ac:dyDescent="0.15">
      <c r="B95" s="1">
        <v>80</v>
      </c>
      <c r="C95" s="22">
        <f t="shared" si="12"/>
        <v>502.6548245743669</v>
      </c>
      <c r="D95" s="26" t="str">
        <f t="shared" si="13"/>
        <v>0.429906918352099-0.0703512720244405i</v>
      </c>
      <c r="E95" s="1">
        <f t="shared" si="14"/>
        <v>-7.2177413609878478</v>
      </c>
      <c r="F95" s="6">
        <f t="shared" si="23"/>
        <v>-9.2936807597759383</v>
      </c>
      <c r="G95" s="5" t="str">
        <f t="shared" si="16"/>
        <v>192.515396432731+30.9388529607866i</v>
      </c>
      <c r="H95" s="1">
        <f t="shared" si="24"/>
        <v>45.800051501251588</v>
      </c>
      <c r="I95" s="6">
        <f t="shared" si="25"/>
        <v>9.1298511189313203</v>
      </c>
      <c r="J95" s="26" t="str">
        <f t="shared" si="17"/>
        <v>84.9402884764963-0.242876089611533i</v>
      </c>
      <c r="K95" s="1">
        <f t="shared" si="26"/>
        <v>38.582310140263715</v>
      </c>
      <c r="L95" s="6">
        <f t="shared" si="27"/>
        <v>-0.1638296408445877</v>
      </c>
      <c r="M95" s="26">
        <f t="shared" si="18"/>
        <v>0.11294117647058823</v>
      </c>
      <c r="N95" s="6">
        <f t="shared" si="19"/>
        <v>2.5000000000000001E-2</v>
      </c>
      <c r="O95" s="5" t="str">
        <f t="shared" si="20"/>
        <v>2.35247356994557-28.1411207801025i</v>
      </c>
      <c r="P95" s="1">
        <f t="shared" si="21"/>
        <v>29.017071714771884</v>
      </c>
      <c r="Q95" s="6">
        <f t="shared" si="28"/>
        <v>-85.221436112703373</v>
      </c>
      <c r="R95" s="5" t="str">
        <f t="shared" si="29"/>
        <v>16.7009349355259-3.79805274420605i</v>
      </c>
      <c r="S95" s="1">
        <f t="shared" si="30"/>
        <v>24.67380810765674</v>
      </c>
      <c r="T95" s="6">
        <f t="shared" si="31"/>
        <v>-12.812048478544613</v>
      </c>
      <c r="U95" t="str">
        <f>IMPRODUCT(COMPLEX(-1,0),IMDIV(COMPLEX(1,C95*Calculations!$B$171*Calculations!$B$173),IMPRODUCT(COMPLEX(0,C95*Calculations!$B$160),COMPLEX((Calculations!$B$173+Calculations!$B$175),C95*Calculations!$B$171*Calculations!$B$173*Calculations!$B$175))))</f>
        <v>-0.409176541956739+3.1962620338646i</v>
      </c>
      <c r="V95">
        <f t="shared" si="32"/>
        <v>10.163444544974467</v>
      </c>
      <c r="W95">
        <f t="shared" si="33"/>
        <v>97.295166364957879</v>
      </c>
      <c r="X95" t="str">
        <f t="shared" si="34"/>
        <v>5.30594098455807+54.9346383525079i</v>
      </c>
      <c r="Y95">
        <f t="shared" si="35"/>
        <v>34.837252652631207</v>
      </c>
      <c r="Z95">
        <f t="shared" si="36"/>
        <v>84.483117886413268</v>
      </c>
    </row>
    <row r="96" spans="2:26" x14ac:dyDescent="0.15">
      <c r="B96" s="1">
        <v>90</v>
      </c>
      <c r="C96" s="22">
        <f t="shared" si="12"/>
        <v>565.48667764616278</v>
      </c>
      <c r="D96" s="26" t="str">
        <f t="shared" si="13"/>
        <v>0.426243377930351-0.0782935096282966i</v>
      </c>
      <c r="E96" s="1">
        <f t="shared" si="14"/>
        <v>-7.2627367750474612</v>
      </c>
      <c r="F96" s="6">
        <f t="shared" si="23"/>
        <v>-10.408219690806947</v>
      </c>
      <c r="G96" s="5" t="str">
        <f t="shared" si="16"/>
        <v>192.908148372172+34.7916389994437i</v>
      </c>
      <c r="H96" s="1">
        <f t="shared" si="24"/>
        <v>45.846027075976615</v>
      </c>
      <c r="I96" s="6">
        <f t="shared" si="25"/>
        <v>10.22358496773769</v>
      </c>
      <c r="J96" s="26" t="str">
        <f t="shared" si="17"/>
        <v>84.9497803154308-0.27375024109729i</v>
      </c>
      <c r="K96" s="1">
        <f t="shared" si="26"/>
        <v>38.583290300929121</v>
      </c>
      <c r="L96" s="6">
        <f t="shared" si="27"/>
        <v>-0.18463472306924969</v>
      </c>
      <c r="M96" s="26">
        <f t="shared" si="18"/>
        <v>0.11294117647058823</v>
      </c>
      <c r="N96" s="6">
        <f t="shared" si="19"/>
        <v>2.5000000000000001E-2</v>
      </c>
      <c r="O96" s="5" t="str">
        <f t="shared" si="20"/>
        <v>2.352473124339-25.0147986331585i</v>
      </c>
      <c r="P96" s="1">
        <f t="shared" si="21"/>
        <v>28.002180955484562</v>
      </c>
      <c r="Q96" s="6">
        <f t="shared" si="28"/>
        <v>-84.627519441702418</v>
      </c>
      <c r="R96" s="5" t="str">
        <f t="shared" si="29"/>
        <v>16.4416744767438-4.1895511184685i</v>
      </c>
      <c r="S96" s="1">
        <f t="shared" si="30"/>
        <v>24.592129998528808</v>
      </c>
      <c r="T96" s="6">
        <f t="shared" si="31"/>
        <v>-14.295487058247661</v>
      </c>
      <c r="U96" t="str">
        <f>IMPRODUCT(COMPLEX(-1,0),IMDIV(COMPLEX(1,C96*Calculations!$B$171*Calculations!$B$173),IMPRODUCT(COMPLEX(0,C96*Calculations!$B$160),COMPLEX((Calculations!$B$173+Calculations!$B$175),C96*Calculations!$B$171*Calculations!$B$173*Calculations!$B$175))))</f>
        <v>-0.409064208048856+2.8442257135596i</v>
      </c>
      <c r="V96">
        <f t="shared" si="32"/>
        <v>9.1681983545532191</v>
      </c>
      <c r="W96">
        <f t="shared" si="33"/>
        <v>98.184310646216701</v>
      </c>
      <c r="X96" t="str">
        <f t="shared" si="34"/>
        <v>5.1903284705942+48.4776287310878i</v>
      </c>
      <c r="Y96">
        <f t="shared" si="35"/>
        <v>33.760328353082031</v>
      </c>
      <c r="Z96">
        <f t="shared" si="36"/>
        <v>83.888823587969043</v>
      </c>
    </row>
    <row r="97" spans="2:26" x14ac:dyDescent="0.15">
      <c r="B97" s="1">
        <v>100</v>
      </c>
      <c r="C97" s="22">
        <f t="shared" si="12"/>
        <v>628.31853071795865</v>
      </c>
      <c r="D97" s="26" t="str">
        <f t="shared" si="13"/>
        <v>0.422241029329334-0.085958971930292i</v>
      </c>
      <c r="E97" s="1">
        <f t="shared" si="14"/>
        <v>-7.3124321866359967</v>
      </c>
      <c r="F97" s="6">
        <f t="shared" si="23"/>
        <v>-11.506914068502759</v>
      </c>
      <c r="G97" s="5" t="str">
        <f t="shared" si="16"/>
        <v>193.346880282927+38.6392894623424i</v>
      </c>
      <c r="H97" s="1">
        <f t="shared" si="24"/>
        <v>45.89681694162352</v>
      </c>
      <c r="I97" s="6">
        <f t="shared" si="25"/>
        <v>11.301359368950802</v>
      </c>
      <c r="J97" s="26" t="str">
        <f t="shared" si="17"/>
        <v>84.9603793465785-0.304805699916098i</v>
      </c>
      <c r="K97" s="1">
        <f t="shared" si="26"/>
        <v>38.584384754987518</v>
      </c>
      <c r="L97" s="6">
        <f t="shared" si="27"/>
        <v>-0.20555469955194963</v>
      </c>
      <c r="M97" s="26">
        <f t="shared" si="18"/>
        <v>0.11294117647058823</v>
      </c>
      <c r="N97" s="6">
        <f t="shared" si="19"/>
        <v>2.5000000000000001E-2</v>
      </c>
      <c r="O97" s="5" t="str">
        <f t="shared" si="20"/>
        <v>2.35247262630832-22.5137905796211i</v>
      </c>
      <c r="P97" s="1">
        <f t="shared" si="21"/>
        <v>27.096132688198942</v>
      </c>
      <c r="Q97" s="6">
        <f t="shared" si="28"/>
        <v>-84.034794042626046</v>
      </c>
      <c r="R97" s="5" t="str">
        <f t="shared" si="29"/>
        <v>16.1637062196685-4.55587984511634i</v>
      </c>
      <c r="S97" s="1">
        <f t="shared" si="30"/>
        <v>24.502821256403735</v>
      </c>
      <c r="T97" s="6">
        <f t="shared" si="31"/>
        <v>-15.740947600745844</v>
      </c>
      <c r="U97" t="str">
        <f>IMPRODUCT(COMPLEX(-1,0),IMDIV(COMPLEX(1,C97*Calculations!$B$171*Calculations!$B$173),IMPRODUCT(COMPLEX(0,C97*Calculations!$B$160),COMPLEX((Calculations!$B$173+Calculations!$B$175),C97*Calculations!$B$171*Calculations!$B$173*Calculations!$B$175))))</f>
        <v>-0.408938731355707+2.56292349157202i</v>
      </c>
      <c r="V97">
        <f t="shared" si="32"/>
        <v>8.2838968065490093</v>
      </c>
      <c r="W97">
        <f t="shared" si="33"/>
        <v>99.065665128540545</v>
      </c>
      <c r="X97" t="str">
        <f t="shared" si="34"/>
        <v>5.06640596435057+43.2894181053281i</v>
      </c>
      <c r="Y97">
        <f t="shared" si="35"/>
        <v>32.786718062952744</v>
      </c>
      <c r="Z97">
        <f t="shared" si="36"/>
        <v>83.324717527794718</v>
      </c>
    </row>
    <row r="98" spans="2:26" x14ac:dyDescent="0.15">
      <c r="B98" s="1">
        <v>200</v>
      </c>
      <c r="C98" s="22">
        <f t="shared" si="12"/>
        <v>1256.6370614359173</v>
      </c>
      <c r="D98" s="26" t="str">
        <f t="shared" si="13"/>
        <v>0.369662876707679-0.144755810055844i</v>
      </c>
      <c r="E98" s="1">
        <f t="shared" si="14"/>
        <v>-8.0243032017661111</v>
      </c>
      <c r="F98" s="6">
        <f t="shared" si="23"/>
        <v>-21.384750332884551</v>
      </c>
      <c r="G98" s="5" t="str">
        <f t="shared" si="16"/>
        <v>200.242677587484+76.709353420651i</v>
      </c>
      <c r="H98" s="1">
        <f t="shared" si="24"/>
        <v>46.625827080050399</v>
      </c>
      <c r="I98" s="6">
        <f t="shared" si="25"/>
        <v>20.960933979983366</v>
      </c>
      <c r="J98" s="26" t="str">
        <f t="shared" si="17"/>
        <v>85.126408829904-0.62969074606351i</v>
      </c>
      <c r="K98" s="1">
        <f t="shared" si="26"/>
        <v>38.601523878284283</v>
      </c>
      <c r="L98" s="6">
        <f t="shared" si="27"/>
        <v>-0.42381635290114872</v>
      </c>
      <c r="M98" s="26">
        <f t="shared" si="18"/>
        <v>0.11294117647058823</v>
      </c>
      <c r="N98" s="6">
        <f t="shared" si="19"/>
        <v>2.5000000000000001E-2</v>
      </c>
      <c r="O98" s="5" t="str">
        <f t="shared" si="20"/>
        <v>2.35246476269414-11.2606200906125i</v>
      </c>
      <c r="P98" s="1">
        <f t="shared" si="21"/>
        <v>21.216768722087366</v>
      </c>
      <c r="Q98" s="6">
        <f t="shared" si="28"/>
        <v>-78.200006526657688</v>
      </c>
      <c r="R98" s="5" t="str">
        <f t="shared" si="29"/>
        <v>12.9559769295961-6.82429750961308i</v>
      </c>
      <c r="S98" s="1">
        <f t="shared" si="30"/>
        <v>23.312822537830478</v>
      </c>
      <c r="T98" s="6">
        <f t="shared" si="31"/>
        <v>-27.777107288367333</v>
      </c>
      <c r="U98" t="str">
        <f>IMPRODUCT(COMPLEX(-1,0),IMDIV(COMPLEX(1,C98*Calculations!$B$171*Calculations!$B$173),IMPRODUCT(COMPLEX(0,C98*Calculations!$B$160),COMPLEX((Calculations!$B$173+Calculations!$B$175),C98*Calculations!$B$171*Calculations!$B$173*Calculations!$B$175))))</f>
        <v>-0.406967674502272+1.30596982714066i</v>
      </c>
      <c r="V98">
        <f t="shared" si="32"/>
        <v>2.7211553846048471</v>
      </c>
      <c r="W98">
        <f t="shared" si="33"/>
        <v>107.30813290347639</v>
      </c>
      <c r="X98" t="str">
        <f t="shared" si="34"/>
        <v>3.63966283704302+19.6973834387819i</v>
      </c>
      <c r="Y98">
        <f t="shared" si="35"/>
        <v>26.033977922435334</v>
      </c>
      <c r="Z98">
        <f t="shared" si="36"/>
        <v>79.531025615109073</v>
      </c>
    </row>
    <row r="99" spans="2:26" x14ac:dyDescent="0.15">
      <c r="B99" s="1">
        <v>300</v>
      </c>
      <c r="C99" s="22">
        <f t="shared" si="12"/>
        <v>1884.9555921538758</v>
      </c>
      <c r="D99" s="26" t="str">
        <f t="shared" si="13"/>
        <v>0.311257353793867-0.171874841885909i</v>
      </c>
      <c r="E99" s="1">
        <f t="shared" si="14"/>
        <v>-8.9817699450112585</v>
      </c>
      <c r="F99" s="6">
        <f t="shared" si="23"/>
        <v>-28.907272605176598</v>
      </c>
      <c r="G99" s="5" t="str">
        <f t="shared" si="16"/>
        <v>211.604731388823+113.653119461174i</v>
      </c>
      <c r="H99" s="1">
        <f t="shared" si="24"/>
        <v>47.61127593324624</v>
      </c>
      <c r="I99" s="6">
        <f t="shared" si="25"/>
        <v>28.240291300004849</v>
      </c>
      <c r="J99" s="26" t="str">
        <f t="shared" si="17"/>
        <v>85.3976406795768-0.994160535861066i</v>
      </c>
      <c r="K99" s="1">
        <f t="shared" si="26"/>
        <v>38.629505988235003</v>
      </c>
      <c r="L99" s="6">
        <f t="shared" si="27"/>
        <v>-0.66698130517183363</v>
      </c>
      <c r="M99" s="26">
        <f t="shared" si="18"/>
        <v>0.11294117647058823</v>
      </c>
      <c r="N99" s="6">
        <f t="shared" si="19"/>
        <v>2.5000000000000001E-2</v>
      </c>
      <c r="O99" s="5" t="str">
        <f t="shared" si="20"/>
        <v>2.35245165678731-7.51121869107464i</v>
      </c>
      <c r="P99" s="1">
        <f t="shared" si="21"/>
        <v>17.920583808674671</v>
      </c>
      <c r="Q99" s="6">
        <f t="shared" si="28"/>
        <v>-72.609874795173965</v>
      </c>
      <c r="R99" s="5" t="str">
        <f t="shared" si="29"/>
        <v>10.1440821726138-7.23499238526611i</v>
      </c>
      <c r="S99" s="1">
        <f t="shared" si="30"/>
        <v>21.910246655072164</v>
      </c>
      <c r="T99" s="6">
        <f t="shared" si="31"/>
        <v>-35.497337851445856</v>
      </c>
      <c r="U99" t="str">
        <f>IMPRODUCT(COMPLEX(-1,0),IMDIV(COMPLEX(1,C99*Calculations!$B$171*Calculations!$B$173),IMPRODUCT(COMPLEX(0,C99*Calculations!$B$160),COMPLEX((Calculations!$B$173+Calculations!$B$175),C99*Calculations!$B$171*Calculations!$B$173*Calculations!$B$175))))</f>
        <v>-0.403724467078117+0.897530535438904i</v>
      </c>
      <c r="V99">
        <f t="shared" si="32"/>
        <v>-0.13875933457257111</v>
      </c>
      <c r="W99">
        <f t="shared" si="33"/>
        <v>114.21902391113376</v>
      </c>
      <c r="X99" t="str">
        <f t="shared" si="34"/>
        <v>2.39821242030915+12.0255669489781i</v>
      </c>
      <c r="Y99">
        <f t="shared" si="35"/>
        <v>21.771487320499595</v>
      </c>
      <c r="Z99">
        <f t="shared" si="36"/>
        <v>78.721686059687926</v>
      </c>
    </row>
    <row r="100" spans="2:26" x14ac:dyDescent="0.15">
      <c r="B100" s="1">
        <v>400</v>
      </c>
      <c r="C100" s="22">
        <f t="shared" si="12"/>
        <v>2513.2741228718346</v>
      </c>
      <c r="D100" s="26" t="str">
        <f t="shared" si="13"/>
        <v>0.261153932959914-0.177399105611748i</v>
      </c>
      <c r="E100" s="1">
        <f t="shared" si="14"/>
        <v>-10.014276142169361</v>
      </c>
      <c r="F100" s="6">
        <f t="shared" si="23"/>
        <v>-34.187853214265438</v>
      </c>
      <c r="G100" s="5" t="str">
        <f t="shared" si="16"/>
        <v>227.240151587555+148.937471518625i</v>
      </c>
      <c r="H100" s="1">
        <f t="shared" si="24"/>
        <v>48.681767289582332</v>
      </c>
      <c r="I100" s="6">
        <f t="shared" si="25"/>
        <v>33.24158779238347</v>
      </c>
      <c r="J100" s="26" t="str">
        <f t="shared" si="17"/>
        <v>85.7660335529766-1.41659319851621i</v>
      </c>
      <c r="K100" s="1">
        <f t="shared" si="26"/>
        <v>38.667491147413003</v>
      </c>
      <c r="L100" s="6">
        <f t="shared" si="27"/>
        <v>-0.94626542188197471</v>
      </c>
      <c r="M100" s="26">
        <f t="shared" si="18"/>
        <v>0.11294117647058823</v>
      </c>
      <c r="N100" s="6">
        <f t="shared" si="19"/>
        <v>2.5000000000000001E-2</v>
      </c>
      <c r="O100" s="5" t="str">
        <f t="shared" si="20"/>
        <v>2.35243330876308-5.63775952240274i</v>
      </c>
      <c r="P100" s="1">
        <f t="shared" si="21"/>
        <v>15.719215595996463</v>
      </c>
      <c r="Q100" s="6">
        <f t="shared" si="28"/>
        <v>-67.350986137579341</v>
      </c>
      <c r="R100" s="5" t="str">
        <f t="shared" si="29"/>
        <v>8.17984604155598-6.86236051518127i</v>
      </c>
      <c r="S100" s="1">
        <f t="shared" si="30"/>
        <v>20.569119870557294</v>
      </c>
      <c r="T100" s="6">
        <f t="shared" si="31"/>
        <v>-39.994469890435767</v>
      </c>
      <c r="U100" t="str">
        <f>IMPRODUCT(COMPLEX(-1,0),IMDIV(COMPLEX(1,C100*Calculations!$B$171*Calculations!$B$173),IMPRODUCT(COMPLEX(0,C100*Calculations!$B$160),COMPLEX((Calculations!$B$173+Calculations!$B$175),C100*Calculations!$B$171*Calculations!$B$173*Calculations!$B$175))))</f>
        <v>-0.399269860290473+0.700842147273865i</v>
      </c>
      <c r="V100">
        <f t="shared" si="32"/>
        <v>-1.8668851990604953</v>
      </c>
      <c r="W100">
        <f t="shared" si="33"/>
        <v>119.67017038865139</v>
      </c>
      <c r="X100" t="str">
        <f t="shared" si="34"/>
        <v>1.54346549261739+8.472714588293i</v>
      </c>
      <c r="Y100">
        <f t="shared" si="35"/>
        <v>18.702234671496797</v>
      </c>
      <c r="Z100">
        <f t="shared" si="36"/>
        <v>79.675700498215647</v>
      </c>
    </row>
    <row r="101" spans="2:26" x14ac:dyDescent="0.15">
      <c r="B101" s="1">
        <v>500</v>
      </c>
      <c r="C101" s="22">
        <f t="shared" si="12"/>
        <v>3141.5926535897929</v>
      </c>
      <c r="D101" s="26" t="str">
        <f t="shared" si="13"/>
        <v>0.222510473320487-0.171840375863981i</v>
      </c>
      <c r="E101" s="1">
        <f t="shared" si="14"/>
        <v>-11.021529282287119</v>
      </c>
      <c r="F101" s="6">
        <f t="shared" si="23"/>
        <v>-37.67818919918615</v>
      </c>
      <c r="G101" s="5" t="str">
        <f t="shared" si="16"/>
        <v>246.885831039164+182.064361467016i</v>
      </c>
      <c r="H101" s="1">
        <f t="shared" si="24"/>
        <v>49.735898324252688</v>
      </c>
      <c r="I101" s="6">
        <f t="shared" si="25"/>
        <v>36.40667926631405</v>
      </c>
      <c r="J101" s="26" t="str">
        <f t="shared" si="17"/>
        <v>86.2206914265739-1.91372675644345i</v>
      </c>
      <c r="K101" s="1">
        <f t="shared" si="26"/>
        <v>38.714369041965575</v>
      </c>
      <c r="L101" s="6">
        <f t="shared" si="27"/>
        <v>-1.2715099328722117</v>
      </c>
      <c r="M101" s="26">
        <f t="shared" si="18"/>
        <v>0.11294117647058823</v>
      </c>
      <c r="N101" s="6">
        <f t="shared" si="19"/>
        <v>2.5000000000000001E-2</v>
      </c>
      <c r="O101" s="5" t="str">
        <f t="shared" si="20"/>
        <v>2.35240971886675-4.51467719959675i</v>
      </c>
      <c r="P101" s="1">
        <f t="shared" si="21"/>
        <v>14.135703458765711</v>
      </c>
      <c r="Q101" s="6">
        <f t="shared" si="28"/>
        <v>-62.477862177788083</v>
      </c>
      <c r="R101" s="5" t="str">
        <f t="shared" si="29"/>
        <v>6.87415187029036-6.27953742025401i</v>
      </c>
      <c r="S101" s="1">
        <f t="shared" si="30"/>
        <v>19.379517397818688</v>
      </c>
      <c r="T101" s="6">
        <f t="shared" si="31"/>
        <v>-42.411698009043008</v>
      </c>
      <c r="U101" t="str">
        <f>IMPRODUCT(COMPLEX(-1,0),IMDIV(COMPLEX(1,C101*Calculations!$B$171*Calculations!$B$173),IMPRODUCT(COMPLEX(0,C101*Calculations!$B$160),COMPLEX((Calculations!$B$173+Calculations!$B$175),C101*Calculations!$B$171*Calculations!$B$173*Calculations!$B$175))))</f>
        <v>-0.393684932436704+0.588450870154682i</v>
      </c>
      <c r="V101">
        <f t="shared" si="32"/>
        <v>-2.9993499855651113</v>
      </c>
      <c r="W101">
        <f t="shared" si="33"/>
        <v>123.78328268374884</v>
      </c>
      <c r="X101" t="str">
        <f t="shared" si="34"/>
        <v>0.988949244502456+6.51725991467425i</v>
      </c>
      <c r="Y101">
        <f t="shared" si="35"/>
        <v>16.380167412253574</v>
      </c>
      <c r="Z101">
        <f t="shared" si="36"/>
        <v>81.371584674705829</v>
      </c>
    </row>
    <row r="102" spans="2:26" x14ac:dyDescent="0.15">
      <c r="B102" s="1">
        <v>600</v>
      </c>
      <c r="C102" s="22">
        <f t="shared" si="12"/>
        <v>3769.9111843077517</v>
      </c>
      <c r="D102" s="26" t="str">
        <f t="shared" si="13"/>
        <v>0.19380586721766-0.161721626401395i</v>
      </c>
      <c r="E102" s="1">
        <f t="shared" si="14"/>
        <v>-11.957610484956119</v>
      </c>
      <c r="F102" s="6">
        <f t="shared" si="23"/>
        <v>-39.84336507720176</v>
      </c>
      <c r="G102" s="5" t="str">
        <f t="shared" si="16"/>
        <v>270.215137462337+212.580903954523i</v>
      </c>
      <c r="H102" s="1">
        <f t="shared" si="24"/>
        <v>50.726426856158866</v>
      </c>
      <c r="I102" s="6">
        <f t="shared" si="25"/>
        <v>38.192477350556416</v>
      </c>
      <c r="J102" s="26" t="str">
        <f t="shared" si="17"/>
        <v>86.7482085806316-2.5002050638653i</v>
      </c>
      <c r="K102" s="1">
        <f t="shared" si="26"/>
        <v>38.768816371202739</v>
      </c>
      <c r="L102" s="6">
        <f t="shared" si="27"/>
        <v>-1.6508877266453821</v>
      </c>
      <c r="M102" s="26">
        <f t="shared" si="18"/>
        <v>0.11294117647058823</v>
      </c>
      <c r="N102" s="6">
        <f t="shared" si="19"/>
        <v>2.5000000000000001E-2</v>
      </c>
      <c r="O102" s="5" t="str">
        <f t="shared" si="20"/>
        <v>2.35238088741374-3.76678324992543i</v>
      </c>
      <c r="P102" s="1">
        <f t="shared" si="21"/>
        <v>12.949587033307363</v>
      </c>
      <c r="Q102" s="6">
        <f t="shared" si="28"/>
        <v>-58.014951335944701</v>
      </c>
      <c r="R102" s="5" t="str">
        <f t="shared" si="29"/>
        <v>5.99574929647875-5.69726370870908i</v>
      </c>
      <c r="S102" s="1">
        <f t="shared" si="30"/>
        <v>18.351057722176328</v>
      </c>
      <c r="T102" s="6">
        <f t="shared" si="31"/>
        <v>-43.537737774458485</v>
      </c>
      <c r="U102" t="str">
        <f>IMPRODUCT(COMPLEX(-1,0),IMDIV(COMPLEX(1,C102*Calculations!$B$171*Calculations!$B$173),IMPRODUCT(COMPLEX(0,C102*Calculations!$B$160),COMPLEX((Calculations!$B$173+Calculations!$B$175),C102*Calculations!$B$171*Calculations!$B$173*Calculations!$B$175))))</f>
        <v>-0.387067523869005+0.517802633566617i</v>
      </c>
      <c r="V102">
        <f t="shared" si="32"/>
        <v>-3.7888519356986841</v>
      </c>
      <c r="W102">
        <f t="shared" si="33"/>
        <v>126.77882812665139</v>
      </c>
      <c r="X102" t="str">
        <f t="shared" si="34"/>
        <v>0.629298318565715+5.30984053248066i</v>
      </c>
      <c r="Y102">
        <f t="shared" si="35"/>
        <v>14.562205786477652</v>
      </c>
      <c r="Z102">
        <f t="shared" si="36"/>
        <v>83.241090352192913</v>
      </c>
    </row>
    <row r="103" spans="2:26" x14ac:dyDescent="0.15">
      <c r="B103" s="1">
        <v>700</v>
      </c>
      <c r="C103" s="22">
        <f t="shared" si="12"/>
        <v>4398.22971502571</v>
      </c>
      <c r="D103" s="26" t="str">
        <f t="shared" si="13"/>
        <v>0.172605992649573-0.150343370450428i</v>
      </c>
      <c r="E103" s="1">
        <f t="shared" si="14"/>
        <v>-12.807022168379961</v>
      </c>
      <c r="F103" s="6">
        <f t="shared" si="23"/>
        <v>-41.056534962477755</v>
      </c>
      <c r="G103" s="5" t="str">
        <f t="shared" si="16"/>
        <v>296.846165407578+240.088156144308i</v>
      </c>
      <c r="H103" s="1">
        <f t="shared" si="24"/>
        <v>51.636382661851535</v>
      </c>
      <c r="I103" s="6">
        <f t="shared" si="25"/>
        <v>38.965812701466959</v>
      </c>
      <c r="J103" s="26" t="str">
        <f t="shared" si="17"/>
        <v>87.3330896443583-3.18819849796667i</v>
      </c>
      <c r="K103" s="1">
        <f t="shared" si="26"/>
        <v>38.82936049347159</v>
      </c>
      <c r="L103" s="6">
        <f t="shared" si="27"/>
        <v>-2.0907222610108587</v>
      </c>
      <c r="M103" s="26">
        <f t="shared" si="18"/>
        <v>0.11294117647058823</v>
      </c>
      <c r="N103" s="6">
        <f t="shared" si="19"/>
        <v>2.5000000000000001E-2</v>
      </c>
      <c r="O103" s="5" t="str">
        <f t="shared" si="20"/>
        <v>2.3523468147895-3.23328260416439i</v>
      </c>
      <c r="P103" s="1">
        <f t="shared" si="21"/>
        <v>12.037846847367925</v>
      </c>
      <c r="Q103" s="6">
        <f t="shared" si="28"/>
        <v>-53.962561110434358</v>
      </c>
      <c r="R103" s="5" t="str">
        <f t="shared" si="29"/>
        <v>5.38635082285532-5.1769371092883i</v>
      </c>
      <c r="S103" s="1">
        <f t="shared" si="30"/>
        <v>17.467388919184884</v>
      </c>
      <c r="T103" s="6">
        <f t="shared" si="31"/>
        <v>-43.864278761460909</v>
      </c>
      <c r="U103" t="str">
        <f>IMPRODUCT(COMPLEX(-1,0),IMDIV(COMPLEX(1,C103*Calculations!$B$171*Calculations!$B$173),IMPRODUCT(COMPLEX(0,C103*Calculations!$B$160),COMPLEX((Calculations!$B$173+Calculations!$B$175),C103*Calculations!$B$171*Calculations!$B$173*Calculations!$B$175))))</f>
        <v>-0.379528174907428+0.470614861247498i</v>
      </c>
      <c r="V103">
        <f t="shared" si="32"/>
        <v>-4.370888749423913</v>
      </c>
      <c r="W103">
        <f t="shared" si="33"/>
        <v>128.88450093352145</v>
      </c>
      <c r="X103" t="str">
        <f t="shared" si="34"/>
        <v>0.392071642165334+4.49969023782713i</v>
      </c>
      <c r="Y103">
        <f t="shared" si="35"/>
        <v>13.096500169760972</v>
      </c>
      <c r="Z103">
        <f t="shared" si="36"/>
        <v>85.020222172060556</v>
      </c>
    </row>
    <row r="104" spans="2:26" x14ac:dyDescent="0.15">
      <c r="B104" s="1">
        <v>800</v>
      </c>
      <c r="C104" s="22">
        <f t="shared" si="12"/>
        <v>5026.5482457436692</v>
      </c>
      <c r="D104" s="26" t="str">
        <f t="shared" si="13"/>
        <v>0.156815780220111-0.139191787311929i</v>
      </c>
      <c r="E104" s="1">
        <f t="shared" si="14"/>
        <v>-13.568875628211945</v>
      </c>
      <c r="F104" s="6">
        <f t="shared" si="23"/>
        <v>-41.592689287682809</v>
      </c>
      <c r="G104" s="5" t="str">
        <f t="shared" si="16"/>
        <v>326.351288419787+264.2483220833i</v>
      </c>
      <c r="H104" s="1">
        <f t="shared" si="24"/>
        <v>52.463319687836567</v>
      </c>
      <c r="I104" s="6">
        <f t="shared" si="25"/>
        <v>38.997270544107067</v>
      </c>
      <c r="J104" s="26" t="str">
        <f t="shared" si="17"/>
        <v>87.9582281643402-3.98711232735328i</v>
      </c>
      <c r="K104" s="1">
        <f t="shared" si="26"/>
        <v>38.894444059624625</v>
      </c>
      <c r="L104" s="6">
        <f t="shared" si="27"/>
        <v>-2.5954187435758533</v>
      </c>
      <c r="M104" s="26">
        <f t="shared" si="18"/>
        <v>0.11294117647058823</v>
      </c>
      <c r="N104" s="6">
        <f t="shared" si="19"/>
        <v>2.5000000000000001E-2</v>
      </c>
      <c r="O104" s="5" t="str">
        <f t="shared" si="20"/>
        <v>2.35230750144953-2.83377771940575i</v>
      </c>
      <c r="P104" s="1">
        <f t="shared" si="21"/>
        <v>11.323764703595192</v>
      </c>
      <c r="Q104" s="6">
        <f t="shared" si="28"/>
        <v>-50.304070790068259</v>
      </c>
      <c r="R104" s="5" t="str">
        <f t="shared" si="29"/>
        <v>4.94897323498573-4.72811370622243i</v>
      </c>
      <c r="S104" s="1">
        <f t="shared" si="30"/>
        <v>16.7068544925861</v>
      </c>
      <c r="T104" s="6">
        <f t="shared" si="31"/>
        <v>-43.692569109631044</v>
      </c>
      <c r="U104" t="str">
        <f>IMPRODUCT(COMPLEX(-1,0),IMDIV(COMPLEX(1,C104*Calculations!$B$171*Calculations!$B$173),IMPRODUCT(COMPLEX(0,C104*Calculations!$B$160),COMPLEX((Calculations!$B$173+Calculations!$B$175),C104*Calculations!$B$171*Calculations!$B$173*Calculations!$B$175))))</f>
        <v>-0.371185862594192+0.437720039557722i</v>
      </c>
      <c r="V104">
        <f t="shared" si="32"/>
        <v>-4.8230570505235626</v>
      </c>
      <c r="W104">
        <f t="shared" si="33"/>
        <v>130.29788892061472</v>
      </c>
      <c r="X104" t="str">
        <f t="shared" si="34"/>
        <v>0.232601219337343+3.92127372467566i</v>
      </c>
      <c r="Y104">
        <f t="shared" si="35"/>
        <v>11.883797442062544</v>
      </c>
      <c r="Z104">
        <f t="shared" si="36"/>
        <v>86.605319810983687</v>
      </c>
    </row>
    <row r="105" spans="2:26" x14ac:dyDescent="0.15">
      <c r="B105" s="1">
        <v>900</v>
      </c>
      <c r="C105" s="22">
        <f t="shared" si="12"/>
        <v>5654.8667764616275</v>
      </c>
      <c r="D105" s="26" t="str">
        <f t="shared" si="13"/>
        <v>0.144886144988491-0.128857672073943i</v>
      </c>
      <c r="E105" s="1">
        <f t="shared" si="14"/>
        <v>-14.248549552629806</v>
      </c>
      <c r="F105" s="6">
        <f t="shared" si="23"/>
        <v>-41.64899650613647</v>
      </c>
      <c r="G105" s="5" t="str">
        <f t="shared" si="16"/>
        <v>358.267702122903+284.790171597525i</v>
      </c>
      <c r="H105" s="1">
        <f t="shared" si="24"/>
        <v>53.211035628530155</v>
      </c>
      <c r="I105" s="6">
        <f t="shared" si="25"/>
        <v>38.481499730113626</v>
      </c>
      <c r="J105" s="26" t="str">
        <f t="shared" si="17"/>
        <v>88.6054247760683-4.90339198146217i</v>
      </c>
      <c r="K105" s="1">
        <f t="shared" si="26"/>
        <v>38.962486075900358</v>
      </c>
      <c r="L105" s="6">
        <f t="shared" si="27"/>
        <v>-3.167496776023031</v>
      </c>
      <c r="M105" s="26">
        <f t="shared" si="18"/>
        <v>0.11294117647058823</v>
      </c>
      <c r="N105" s="6">
        <f t="shared" si="19"/>
        <v>2.5000000000000001E-2</v>
      </c>
      <c r="O105" s="5" t="str">
        <f t="shared" si="20"/>
        <v>2.35226294791941-2.52360328666175i</v>
      </c>
      <c r="P105" s="1">
        <f t="shared" si="21"/>
        <v>10.756095290344827</v>
      </c>
      <c r="Q105" s="6">
        <f t="shared" si="28"/>
        <v>-47.012573746438008</v>
      </c>
      <c r="R105" s="5" t="str">
        <f t="shared" si="29"/>
        <v>4.62493427001745-4.34447267595075i</v>
      </c>
      <c r="S105" s="1">
        <f t="shared" si="30"/>
        <v>16.04921877210672</v>
      </c>
      <c r="T105" s="6">
        <f t="shared" si="31"/>
        <v>-43.209019650541357</v>
      </c>
      <c r="U105" t="str">
        <f>IMPRODUCT(COMPLEX(-1,0),IMDIV(COMPLEX(1,C105*Calculations!$B$171*Calculations!$B$173),IMPRODUCT(COMPLEX(0,C105*Calculations!$B$160),COMPLEX((Calculations!$B$173+Calculations!$B$175),C105*Calculations!$B$171*Calculations!$B$173*Calculations!$B$175))))</f>
        <v>-0.36216381444376+0.414013360856075i</v>
      </c>
      <c r="V105">
        <f t="shared" si="32"/>
        <v>-5.1917457760498733</v>
      </c>
      <c r="W105">
        <f t="shared" si="33"/>
        <v>131.1782526417249</v>
      </c>
      <c r="X105" t="str">
        <f t="shared" si="34"/>
        <v>0.12368589693657+3.48819537693737i</v>
      </c>
      <c r="Y105">
        <f t="shared" si="35"/>
        <v>10.857472996056837</v>
      </c>
      <c r="Z105">
        <f t="shared" si="36"/>
        <v>87.969232991183503</v>
      </c>
    </row>
    <row r="106" spans="2:26" x14ac:dyDescent="0.15">
      <c r="B106" s="1">
        <v>1000</v>
      </c>
      <c r="C106" s="22">
        <f t="shared" si="12"/>
        <v>6283.1853071795858</v>
      </c>
      <c r="D106" s="26" t="str">
        <f t="shared" si="13"/>
        <v>0.135727306661141-0.119517685200849i</v>
      </c>
      <c r="E106" s="1">
        <f t="shared" si="14"/>
        <v>-14.853675369768846</v>
      </c>
      <c r="F106" s="6">
        <f t="shared" si="23"/>
        <v>-41.366246584697535</v>
      </c>
      <c r="G106" s="5" t="str">
        <f t="shared" si="16"/>
        <v>392.10860874798+301.512525687599i</v>
      </c>
      <c r="H106" s="1">
        <f t="shared" si="24"/>
        <v>53.885611327532914</v>
      </c>
      <c r="I106" s="6">
        <f t="shared" si="25"/>
        <v>37.558540127859203</v>
      </c>
      <c r="J106" s="26" t="str">
        <f t="shared" si="17"/>
        <v>89.2559245132539-5.94043022870815i</v>
      </c>
      <c r="K106" s="1">
        <f t="shared" si="26"/>
        <v>39.031935957764077</v>
      </c>
      <c r="L106" s="6">
        <f t="shared" si="27"/>
        <v>-3.8077064568383996</v>
      </c>
      <c r="M106" s="26">
        <f t="shared" si="18"/>
        <v>0.11294117647058823</v>
      </c>
      <c r="N106" s="6">
        <f t="shared" si="19"/>
        <v>2.5000000000000001E-2</v>
      </c>
      <c r="O106" s="5" t="str">
        <f t="shared" si="20"/>
        <v>2.35221315479469-2.27596011390629i</v>
      </c>
      <c r="P106" s="1">
        <f t="shared" si="21"/>
        <v>10.299070982479119</v>
      </c>
      <c r="Q106" s="6">
        <f t="shared" si="28"/>
        <v>-44.056089324177847</v>
      </c>
      <c r="R106" s="5" t="str">
        <f t="shared" si="29"/>
        <v>4.37806507411978-4.01614752547446i</v>
      </c>
      <c r="S106" s="1">
        <f t="shared" si="30"/>
        <v>15.477364998134401</v>
      </c>
      <c r="T106" s="6">
        <f t="shared" si="31"/>
        <v>-42.531214142547206</v>
      </c>
      <c r="U106" t="str">
        <f>IMPRODUCT(COMPLEX(-1,0),IMDIV(COMPLEX(1,C106*Calculations!$B$171*Calculations!$B$173),IMPRODUCT(COMPLEX(0,C106*Calculations!$B$160),COMPLEX((Calculations!$B$173+Calculations!$B$175),C106*Calculations!$B$171*Calculations!$B$173*Calculations!$B$175))))</f>
        <v>-0.352585634172308+0.39643100502089i</v>
      </c>
      <c r="V106">
        <f t="shared" si="32"/>
        <v>-5.5056145102395444</v>
      </c>
      <c r="W106">
        <f t="shared" si="33"/>
        <v>131.649885912071</v>
      </c>
      <c r="X106" t="str">
        <f t="shared" si="34"/>
        <v>0.0484825492298453+3.15163665957912i</v>
      </c>
      <c r="Y106">
        <f t="shared" si="35"/>
        <v>9.9717504878948588</v>
      </c>
      <c r="Z106">
        <f t="shared" si="36"/>
        <v>89.118671769523814</v>
      </c>
    </row>
    <row r="107" spans="2:26" x14ac:dyDescent="0.15">
      <c r="B107" s="1">
        <v>2000</v>
      </c>
      <c r="C107" s="22">
        <f t="shared" si="12"/>
        <v>12566.370614359172</v>
      </c>
      <c r="D107" s="26" t="str">
        <f t="shared" si="13"/>
        <v>0.102277828031226-0.0662337086958551i</v>
      </c>
      <c r="E107" s="1">
        <f t="shared" si="14"/>
        <v>-18.283420364951979</v>
      </c>
      <c r="F107" s="6">
        <f t="shared" si="23"/>
        <v>-32.926536195262102</v>
      </c>
      <c r="G107" s="5" t="str">
        <f t="shared" si="16"/>
        <v>733.487982358342+261.934091977932i</v>
      </c>
      <c r="H107" s="1">
        <f t="shared" si="24"/>
        <v>57.829124927187252</v>
      </c>
      <c r="I107" s="6">
        <f t="shared" si="25"/>
        <v>19.652029626430906</v>
      </c>
      <c r="J107" s="26" t="str">
        <f t="shared" si="17"/>
        <v>92.3684240681971-21.7915793405986i</v>
      </c>
      <c r="K107" s="1">
        <f t="shared" si="26"/>
        <v>39.545704562235272</v>
      </c>
      <c r="L107" s="6">
        <f t="shared" si="27"/>
        <v>-13.27450656883115</v>
      </c>
      <c r="M107" s="26">
        <f t="shared" si="18"/>
        <v>0.11294117647058823</v>
      </c>
      <c r="N107" s="6">
        <f t="shared" si="19"/>
        <v>2.5000000000000001E-2</v>
      </c>
      <c r="O107" s="5" t="str">
        <f t="shared" si="20"/>
        <v>2.35142722688912-1.17520753049067i</v>
      </c>
      <c r="P107" s="1">
        <f t="shared" si="21"/>
        <v>8.3949833134878187</v>
      </c>
      <c r="Q107" s="6">
        <f t="shared" si="28"/>
        <v>-26.555185198416172</v>
      </c>
      <c r="R107" s="5" t="str">
        <f t="shared" si="29"/>
        <v>3.45031322021206-2.32228184855474i</v>
      </c>
      <c r="S107" s="1">
        <f t="shared" si="30"/>
        <v>12.379872133658127</v>
      </c>
      <c r="T107" s="6">
        <f t="shared" si="31"/>
        <v>-33.943080079217445</v>
      </c>
      <c r="U107" t="str">
        <f>IMPRODUCT(COMPLEX(-1,0),IMDIV(COMPLEX(1,C107*Calculations!$B$171*Calculations!$B$173),IMPRODUCT(COMPLEX(0,C107*Calculations!$B$160),COMPLEX((Calculations!$B$173+Calculations!$B$175),C107*Calculations!$B$171*Calculations!$B$173*Calculations!$B$175))))</f>
        <v>-0.248722625624919+0.327358558875389i</v>
      </c>
      <c r="V107">
        <f t="shared" si="32"/>
        <v>-7.720450199811463</v>
      </c>
      <c r="W107">
        <f t="shared" si="33"/>
        <v>127.22708054703735</v>
      </c>
      <c r="X107" t="str">
        <f t="shared" si="34"/>
        <v>-0.0979521241141589+1.70709360225095i</v>
      </c>
      <c r="Y107">
        <f t="shared" si="35"/>
        <v>4.6594219338466729</v>
      </c>
      <c r="Z107">
        <f t="shared" si="36"/>
        <v>93.284000467819908</v>
      </c>
    </row>
    <row r="108" spans="2:26" x14ac:dyDescent="0.15">
      <c r="B108" s="1">
        <v>3000</v>
      </c>
      <c r="C108" s="22">
        <f t="shared" si="12"/>
        <v>18849.555921538758</v>
      </c>
      <c r="D108" s="26" t="str">
        <f t="shared" si="13"/>
        <v>0.0952717473961051-0.0450599242035472i</v>
      </c>
      <c r="E108" s="1">
        <f t="shared" si="14"/>
        <v>-19.543992155648965</v>
      </c>
      <c r="F108" s="6">
        <f t="shared" si="23"/>
        <v>-25.312373964659557</v>
      </c>
      <c r="G108" s="5" t="str">
        <f t="shared" si="16"/>
        <v>887.470480755934+7.07468688019821i</v>
      </c>
      <c r="H108" s="1">
        <f t="shared" si="24"/>
        <v>58.963354307011777</v>
      </c>
      <c r="I108" s="6">
        <f t="shared" si="25"/>
        <v>0.45673757296471457</v>
      </c>
      <c r="J108" s="26" t="str">
        <f t="shared" si="17"/>
        <v>84.8696483186648-39.3153348143912i</v>
      </c>
      <c r="K108" s="1">
        <f t="shared" si="26"/>
        <v>39.419362151362812</v>
      </c>
      <c r="L108" s="6">
        <f t="shared" si="27"/>
        <v>-24.855636391694855</v>
      </c>
      <c r="M108" s="26">
        <f t="shared" si="18"/>
        <v>0.11294117647058823</v>
      </c>
      <c r="N108" s="6">
        <f t="shared" si="19"/>
        <v>2.5000000000000001E-2</v>
      </c>
      <c r="O108" s="5" t="str">
        <f t="shared" si="20"/>
        <v>2.35011851349199-0.824798712042382i</v>
      </c>
      <c r="P108" s="1">
        <f t="shared" si="21"/>
        <v>7.9262628123906067</v>
      </c>
      <c r="Q108" s="6">
        <f t="shared" si="28"/>
        <v>-19.339057113811879</v>
      </c>
      <c r="R108" s="5" t="str">
        <f t="shared" si="29"/>
        <v>3.2321673212588-1.71065524015676i</v>
      </c>
      <c r="S108" s="1">
        <f t="shared" si="30"/>
        <v>11.262368641321554</v>
      </c>
      <c r="T108" s="6">
        <f t="shared" si="31"/>
        <v>-27.890456073055219</v>
      </c>
      <c r="U108" t="str">
        <f>IMPRODUCT(COMPLEX(-1,0),IMDIV(COMPLEX(1,C108*Calculations!$B$171*Calculations!$B$173),IMPRODUCT(COMPLEX(0,C108*Calculations!$B$160),COMPLEX((Calculations!$B$173+Calculations!$B$175),C108*Calculations!$B$171*Calculations!$B$173*Calculations!$B$175))))</f>
        <v>-0.166820591069826+0.286130256170708i</v>
      </c>
      <c r="V108">
        <f t="shared" si="32"/>
        <v>-9.5979482495391473</v>
      </c>
      <c r="W108">
        <f t="shared" si="33"/>
        <v>120.24317944501331</v>
      </c>
      <c r="X108" t="str">
        <f t="shared" si="34"/>
        <v>-0.0497218408831514+1.21019338189802i</v>
      </c>
      <c r="Y108">
        <f t="shared" si="35"/>
        <v>1.6644203917824254</v>
      </c>
      <c r="Z108">
        <f t="shared" si="36"/>
        <v>92.352723371958092</v>
      </c>
    </row>
    <row r="109" spans="2:26" x14ac:dyDescent="0.15">
      <c r="B109" s="1">
        <v>4000</v>
      </c>
      <c r="C109" s="22">
        <f t="shared" si="12"/>
        <v>25132.741228718343</v>
      </c>
      <c r="D109" s="26" t="str">
        <f t="shared" si="13"/>
        <v>0.0927513478999111-0.0340388819211147i</v>
      </c>
      <c r="E109" s="1">
        <f t="shared" si="14"/>
        <v>-20.104853091146808</v>
      </c>
      <c r="F109" s="6">
        <f t="shared" si="23"/>
        <v>-20.152667113941686</v>
      </c>
      <c r="G109" s="5" t="str">
        <f t="shared" si="16"/>
        <v>850.288809049227-228.166437662777i</v>
      </c>
      <c r="H109" s="1">
        <f t="shared" si="24"/>
        <v>58.893302708978972</v>
      </c>
      <c r="I109" s="6">
        <f t="shared" si="25"/>
        <v>-15.020885771210764</v>
      </c>
      <c r="J109" s="26" t="str">
        <f t="shared" si="17"/>
        <v>71.0989027135612-50.1056250088155i</v>
      </c>
      <c r="K109" s="1">
        <f t="shared" si="26"/>
        <v>38.788449617832157</v>
      </c>
      <c r="L109" s="6">
        <f t="shared" si="27"/>
        <v>-35.173552885152482</v>
      </c>
      <c r="M109" s="26">
        <f t="shared" si="18"/>
        <v>0.11294117647058823</v>
      </c>
      <c r="N109" s="6">
        <f t="shared" si="19"/>
        <v>2.5000000000000001E-2</v>
      </c>
      <c r="O109" s="5" t="str">
        <f t="shared" si="20"/>
        <v>2.34828876018476-0.661934492883731i</v>
      </c>
      <c r="P109" s="1">
        <f t="shared" si="21"/>
        <v>7.7470796760693004</v>
      </c>
      <c r="Q109" s="6">
        <f t="shared" si="28"/>
        <v>-15.74205686700852</v>
      </c>
      <c r="R109" s="5" t="str">
        <f t="shared" si="29"/>
        <v>3.14436900122195-1.42486133893524i</v>
      </c>
      <c r="S109" s="1">
        <f t="shared" si="30"/>
        <v>10.761773711443052</v>
      </c>
      <c r="T109" s="6">
        <f t="shared" si="31"/>
        <v>-24.377513774643081</v>
      </c>
      <c r="U109" t="str">
        <f>IMPRODUCT(COMPLEX(-1,0),IMDIV(COMPLEX(1,C109*Calculations!$B$171*Calculations!$B$173),IMPRODUCT(COMPLEX(0,C109*Calculations!$B$160),COMPLEX((Calculations!$B$173+Calculations!$B$175),C109*Calculations!$B$171*Calculations!$B$173*Calculations!$B$175))))</f>
        <v>-0.114181931826351+0.247323093754315i</v>
      </c>
      <c r="V109">
        <f t="shared" si="32"/>
        <v>-11.295596537933225</v>
      </c>
      <c r="W109">
        <f t="shared" si="33"/>
        <v>114.78140666007744</v>
      </c>
      <c r="X109" t="str">
        <f t="shared" si="34"/>
        <v>-0.00662901241803687+0.940368489551685i</v>
      </c>
      <c r="Y109">
        <f t="shared" si="35"/>
        <v>-0.53382282649017221</v>
      </c>
      <c r="Z109">
        <f t="shared" si="36"/>
        <v>90.403892885434345</v>
      </c>
    </row>
    <row r="110" spans="2:26" x14ac:dyDescent="0.15">
      <c r="B110" s="1">
        <v>5000</v>
      </c>
      <c r="C110" s="22">
        <f t="shared" si="12"/>
        <v>31415.926535897932</v>
      </c>
      <c r="D110" s="26" t="str">
        <f t="shared" si="13"/>
        <v>0.0915724034936152-0.0273223895565823i</v>
      </c>
      <c r="E110" s="1">
        <f t="shared" si="14"/>
        <v>-20.394332386435664</v>
      </c>
      <c r="F110" s="6">
        <f t="shared" si="23"/>
        <v>-16.61348565667921</v>
      </c>
      <c r="G110" s="5" t="str">
        <f t="shared" si="16"/>
        <v>735.537635620985-371.514202431913i</v>
      </c>
      <c r="H110" s="1">
        <f t="shared" si="24"/>
        <v>58.318943448181876</v>
      </c>
      <c r="I110" s="6">
        <f t="shared" si="25"/>
        <v>-26.797977232861445</v>
      </c>
      <c r="J110" s="26" t="str">
        <f t="shared" si="17"/>
        <v>57.2042933891768-54.1170942626678i</v>
      </c>
      <c r="K110" s="1">
        <f t="shared" si="26"/>
        <v>37.924611061746205</v>
      </c>
      <c r="L110" s="6">
        <f t="shared" si="27"/>
        <v>-43.41146288954068</v>
      </c>
      <c r="M110" s="26">
        <f t="shared" si="18"/>
        <v>0.11294117647058823</v>
      </c>
      <c r="N110" s="6">
        <f t="shared" si="19"/>
        <v>2.5000000000000001E-2</v>
      </c>
      <c r="O110" s="5" t="str">
        <f t="shared" si="20"/>
        <v>2.34594040263409-0.574041964822917i</v>
      </c>
      <c r="P110" s="1">
        <f t="shared" si="21"/>
        <v>7.6588903918730971</v>
      </c>
      <c r="Q110" s="6">
        <f t="shared" si="28"/>
        <v>-13.749861747398201</v>
      </c>
      <c r="R110" s="5" t="str">
        <f t="shared" si="29"/>
        <v>3.0963239660604-1.27825076639891i</v>
      </c>
      <c r="S110" s="1">
        <f t="shared" si="30"/>
        <v>10.500372566008938</v>
      </c>
      <c r="T110" s="6">
        <f t="shared" si="31"/>
        <v>-22.432230170267601</v>
      </c>
      <c r="U110" t="str">
        <f>IMPRODUCT(COMPLEX(-1,0),IMDIV(COMPLEX(1,C110*Calculations!$B$171*Calculations!$B$173),IMPRODUCT(COMPLEX(0,C110*Calculations!$B$160),COMPLEX((Calculations!$B$173+Calculations!$B$175),C110*Calculations!$B$171*Calculations!$B$173*Calculations!$B$175))))</f>
        <v>-0.0812280996533384+0.214248366516438i</v>
      </c>
      <c r="V110">
        <f t="shared" si="32"/>
        <v>-12.798376629273559</v>
      </c>
      <c r="W110">
        <f t="shared" si="33"/>
        <v>110.76324805444862</v>
      </c>
      <c r="X110" t="str">
        <f t="shared" si="34"/>
        <v>0.0223546270251773+0.767212232569146i</v>
      </c>
      <c r="Y110">
        <f t="shared" si="35"/>
        <v>-2.2980040632646261</v>
      </c>
      <c r="Z110">
        <f t="shared" si="36"/>
        <v>88.331017884181037</v>
      </c>
    </row>
    <row r="111" spans="2:26" x14ac:dyDescent="0.15">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0.0909286702500838-0.0228101941025345i</v>
      </c>
      <c r="E111" s="1">
        <f t="shared" si="14"/>
        <v>-20.560937412048396</v>
      </c>
      <c r="F111" s="6">
        <f t="shared" si="23"/>
        <v>-14.082507920738033</v>
      </c>
      <c r="G111" s="5" t="str">
        <f t="shared" ref="G111:G137" si="39">IMDIV(COMPLEX(V48_Max,0),IMSUM(COMPLEX(Rcs/np,(Lm*C111)/np),D111))</f>
        <v>612.572058669382-440.744192453902i</v>
      </c>
      <c r="H111" s="1">
        <f t="shared" si="24"/>
        <v>57.554937057237368</v>
      </c>
      <c r="I111" s="6">
        <f t="shared" si="25"/>
        <v>-35.734929112406867</v>
      </c>
      <c r="J111" s="26" t="str">
        <f t="shared" ref="J111:J137" si="40">IMDIV(IMPRODUCT(COMPLEX(V48_Max,0),D111),IMSUM(COMPLEX(Rcs/np,(Lm*C111)/np),D111))</f>
        <v>45.6469021477249-54.0491709003181i</v>
      </c>
      <c r="K111" s="1">
        <f t="shared" si="26"/>
        <v>36.993999645188978</v>
      </c>
      <c r="L111" s="6">
        <f t="shared" si="27"/>
        <v>-49.817437033144913</v>
      </c>
      <c r="M111" s="26">
        <f t="shared" ref="M111:M137" si="41">(Ramp_C*Ramp_R*Fsw)/(V48_Max)</f>
        <v>0.11294117647058823</v>
      </c>
      <c r="N111" s="6">
        <f t="shared" ref="N111:N137" si="42">(Rcs*Acs)/np</f>
        <v>2.5000000000000001E-2</v>
      </c>
      <c r="O111" s="5" t="str">
        <f t="shared" ref="O111:O137" si="43">IMPRODUCT(COMPLEX(gm/(IL_Comp_Ccomp+IL_Comp_Chf),0),IMDIV(COMPLEX(1,C111*IL_Comp_Rcomp*IL_Comp_Ccomp),IMPRODUCT(COMPLEX(0,C111),COMPLEX(1,C111*IL_Comp_Rcomp*IL_Comp_Chf))))</f>
        <v>2.3430765585053-0.523586056930106i</v>
      </c>
      <c r="P111" s="1">
        <f t="shared" si="21"/>
        <v>7.6073528279124343</v>
      </c>
      <c r="Q111" s="6">
        <f t="shared" si="28"/>
        <v>-12.596422545534917</v>
      </c>
      <c r="R111" s="5" t="str">
        <f t="shared" si="29"/>
        <v>3.06333397419025-1.20333693571994i</v>
      </c>
      <c r="S111" s="1">
        <f t="shared" si="30"/>
        <v>10.347100473316114</v>
      </c>
      <c r="T111" s="6">
        <f t="shared" si="31"/>
        <v>-21.445861663104569</v>
      </c>
      <c r="U111" t="str">
        <f>IMPRODUCT(COMPLEX(-1,0),IMDIV(COMPLEX(1,C111*Calculations!$B$171*Calculations!$B$173),IMPRODUCT(COMPLEX(0,C111*Calculations!$B$160),COMPLEX((Calculations!$B$173+Calculations!$B$175),C111*Calculations!$B$171*Calculations!$B$173*Calculations!$B$175))))</f>
        <v>-0.0600469449865662+0.187319173830394i</v>
      </c>
      <c r="V111">
        <f t="shared" si="32"/>
        <v>-14.123551550453175</v>
      </c>
      <c r="W111">
        <f t="shared" si="33"/>
        <v>107.7737473598449</v>
      </c>
      <c r="X111" t="str">
        <f t="shared" si="34"/>
        <v>0.0414642340149759+0.646077895991374i</v>
      </c>
      <c r="Y111">
        <f t="shared" si="35"/>
        <v>-3.7764510771370534</v>
      </c>
      <c r="Z111">
        <f t="shared" si="36"/>
        <v>86.327885696740324</v>
      </c>
    </row>
    <row r="112" spans="2:26" x14ac:dyDescent="0.15">
      <c r="B112" s="1">
        <v>7000</v>
      </c>
      <c r="C112" s="22">
        <f t="shared" si="37"/>
        <v>43982.297150257102</v>
      </c>
      <c r="D112" s="26" t="str">
        <f t="shared" si="38"/>
        <v>0.0905393831096853-0.0195731249163688i</v>
      </c>
      <c r="E112" s="1">
        <f t="shared" si="14"/>
        <v>-20.664880566235148</v>
      </c>
      <c r="F112" s="6">
        <f t="shared" si="23"/>
        <v>-12.198680464165992</v>
      </c>
      <c r="G112" s="5" t="str">
        <f t="shared" si="39"/>
        <v>505.505365142404-465.226188603335i</v>
      </c>
      <c r="H112" s="1">
        <f t="shared" si="24"/>
        <v>56.739153887709371</v>
      </c>
      <c r="I112" s="6">
        <f t="shared" si="25"/>
        <v>-42.623953092552213</v>
      </c>
      <c r="J112" s="26" t="str">
        <f t="shared" si="40"/>
        <v>36.6622136147303-52.015611780443i</v>
      </c>
      <c r="K112" s="1">
        <f t="shared" si="26"/>
        <v>36.07427332147423</v>
      </c>
      <c r="L112" s="6">
        <f t="shared" si="27"/>
        <v>-54.822633556718202</v>
      </c>
      <c r="M112" s="26">
        <f t="shared" si="41"/>
        <v>0.11294117647058823</v>
      </c>
      <c r="N112" s="6">
        <f t="shared" si="42"/>
        <v>2.5000000000000001E-2</v>
      </c>
      <c r="O112" s="5" t="str">
        <f t="shared" si="43"/>
        <v>2.33970101715129-0.494471219894314i</v>
      </c>
      <c r="P112" s="1">
        <f t="shared" si="21"/>
        <v>7.5729751454215375</v>
      </c>
      <c r="Q112" s="6">
        <f t="shared" si="28"/>
        <v>-11.93326481671301</v>
      </c>
      <c r="R112" s="5" t="str">
        <f t="shared" si="29"/>
        <v>3.0365009535415-1.16996478895959i</v>
      </c>
      <c r="S112" s="1">
        <f t="shared" si="30"/>
        <v>10.248613319753588</v>
      </c>
      <c r="T112" s="6">
        <f t="shared" si="31"/>
        <v>-21.071689878027346</v>
      </c>
      <c r="U112" t="str">
        <f>IMPRODUCT(COMPLEX(-1,0),IMDIV(COMPLEX(1,C112*Calculations!$B$171*Calculations!$B$173),IMPRODUCT(COMPLEX(0,C112*Calculations!$B$160),COMPLEX((Calculations!$B$173+Calculations!$B$175),C112*Calculations!$B$171*Calculations!$B$173*Calculations!$B$175))))</f>
        <v>-0.045901393694166+0.165584591879055i</v>
      </c>
      <c r="V112">
        <f t="shared" si="32"/>
        <v>-15.298072252354176</v>
      </c>
      <c r="W112">
        <f t="shared" si="33"/>
        <v>105.49380568692517</v>
      </c>
      <c r="X112" t="str">
        <f t="shared" si="34"/>
        <v>0.0543485163715196+0.556500785518877i</v>
      </c>
      <c r="Y112">
        <f t="shared" si="35"/>
        <v>-5.0494589326005821</v>
      </c>
      <c r="Z112">
        <f t="shared" si="36"/>
        <v>84.422115808897814</v>
      </c>
    </row>
    <row r="113" spans="2:26" x14ac:dyDescent="0.15">
      <c r="B113" s="1">
        <v>8000</v>
      </c>
      <c r="C113" s="22">
        <f t="shared" si="37"/>
        <v>50265.482457436687</v>
      </c>
      <c r="D113" s="26" t="str">
        <f t="shared" si="38"/>
        <v>0.0902862616451897-0.0171387335778625i</v>
      </c>
      <c r="E113" s="1">
        <f t="shared" si="14"/>
        <v>-20.733825925531463</v>
      </c>
      <c r="F113" s="6">
        <f t="shared" si="23"/>
        <v>-10.748377551289781</v>
      </c>
      <c r="G113" s="5" t="str">
        <f t="shared" si="39"/>
        <v>418.479999931688-465.491858368957i</v>
      </c>
      <c r="H113" s="1">
        <f t="shared" si="24"/>
        <v>55.930734993741325</v>
      </c>
      <c r="I113" s="6">
        <f t="shared" si="25"/>
        <v>-48.044266465821742</v>
      </c>
      <c r="J113" s="26" t="str">
        <f t="shared" si="40"/>
        <v>29.8050538238616-49.1997369448983i</v>
      </c>
      <c r="K113" s="1">
        <f t="shared" si="26"/>
        <v>35.196909068209855</v>
      </c>
      <c r="L113" s="6">
        <f t="shared" si="27"/>
        <v>-58.792644017111563</v>
      </c>
      <c r="M113" s="26">
        <f t="shared" si="41"/>
        <v>0.11294117647058823</v>
      </c>
      <c r="N113" s="6">
        <f t="shared" si="42"/>
        <v>2.5000000000000001E-2</v>
      </c>
      <c r="O113" s="5" t="str">
        <f t="shared" si="43"/>
        <v>2.3358182271408-0.478641872702017i</v>
      </c>
      <c r="P113" s="1">
        <f t="shared" si="21"/>
        <v>7.5474153308262748</v>
      </c>
      <c r="Q113" s="6">
        <f t="shared" si="28"/>
        <v>-11.580397820536183</v>
      </c>
      <c r="R113" s="5" t="str">
        <f t="shared" si="29"/>
        <v>3.01199686622751-1.162673139609i</v>
      </c>
      <c r="S113" s="1">
        <f t="shared" si="30"/>
        <v>10.180316509308378</v>
      </c>
      <c r="T113" s="6">
        <f t="shared" si="31"/>
        <v>-21.107289409483265</v>
      </c>
      <c r="U113" t="str">
        <f>IMPRODUCT(COMPLEX(-1,0),IMDIV(COMPLEX(1,C113*Calculations!$B$171*Calculations!$B$173),IMPRODUCT(COMPLEX(0,C113*Calculations!$B$160),COMPLEX((Calculations!$B$173+Calculations!$B$175),C113*Calculations!$B$171*Calculations!$B$173*Calculations!$B$175))))</f>
        <v>-0.0360911892039297+0.147936015037461i</v>
      </c>
      <c r="V113">
        <f t="shared" si="32"/>
        <v>-16.347434793002371</v>
      </c>
      <c r="W113">
        <f t="shared" si="33"/>
        <v>103.71033660453207</v>
      </c>
      <c r="X113" t="str">
        <f t="shared" si="34"/>
        <v>0.0632946822841886+0.487545069958974i</v>
      </c>
      <c r="Y113">
        <f t="shared" si="35"/>
        <v>-6.1671182836939886</v>
      </c>
      <c r="Z113">
        <f t="shared" si="36"/>
        <v>82.603047195048831</v>
      </c>
    </row>
    <row r="114" spans="2:26" x14ac:dyDescent="0.15">
      <c r="B114" s="1">
        <v>9000</v>
      </c>
      <c r="C114" s="22">
        <f t="shared" si="37"/>
        <v>56548.667764616279</v>
      </c>
      <c r="D114" s="26" t="str">
        <f t="shared" si="38"/>
        <v>0.09011251308445-0.015241903796168i</v>
      </c>
      <c r="E114" s="1">
        <f t="shared" si="14"/>
        <v>-20.781793224752171</v>
      </c>
      <c r="F114" s="6">
        <f t="shared" si="23"/>
        <v>-9.6003171400805698</v>
      </c>
      <c r="G114" s="5" t="str">
        <f t="shared" si="39"/>
        <v>349.275326939355-453.484353982942i</v>
      </c>
      <c r="H114" s="1">
        <f t="shared" si="24"/>
        <v>55.153986580880598</v>
      </c>
      <c r="I114" s="6">
        <f t="shared" si="25"/>
        <v>-52.396402622774353</v>
      </c>
      <c r="J114" s="26" t="str">
        <f t="shared" si="40"/>
        <v>24.5621125724228-46.188235713466i</v>
      </c>
      <c r="K114" s="1">
        <f t="shared" si="26"/>
        <v>34.372193356128435</v>
      </c>
      <c r="L114" s="6">
        <f t="shared" si="27"/>
        <v>-61.996719762854909</v>
      </c>
      <c r="M114" s="26">
        <f t="shared" si="41"/>
        <v>0.11294117647058823</v>
      </c>
      <c r="N114" s="6">
        <f t="shared" si="42"/>
        <v>2.5000000000000001E-2</v>
      </c>
      <c r="O114" s="5" t="str">
        <f t="shared" si="43"/>
        <v>2.33143328170177-0.471615906807136i</v>
      </c>
      <c r="P114" s="1">
        <f t="shared" si="21"/>
        <v>7.5266315117854399</v>
      </c>
      <c r="Q114" s="6">
        <f t="shared" si="28"/>
        <v>-11.43580787541042</v>
      </c>
      <c r="R114" s="5" t="str">
        <f t="shared" si="29"/>
        <v>2.98795561333525-1.17271980203299i</v>
      </c>
      <c r="S114" s="1">
        <f t="shared" si="30"/>
        <v>10.129700429044124</v>
      </c>
      <c r="T114" s="6">
        <f t="shared" si="31"/>
        <v>-21.429130377162757</v>
      </c>
      <c r="U114" t="str">
        <f>IMPRODUCT(COMPLEX(-1,0),IMDIV(COMPLEX(1,C114*Calculations!$B$171*Calculations!$B$173),IMPRODUCT(COMPLEX(0,C114*Calculations!$B$160),COMPLEX((Calculations!$B$173+Calculations!$B$175),C114*Calculations!$B$171*Calculations!$B$173*Calculations!$B$175))))</f>
        <v>-0.0290537840519432+0.133443190131353i</v>
      </c>
      <c r="V114">
        <f t="shared" si="32"/>
        <v>-17.29293049491362</v>
      </c>
      <c r="W114">
        <f t="shared" si="33"/>
        <v>102.2829738847623</v>
      </c>
      <c r="X114" t="str">
        <f t="shared" si="34"/>
        <v>0.0696800543668571+0.432794276896043i</v>
      </c>
      <c r="Y114">
        <f t="shared" si="35"/>
        <v>-7.1632300658695005</v>
      </c>
      <c r="Z114">
        <f t="shared" si="36"/>
        <v>80.853843507599549</v>
      </c>
    </row>
    <row r="115" spans="2:26" x14ac:dyDescent="0.15">
      <c r="B115" s="1">
        <v>10000</v>
      </c>
      <c r="C115" s="22">
        <f t="shared" si="37"/>
        <v>62831.853071795864</v>
      </c>
      <c r="D115" s="26" t="str">
        <f t="shared" si="38"/>
        <v>0.0899881271395289-0.0137225289315935i</v>
      </c>
      <c r="E115" s="1">
        <f t="shared" si="14"/>
        <v>-20.816461176005909</v>
      </c>
      <c r="F115" s="6">
        <f t="shared" si="23"/>
        <v>-8.6703904949115369</v>
      </c>
      <c r="G115" s="5" t="str">
        <f t="shared" si="39"/>
        <v>294.400211296111-435.744514308607i</v>
      </c>
      <c r="H115" s="1">
        <f t="shared" si="24"/>
        <v>54.417654435001666</v>
      </c>
      <c r="I115" s="6">
        <f t="shared" si="25"/>
        <v>-55.956026883907811</v>
      </c>
      <c r="J115" s="26" t="str">
        <f t="shared" si="40"/>
        <v>20.5130069396356-43.2517481709333i</v>
      </c>
      <c r="K115" s="1">
        <f t="shared" si="26"/>
        <v>33.601193258995757</v>
      </c>
      <c r="L115" s="6">
        <f t="shared" si="27"/>
        <v>-64.62641737881934</v>
      </c>
      <c r="M115" s="26">
        <f t="shared" si="41"/>
        <v>0.11294117647058823</v>
      </c>
      <c r="N115" s="6">
        <f t="shared" si="42"/>
        <v>2.5000000000000001E-2</v>
      </c>
      <c r="O115" s="5" t="str">
        <f t="shared" si="43"/>
        <v>2.32655190216842-0.470698106712192i</v>
      </c>
      <c r="P115" s="1">
        <f t="shared" si="21"/>
        <v>7.5084771092898706</v>
      </c>
      <c r="Q115" s="6">
        <f t="shared" si="28"/>
        <v>-11.437455317887316</v>
      </c>
      <c r="R115" s="5" t="str">
        <f t="shared" si="29"/>
        <v>2.9633781746471-1.19478265961063i</v>
      </c>
      <c r="S115" s="1">
        <f t="shared" si="30"/>
        <v>10.089881303724461</v>
      </c>
      <c r="T115" s="6">
        <f t="shared" si="31"/>
        <v>-21.958437019714989</v>
      </c>
      <c r="U115" t="str">
        <f>IMPRODUCT(COMPLEX(-1,0),IMDIV(COMPLEX(1,C115*Calculations!$B$171*Calculations!$B$173),IMPRODUCT(COMPLEX(0,C115*Calculations!$B$160),COMPLEX((Calculations!$B$173+Calculations!$B$175),C115*Calculations!$B$171*Calculations!$B$173*Calculations!$B$175))))</f>
        <v>-0.0238550620697817+0.121391687213877i</v>
      </c>
      <c r="V115">
        <f t="shared" si="32"/>
        <v>-18.151665040118438</v>
      </c>
      <c r="W115">
        <f t="shared" si="33"/>
        <v>101.11770607490681</v>
      </c>
      <c r="X115" t="str">
        <f t="shared" si="34"/>
        <v>0.0743451126115747+0.388231090978101i</v>
      </c>
      <c r="Y115">
        <f t="shared" si="35"/>
        <v>-8.0617837363939753</v>
      </c>
      <c r="Z115">
        <f t="shared" si="36"/>
        <v>79.159269055191814</v>
      </c>
    </row>
    <row r="116" spans="2:26" x14ac:dyDescent="0.15">
      <c r="B116" s="1">
        <v>20000</v>
      </c>
      <c r="C116" s="22">
        <f t="shared" si="37"/>
        <v>125663.70614359173</v>
      </c>
      <c r="D116" s="26" t="str">
        <f t="shared" si="38"/>
        <v>0.0895898327826858-0.00686897430981456i</v>
      </c>
      <c r="E116" s="1">
        <f t="shared" si="14"/>
        <v>-20.929370236448428</v>
      </c>
      <c r="F116" s="6">
        <f t="shared" si="23"/>
        <v>-4.3843675916380276</v>
      </c>
      <c r="G116" s="5" t="str">
        <f t="shared" si="39"/>
        <v>83.8602626618955-268.495512346447i</v>
      </c>
      <c r="H116" s="1">
        <f t="shared" si="24"/>
        <v>48.982993632363119</v>
      </c>
      <c r="I116" s="6">
        <f t="shared" si="25"/>
        <v>-72.654643545786328</v>
      </c>
      <c r="J116" s="26" t="str">
        <f t="shared" si="40"/>
        <v>5.66873813238308-24.6305020438586i</v>
      </c>
      <c r="K116" s="1">
        <f t="shared" si="26"/>
        <v>28.053623395914688</v>
      </c>
      <c r="L116" s="6">
        <f t="shared" si="27"/>
        <v>-77.039011137424367</v>
      </c>
      <c r="M116" s="26">
        <f t="shared" si="41"/>
        <v>0.11294117647058823</v>
      </c>
      <c r="N116" s="6">
        <f t="shared" si="42"/>
        <v>2.5000000000000001E-2</v>
      </c>
      <c r="O116" s="5" t="str">
        <f t="shared" si="43"/>
        <v>2.25210014761941-0.588008718782821i</v>
      </c>
      <c r="P116" s="1">
        <f t="shared" si="21"/>
        <v>7.3381570049155531</v>
      </c>
      <c r="Q116" s="6">
        <f t="shared" si="28"/>
        <v>-14.632886541382131</v>
      </c>
      <c r="R116" s="5" t="str">
        <f t="shared" si="29"/>
        <v>2.62451730676938-1.65062316615139i</v>
      </c>
      <c r="S116" s="1">
        <f t="shared" si="30"/>
        <v>9.8284303626968743</v>
      </c>
      <c r="T116" s="6">
        <f t="shared" si="31"/>
        <v>-32.166792134144011</v>
      </c>
      <c r="U116" t="str">
        <f>IMPRODUCT(COMPLEX(-1,0),IMDIV(COMPLEX(1,C116*Calculations!$B$171*Calculations!$B$173),IMPRODUCT(COMPLEX(0,C116*Calculations!$B$160),COMPLEX((Calculations!$B$173+Calculations!$B$175),C116*Calculations!$B$171*Calculations!$B$173*Calculations!$B$175))))</f>
        <v>-0.00623616053063266+0.0628865742880357i</v>
      </c>
      <c r="V116">
        <f t="shared" si="32"/>
        <v>-23.986342483928293</v>
      </c>
      <c r="W116">
        <f t="shared" si="33"/>
        <v>95.66323302093366</v>
      </c>
      <c r="X116" t="str">
        <f t="shared" si="34"/>
        <v>0.0874351251192945+0.175340453622089i</v>
      </c>
      <c r="Y116">
        <f t="shared" si="35"/>
        <v>-14.15791212123143</v>
      </c>
      <c r="Z116">
        <f t="shared" si="36"/>
        <v>63.496440886789635</v>
      </c>
    </row>
    <row r="117" spans="2:26" x14ac:dyDescent="0.15">
      <c r="B117" s="1">
        <v>30000</v>
      </c>
      <c r="C117" s="22">
        <f t="shared" si="37"/>
        <v>188495.55921538759</v>
      </c>
      <c r="D117" s="26" t="str">
        <f t="shared" si="38"/>
        <v>0.0895159763193918-0.00458026930701913i</v>
      </c>
      <c r="E117" s="1">
        <f t="shared" si="14"/>
        <v>-20.950633678582665</v>
      </c>
      <c r="F117" s="6">
        <f t="shared" si="23"/>
        <v>-2.9291021585136141</v>
      </c>
      <c r="G117" s="5" t="str">
        <f t="shared" si="39"/>
        <v>38.202606040562-186.049445834689i</v>
      </c>
      <c r="H117" s="1">
        <f t="shared" si="24"/>
        <v>45.571923193658861</v>
      </c>
      <c r="I117" s="6">
        <f t="shared" si="25"/>
        <v>-78.396412723166051</v>
      </c>
      <c r="J117" s="26" t="str">
        <f t="shared" si="40"/>
        <v>2.56758701132145-16.8293760114697i</v>
      </c>
      <c r="K117" s="1">
        <f t="shared" si="26"/>
        <v>24.621289515076185</v>
      </c>
      <c r="L117" s="6">
        <f t="shared" si="27"/>
        <v>-81.32551488167968</v>
      </c>
      <c r="M117" s="26">
        <f t="shared" si="41"/>
        <v>0.11294117647058823</v>
      </c>
      <c r="N117" s="6">
        <f t="shared" si="42"/>
        <v>2.5000000000000001E-2</v>
      </c>
      <c r="O117" s="5" t="str">
        <f t="shared" si="43"/>
        <v>2.13806671599859-0.752104707763627i</v>
      </c>
      <c r="P117" s="1">
        <f t="shared" si="21"/>
        <v>7.1070878569297413</v>
      </c>
      <c r="Q117" s="6">
        <f t="shared" si="28"/>
        <v>-19.380270399327014</v>
      </c>
      <c r="R117" s="5" t="str">
        <f t="shared" si="29"/>
        <v>2.08541267704279-2.1190682732172i</v>
      </c>
      <c r="S117" s="1">
        <f t="shared" si="30"/>
        <v>9.4642260916117724</v>
      </c>
      <c r="T117" s="6">
        <f t="shared" si="31"/>
        <v>-45.458625560751706</v>
      </c>
      <c r="U117" t="str">
        <f>IMPRODUCT(COMPLEX(-1,0),IMDIV(COMPLEX(1,C117*Calculations!$B$171*Calculations!$B$173),IMPRODUCT(COMPLEX(0,C117*Calculations!$B$160),COMPLEX((Calculations!$B$173+Calculations!$B$175),C117*Calculations!$B$171*Calculations!$B$173*Calculations!$B$175))))</f>
        <v>-0.00279527023189329+0.0422096092647744i</v>
      </c>
      <c r="V117">
        <f t="shared" si="32"/>
        <v>-27.4727687647568</v>
      </c>
      <c r="W117">
        <f t="shared" si="33"/>
        <v>93.788797801287259</v>
      </c>
      <c r="X117" t="str">
        <f t="shared" si="34"/>
        <v>0.0836157518405276+0.0939478227172569i</v>
      </c>
      <c r="Y117">
        <f t="shared" si="35"/>
        <v>-18.008542673145026</v>
      </c>
      <c r="Z117">
        <f t="shared" si="36"/>
        <v>48.330172240535568</v>
      </c>
    </row>
    <row r="118" spans="2:26" x14ac:dyDescent="0.15">
      <c r="B118" s="1">
        <v>40000</v>
      </c>
      <c r="C118" s="22">
        <f t="shared" si="37"/>
        <v>251327.41228718346</v>
      </c>
      <c r="D118" s="26" t="str">
        <f t="shared" si="38"/>
        <v>0.0894901192935032-0.00343545223944193i</v>
      </c>
      <c r="E118" s="1">
        <f t="shared" si="14"/>
        <v>-20.958102647181764</v>
      </c>
      <c r="F118" s="6">
        <f t="shared" si="23"/>
        <v>-2.1984584023475184</v>
      </c>
      <c r="G118" s="5" t="str">
        <f t="shared" si="39"/>
        <v>21.6761790899-141.436692377254i</v>
      </c>
      <c r="H118" s="1">
        <f t="shared" si="24"/>
        <v>43.112068287071281</v>
      </c>
      <c r="I118" s="6">
        <f t="shared" si="25"/>
        <v>-81.286809892842342</v>
      </c>
      <c r="J118" s="26" t="str">
        <f t="shared" si="40"/>
        <v>1.45390485101579-12.7316539513159i</v>
      </c>
      <c r="K118" s="1">
        <f t="shared" si="26"/>
        <v>22.153965639889499</v>
      </c>
      <c r="L118" s="6">
        <f t="shared" si="27"/>
        <v>-83.485268295189869</v>
      </c>
      <c r="M118" s="26">
        <f t="shared" si="41"/>
        <v>0.11294117647058823</v>
      </c>
      <c r="N118" s="6">
        <f t="shared" si="42"/>
        <v>2.5000000000000001E-2</v>
      </c>
      <c r="O118" s="5" t="str">
        <f t="shared" si="43"/>
        <v>1.99653631279602-0.899275900874515i</v>
      </c>
      <c r="P118" s="1">
        <f t="shared" si="21"/>
        <v>6.8077542344564925</v>
      </c>
      <c r="Q118" s="6">
        <f t="shared" si="28"/>
        <v>-24.247658928661092</v>
      </c>
      <c r="R118" s="5" t="str">
        <f t="shared" si="29"/>
        <v>1.40307348862625-2.38854452423242i</v>
      </c>
      <c r="S118" s="1">
        <f t="shared" si="30"/>
        <v>8.8500822131924775</v>
      </c>
      <c r="T118" s="6">
        <f t="shared" si="31"/>
        <v>-59.569267055479912</v>
      </c>
      <c r="U118" t="str">
        <f>IMPRODUCT(COMPLEX(-1,0),IMDIV(COMPLEX(1,C118*Calculations!$B$171*Calculations!$B$173),IMPRODUCT(COMPLEX(0,C118*Calculations!$B$160),COMPLEX((Calculations!$B$173+Calculations!$B$175),C118*Calculations!$B$171*Calculations!$B$173*Calculations!$B$175))))</f>
        <v>-0.00157704805163+0.0317329436992734i</v>
      </c>
      <c r="V118">
        <f t="shared" si="32"/>
        <v>-29.959079614026507</v>
      </c>
      <c r="W118">
        <f t="shared" si="33"/>
        <v>92.845116362303187</v>
      </c>
      <c r="X118" t="str">
        <f t="shared" si="34"/>
        <v>0.0735828345991434+0.0482905015086922i</v>
      </c>
      <c r="Y118">
        <f t="shared" si="35"/>
        <v>-21.108997400834028</v>
      </c>
      <c r="Z118">
        <f t="shared" si="36"/>
        <v>33.275849306823332</v>
      </c>
    </row>
    <row r="119" spans="2:26" x14ac:dyDescent="0.15">
      <c r="B119" s="1">
        <v>50000</v>
      </c>
      <c r="C119" s="22">
        <f t="shared" si="37"/>
        <v>314159.26535897929</v>
      </c>
      <c r="D119" s="26" t="str">
        <f t="shared" si="38"/>
        <v>0.0894781499088801-0.00274845446882788i</v>
      </c>
      <c r="E119" s="1">
        <f t="shared" si="14"/>
        <v>-20.961564435164526</v>
      </c>
      <c r="F119" s="6">
        <f t="shared" si="23"/>
        <v>-1.7593719075746577</v>
      </c>
      <c r="G119" s="5" t="str">
        <f t="shared" si="39"/>
        <v>13.9286508151217-113.859668269132i</v>
      </c>
      <c r="H119" s="1">
        <f t="shared" si="24"/>
        <v>41.19190917524071</v>
      </c>
      <c r="I119" s="6">
        <f t="shared" si="25"/>
        <v>-83.025561048188123</v>
      </c>
      <c r="J119" s="26" t="str">
        <f t="shared" si="40"/>
        <v>0.933371791590351-10.2262347285384i</v>
      </c>
      <c r="K119" s="1">
        <f t="shared" si="26"/>
        <v>20.230344740076255</v>
      </c>
      <c r="L119" s="6">
        <f t="shared" si="27"/>
        <v>-84.784932955762812</v>
      </c>
      <c r="M119" s="26">
        <f t="shared" si="41"/>
        <v>0.11294117647058823</v>
      </c>
      <c r="N119" s="6">
        <f t="shared" si="42"/>
        <v>2.5000000000000001E-2</v>
      </c>
      <c r="O119" s="5" t="str">
        <f t="shared" si="43"/>
        <v>1.83994163169035-1.01612092974564i</v>
      </c>
      <c r="P119" s="1">
        <f t="shared" si="21"/>
        <v>6.4521459863442923</v>
      </c>
      <c r="Q119" s="6">
        <f t="shared" si="28"/>
        <v>-28.90998924838804</v>
      </c>
      <c r="R119" s="5" t="str">
        <f t="shared" si="29"/>
        <v>0.711206207181053-2.39115919593204i</v>
      </c>
      <c r="S119" s="1">
        <f t="shared" si="30"/>
        <v>7.9403166315826965</v>
      </c>
      <c r="T119" s="6">
        <f t="shared" si="31"/>
        <v>-73.435860964319204</v>
      </c>
      <c r="U119" t="str">
        <f>IMPRODUCT(COMPLEX(-1,0),IMDIV(COMPLEX(1,C119*Calculations!$B$171*Calculations!$B$173),IMPRODUCT(COMPLEX(0,C119*Calculations!$B$160),COMPLEX((Calculations!$B$173+Calculations!$B$175),C119*Calculations!$B$171*Calculations!$B$173*Calculations!$B$175))))</f>
        <v>-0.00101071167764651+0.0254145222198475i</v>
      </c>
      <c r="V119">
        <f t="shared" si="32"/>
        <v>-31.891497727184237</v>
      </c>
      <c r="W119">
        <f t="shared" si="33"/>
        <v>92.27739921280849</v>
      </c>
      <c r="X119" t="str">
        <f t="shared" si="34"/>
        <v>0.0600513440973949+0.0204917384777367i</v>
      </c>
      <c r="Y119">
        <f t="shared" si="35"/>
        <v>-23.951181095601548</v>
      </c>
      <c r="Z119">
        <f t="shared" si="36"/>
        <v>18.841538248489307</v>
      </c>
    </row>
    <row r="120" spans="2:26" x14ac:dyDescent="0.15">
      <c r="B120" s="1">
        <v>60000</v>
      </c>
      <c r="C120" s="22">
        <f t="shared" si="37"/>
        <v>376991.11843077518</v>
      </c>
      <c r="D120" s="26" t="str">
        <f t="shared" si="38"/>
        <v>0.0894716476825818-0.00229042067888205i</v>
      </c>
      <c r="E120" s="1">
        <f t="shared" si="14"/>
        <v>-20.9634461677588</v>
      </c>
      <c r="F120" s="6">
        <f t="shared" si="23"/>
        <v>-1.4664174212529246</v>
      </c>
      <c r="G120" s="5" t="str">
        <f t="shared" si="39"/>
        <v>9.69384101572248-95.2061384643883i</v>
      </c>
      <c r="H120" s="1">
        <f t="shared" si="24"/>
        <v>39.618091445528172</v>
      </c>
      <c r="I120" s="6">
        <f t="shared" si="25"/>
        <v>-84.186208307408705</v>
      </c>
      <c r="J120" s="26" t="str">
        <f t="shared" si="40"/>
        <v>0.64926181975434-8.54045305182506i</v>
      </c>
      <c r="K120" s="1">
        <f t="shared" si="26"/>
        <v>18.654645277769376</v>
      </c>
      <c r="L120" s="6">
        <f t="shared" si="27"/>
        <v>-85.652625728661619</v>
      </c>
      <c r="M120" s="26">
        <f t="shared" si="41"/>
        <v>0.11294117647058823</v>
      </c>
      <c r="N120" s="6">
        <f t="shared" si="42"/>
        <v>2.5000000000000001E-2</v>
      </c>
      <c r="O120" s="5" t="str">
        <f t="shared" si="43"/>
        <v>1.67898908871422-1.10089832258427i</v>
      </c>
      <c r="P120" s="1">
        <f t="shared" si="21"/>
        <v>6.0541080247215637</v>
      </c>
      <c r="Q120" s="6">
        <f t="shared" si="28"/>
        <v>-33.252502072606326</v>
      </c>
      <c r="R120" s="5" t="str">
        <f t="shared" si="29"/>
        <v>0.144170558657012-2.17437477482946i</v>
      </c>
      <c r="S120" s="1">
        <f t="shared" si="30"/>
        <v>6.7657389346598782</v>
      </c>
      <c r="T120" s="6">
        <f t="shared" si="31"/>
        <v>-86.206591643933379</v>
      </c>
      <c r="U120" t="str">
        <f>IMPRODUCT(COMPLEX(-1,0),IMDIV(COMPLEX(1,C120*Calculations!$B$171*Calculations!$B$173),IMPRODUCT(COMPLEX(0,C120*Calculations!$B$160),COMPLEX((Calculations!$B$173+Calculations!$B$175),C120*Calculations!$B$171*Calculations!$B$173*Calculations!$B$175))))</f>
        <v>-0.000702412711801089+0.0211915464603845i</v>
      </c>
      <c r="V120">
        <f t="shared" si="32"/>
        <v>-33.471978228967572</v>
      </c>
      <c r="W120">
        <f t="shared" si="33"/>
        <v>91.898424692588307</v>
      </c>
      <c r="X120" t="str">
        <f t="shared" si="34"/>
        <v>0.0459770968300184+0.0045825055740595i</v>
      </c>
      <c r="Y120">
        <f t="shared" si="35"/>
        <v>-26.7062392943077</v>
      </c>
      <c r="Z120">
        <f t="shared" si="36"/>
        <v>5.6918330486549413</v>
      </c>
    </row>
    <row r="121" spans="2:26" x14ac:dyDescent="0.15">
      <c r="B121" s="1">
        <v>70000</v>
      </c>
      <c r="C121" s="22">
        <f t="shared" si="37"/>
        <v>439822.97150257102</v>
      </c>
      <c r="D121" s="26" t="str">
        <f t="shared" si="38"/>
        <v>0.0894677269300811-0.00196323940892699i</v>
      </c>
      <c r="E121" s="1">
        <f t="shared" si="14"/>
        <v>-20.964581220643854</v>
      </c>
      <c r="F121" s="6">
        <f t="shared" si="23"/>
        <v>-1.2570709769705368</v>
      </c>
      <c r="G121" s="5" t="str">
        <f t="shared" si="39"/>
        <v>7.13140283846828-81.7726906116783i</v>
      </c>
      <c r="H121" s="1">
        <f t="shared" si="24"/>
        <v>38.285071472713156</v>
      </c>
      <c r="I121" s="6">
        <f t="shared" si="25"/>
        <v>-85.015840832160251</v>
      </c>
      <c r="J121" s="26" t="str">
        <f t="shared" si="40"/>
        <v>0.477491032997645-7.33001740507705i</v>
      </c>
      <c r="K121" s="1">
        <f t="shared" si="26"/>
        <v>17.320490252069295</v>
      </c>
      <c r="L121" s="6">
        <f t="shared" si="27"/>
        <v>-86.272911809130775</v>
      </c>
      <c r="M121" s="26">
        <f t="shared" si="41"/>
        <v>0.11294117647058823</v>
      </c>
      <c r="N121" s="6">
        <f t="shared" si="42"/>
        <v>2.5000000000000001E-2</v>
      </c>
      <c r="O121" s="5" t="str">
        <f t="shared" si="43"/>
        <v>1.52167541022384-1.15652891551198i</v>
      </c>
      <c r="P121" s="1">
        <f t="shared" si="21"/>
        <v>5.6265623312330684</v>
      </c>
      <c r="Q121" s="6">
        <f t="shared" si="28"/>
        <v>-37.236161070685164</v>
      </c>
      <c r="R121" s="5" t="str">
        <f t="shared" si="29"/>
        <v>-0.239356490872662-1.84881064919887i</v>
      </c>
      <c r="S121" s="1">
        <f t="shared" si="30"/>
        <v>5.4100384035655154</v>
      </c>
      <c r="T121" s="6">
        <f t="shared" si="31"/>
        <v>-97.376772968702696</v>
      </c>
      <c r="U121" t="str">
        <f>IMPRODUCT(COMPLEX(-1,0),IMDIV(COMPLEX(1,C121*Calculations!$B$171*Calculations!$B$173),IMPRODUCT(COMPLEX(0,C121*Calculations!$B$160),COMPLEX((Calculations!$B$173+Calculations!$B$175),C121*Calculations!$B$171*Calculations!$B$173*Calculations!$B$175))))</f>
        <v>-0.000516293215135689+0.018170794697718i</v>
      </c>
      <c r="V121">
        <f t="shared" si="32"/>
        <v>-34.80901684321762</v>
      </c>
      <c r="W121">
        <f t="shared" si="33"/>
        <v>91.627527360224661</v>
      </c>
      <c r="X121" t="str">
        <f t="shared" si="34"/>
        <v>0.0337179368737836-0.00339476926096137i</v>
      </c>
      <c r="Y121">
        <f t="shared" si="35"/>
        <v>-29.398978439652112</v>
      </c>
      <c r="Z121">
        <f t="shared" si="36"/>
        <v>-5.7492456084780432</v>
      </c>
    </row>
    <row r="122" spans="2:26" x14ac:dyDescent="0.15">
      <c r="B122" s="1">
        <v>80000</v>
      </c>
      <c r="C122" s="22">
        <f t="shared" si="37"/>
        <v>502654.82457436691</v>
      </c>
      <c r="D122" s="26" t="str">
        <f t="shared" si="38"/>
        <v>0.0894651821645597-0.00171784679766374i</v>
      </c>
      <c r="E122" s="1">
        <f t="shared" si="14"/>
        <v>-20.965318085828176</v>
      </c>
      <c r="F122" s="6">
        <f t="shared" si="23"/>
        <v>-1.1000176327475168</v>
      </c>
      <c r="G122" s="5" t="str">
        <f t="shared" si="39"/>
        <v>5.46465623300868-71.6463478435565i</v>
      </c>
      <c r="H122" s="1">
        <f t="shared" si="24"/>
        <v>37.12907308881131</v>
      </c>
      <c r="I122" s="6">
        <f t="shared" si="25"/>
        <v>-85.638344445227332</v>
      </c>
      <c r="J122" s="26" t="str">
        <f t="shared" si="40"/>
        <v>0.365819016145462-6.4192410034594i</v>
      </c>
      <c r="K122" s="1">
        <f t="shared" si="26"/>
        <v>16.163755002983137</v>
      </c>
      <c r="L122" s="6">
        <f t="shared" si="27"/>
        <v>-86.738362077974855</v>
      </c>
      <c r="M122" s="26">
        <f t="shared" si="41"/>
        <v>0.11294117647058823</v>
      </c>
      <c r="N122" s="6">
        <f t="shared" si="42"/>
        <v>2.5000000000000001E-2</v>
      </c>
      <c r="O122" s="5" t="str">
        <f t="shared" si="43"/>
        <v>1.3732167270007-1.18776587607207i</v>
      </c>
      <c r="P122" s="1">
        <f t="shared" si="21"/>
        <v>5.1805465516681313</v>
      </c>
      <c r="Q122" s="6">
        <f t="shared" si="28"/>
        <v>-40.858216066095871</v>
      </c>
      <c r="R122" s="5" t="str">
        <f t="shared" si="29"/>
        <v>-0.457071835220531-1.51106127818544i</v>
      </c>
      <c r="S122" s="1">
        <f t="shared" si="30"/>
        <v>3.9658652484304842</v>
      </c>
      <c r="T122" s="6">
        <f t="shared" si="31"/>
        <v>-106.8297252517586</v>
      </c>
      <c r="U122" t="str">
        <f>IMPRODUCT(COMPLEX(-1,0),IMDIV(COMPLEX(1,C122*Calculations!$B$171*Calculations!$B$173),IMPRODUCT(COMPLEX(0,C122*Calculations!$B$160),COMPLEX((Calculations!$B$173+Calculations!$B$175),C122*Calculations!$B$171*Calculations!$B$173*Calculations!$B$175))))</f>
        <v>-0.000395403805144764+0.0159032032017469i</v>
      </c>
      <c r="V122">
        <f t="shared" si="32"/>
        <v>-35.967623960354025</v>
      </c>
      <c r="W122">
        <f t="shared" si="33"/>
        <v>91.424260410010433</v>
      </c>
      <c r="X122" t="str">
        <f t="shared" si="34"/>
        <v>0.0242114425001452-0.00667142689410605i</v>
      </c>
      <c r="Y122">
        <f t="shared" si="35"/>
        <v>-32.001758711923522</v>
      </c>
      <c r="Z122">
        <f t="shared" si="36"/>
        <v>-15.405464841748149</v>
      </c>
    </row>
    <row r="123" spans="2:26" x14ac:dyDescent="0.15">
      <c r="B123" s="1">
        <v>90000</v>
      </c>
      <c r="C123" s="22">
        <f t="shared" si="37"/>
        <v>565486.6776461628</v>
      </c>
      <c r="D123" s="26" t="str">
        <f t="shared" si="38"/>
        <v>0.0894634374606141-0.00152698243625617i</v>
      </c>
      <c r="E123" s="1">
        <f t="shared" si="14"/>
        <v>-20.965823356529249</v>
      </c>
      <c r="F123" s="6">
        <f t="shared" si="23"/>
        <v>-0.97784253543410526</v>
      </c>
      <c r="G123" s="5" t="str">
        <f t="shared" si="39"/>
        <v>4.32028831439674-63.7437502183267i</v>
      </c>
      <c r="H123" s="1">
        <f t="shared" si="24"/>
        <v>36.108656148657282</v>
      </c>
      <c r="I123" s="6">
        <f t="shared" si="25"/>
        <v>-86.122658219309116</v>
      </c>
      <c r="J123" s="26" t="str">
        <f t="shared" si="40"/>
        <v>0.28917225642237-5.70933201553793i</v>
      </c>
      <c r="K123" s="1">
        <f t="shared" si="26"/>
        <v>15.14283279212804</v>
      </c>
      <c r="L123" s="6">
        <f t="shared" si="27"/>
        <v>-87.100500754743223</v>
      </c>
      <c r="M123" s="26">
        <f t="shared" si="41"/>
        <v>0.11294117647058823</v>
      </c>
      <c r="N123" s="6">
        <f t="shared" si="42"/>
        <v>2.5000000000000001E-2</v>
      </c>
      <c r="O123" s="5" t="str">
        <f t="shared" si="43"/>
        <v>1.23649611320682-1.19970565642817i</v>
      </c>
      <c r="P123" s="1">
        <f t="shared" si="21"/>
        <v>4.7249554569444658</v>
      </c>
      <c r="Q123" s="6">
        <f t="shared" si="28"/>
        <v>-44.134809889527723</v>
      </c>
      <c r="R123" s="5" t="str">
        <f t="shared" si="29"/>
        <v>-0.557696156319758-1.21224292966463i</v>
      </c>
      <c r="S123" s="1">
        <f t="shared" si="30"/>
        <v>2.5055610626555374</v>
      </c>
      <c r="T123" s="6">
        <f t="shared" si="31"/>
        <v>-114.70494274648752</v>
      </c>
      <c r="U123" t="str">
        <f>IMPRODUCT(COMPLEX(-1,0),IMDIV(COMPLEX(1,C123*Calculations!$B$171*Calculations!$B$173),IMPRODUCT(COMPLEX(0,C123*Calculations!$B$160),COMPLEX((Calculations!$B$173+Calculations!$B$175),C123*Calculations!$B$171*Calculations!$B$173*Calculations!$B$175))))</f>
        <v>-0.0003124811308071+0.0141384718657048i</v>
      </c>
      <c r="V123">
        <f t="shared" si="32"/>
        <v>-36.98982965712888</v>
      </c>
      <c r="W123">
        <f t="shared" si="33"/>
        <v>91.266115305841268</v>
      </c>
      <c r="X123" t="str">
        <f t="shared" si="34"/>
        <v>0.0173135320810365-0.00750616837426409i</v>
      </c>
      <c r="Y123">
        <f t="shared" si="35"/>
        <v>-34.484268594473349</v>
      </c>
      <c r="Z123">
        <f t="shared" si="36"/>
        <v>-23.438827440646254</v>
      </c>
    </row>
    <row r="124" spans="2:26" x14ac:dyDescent="0.15">
      <c r="B124" s="1">
        <v>100000</v>
      </c>
      <c r="C124" s="22">
        <f t="shared" si="37"/>
        <v>628318.53071795858</v>
      </c>
      <c r="D124" s="26" t="str">
        <f t="shared" si="38"/>
        <v>0.0894621894736228-0.00137428902412508i</v>
      </c>
      <c r="E124" s="1">
        <f t="shared" si="14"/>
        <v>-20.966184812803025</v>
      </c>
      <c r="F124" s="6">
        <f t="shared" si="23"/>
        <v>-0.88008988447884584</v>
      </c>
      <c r="G124" s="5" t="str">
        <f t="shared" si="39"/>
        <v>3.50090333756293-57.4068118407039i</v>
      </c>
      <c r="H124" s="1">
        <f t="shared" si="24"/>
        <v>35.195390288394904</v>
      </c>
      <c r="I124" s="6">
        <f t="shared" si="25"/>
        <v>-86.510189860962271</v>
      </c>
      <c r="J124" s="26" t="str">
        <f t="shared" si="40"/>
        <v>0.234304926291201-5.140550331001i</v>
      </c>
      <c r="K124" s="1">
        <f t="shared" si="26"/>
        <v>14.229205475591879</v>
      </c>
      <c r="L124" s="6">
        <f t="shared" si="27"/>
        <v>-87.390279745441106</v>
      </c>
      <c r="M124" s="26">
        <f t="shared" si="41"/>
        <v>0.11294117647058823</v>
      </c>
      <c r="N124" s="6">
        <f t="shared" si="42"/>
        <v>2.5000000000000001E-2</v>
      </c>
      <c r="O124" s="5" t="str">
        <f t="shared" si="43"/>
        <v>1.11268187040715-1.19703061915885i</v>
      </c>
      <c r="P124" s="1">
        <f t="shared" si="21"/>
        <v>4.2666466025281</v>
      </c>
      <c r="Q124" s="6">
        <f t="shared" si="28"/>
        <v>-47.091464032317774</v>
      </c>
      <c r="R124" s="5" t="str">
        <f t="shared" si="29"/>
        <v>-0.587008275985425-0.967588007800092i</v>
      </c>
      <c r="S124" s="1">
        <f t="shared" si="30"/>
        <v>1.0748310549426927</v>
      </c>
      <c r="T124" s="6">
        <f t="shared" si="31"/>
        <v>-121.24400375144322</v>
      </c>
      <c r="U124" t="str">
        <f>IMPRODUCT(COMPLEX(-1,0),IMDIV(COMPLEX(1,C124*Calculations!$B$171*Calculations!$B$173),IMPRODUCT(COMPLEX(0,C124*Calculations!$B$160),COMPLEX((Calculations!$B$173+Calculations!$B$175),C124*Calculations!$B$171*Calculations!$B$173*Calculations!$B$175))))</f>
        <v>-0.00025314640946082+0.012726100212603i</v>
      </c>
      <c r="V124">
        <f t="shared" si="32"/>
        <v>-37.904375112855334</v>
      </c>
      <c r="W124">
        <f t="shared" si="33"/>
        <v>91.139572062463571</v>
      </c>
      <c r="X124" t="str">
        <f t="shared" si="34"/>
        <v>0.0124622209891664-0.0072253847158059i</v>
      </c>
      <c r="Y124">
        <f t="shared" si="35"/>
        <v>-36.829544057912621</v>
      </c>
      <c r="Z124">
        <f t="shared" si="36"/>
        <v>-30.10443168897956</v>
      </c>
    </row>
    <row r="125" spans="2:26" x14ac:dyDescent="0.15">
      <c r="B125" s="1">
        <v>200000</v>
      </c>
      <c r="C125" s="22">
        <f t="shared" si="37"/>
        <v>1256637.0614359172</v>
      </c>
      <c r="D125" s="26" t="str">
        <f t="shared" si="38"/>
        <v>0.089458199140546-0.000687152236210541i</v>
      </c>
      <c r="E125" s="1">
        <f t="shared" si="14"/>
        <v>-20.967340740647007</v>
      </c>
      <c r="F125" s="6">
        <f t="shared" si="23"/>
        <v>-0.44009547592507869</v>
      </c>
      <c r="G125" s="5" t="str">
        <f t="shared" si="39"/>
        <v>0.876401989405556-28.7633364334927i</v>
      </c>
      <c r="H125" s="1">
        <f t="shared" si="24"/>
        <v>29.180815276635027</v>
      </c>
      <c r="I125" s="6">
        <f t="shared" si="25"/>
        <v>-88.254771154121826</v>
      </c>
      <c r="J125" s="26" t="str">
        <f t="shared" si="40"/>
        <v>0.0586365527442623-2.57371850020075i</v>
      </c>
      <c r="K125" s="1">
        <f t="shared" si="26"/>
        <v>8.2134745359880146</v>
      </c>
      <c r="L125" s="6">
        <f t="shared" si="27"/>
        <v>-88.694866630046903</v>
      </c>
      <c r="M125" s="26">
        <f t="shared" si="41"/>
        <v>0.11294117647058823</v>
      </c>
      <c r="N125" s="6">
        <f t="shared" si="42"/>
        <v>2.5000000000000001E-2</v>
      </c>
      <c r="O125" s="5" t="str">
        <f t="shared" si="43"/>
        <v>0.43109665747445-0.921365475581154i</v>
      </c>
      <c r="P125" s="1">
        <f t="shared" si="21"/>
        <v>0.14839072965225752</v>
      </c>
      <c r="Q125" s="6">
        <f t="shared" si="28"/>
        <v>-64.925629143065763</v>
      </c>
      <c r="R125" s="5" t="str">
        <f t="shared" si="29"/>
        <v>-0.279901311909124-0.153146465939488i</v>
      </c>
      <c r="S125" s="1">
        <f t="shared" si="30"/>
        <v>-9.9225826104593331</v>
      </c>
      <c r="T125" s="6">
        <f t="shared" si="31"/>
        <v>-151.31496811336265</v>
      </c>
      <c r="U125" t="str">
        <f>IMPRODUCT(COMPLEX(-1,0),IMDIV(COMPLEX(1,C125*Calculations!$B$171*Calculations!$B$173),IMPRODUCT(COMPLEX(0,C125*Calculations!$B$160),COMPLEX((Calculations!$B$173+Calculations!$B$175),C125*Calculations!$B$171*Calculations!$B$173*Calculations!$B$175))))</f>
        <v>-0.0000633159508862523+0.00636541045441331i</v>
      </c>
      <c r="V125">
        <f t="shared" si="32"/>
        <v>-43.923042067366595</v>
      </c>
      <c r="W125">
        <f t="shared" si="33"/>
        <v>90.569895241090933</v>
      </c>
      <c r="X125" t="str">
        <f t="shared" si="34"/>
        <v>0.000992562333065504-0.00177199012291451i</v>
      </c>
      <c r="Y125">
        <f t="shared" si="35"/>
        <v>-53.845624677825938</v>
      </c>
      <c r="Z125">
        <f t="shared" si="36"/>
        <v>-60.745072872271734</v>
      </c>
    </row>
    <row r="126" spans="2:26" x14ac:dyDescent="0.15">
      <c r="B126" s="1">
        <v>300000</v>
      </c>
      <c r="C126" s="22">
        <f t="shared" si="37"/>
        <v>1884955.5921538759</v>
      </c>
      <c r="D126" s="26" t="str">
        <f t="shared" si="38"/>
        <v>0.0894574601801315-0.00045810244441825i</v>
      </c>
      <c r="E126" s="1">
        <f t="shared" si="14"/>
        <v>-20.967554837978216</v>
      </c>
      <c r="F126" s="6">
        <f t="shared" si="23"/>
        <v>-0.29340322391725038</v>
      </c>
      <c r="G126" s="5" t="str">
        <f t="shared" si="39"/>
        <v>0.389608893328559-19.1829655039686i</v>
      </c>
      <c r="H126" s="1">
        <f t="shared" si="24"/>
        <v>25.660106021142504</v>
      </c>
      <c r="I126" s="6">
        <f t="shared" si="25"/>
        <v>-88.836474132101415</v>
      </c>
      <c r="J126" s="26" t="str">
        <f t="shared" si="40"/>
        <v>0.0260656586722057-1.71623785349451i</v>
      </c>
      <c r="K126" s="1">
        <f t="shared" si="26"/>
        <v>4.6925511831642979</v>
      </c>
      <c r="L126" s="6">
        <f t="shared" si="27"/>
        <v>-89.129877356018653</v>
      </c>
      <c r="M126" s="26">
        <f t="shared" si="41"/>
        <v>0.11294117647058823</v>
      </c>
      <c r="N126" s="6">
        <f t="shared" si="42"/>
        <v>2.5000000000000001E-2</v>
      </c>
      <c r="O126" s="5" t="str">
        <f t="shared" si="43"/>
        <v>0.213315497697528-0.683015372789783i</v>
      </c>
      <c r="P126" s="1">
        <f t="shared" si="21"/>
        <v>-2.9071858718159116</v>
      </c>
      <c r="Q126" s="6">
        <f t="shared" si="28"/>
        <v>-72.655666832027109</v>
      </c>
      <c r="R126" s="5" t="str">
        <f t="shared" si="29"/>
        <v>-0.136194774770967-0.0467530591723353i</v>
      </c>
      <c r="S126" s="1">
        <f t="shared" si="30"/>
        <v>-16.832987833408495</v>
      </c>
      <c r="T126" s="6">
        <f t="shared" si="31"/>
        <v>-161.05363492279972</v>
      </c>
      <c r="U126" t="str">
        <f>IMPRODUCT(COMPLEX(-1,0),IMDIV(COMPLEX(1,C126*Calculations!$B$171*Calculations!$B$173),IMPRODUCT(COMPLEX(0,C126*Calculations!$B$160),COMPLEX((Calculations!$B$173+Calculations!$B$175),C126*Calculations!$B$171*Calculations!$B$173*Calculations!$B$175))))</f>
        <v>-0.0000281428394599719+0.00424389853078321i</v>
      </c>
      <c r="V126">
        <f t="shared" si="32"/>
        <v>-47.44450919084926</v>
      </c>
      <c r="W126">
        <f t="shared" si="33"/>
        <v>90.379943647906657</v>
      </c>
      <c r="X126" t="str">
        <f t="shared" si="34"/>
        <v>0.000202248146812761-0.000576681040712308i</v>
      </c>
      <c r="Y126">
        <f t="shared" si="35"/>
        <v>-64.277497024257741</v>
      </c>
      <c r="Z126">
        <f t="shared" si="36"/>
        <v>-70.673691274893059</v>
      </c>
    </row>
    <row r="127" spans="2:26" x14ac:dyDescent="0.15">
      <c r="B127" s="1">
        <v>400000</v>
      </c>
      <c r="C127" s="22">
        <f t="shared" si="37"/>
        <v>2513274.1228718343</v>
      </c>
      <c r="D127" s="26" t="str">
        <f t="shared" si="38"/>
        <v>0.0894572015432592-0.000343577083637336i</v>
      </c>
      <c r="E127" s="1">
        <f t="shared" si="14"/>
        <v>-20.967629774748339</v>
      </c>
      <c r="F127" s="6">
        <f t="shared" si="23"/>
        <v>-0.2200540559980366</v>
      </c>
      <c r="G127" s="5" t="str">
        <f t="shared" si="39"/>
        <v>0.219174083252379-14.3891691985855i</v>
      </c>
      <c r="H127" s="1">
        <f t="shared" si="24"/>
        <v>23.16172187792575</v>
      </c>
      <c r="I127" s="6">
        <f t="shared" si="25"/>
        <v>-89.127345106879105</v>
      </c>
      <c r="J127" s="26" t="str">
        <f t="shared" si="40"/>
        <v>0.0146629113493529-1.28729011223025i</v>
      </c>
      <c r="K127" s="1">
        <f t="shared" si="26"/>
        <v>2.1940921031773906</v>
      </c>
      <c r="L127" s="6">
        <f t="shared" si="27"/>
        <v>-89.347399162877124</v>
      </c>
      <c r="M127" s="26">
        <f t="shared" si="41"/>
        <v>0.11294117647058823</v>
      </c>
      <c r="N127" s="6">
        <f t="shared" si="42"/>
        <v>2.5000000000000001E-2</v>
      </c>
      <c r="O127" s="5" t="str">
        <f t="shared" si="43"/>
        <v>0.124946755954028-0.533190580281755i</v>
      </c>
      <c r="P127" s="1">
        <f t="shared" si="21"/>
        <v>-5.2301790579058487</v>
      </c>
      <c r="Q127" s="6">
        <f t="shared" si="28"/>
        <v>-76.811404793373825</v>
      </c>
      <c r="R127" s="5" t="str">
        <f t="shared" si="29"/>
        <v>-0.078908269835869-0.0199050140417717i</v>
      </c>
      <c r="S127" s="1">
        <f t="shared" si="30"/>
        <v>-21.789633021892282</v>
      </c>
      <c r="T127" s="6">
        <f t="shared" si="31"/>
        <v>-165.84221357667127</v>
      </c>
      <c r="U127" t="str">
        <f>IMPRODUCT(COMPLEX(-1,0),IMDIV(COMPLEX(1,C127*Calculations!$B$171*Calculations!$B$173),IMPRODUCT(COMPLEX(0,C127*Calculations!$B$160),COMPLEX((Calculations!$B$173+Calculations!$B$175),C127*Calculations!$B$171*Calculations!$B$173*Calculations!$B$175))))</f>
        <v>-0.0000158308230675393+0.00318300044176976i</v>
      </c>
      <c r="V127">
        <f t="shared" si="32"/>
        <v>-49.943158595288622</v>
      </c>
      <c r="W127">
        <f t="shared" si="33"/>
        <v>90.284961276562782</v>
      </c>
      <c r="X127" t="str">
        <f t="shared" si="34"/>
        <v>0.0000646068513467299-0.000250849944991406i</v>
      </c>
      <c r="Y127">
        <f t="shared" si="35"/>
        <v>-71.732791617180908</v>
      </c>
      <c r="Z127">
        <f t="shared" si="36"/>
        <v>-75.557252300108473</v>
      </c>
    </row>
    <row r="128" spans="2:26" x14ac:dyDescent="0.15">
      <c r="B128" s="1">
        <v>500000</v>
      </c>
      <c r="C128" s="22">
        <f t="shared" si="37"/>
        <v>3141592.653589793</v>
      </c>
      <c r="D128" s="26" t="str">
        <f t="shared" si="38"/>
        <v>0.0894570818312085-0.000274861759601239i</v>
      </c>
      <c r="E128" s="1">
        <f t="shared" si="14"/>
        <v>-20.967664460242315</v>
      </c>
      <c r="F128" s="6">
        <f t="shared" si="23"/>
        <v>-0.17604385135833164</v>
      </c>
      <c r="G128" s="5" t="str">
        <f t="shared" si="39"/>
        <v>0.140277065990618-11.512055661194i</v>
      </c>
      <c r="H128" s="1">
        <f t="shared" si="24"/>
        <v>21.223702407279092</v>
      </c>
      <c r="I128" s="6">
        <f t="shared" si="25"/>
        <v>-89.301872200406393</v>
      </c>
      <c r="J128" s="26" t="str">
        <f t="shared" si="40"/>
        <v>0.00938455309570132-1.02987346213005i</v>
      </c>
      <c r="K128" s="1">
        <f t="shared" si="26"/>
        <v>0.25603794703679172</v>
      </c>
      <c r="L128" s="6">
        <f t="shared" si="27"/>
        <v>-89.477916051764737</v>
      </c>
      <c r="M128" s="26">
        <f t="shared" si="41"/>
        <v>0.11294117647058823</v>
      </c>
      <c r="N128" s="6">
        <f t="shared" si="42"/>
        <v>2.5000000000000001E-2</v>
      </c>
      <c r="O128" s="5" t="str">
        <f t="shared" si="43"/>
        <v>0.0815247287949559-0.434779643108068i</v>
      </c>
      <c r="P128" s="1">
        <f t="shared" si="21"/>
        <v>-7.0845440486962419</v>
      </c>
      <c r="Q128" s="6">
        <f t="shared" si="28"/>
        <v>-79.379893335478954</v>
      </c>
      <c r="R128" s="5" t="str">
        <f t="shared" si="29"/>
        <v>-0.0511777716104467-0.0102320863795409i</v>
      </c>
      <c r="S128" s="1">
        <f t="shared" si="30"/>
        <v>-25.648152340539824</v>
      </c>
      <c r="T128" s="6">
        <f t="shared" si="31"/>
        <v>-168.69380076222998</v>
      </c>
      <c r="U128" t="str">
        <f>IMPRODUCT(COMPLEX(-1,0),IMDIV(COMPLEX(1,C128*Calculations!$B$171*Calculations!$B$173),IMPRODUCT(COMPLEX(0,C128*Calculations!$B$160),COMPLEX((Calculations!$B$173+Calculations!$B$175),C128*Calculations!$B$171*Calculations!$B$173*Calculations!$B$175))))</f>
        <v>-0.000010131867736101+0.00254642869769429i</v>
      </c>
      <c r="V128">
        <f t="shared" si="32"/>
        <v>-51.8813008452898</v>
      </c>
      <c r="W128">
        <f t="shared" si="33"/>
        <v>90.227970332330827</v>
      </c>
      <c r="X128" t="str">
        <f t="shared" si="34"/>
        <v>0.0000265738048071352-0.000130216876167024i</v>
      </c>
      <c r="Y128">
        <f t="shared" si="35"/>
        <v>-77.52945318582961</v>
      </c>
      <c r="Z128">
        <f t="shared" si="36"/>
        <v>-78.465830429899214</v>
      </c>
    </row>
    <row r="129" spans="1:26" x14ac:dyDescent="0.15">
      <c r="B129" s="1">
        <v>600000</v>
      </c>
      <c r="C129" s="22">
        <f t="shared" si="37"/>
        <v>3769911.1843077517</v>
      </c>
      <c r="D129" s="26" t="str">
        <f t="shared" si="38"/>
        <v>0.0894570168024059-0.000229051508293445i</v>
      </c>
      <c r="E129" s="1">
        <f t="shared" si="14"/>
        <v>-20.967683301871176</v>
      </c>
      <c r="F129" s="6">
        <f t="shared" si="23"/>
        <v>-0.14670348404185204</v>
      </c>
      <c r="G129" s="5" t="str">
        <f t="shared" si="39"/>
        <v>0.0974167616082452-9.59370579601923i</v>
      </c>
      <c r="H129" s="1">
        <f t="shared" si="24"/>
        <v>19.640175693673832</v>
      </c>
      <c r="I129" s="6">
        <f t="shared" si="25"/>
        <v>-89.418225074989209</v>
      </c>
      <c r="J129" s="26" t="str">
        <f t="shared" si="40"/>
        <v>0.00651716009732299-0.85824661404801i</v>
      </c>
      <c r="K129" s="1">
        <f t="shared" si="26"/>
        <v>-1.3275076081973505</v>
      </c>
      <c r="L129" s="6">
        <f t="shared" si="27"/>
        <v>-89.564928559031074</v>
      </c>
      <c r="M129" s="26">
        <f t="shared" si="41"/>
        <v>0.11294117647058823</v>
      </c>
      <c r="N129" s="6">
        <f t="shared" si="42"/>
        <v>2.5000000000000001E-2</v>
      </c>
      <c r="O129" s="5" t="str">
        <f t="shared" si="43"/>
        <v>0.0572203001073894-0.36615383945975i</v>
      </c>
      <c r="P129" s="1">
        <f t="shared" si="21"/>
        <v>-8.6219411273100608</v>
      </c>
      <c r="Q129" s="6">
        <f t="shared" si="28"/>
        <v>-81.118002346136663</v>
      </c>
      <c r="R129" s="5" t="str">
        <f t="shared" si="29"/>
        <v>-0.0357943453463581-0.00593379876666873i</v>
      </c>
      <c r="S129" s="1">
        <f t="shared" si="30"/>
        <v>-28.805972388907609</v>
      </c>
      <c r="T129" s="6">
        <f t="shared" si="31"/>
        <v>-170.58740668905912</v>
      </c>
      <c r="U129" t="str">
        <f>IMPRODUCT(COMPLEX(-1,0),IMDIV(COMPLEX(1,C129*Calculations!$B$171*Calculations!$B$173),IMPRODUCT(COMPLEX(0,C129*Calculations!$B$160),COMPLEX((Calculations!$B$173+Calculations!$B$175),C129*Calculations!$B$171*Calculations!$B$173*Calculations!$B$175))))</f>
        <v>-7.03607244139158E-06+0.0021220367457641i</v>
      </c>
      <c r="V129">
        <f t="shared" si="32"/>
        <v>-53.464894254198605</v>
      </c>
      <c r="W129">
        <f t="shared" si="33"/>
        <v>90.189975870443334</v>
      </c>
      <c r="X129" t="str">
        <f t="shared" si="34"/>
        <v>0.0000128435906316899-0.0000759151654775672i</v>
      </c>
      <c r="Y129">
        <f t="shared" si="35"/>
        <v>-82.270866643106203</v>
      </c>
      <c r="Z129">
        <f t="shared" si="36"/>
        <v>-80.397430818615803</v>
      </c>
    </row>
    <row r="130" spans="1:26" x14ac:dyDescent="0.15">
      <c r="B130" s="1">
        <v>700000</v>
      </c>
      <c r="C130" s="22">
        <f t="shared" si="37"/>
        <v>4398229.7150257099</v>
      </c>
      <c r="D130" s="26" t="str">
        <f t="shared" si="38"/>
        <v>0.0894569775920779-0.000196329885937246i</v>
      </c>
      <c r="E130" s="1">
        <f t="shared" si="14"/>
        <v>-20.967694662821916</v>
      </c>
      <c r="F130" s="6">
        <f t="shared" si="23"/>
        <v>-0.12574598537450735</v>
      </c>
      <c r="G130" s="5" t="str">
        <f t="shared" si="39"/>
        <v>0.0715724430134937-8.2233449282434i</v>
      </c>
      <c r="H130" s="1">
        <f t="shared" si="24"/>
        <v>18.301299117231732</v>
      </c>
      <c r="I130" s="6">
        <f t="shared" si="25"/>
        <v>-89.501334869622866</v>
      </c>
      <c r="J130" s="26" t="str">
        <f t="shared" si="40"/>
        <v>0.00478816605908372-0.73564963478737i</v>
      </c>
      <c r="K130" s="1">
        <f t="shared" si="26"/>
        <v>-2.6663955455901833</v>
      </c>
      <c r="L130" s="6">
        <f t="shared" si="27"/>
        <v>-89.627080854997359</v>
      </c>
      <c r="M130" s="26">
        <f t="shared" si="41"/>
        <v>0.11294117647058823</v>
      </c>
      <c r="N130" s="6">
        <f t="shared" si="42"/>
        <v>2.5000000000000001E-2</v>
      </c>
      <c r="O130" s="5" t="str">
        <f t="shared" si="43"/>
        <v>0.0423124531326463-0.315863714041085i</v>
      </c>
      <c r="P130" s="1">
        <f t="shared" si="21"/>
        <v>-9.9327632624116671</v>
      </c>
      <c r="Q130" s="6">
        <f t="shared" si="28"/>
        <v>-82.370197172062973</v>
      </c>
      <c r="R130" s="5" t="str">
        <f t="shared" si="29"/>
        <v>-0.0264102498726892-0.0037413888329549i</v>
      </c>
      <c r="S130" s="1">
        <f t="shared" si="30"/>
        <v>-31.478255297295867</v>
      </c>
      <c r="T130" s="6">
        <f t="shared" si="31"/>
        <v>-171.93688831495302</v>
      </c>
      <c r="U130" t="str">
        <f>IMPRODUCT(COMPLEX(-1,0),IMDIV(COMPLEX(1,C130*Calculations!$B$171*Calculations!$B$173),IMPRODUCT(COMPLEX(0,C130*Calculations!$B$160),COMPLEX((Calculations!$B$173+Calculations!$B$175),C130*Calculations!$B$171*Calculations!$B$173*Calculations!$B$175))))</f>
        <v>-5.16938290366748E-06+0.00181889527076358i</v>
      </c>
      <c r="V130">
        <f t="shared" si="32"/>
        <v>-54.803811045922728</v>
      </c>
      <c r="W130">
        <f t="shared" si="33"/>
        <v>90.162836767121419</v>
      </c>
      <c r="X130" t="str">
        <f t="shared" si="34"/>
        <v>0.0000069417191485228-0.0000480181379216498i</v>
      </c>
      <c r="Y130">
        <f t="shared" si="35"/>
        <v>-86.282066343218588</v>
      </c>
      <c r="Z130">
        <f t="shared" si="36"/>
        <v>-81.774051547831618</v>
      </c>
    </row>
    <row r="131" spans="1:26" x14ac:dyDescent="0.15">
      <c r="B131" s="1">
        <v>800000</v>
      </c>
      <c r="C131" s="22">
        <f t="shared" si="37"/>
        <v>5026548.2457436686</v>
      </c>
      <c r="D131" s="26" t="str">
        <f t="shared" si="38"/>
        <v>0.0894569521430618-0.000171788662510601i</v>
      </c>
      <c r="E131" s="1">
        <f t="shared" si="14"/>
        <v>-20.967702036533197</v>
      </c>
      <c r="F131" s="6">
        <f t="shared" si="23"/>
        <v>-0.11002781779486598</v>
      </c>
      <c r="G131" s="5" t="str">
        <f t="shared" si="39"/>
        <v>0.0547981211234719-7.19552252439884i</v>
      </c>
      <c r="H131" s="1">
        <f t="shared" si="24"/>
        <v>17.141498611345522</v>
      </c>
      <c r="I131" s="6">
        <f t="shared" si="25"/>
        <v>-89.563667494725806</v>
      </c>
      <c r="J131" s="26" t="str">
        <f t="shared" si="40"/>
        <v>0.00366596370834074-0.643698927805406i</v>
      </c>
      <c r="K131" s="1">
        <f t="shared" si="26"/>
        <v>-3.8262034251876766</v>
      </c>
      <c r="L131" s="6">
        <f t="shared" si="27"/>
        <v>-89.673695312520664</v>
      </c>
      <c r="M131" s="26">
        <f t="shared" si="41"/>
        <v>0.11294117647058823</v>
      </c>
      <c r="N131" s="6">
        <f t="shared" si="42"/>
        <v>2.5000000000000001E-2</v>
      </c>
      <c r="O131" s="5" t="str">
        <f t="shared" si="43"/>
        <v>0.0325326148519337-0.277538867051585i</v>
      </c>
      <c r="P131" s="1">
        <f t="shared" si="21"/>
        <v>-11.074257459787635</v>
      </c>
      <c r="Q131" s="6">
        <f t="shared" si="28"/>
        <v>-83.314399030447802</v>
      </c>
      <c r="R131" s="5" t="str">
        <f t="shared" si="29"/>
        <v>-0.0202761005405713-0.00250844056201539i</v>
      </c>
      <c r="S131" s="1">
        <f t="shared" si="30"/>
        <v>-33.794345212373315</v>
      </c>
      <c r="T131" s="6">
        <f t="shared" si="31"/>
        <v>-172.94753537860774</v>
      </c>
      <c r="U131" t="str">
        <f>IMPRODUCT(COMPLEX(-1,0),IMDIV(COMPLEX(1,C131*Calculations!$B$171*Calculations!$B$173),IMPRODUCT(COMPLEX(0,C131*Calculations!$B$160),COMPLEX((Calculations!$B$173+Calculations!$B$175),C131*Calculations!$B$171*Calculations!$B$173*Calculations!$B$175))))</f>
        <v>-3.95782049263426E-06+0.00159153712805381i</v>
      </c>
      <c r="V131">
        <f t="shared" si="32"/>
        <v>-55.96363765312104</v>
      </c>
      <c r="W131">
        <f t="shared" si="33"/>
        <v>90.142482345433137</v>
      </c>
      <c r="X131" t="str">
        <f t="shared" si="34"/>
        <v>4.07252545419384E-06-0.0000322602388650103i</v>
      </c>
      <c r="Y131">
        <f t="shared" si="35"/>
        <v>-89.757982865494341</v>
      </c>
      <c r="Z131">
        <f t="shared" si="36"/>
        <v>-82.805053033174602</v>
      </c>
    </row>
    <row r="132" spans="1:26" x14ac:dyDescent="0.15">
      <c r="B132" s="1">
        <v>900000</v>
      </c>
      <c r="C132" s="22">
        <f t="shared" si="37"/>
        <v>5654866.7764616273</v>
      </c>
      <c r="D132" s="26" t="str">
        <f t="shared" si="38"/>
        <v>0.0894569346952985-0.000152701040848068i</v>
      </c>
      <c r="E132" s="1">
        <f t="shared" si="14"/>
        <v>-20.967707091933178</v>
      </c>
      <c r="F132" s="6">
        <f t="shared" si="23"/>
        <v>-9.7802553821060872E-2</v>
      </c>
      <c r="G132" s="5" t="str">
        <f t="shared" si="39"/>
        <v>0.0432975351891169-6.39607835118774i</v>
      </c>
      <c r="H132" s="1">
        <f t="shared" si="24"/>
        <v>16.118474512437224</v>
      </c>
      <c r="I132" s="6">
        <f t="shared" si="25"/>
        <v>-89.612148569622136</v>
      </c>
      <c r="J132" s="26" t="str">
        <f t="shared" si="40"/>
        <v>0.00289657695630806-0.572180174946903i</v>
      </c>
      <c r="K132" s="1">
        <f t="shared" si="26"/>
        <v>-4.8492325794959639</v>
      </c>
      <c r="L132" s="6">
        <f t="shared" si="27"/>
        <v>-89.70995112344319</v>
      </c>
      <c r="M132" s="26">
        <f t="shared" si="41"/>
        <v>0.11294117647058823</v>
      </c>
      <c r="N132" s="6">
        <f t="shared" si="42"/>
        <v>2.5000000000000001E-2</v>
      </c>
      <c r="O132" s="5" t="str">
        <f t="shared" si="43"/>
        <v>0.0257796049246797-0.24741204512434i</v>
      </c>
      <c r="P132" s="1">
        <f t="shared" si="21"/>
        <v>-12.084685880169612</v>
      </c>
      <c r="Q132" s="6">
        <f t="shared" si="28"/>
        <v>-84.051414872595771</v>
      </c>
      <c r="R132" s="5" t="str">
        <f t="shared" si="29"/>
        <v>-0.0160507939346742-0.0017627155126466i</v>
      </c>
      <c r="S132" s="1">
        <f t="shared" si="30"/>
        <v>-35.838004139707905</v>
      </c>
      <c r="T132" s="6">
        <f t="shared" si="31"/>
        <v>-173.73283055236362</v>
      </c>
      <c r="U132" t="str">
        <f>IMPRODUCT(COMPLEX(-1,0),IMDIV(COMPLEX(1,C132*Calculations!$B$171*Calculations!$B$173),IMPRODUCT(COMPLEX(0,C132*Calculations!$B$160),COMPLEX((Calculations!$B$173+Calculations!$B$175),C132*Calculations!$B$171*Calculations!$B$173*Calculations!$B$175))))</f>
        <v>-3.12717315078672E-06+0.00141470196454836i</v>
      </c>
      <c r="V132">
        <f t="shared" si="32"/>
        <v>-56.986679647024474</v>
      </c>
      <c r="W132">
        <f t="shared" si="33"/>
        <v>90.126651079880673</v>
      </c>
      <c r="X132" t="str">
        <f t="shared" si="34"/>
        <v>2.54391071052234E-06-0.0000227015773953209i</v>
      </c>
      <c r="Y132">
        <f t="shared" si="35"/>
        <v>-92.824683786732365</v>
      </c>
      <c r="Z132">
        <f t="shared" si="36"/>
        <v>-83.60617947248295</v>
      </c>
    </row>
    <row r="133" spans="1:26" ht="14.25" thickBot="1" x14ac:dyDescent="0.2">
      <c r="B133" s="98">
        <v>1000000</v>
      </c>
      <c r="C133" s="99">
        <f t="shared" si="37"/>
        <v>6283185.307179586</v>
      </c>
      <c r="D133" s="100" t="str">
        <f t="shared" si="38"/>
        <v>0.0894569222150143-0.000137430941594915i</v>
      </c>
      <c r="E133" s="98">
        <f t="shared" si="14"/>
        <v>-20.967710708035028</v>
      </c>
      <c r="F133" s="101">
        <f t="shared" si="23"/>
        <v>-8.8022330057184656E-2</v>
      </c>
      <c r="G133" s="102" t="str">
        <f t="shared" si="39"/>
        <v>0.0350711508433608-5.75650806683293i</v>
      </c>
      <c r="H133" s="98">
        <f t="shared" si="24"/>
        <v>15.203343549273583</v>
      </c>
      <c r="I133" s="101">
        <f t="shared" si="25"/>
        <v>-89.650933510145393</v>
      </c>
      <c r="J133" s="100" t="str">
        <f t="shared" si="40"/>
        <v>0.00234623488906199-0.514964314226059i</v>
      </c>
      <c r="K133" s="98">
        <f t="shared" si="26"/>
        <v>-5.7643671587614431</v>
      </c>
      <c r="L133" s="101">
        <f t="shared" si="27"/>
        <v>-89.738955840202578</v>
      </c>
      <c r="M133" s="100">
        <f t="shared" si="41"/>
        <v>0.11294117647058823</v>
      </c>
      <c r="N133" s="101">
        <f t="shared" si="42"/>
        <v>2.5000000000000001E-2</v>
      </c>
      <c r="O133" s="102" t="str">
        <f t="shared" si="43"/>
        <v>0.0209250483543678-0.223130737442074i</v>
      </c>
      <c r="P133" s="98">
        <f t="shared" si="21"/>
        <v>-12.990784666508723</v>
      </c>
      <c r="Q133" s="101">
        <f t="shared" si="28"/>
        <v>-84.642509806308212</v>
      </c>
      <c r="R133" s="102" t="str">
        <f t="shared" si="29"/>
        <v>-0.0130186114723109-0.00128551649289171i</v>
      </c>
      <c r="S133" s="98">
        <f t="shared" si="30"/>
        <v>-37.66656599722306</v>
      </c>
      <c r="T133" s="101">
        <f t="shared" si="31"/>
        <v>-174.3606373796942</v>
      </c>
      <c r="U133" t="str">
        <f>IMPRODUCT(COMPLEX(-1,0),IMDIV(COMPLEX(1,C133*Calculations!$B$171*Calculations!$B$173),IMPRODUCT(COMPLEX(0,C133*Calculations!$B$160),COMPLEX((Calculations!$B$173+Calculations!$B$175),C133*Calculations!$B$171*Calculations!$B$173*Calculations!$B$175))))</f>
        <v>-2.53301392650958E-06+0.00127323324564631i</v>
      </c>
      <c r="V133">
        <f t="shared" si="32"/>
        <v>-57.901823410383571</v>
      </c>
      <c r="W133">
        <f t="shared" si="33"/>
        <v>90.113986040236313</v>
      </c>
      <c r="X133" t="str">
        <f t="shared" si="34"/>
        <v>1.66973866073955E-06-0.0000165724727075194i</v>
      </c>
      <c r="Y133">
        <f t="shared" si="35"/>
        <v>-95.568389407606674</v>
      </c>
      <c r="Z133">
        <f t="shared" si="36"/>
        <v>-84.246651339457912</v>
      </c>
    </row>
    <row r="134" spans="1:26" x14ac:dyDescent="0.15">
      <c r="A134" s="82" t="s">
        <v>443</v>
      </c>
      <c r="B134" s="106">
        <f>Calculations!B165</f>
        <v>4000</v>
      </c>
      <c r="C134" s="107">
        <f t="shared" si="37"/>
        <v>25132.741228718343</v>
      </c>
      <c r="D134" s="108" t="str">
        <f t="shared" si="38"/>
        <v>0.0927513478999111-0.0340388819211147i</v>
      </c>
      <c r="E134" s="107">
        <f t="shared" si="14"/>
        <v>-20.104853091146808</v>
      </c>
      <c r="F134" s="107">
        <f t="shared" ref="F134" si="44">IMARGUMENT(D134)*(180/PI())</f>
        <v>-20.152667113941686</v>
      </c>
      <c r="G134" s="107" t="str">
        <f t="shared" si="39"/>
        <v>850.288809049227-228.166437662777i</v>
      </c>
      <c r="H134" s="107">
        <f t="shared" si="24"/>
        <v>58.893302708978972</v>
      </c>
      <c r="I134" s="107">
        <f t="shared" ref="I134" si="45">IMARGUMENT(G134)*(180/PI())</f>
        <v>-15.020885771210764</v>
      </c>
      <c r="J134" s="108" t="str">
        <f t="shared" si="40"/>
        <v>71.0989027135612-50.1056250088155i</v>
      </c>
      <c r="K134" s="107">
        <f t="shared" si="26"/>
        <v>38.788449617832157</v>
      </c>
      <c r="L134" s="107">
        <f t="shared" ref="L134" si="46">IMARGUMENT(J134)*(180/PI())</f>
        <v>-35.173552885152482</v>
      </c>
      <c r="M134" s="108">
        <f t="shared" si="41"/>
        <v>0.11294117647058823</v>
      </c>
      <c r="N134" s="107">
        <f t="shared" si="42"/>
        <v>2.5000000000000001E-2</v>
      </c>
      <c r="O134" s="107" t="str">
        <f t="shared" si="43"/>
        <v>2.34828876018476-0.661934492883731i</v>
      </c>
      <c r="P134" s="107">
        <f t="shared" si="21"/>
        <v>7.7470796760693004</v>
      </c>
      <c r="Q134" s="107">
        <f t="shared" ref="Q134" si="47">IMARGUMENT(O134)*(180/PI())</f>
        <v>-15.74205686700852</v>
      </c>
      <c r="R134" s="107" t="str">
        <f t="shared" ref="R134" si="48">IMDIV(IMPRODUCT(J134,O134,COMPLEX(M134,0)),IMSUM(COMPLEX(1,0),IMPRODUCT(G134,O134,COMPLEX(N134,0),COMPLEX(M134,0))))</f>
        <v>3.14436900122195-1.42486133893524i</v>
      </c>
      <c r="S134" s="107">
        <f t="shared" si="30"/>
        <v>10.761773711443052</v>
      </c>
      <c r="T134" s="107">
        <f t="shared" ref="T134" si="49">IMARGUMENT(R134)*(180/PI())</f>
        <v>-24.377513774643081</v>
      </c>
      <c r="U134" s="92" t="str">
        <f>IMPRODUCT(COMPLEX(-1,0),IMDIV(COMPLEX(1,C134*Calculations!$B$171*Calculations!$B$173),IMPRODUCT(COMPLEX(0,C134*Calculations!$B$160),COMPLEX((Calculations!$B$173+Calculations!$B$175),C134*Calculations!$B$171*Calculations!$B$173*Calculations!$B$175))))</f>
        <v>-0.114181931826351+0.247323093754315i</v>
      </c>
      <c r="V134" s="107">
        <f t="shared" si="32"/>
        <v>-11.295596537933225</v>
      </c>
      <c r="W134" s="107">
        <f t="shared" si="33"/>
        <v>114.78140666007744</v>
      </c>
      <c r="X134" s="107" t="str">
        <f t="shared" si="34"/>
        <v>-0.00662901241803687+0.940368489551685i</v>
      </c>
      <c r="Y134" s="107">
        <f t="shared" si="35"/>
        <v>-0.53382282649017221</v>
      </c>
      <c r="Z134" s="110">
        <f t="shared" si="36"/>
        <v>90.403892885434345</v>
      </c>
    </row>
    <row r="135" spans="1:26" x14ac:dyDescent="0.15">
      <c r="A135" t="s">
        <v>446</v>
      </c>
      <c r="B135" s="96">
        <f>Calculations!B176*1000</f>
        <v>497.35919716217302</v>
      </c>
      <c r="C135" s="92">
        <f t="shared" si="37"/>
        <v>3125.0000000000005</v>
      </c>
      <c r="D135" s="93" t="str">
        <f t="shared" si="38"/>
        <v>0.223392648443676-0.172066105298716i</v>
      </c>
      <c r="E135" s="92">
        <f t="shared" si="14"/>
        <v>-10.995726753551514</v>
      </c>
      <c r="F135" s="92">
        <f t="shared" ref="F135:F136" si="50">IMARGUMENT(D135)*(180/PI())</f>
        <v>-37.604927250296818</v>
      </c>
      <c r="G135" s="92" t="str">
        <f t="shared" si="39"/>
        <v>246.318108724193+181.221220543923i</v>
      </c>
      <c r="H135" s="92">
        <f t="shared" si="24"/>
        <v>49.708754333553259</v>
      </c>
      <c r="I135" s="92">
        <f t="shared" ref="I135:I136" si="51">IMARGUMENT(G135)*(180/PI())</f>
        <v>36.342670242209813</v>
      </c>
      <c r="J135" s="93" t="str">
        <f t="shared" si="40"/>
        <v>86.2076842840075-1.89950922121529i</v>
      </c>
      <c r="K135" s="92">
        <f t="shared" si="26"/>
        <v>38.713027580001771</v>
      </c>
      <c r="L135" s="92">
        <f t="shared" ref="L135:L136" si="52">IMARGUMENT(J135)*(180/PI())</f>
        <v>-1.2622570080871258</v>
      </c>
      <c r="M135" s="93">
        <f t="shared" si="41"/>
        <v>0.11294117647058823</v>
      </c>
      <c r="N135" s="92">
        <f t="shared" si="42"/>
        <v>2.5000000000000001E-2</v>
      </c>
      <c r="O135" s="92" t="str">
        <f t="shared" si="43"/>
        <v>2.35241040921284-4.53851705705289i</v>
      </c>
      <c r="P135" s="92">
        <f t="shared" si="21"/>
        <v>14.171721810294621</v>
      </c>
      <c r="Q135" s="92">
        <f t="shared" ref="Q135:Q136" si="53">IMARGUMENT(O135)*(180/PI())</f>
        <v>-62.601327270808348</v>
      </c>
      <c r="R135" s="92" t="str">
        <f t="shared" ref="R135:R136" si="54">IMDIV(IMPRODUCT(J135,O135,COMPLEX(M135,0)),IMSUM(COMPLEX(1,0),IMPRODUCT(G135,O135,COMPLEX(N135,0),COMPLEX(M135,0))))</f>
        <v>6.90227361234538-6.29539627161838i</v>
      </c>
      <c r="S135" s="92">
        <f t="shared" si="30"/>
        <v>19.408818718501248</v>
      </c>
      <c r="T135" s="92">
        <f t="shared" ref="T135:T136" si="55">IMARGUMENT(R135)*(180/PI())</f>
        <v>-42.367184240931195</v>
      </c>
      <c r="U135" s="92" t="str">
        <f>IMPRODUCT(COMPLEX(-1,0),IMDIV(COMPLEX(1,C135*Calculations!$B$171*Calculations!$B$173),IMPRODUCT(COMPLEX(0,C135*Calculations!$B$160),COMPLEX((Calculations!$B$173+Calculations!$B$175),C135*Calculations!$B$171*Calculations!$B$173*Calculations!$B$175))))</f>
        <v>-0.393846153846154+0.590769230769231i</v>
      </c>
      <c r="V135" s="92">
        <f t="shared" si="32"/>
        <v>-2.9746342168313729</v>
      </c>
      <c r="W135" s="92">
        <f t="shared" ref="W135:W136" si="56">IMARGUMENT(U135)*(180/PI())</f>
        <v>123.69006752597979</v>
      </c>
      <c r="X135" s="92" t="str">
        <f t="shared" ref="X135:X136" si="57">IMPRODUCT(U135,R135)</f>
        <v>1.00069249775545+6.55706848103836i</v>
      </c>
      <c r="Y135" s="92">
        <f t="shared" si="35"/>
        <v>16.434184501669879</v>
      </c>
      <c r="Z135" s="111">
        <f t="shared" ref="Z135:Z136" si="58">IMARGUMENT(X135)*(180/PI())</f>
        <v>81.322883285048576</v>
      </c>
    </row>
    <row r="136" spans="1:26" ht="14.25" thickBot="1" x14ac:dyDescent="0.2">
      <c r="A136" t="s">
        <v>447</v>
      </c>
      <c r="B136" s="97">
        <f>Calculations!B177*1000</f>
        <v>1989.4367886486921</v>
      </c>
      <c r="C136" s="94">
        <f t="shared" si="37"/>
        <v>12500.000000000002</v>
      </c>
      <c r="D136" s="109" t="str">
        <f t="shared" si="38"/>
        <v>0.102409358172324-0.0665597907765352i</v>
      </c>
      <c r="E136" s="94">
        <f t="shared" si="14"/>
        <v>-18.262928210880762</v>
      </c>
      <c r="F136" s="94">
        <f t="shared" si="50"/>
        <v>-33.021392790210534</v>
      </c>
      <c r="G136" s="94" t="str">
        <f t="shared" si="39"/>
        <v>730.582378144642+263.985252253163i</v>
      </c>
      <c r="H136" s="94">
        <f t="shared" si="24"/>
        <v>57.806332488192751</v>
      </c>
      <c r="I136" s="94">
        <f t="shared" si="51"/>
        <v>19.866580277242754</v>
      </c>
      <c r="J136" s="109" t="str">
        <f t="shared" si="40"/>
        <v>92.3892755958643-21.5928499841254i</v>
      </c>
      <c r="K136" s="94">
        <f t="shared" si="26"/>
        <v>39.543404277311993</v>
      </c>
      <c r="L136" s="94">
        <f t="shared" si="52"/>
        <v>-13.154812512967759</v>
      </c>
      <c r="M136" s="109">
        <f t="shared" si="41"/>
        <v>0.11294117647058823</v>
      </c>
      <c r="N136" s="94">
        <f t="shared" si="42"/>
        <v>2.5000000000000001E-2</v>
      </c>
      <c r="O136" s="94" t="str">
        <f t="shared" si="43"/>
        <v>2.35143826325066-1.18092192912939i</v>
      </c>
      <c r="P136" s="94">
        <f t="shared" si="21"/>
        <v>8.4034692984873871</v>
      </c>
      <c r="Q136" s="94">
        <f t="shared" si="53"/>
        <v>-26.666379606360486</v>
      </c>
      <c r="R136" s="94" t="str">
        <f t="shared" si="54"/>
        <v>3.45423530604054-2.33203167824445i</v>
      </c>
      <c r="S136" s="94">
        <f t="shared" si="30"/>
        <v>12.398026511738138</v>
      </c>
      <c r="T136" s="94">
        <f t="shared" si="55"/>
        <v>-34.024168130393484</v>
      </c>
      <c r="U136" s="92" t="str">
        <f>IMPRODUCT(COMPLEX(-1,0),IMDIV(COMPLEX(1,C136*Calculations!$B$171*Calculations!$B$173),IMPRODUCT(COMPLEX(0,C136*Calculations!$B$160),COMPLEX((Calculations!$B$173+Calculations!$B$175),C136*Calculations!$B$171*Calculations!$B$173*Calculations!$B$175))))</f>
        <v>-0.249756097560976+0.327804878048781i</v>
      </c>
      <c r="V136" s="94">
        <f t="shared" si="32"/>
        <v>-7.6997498737368586</v>
      </c>
      <c r="W136" s="94">
        <f t="shared" si="56"/>
        <v>127.30394827798344</v>
      </c>
      <c r="X136" s="94" t="str">
        <f t="shared" si="57"/>
        <v>-0.0982649702012128+1.71475431459532i</v>
      </c>
      <c r="Y136" s="94">
        <f t="shared" si="35"/>
        <v>4.6982766380012766</v>
      </c>
      <c r="Z136" s="95">
        <f t="shared" si="58"/>
        <v>93.279780147589946</v>
      </c>
    </row>
    <row r="137" spans="1:26" ht="14.25" thickBot="1" x14ac:dyDescent="0.2">
      <c r="A137" t="s">
        <v>448</v>
      </c>
      <c r="B137" s="112">
        <f>Calculations!B162</f>
        <v>484.70306166318966</v>
      </c>
      <c r="C137" s="94">
        <f t="shared" si="37"/>
        <v>3045.4791553871141</v>
      </c>
      <c r="D137" s="109" t="str">
        <f t="shared" si="38"/>
        <v>0.227718610932814-0.173103700887883i</v>
      </c>
      <c r="E137" s="94">
        <f t="shared" si="14"/>
        <v>-10.871370374051097</v>
      </c>
      <c r="F137" s="94">
        <f t="shared" ref="F137" si="59">IMARGUMENT(D137)*(180/PI())</f>
        <v>-37.240823318274465</v>
      </c>
      <c r="G137" s="94" t="str">
        <f t="shared" si="39"/>
        <v>243.633187972739+177.155376647165i</v>
      </c>
      <c r="H137" s="94">
        <f t="shared" si="24"/>
        <v>49.578043160823462</v>
      </c>
      <c r="I137" s="94">
        <f t="shared" ref="I137" si="60">IMARGUMENT(G137)*(180/PI())</f>
        <v>36.022390000924574</v>
      </c>
      <c r="J137" s="109" t="str">
        <f t="shared" si="40"/>
        <v>86.1460624720965-1.83223020782276i</v>
      </c>
      <c r="K137" s="94">
        <f t="shared" si="26"/>
        <v>38.70667278677238</v>
      </c>
      <c r="L137" s="94">
        <f t="shared" ref="L137" si="61">IMARGUMENT(J137)*(180/PI())</f>
        <v>-1.2184333173500712</v>
      </c>
      <c r="M137" s="109">
        <f t="shared" si="41"/>
        <v>0.11294117647058823</v>
      </c>
      <c r="N137" s="94">
        <f t="shared" si="42"/>
        <v>2.5000000000000001E-2</v>
      </c>
      <c r="O137" s="94" t="str">
        <f t="shared" si="43"/>
        <v>2.3524136669809-4.65638605030388i</v>
      </c>
      <c r="P137" s="94">
        <f t="shared" si="21"/>
        <v>14.348208033571908</v>
      </c>
      <c r="Q137" s="94">
        <f t="shared" ref="Q137" si="62">IMARGUMENT(O137)*(180/PI())</f>
        <v>-63.197021608608772</v>
      </c>
      <c r="R137" s="94" t="str">
        <f t="shared" ref="R137" si="63">IMDIV(IMPRODUCT(J137,O137,COMPLEX(M137,0)),IMSUM(COMPLEX(1,0),IMPRODUCT(G137,O137,COMPLEX(N137,0),COMPLEX(M137,0))))</f>
        <v>7.0412319434024-6.37145129500317i</v>
      </c>
      <c r="S137" s="94">
        <f t="shared" si="30"/>
        <v>19.550829669651115</v>
      </c>
      <c r="T137" s="94">
        <f t="shared" ref="T137" si="64">IMARGUMENT(R137)*(180/PI())</f>
        <v>-42.141231699063894</v>
      </c>
      <c r="U137" s="92" t="str">
        <f>IMPRODUCT(COMPLEX(-1,0),IMDIV(COMPLEX(1,C137*Calculations!$B$171*Calculations!$B$173),IMPRODUCT(COMPLEX(0,C137*Calculations!$B$160),COMPLEX((Calculations!$B$173+Calculations!$B$175),C137*Calculations!$B$171*Calculations!$B$173*Calculations!$B$175))))</f>
        <v>-0.394608747506713+0.602282342653055i</v>
      </c>
      <c r="V137" s="94">
        <f t="shared" si="32"/>
        <v>-2.8528467421757586</v>
      </c>
      <c r="W137" s="94">
        <f t="shared" ref="W137" si="65">IMARGUMENT(U137)*(180/PI())</f>
        <v>123.23237475281631</v>
      </c>
      <c r="X137" s="94" t="str">
        <f t="shared" ref="X137" si="66">IMPRODUCT(U137,R137)</f>
        <v>1.05888089396407+6.75504008535715i</v>
      </c>
      <c r="Y137" s="94">
        <f t="shared" si="35"/>
        <v>16.697982927475362</v>
      </c>
      <c r="Z137" s="95">
        <f t="shared" ref="Z137" si="67">IMARGUMENT(X137)*(180/PI())</f>
        <v>81.091143053752447</v>
      </c>
    </row>
    <row r="165" spans="2:93" ht="29.25" thickBot="1" x14ac:dyDescent="0.2">
      <c r="B165" s="30" t="s">
        <v>392</v>
      </c>
    </row>
    <row r="166" spans="2:93" x14ac:dyDescent="0.15">
      <c r="B166" s="207" t="s">
        <v>33</v>
      </c>
      <c r="C166" s="208"/>
      <c r="D166" s="214" t="s">
        <v>31</v>
      </c>
      <c r="E166" s="215"/>
      <c r="F166" s="215"/>
      <c r="G166" s="215" t="s">
        <v>386</v>
      </c>
      <c r="H166" s="215"/>
      <c r="I166" s="215"/>
      <c r="J166" s="215" t="s">
        <v>387</v>
      </c>
      <c r="K166" s="215"/>
      <c r="L166" s="215"/>
      <c r="M166" s="215"/>
      <c r="N166" s="215"/>
      <c r="O166" s="215"/>
      <c r="P166" s="215"/>
      <c r="Q166" s="215"/>
      <c r="R166" s="215"/>
      <c r="S166" s="215"/>
      <c r="T166" s="215"/>
      <c r="U166" s="81"/>
      <c r="V166" s="81"/>
      <c r="W166" s="81"/>
      <c r="X166" s="81"/>
      <c r="Y166" s="81"/>
      <c r="Z166" s="81"/>
      <c r="AA166" s="81"/>
      <c r="AB166" s="206"/>
      <c r="AC166" s="206"/>
      <c r="AD166" s="206"/>
      <c r="BC166" s="195"/>
      <c r="BD166" s="195"/>
      <c r="BE166" s="195"/>
      <c r="BF166" s="195"/>
      <c r="BG166" s="195"/>
      <c r="BH166" s="195"/>
      <c r="BI166" s="195"/>
      <c r="BJ166" s="195"/>
      <c r="BK166" s="195"/>
      <c r="BL166" s="195"/>
      <c r="BM166" s="195"/>
      <c r="BN166" s="195"/>
      <c r="BO166" s="195"/>
      <c r="BP166" s="195"/>
      <c r="BQ166" s="195"/>
      <c r="BR166" s="195"/>
      <c r="BS166" s="195"/>
      <c r="BT166" s="195"/>
      <c r="BU166" s="195"/>
      <c r="BV166" s="195"/>
      <c r="BW166" s="195"/>
      <c r="BX166" s="195"/>
      <c r="BY166" s="195"/>
      <c r="BZ166" s="195"/>
      <c r="CA166" s="195"/>
      <c r="CB166" s="195"/>
      <c r="CC166" s="195"/>
      <c r="CD166" s="195"/>
      <c r="CE166" s="195"/>
      <c r="CF166" s="195"/>
      <c r="CG166" s="195"/>
      <c r="CH166" s="195"/>
      <c r="CI166" s="195"/>
      <c r="CJ166" s="195"/>
      <c r="CK166" s="195"/>
      <c r="CL166" s="195"/>
      <c r="CM166" s="195"/>
      <c r="CN166" s="195"/>
      <c r="CO166" s="195"/>
    </row>
    <row r="167" spans="2:93" ht="14.25" thickBot="1" x14ac:dyDescent="0.2">
      <c r="B167" s="209"/>
      <c r="C167" s="210"/>
      <c r="D167" s="211" t="s">
        <v>385</v>
      </c>
      <c r="E167" s="212"/>
      <c r="F167" s="213"/>
      <c r="G167" s="211" t="s">
        <v>385</v>
      </c>
      <c r="H167" s="212"/>
      <c r="I167" s="213"/>
      <c r="J167" s="211" t="s">
        <v>385</v>
      </c>
      <c r="K167" s="212"/>
      <c r="L167" s="213"/>
      <c r="M167" s="216" t="s">
        <v>390</v>
      </c>
      <c r="N167" s="195"/>
      <c r="O167" s="195" t="s">
        <v>394</v>
      </c>
      <c r="P167" s="195"/>
      <c r="Q167" s="195"/>
      <c r="R167" s="195" t="s">
        <v>391</v>
      </c>
      <c r="S167" s="195"/>
      <c r="T167" s="195"/>
      <c r="U167" s="195" t="s">
        <v>393</v>
      </c>
      <c r="V167" s="195"/>
      <c r="W167" s="195"/>
      <c r="X167" s="195" t="s">
        <v>395</v>
      </c>
      <c r="Y167" s="195"/>
      <c r="Z167" s="195"/>
      <c r="AB167" s="206"/>
      <c r="AC167" s="206"/>
      <c r="AD167" s="206"/>
      <c r="BC167" s="195"/>
      <c r="BD167" s="195"/>
      <c r="BE167" s="195"/>
      <c r="BF167" s="195"/>
      <c r="BG167" s="195"/>
      <c r="BH167" s="195"/>
      <c r="BI167" s="195"/>
      <c r="BJ167" s="195"/>
      <c r="BK167" s="195"/>
      <c r="BL167" s="195"/>
      <c r="BM167" s="195"/>
      <c r="BN167" s="195"/>
      <c r="BO167" s="195"/>
      <c r="BP167" s="195"/>
      <c r="BQ167" s="195"/>
      <c r="BR167" s="195"/>
      <c r="BS167" s="195"/>
      <c r="BT167" s="195"/>
      <c r="BU167" s="195"/>
      <c r="BV167" s="195"/>
      <c r="BW167" s="195"/>
      <c r="BX167" s="195"/>
      <c r="BY167" s="195"/>
      <c r="BZ167" s="195"/>
      <c r="CA167" s="195"/>
      <c r="CB167" s="195"/>
      <c r="CC167" s="195"/>
      <c r="CD167" s="195"/>
      <c r="CE167" s="195"/>
      <c r="CF167" s="195"/>
      <c r="CG167" s="195"/>
      <c r="CH167" s="195"/>
      <c r="CI167" s="195"/>
      <c r="CJ167" s="195"/>
      <c r="CK167" s="195"/>
      <c r="CL167" s="195"/>
      <c r="CM167" s="195"/>
      <c r="CN167" s="195"/>
      <c r="CO167" s="195"/>
    </row>
    <row r="168" spans="2:93" ht="40.5" x14ac:dyDescent="0.1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x14ac:dyDescent="0.15">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3.00256878725436-0.0360884280963012i</v>
      </c>
      <c r="E169" s="1">
        <f t="shared" ref="E169:E200" si="70">20*LOG(IMABS(D169))</f>
        <v>9.5504866528405721</v>
      </c>
      <c r="F169" s="1">
        <f t="shared" ref="F169:F200" si="71">IMARGUMENT(D169)*(180/PI())</f>
        <v>-0.68861538449554038</v>
      </c>
      <c r="G169" s="1" t="str">
        <f t="shared" ref="G169:G200" si="72">IMDIV(IMSUM(COMPLEX(V48_Nom,0),IMPRODUCT(COMPLEX(np*(I_Channel_Design*(V12_Min/V48_Nom)),0),D169)),IMSUM(IMPRODUCT(COMPLEX(((V12_Min/V48_Nom)^2),0),D169),COMPLEX(Rcs/np,(Lm*C169)/np)))</f>
        <v>242.947962704976+1.4477556423356i</v>
      </c>
      <c r="H169" s="1">
        <f>20*LOG10(IMABS(G169))</f>
        <v>47.710419450764483</v>
      </c>
      <c r="I169" s="1">
        <f>IMARGUMENT(G169)*(180/PI())</f>
        <v>0.34142828482438647</v>
      </c>
      <c r="J169" s="83" t="str">
        <f t="shared" ref="J169:J200" si="73">IMPRODUCT(COMPLEX(-1,0),IMDIV(IMSUM(IMSUB(IMPRODUCT(COMPLEX((1-(V12_Min/V48_Nom))*V48_Nom,0),D169),IMPRODUCT(COMPLEX(V48_Nom,0),D169)),IMPRODUCT(COMPLEX(0,I_Channel_Design*Lm*C169),D169)),IMSUM(IMPRODUCT(COMPLEX(((V12_Min/V48_Nom)^2),0),D169),COMPLEX(Rcs/np,(Lm*C169)/np))))</f>
        <v>134.97103881903-0.0116599675367373i</v>
      </c>
      <c r="K169" s="1">
        <f>20*LOG10(IMABS(J169))</f>
        <v>42.604811842251458</v>
      </c>
      <c r="L169" s="1">
        <f>IMARGUMENT(J169)*(180/PI())</f>
        <v>-4.9497057539019023E-3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2.35247524726262-2251.13076163405i</v>
      </c>
      <c r="P169" s="1">
        <f>20*LOG(IMABS(O169))</f>
        <v>67.048019195490951</v>
      </c>
      <c r="Q169" s="1">
        <f>IMARGUMENT(O169)*(180/PI())</f>
        <v>-89.940124822463019</v>
      </c>
      <c r="R169" s="1" t="str">
        <f>IMDIV(IMPRODUCT(O169,J169,COMPLEX(M169,0)),IMSUM(COMPLEX(1,0),IMPRODUCT(G169,O169,COMPLEX(M169,0),COMPLEX(N169,0))))</f>
        <v>22.2212995024838-0.14280378485874i</v>
      </c>
      <c r="S169" s="1">
        <f>20*LOG10(IMABS(R169))</f>
        <v>26.935568414108729</v>
      </c>
      <c r="T169" s="1">
        <f>IMARGUMENT(R169)*(180/PI())</f>
        <v>-0.36820265779836547</v>
      </c>
      <c r="U169" s="1" t="str">
        <f>IMPRODUCT(COMPLEX(-1,0),IMDIV(COMPLEX(1,C169*Calculations!$B$195*Calculations!$B$197),IMPRODUCT(COMPLEX(0,C169*Calculations!$B$184),COMPLEX((Calculations!$B$197+Calculations!$B$199),C169*Calculations!$B$195*Calculations!$B$197*Calculations!$B$199))))</f>
        <v>-1.42674946496323+241.722527613214i</v>
      </c>
      <c r="V169" s="1">
        <f>20*LOG10(IMABS(U169))</f>
        <v>47.666493837155272</v>
      </c>
      <c r="W169" s="1">
        <f>IMARGUMENT(U169)*(180/PI())</f>
        <v>90.338180203049703</v>
      </c>
      <c r="X169" s="1" t="str">
        <f>IMPRODUCT(U169,R169)</f>
        <v>2.81466465283181+5371.59242781428i</v>
      </c>
      <c r="Y169" s="1">
        <f>20*LOG10(IMABS(X169))</f>
        <v>74.602062251264002</v>
      </c>
      <c r="Z169" s="1">
        <f>IMARGUMENT(X169)*(180/PI())</f>
        <v>89.969977545251339</v>
      </c>
    </row>
    <row r="170" spans="2:93" x14ac:dyDescent="0.15">
      <c r="B170" s="1">
        <v>2</v>
      </c>
      <c r="C170" s="1">
        <f t="shared" si="68"/>
        <v>12.566370614359172</v>
      </c>
      <c r="D170" s="83" t="str">
        <f t="shared" si="69"/>
        <v>3.00126689390301-0.0721455274467395i</v>
      </c>
      <c r="E170" s="1">
        <f t="shared" si="70"/>
        <v>9.5486011675954749</v>
      </c>
      <c r="F170" s="1">
        <f t="shared" si="71"/>
        <v>-1.3770312533874305</v>
      </c>
      <c r="G170" s="1" t="str">
        <f t="shared" si="72"/>
        <v>242.948552130606+2.89551495933268i</v>
      </c>
      <c r="H170" s="1">
        <f t="shared" ref="H170:H228" si="77">20*LOG10(IMABS(G170))</f>
        <v>47.710903149539988</v>
      </c>
      <c r="I170" s="1">
        <f t="shared" ref="I170:I223" si="78">IMARGUMENT(G170)*(180/PI())</f>
        <v>0.68283153296865295</v>
      </c>
      <c r="J170" s="83" t="str">
        <f t="shared" si="73"/>
        <v>134.971211559312-0.0233199871314488i</v>
      </c>
      <c r="K170" s="1">
        <f t="shared" ref="K170:K228" si="79">20*LOG10(IMABS(J170))</f>
        <v>42.604823055960068</v>
      </c>
      <c r="L170" s="1">
        <f t="shared" ref="L170:L223" si="80">IMARGUMENT(J170)*(180/PI())</f>
        <v>-9.8994208631577249E-3</v>
      </c>
      <c r="M170" s="1">
        <f t="shared" si="74"/>
        <v>0.192</v>
      </c>
      <c r="N170" s="1">
        <f t="shared" si="75"/>
        <v>2.5000000000000001E-2</v>
      </c>
      <c r="O170" s="1" t="str">
        <f t="shared" si="76"/>
        <v>2.35247524647624-1125.56541806524i</v>
      </c>
      <c r="P170" s="1">
        <f t="shared" ref="P170:P228" si="81">20*LOG(IMABS(O170))</f>
        <v>61.027433797952796</v>
      </c>
      <c r="Q170" s="1">
        <f t="shared" ref="Q170:Q223" si="82">IMARGUMENT(O170)*(180/PI())</f>
        <v>-89.880249779703774</v>
      </c>
      <c r="R170" s="1" t="str">
        <f t="shared" ref="R170:R223" si="83">IMDIV(IMPRODUCT(O170,J170,COMPLEX(M170,0)),IMSUM(COMPLEX(1,0),IMPRODUCT(G170,O170,COMPLEX(M170,0),COMPLEX(N170,0))))</f>
        <v>22.2185318075137-0.285571729837173i</v>
      </c>
      <c r="S170" s="1">
        <f t="shared" ref="S170:S228" si="84">20*LOG10(IMABS(R170))</f>
        <v>26.935024528798138</v>
      </c>
      <c r="T170" s="1">
        <f t="shared" ref="T170:T223" si="85">IMARGUMENT(R170)*(180/PI())</f>
        <v>-0.73637421754828336</v>
      </c>
      <c r="U170" s="1" t="str">
        <f>IMPRODUCT(COMPLEX(-1,0),IMDIV(COMPLEX(1,C170*Calculations!$B$195*Calculations!$B$197),IMPRODUCT(COMPLEX(0,C170*Calculations!$B$184),COMPLEX((Calculations!$B$197+Calculations!$B$199),C170*Calculations!$B$195*Calculations!$B$197*Calculations!$B$199))))</f>
        <v>-1.42674946490248+120.861271869539i</v>
      </c>
      <c r="V170" s="1">
        <f t="shared" ref="V170:V228" si="86">20*LOG10(IMABS(U170))</f>
        <v>41.646348370583283</v>
      </c>
      <c r="W170" s="1">
        <f t="shared" ref="W170:W224" si="87">IMARGUMENT(U170)*(180/PI())</f>
        <v>90.676336799667567</v>
      </c>
      <c r="X170" s="1" t="str">
        <f t="shared" ref="X170:X224" si="88">IMPRODUCT(U170,R170)</f>
        <v>2.81428411081621+2685.76745264265i</v>
      </c>
      <c r="Y170" s="1">
        <f t="shared" ref="Y170:Y228" si="89">20*LOG10(IMABS(X170))</f>
        <v>68.581372899381407</v>
      </c>
      <c r="Z170" s="1">
        <f t="shared" ref="Z170:Z224" si="90">IMARGUMENT(X170)*(180/PI())</f>
        <v>89.939962582119293</v>
      </c>
    </row>
    <row r="171" spans="2:93" x14ac:dyDescent="0.15">
      <c r="B171" s="1">
        <v>3</v>
      </c>
      <c r="C171" s="1">
        <f t="shared" si="68"/>
        <v>18.849555921538759</v>
      </c>
      <c r="D171" s="83" t="str">
        <f t="shared" si="69"/>
        <v>2.99909958136268-0.108140059895969i</v>
      </c>
      <c r="E171" s="1">
        <f t="shared" si="70"/>
        <v>9.5454605101213108</v>
      </c>
      <c r="F171" s="1">
        <f t="shared" si="71"/>
        <v>-2.0650484373249771</v>
      </c>
      <c r="G171" s="1" t="str">
        <f t="shared" si="72"/>
        <v>242.949534511599+4.34328162568355i</v>
      </c>
      <c r="H171" s="1">
        <f t="shared" si="77"/>
        <v>47.711709199976646</v>
      </c>
      <c r="I171" s="1">
        <f t="shared" si="78"/>
        <v>1.0241847186425264</v>
      </c>
      <c r="J171" s="83" t="str">
        <f t="shared" si="73"/>
        <v>134.971499460751-0.0349801108428606i</v>
      </c>
      <c r="K171" s="1">
        <f t="shared" si="79"/>
        <v>42.604841745505979</v>
      </c>
      <c r="L171" s="1">
        <f t="shared" si="80"/>
        <v>-1.4849154683252111E-2</v>
      </c>
      <c r="M171" s="1">
        <f t="shared" si="74"/>
        <v>0.192</v>
      </c>
      <c r="N171" s="1">
        <f t="shared" si="75"/>
        <v>2.5000000000000001E-2</v>
      </c>
      <c r="O171" s="1" t="str">
        <f t="shared" si="76"/>
        <v>2.35247524516564-750.376986763732i</v>
      </c>
      <c r="P171" s="1">
        <f t="shared" si="81"/>
        <v>57.505632809633774</v>
      </c>
      <c r="Q171" s="1">
        <f t="shared" si="82"/>
        <v>-89.820375006498253</v>
      </c>
      <c r="R171" s="1" t="str">
        <f t="shared" si="83"/>
        <v>22.2139205294619-0.428268025112529i</v>
      </c>
      <c r="S171" s="1">
        <f t="shared" si="84"/>
        <v>26.934118206050101</v>
      </c>
      <c r="T171" s="1">
        <f t="shared" si="85"/>
        <v>-1.1044835968688451</v>
      </c>
      <c r="U171" s="1" t="str">
        <f>IMPRODUCT(COMPLEX(-1,0),IMDIV(COMPLEX(1,C171*Calculations!$B$195*Calculations!$B$197),IMPRODUCT(COMPLEX(0,C171*Calculations!$B$184),COMPLEX((Calculations!$B$197+Calculations!$B$199),C171*Calculations!$B$195*Calculations!$B$197*Calculations!$B$199))))</f>
        <v>-1.42674946480121+80.5741902051716i</v>
      </c>
      <c r="V171" s="1">
        <f t="shared" si="86"/>
        <v>38.125280494990584</v>
      </c>
      <c r="W171" s="1">
        <f t="shared" si="87"/>
        <v>91.014446193300927</v>
      </c>
      <c r="X171" s="1" t="str">
        <f t="shared" si="88"/>
        <v>2.81365008766374+1790.47968911905i</v>
      </c>
      <c r="Y171" s="1">
        <f t="shared" si="89"/>
        <v>65.059398701040678</v>
      </c>
      <c r="Z171" s="1">
        <f t="shared" si="90"/>
        <v>89.909962596432095</v>
      </c>
    </row>
    <row r="172" spans="2:93" x14ac:dyDescent="0.15">
      <c r="B172" s="1">
        <v>4</v>
      </c>
      <c r="C172" s="1">
        <f t="shared" si="68"/>
        <v>25.132741228718345</v>
      </c>
      <c r="D172" s="83" t="str">
        <f t="shared" si="69"/>
        <v>2.99607060278285-0.144040967920131i</v>
      </c>
      <c r="E172" s="1">
        <f t="shared" si="70"/>
        <v>9.5410674018032839</v>
      </c>
      <c r="F172" s="1">
        <f t="shared" si="71"/>
        <v>-2.7524684579624492</v>
      </c>
      <c r="G172" s="1" t="str">
        <f t="shared" si="72"/>
        <v>242.950909855367+5.79105931614195i</v>
      </c>
      <c r="H172" s="1">
        <f t="shared" si="77"/>
        <v>47.712837430877471</v>
      </c>
      <c r="I172" s="1">
        <f t="shared" si="78"/>
        <v>1.3654628378235452</v>
      </c>
      <c r="J172" s="83" t="str">
        <f t="shared" si="73"/>
        <v>134.971902524807-0.0466403907308671i</v>
      </c>
      <c r="K172" s="1">
        <f t="shared" si="79"/>
        <v>42.60486791093696</v>
      </c>
      <c r="L172" s="1">
        <f t="shared" si="80"/>
        <v>-1.9798916569787769E-2</v>
      </c>
      <c r="M172" s="1">
        <f t="shared" si="74"/>
        <v>0.192</v>
      </c>
      <c r="N172" s="1">
        <f t="shared" si="75"/>
        <v>2.5000000000000001E-2</v>
      </c>
      <c r="O172" s="1" t="str">
        <f t="shared" si="76"/>
        <v>2.3524752433308-562.782783529052i</v>
      </c>
      <c r="P172" s="1">
        <f t="shared" si="81"/>
        <v>55.006891947153811</v>
      </c>
      <c r="Q172" s="1">
        <f t="shared" si="82"/>
        <v>-89.760500637618733</v>
      </c>
      <c r="R172" s="1" t="str">
        <f t="shared" si="83"/>
        <v>22.2074679866341-0.570856920924157i</v>
      </c>
      <c r="S172" s="1">
        <f t="shared" si="84"/>
        <v>26.932849674884849</v>
      </c>
      <c r="T172" s="1">
        <f t="shared" si="85"/>
        <v>-1.4724997446943715</v>
      </c>
      <c r="U172" s="1" t="str">
        <f>IMPRODUCT(COMPLEX(-1,0),IMDIV(COMPLEX(1,C172*Calculations!$B$195*Calculations!$B$197),IMPRODUCT(COMPLEX(0,C172*Calculations!$B$184),COMPLEX((Calculations!$B$197+Calculations!$B$199),C172*Calculations!$B$195*Calculations!$B$197*Calculations!$B$199))))</f>
        <v>-1.42674946465946+60.4306520606326i</v>
      </c>
      <c r="V172" s="1">
        <f t="shared" si="86"/>
        <v>35.627565768748859</v>
      </c>
      <c r="W172" s="1">
        <f t="shared" si="87"/>
        <v>91.352484807145174</v>
      </c>
      <c r="X172" s="1" t="str">
        <f t="shared" si="88"/>
        <v>2.81276290339949+1342.82624085425i</v>
      </c>
      <c r="Y172" s="1">
        <f t="shared" si="89"/>
        <v>62.560415443633715</v>
      </c>
      <c r="Z172" s="1">
        <f t="shared" si="90"/>
        <v>89.879985062450814</v>
      </c>
    </row>
    <row r="173" spans="2:93" x14ac:dyDescent="0.15">
      <c r="B173" s="1">
        <v>5</v>
      </c>
      <c r="C173" s="1">
        <f t="shared" si="68"/>
        <v>31.415926535897931</v>
      </c>
      <c r="D173" s="83" t="str">
        <f t="shared" si="69"/>
        <v>2.99218518983091-0.179817463574445i</v>
      </c>
      <c r="E173" s="1">
        <f t="shared" si="70"/>
        <v>9.5354256415825898</v>
      </c>
      <c r="F173" s="1">
        <f t="shared" si="71"/>
        <v>-3.4390938697214062</v>
      </c>
      <c r="G173" s="1" t="str">
        <f t="shared" si="72"/>
        <v>242.95267817229+7.23885170555412i</v>
      </c>
      <c r="H173" s="1">
        <f t="shared" si="77"/>
        <v>47.714287602740661</v>
      </c>
      <c r="I173" s="1">
        <f t="shared" si="78"/>
        <v>1.7066409191114413</v>
      </c>
      <c r="J173" s="83" t="str">
        <f t="shared" si="73"/>
        <v>134.972420753526-0.0583008788570027i</v>
      </c>
      <c r="K173" s="1">
        <f t="shared" si="79"/>
        <v>42.60490155231998</v>
      </c>
      <c r="L173" s="1">
        <f t="shared" si="80"/>
        <v>-2.4748715878496426E-2</v>
      </c>
      <c r="M173" s="1">
        <f t="shared" si="74"/>
        <v>0.192</v>
      </c>
      <c r="N173" s="1">
        <f t="shared" si="75"/>
        <v>2.5000000000000001E-2</v>
      </c>
      <c r="O173" s="1" t="str">
        <f t="shared" si="76"/>
        <v>2.3524752409717-450.2262715211i</v>
      </c>
      <c r="P173" s="1">
        <f t="shared" si="81"/>
        <v>53.068735233343631</v>
      </c>
      <c r="Q173" s="1">
        <f t="shared" si="82"/>
        <v>-89.700626807832194</v>
      </c>
      <c r="R173" s="1" t="str">
        <f t="shared" si="83"/>
        <v>22.1991774205779-0.713302757472426i</v>
      </c>
      <c r="S173" s="1">
        <f t="shared" si="84"/>
        <v>26.931219255662008</v>
      </c>
      <c r="T173" s="1">
        <f t="shared" si="85"/>
        <v>-1.8403916568827632</v>
      </c>
      <c r="U173" s="1" t="str">
        <f>IMPRODUCT(COMPLEX(-1,0),IMDIV(COMPLEX(1,C173*Calculations!$B$195*Calculations!$B$197),IMPRODUCT(COMPLEX(0,C173*Calculations!$B$184),COMPLEX((Calculations!$B$197+Calculations!$B$199),C173*Calculations!$B$195*Calculations!$B$197*Calculations!$B$199))))</f>
        <v>-1.4267494644772+48.3445313240239i</v>
      </c>
      <c r="V173" s="1">
        <f t="shared" si="86"/>
        <v>33.69072799329556</v>
      </c>
      <c r="W173" s="1">
        <f t="shared" si="87"/>
        <v>91.690429093991909</v>
      </c>
      <c r="X173" s="1" t="str">
        <f t="shared" si="88"/>
        <v>2.81162300549445+1074.22653250393i</v>
      </c>
      <c r="Y173" s="1">
        <f t="shared" si="89"/>
        <v>60.621947248957603</v>
      </c>
      <c r="Z173" s="1">
        <f t="shared" si="90"/>
        <v>89.850037437109137</v>
      </c>
    </row>
    <row r="174" spans="2:93" x14ac:dyDescent="0.15">
      <c r="B174" s="1">
        <v>6</v>
      </c>
      <c r="C174" s="1">
        <f t="shared" si="68"/>
        <v>37.699111843077517</v>
      </c>
      <c r="D174" s="83" t="str">
        <f t="shared" si="69"/>
        <v>2.98745003017032-0.21543911581491i</v>
      </c>
      <c r="E174" s="1">
        <f t="shared" si="70"/>
        <v>9.5285400950380197</v>
      </c>
      <c r="F174" s="1">
        <f t="shared" si="71"/>
        <v>-4.124728597098791</v>
      </c>
      <c r="G174" s="1" t="str">
        <f t="shared" si="72"/>
        <v>242.954839475713+8.6866624688895i</v>
      </c>
      <c r="H174" s="1">
        <f t="shared" si="77"/>
        <v>47.716059407932818</v>
      </c>
      <c r="I174" s="1">
        <f t="shared" si="78"/>
        <v>2.0476940345470291</v>
      </c>
      <c r="J174" s="83" t="str">
        <f t="shared" si="73"/>
        <v>134.973054149525-0.0699616272860089i</v>
      </c>
      <c r="K174" s="1">
        <f t="shared" si="79"/>
        <v>42.604942669740296</v>
      </c>
      <c r="L174" s="1">
        <f t="shared" si="80"/>
        <v>-2.9698561965717993E-2</v>
      </c>
      <c r="M174" s="1">
        <f t="shared" si="74"/>
        <v>0.192</v>
      </c>
      <c r="N174" s="1">
        <f t="shared" si="75"/>
        <v>2.5000000000000001E-2</v>
      </c>
      <c r="O174" s="1" t="str">
        <f t="shared" si="76"/>
        <v>2.35247523808835-375.188605126512i</v>
      </c>
      <c r="P174" s="1">
        <f t="shared" si="81"/>
        <v>51.485163535115852</v>
      </c>
      <c r="Q174" s="1">
        <f t="shared" si="82"/>
        <v>-89.640753651898336</v>
      </c>
      <c r="R174" s="1" t="str">
        <f t="shared" si="83"/>
        <v>22.1890529920119-0.855569994659597i</v>
      </c>
      <c r="S174" s="1">
        <f t="shared" si="84"/>
        <v>26.929227359811584</v>
      </c>
      <c r="T174" s="1">
        <f t="shared" si="85"/>
        <v>-2.2081283917653587</v>
      </c>
      <c r="U174" s="1" t="str">
        <f>IMPRODUCT(COMPLEX(-1,0),IMDIV(COMPLEX(1,C174*Calculations!$B$195*Calculations!$B$197),IMPRODUCT(COMPLEX(0,C174*Calculations!$B$184),COMPLEX((Calculations!$B$197+Calculations!$B$199),C174*Calculations!$B$195*Calculations!$B$197*Calculations!$B$199))))</f>
        <v>-1.42674946425443+40.2871192913807i</v>
      </c>
      <c r="V174" s="1">
        <f t="shared" si="86"/>
        <v>32.108767751159803</v>
      </c>
      <c r="W174" s="1">
        <f t="shared" si="87"/>
        <v>92.028255546046211</v>
      </c>
      <c r="X174" s="1" t="str">
        <f t="shared" si="88"/>
        <v>2.810230968311+895.153708883464i</v>
      </c>
      <c r="Y174" s="1">
        <f t="shared" si="89"/>
        <v>59.037995110971394</v>
      </c>
      <c r="Z174" s="1">
        <f t="shared" si="90"/>
        <v>89.820127154280868</v>
      </c>
    </row>
    <row r="175" spans="2:93" x14ac:dyDescent="0.15">
      <c r="B175" s="1">
        <v>7</v>
      </c>
      <c r="C175" s="1">
        <f t="shared" si="68"/>
        <v>43.982297150257104</v>
      </c>
      <c r="D175" s="83" t="str">
        <f t="shared" si="69"/>
        <v>2.9818732388153-0.25087593567836i</v>
      </c>
      <c r="E175" s="1">
        <f t="shared" si="70"/>
        <v>9.52041668046148</v>
      </c>
      <c r="F175" s="1">
        <f t="shared" si="71"/>
        <v>-4.8091782660916378</v>
      </c>
      <c r="G175" s="1" t="str">
        <f t="shared" si="72"/>
        <v>242.957393781947+10.1344952812712i</v>
      </c>
      <c r="H175" s="1">
        <f t="shared" si="77"/>
        <v>47.718152470911591</v>
      </c>
      <c r="I175" s="1">
        <f t="shared" si="78"/>
        <v>2.3885973103838936</v>
      </c>
      <c r="J175" s="83" t="str">
        <f t="shared" si="73"/>
        <v>134.973802716017-0.0816226880851781i</v>
      </c>
      <c r="K175" s="1">
        <f t="shared" si="79"/>
        <v>42.604991263303063</v>
      </c>
      <c r="L175" s="1">
        <f t="shared" si="80"/>
        <v>-3.4648464187929079E-2</v>
      </c>
      <c r="M175" s="1">
        <f t="shared" si="74"/>
        <v>0.192</v>
      </c>
      <c r="N175" s="1">
        <f t="shared" si="75"/>
        <v>2.5000000000000001E-2</v>
      </c>
      <c r="O175" s="1" t="str">
        <f t="shared" si="76"/>
        <v>2.35247523468077-321.590279082421i</v>
      </c>
      <c r="P175" s="1">
        <f t="shared" si="81"/>
        <v>50.146290641246352</v>
      </c>
      <c r="Q175" s="1">
        <f t="shared" si="82"/>
        <v>-89.58088130456791</v>
      </c>
      <c r="R175" s="1" t="str">
        <f t="shared" si="83"/>
        <v>22.1770997756128-0.99762324162036i</v>
      </c>
      <c r="S175" s="1">
        <f t="shared" si="84"/>
        <v>26.926874489490885</v>
      </c>
      <c r="T175" s="1">
        <f t="shared" si="85"/>
        <v>-2.5756790856175118</v>
      </c>
      <c r="U175" s="1" t="str">
        <f>IMPRODUCT(COMPLEX(-1,0),IMDIV(COMPLEX(1,C175*Calculations!$B$195*Calculations!$B$197),IMPRODUCT(COMPLEX(0,C175*Calculations!$B$184),COMPLEX((Calculations!$B$197+Calculations!$B$199),C175*Calculations!$B$195*Calculations!$B$197*Calculations!$B$199))))</f>
        <v>-1.42674946399116+34.5318265181464i</v>
      </c>
      <c r="V175" s="1">
        <f t="shared" si="86"/>
        <v>30.771798483941414</v>
      </c>
      <c r="W175" s="1">
        <f t="shared" si="87"/>
        <v>92.365940704702908</v>
      </c>
      <c r="X175" s="1" t="str">
        <f t="shared" si="88"/>
        <v>2.80858749237109+767.239120552332i</v>
      </c>
      <c r="Y175" s="1">
        <f t="shared" si="89"/>
        <v>57.698672973432309</v>
      </c>
      <c r="Z175" s="1">
        <f t="shared" si="90"/>
        <v>89.790261619085399</v>
      </c>
    </row>
    <row r="176" spans="2:93" x14ac:dyDescent="0.15">
      <c r="B176" s="1">
        <v>8</v>
      </c>
      <c r="C176" s="1">
        <f t="shared" si="68"/>
        <v>50.26548245743669</v>
      </c>
      <c r="D176" s="83" t="str">
        <f t="shared" si="69"/>
        <v>2.97546432358985-0.286098458827067i</v>
      </c>
      <c r="E176" s="1">
        <f t="shared" si="70"/>
        <v>9.5110623520103612</v>
      </c>
      <c r="F176" s="1">
        <f t="shared" si="71"/>
        <v>-5.492250528356629</v>
      </c>
      <c r="G176" s="1" t="str">
        <f t="shared" si="72"/>
        <v>242.96034111027+11.5823538180072i</v>
      </c>
      <c r="H176" s="1">
        <f t="shared" si="77"/>
        <v>47.720566348497044</v>
      </c>
      <c r="I176" s="1">
        <f t="shared" si="78"/>
        <v>2.729325937801506</v>
      </c>
      <c r="J176" s="83" t="str">
        <f t="shared" si="73"/>
        <v>134.974666456793-0.0932841133260272i</v>
      </c>
      <c r="K176" s="1">
        <f t="shared" si="79"/>
        <v>42.605047333132106</v>
      </c>
      <c r="L176" s="1">
        <f t="shared" si="80"/>
        <v>-3.9598431902267459E-2</v>
      </c>
      <c r="M176" s="1">
        <f t="shared" si="74"/>
        <v>0.192</v>
      </c>
      <c r="N176" s="1">
        <f t="shared" si="75"/>
        <v>2.5000000000000001E-2</v>
      </c>
      <c r="O176" s="1" t="str">
        <f t="shared" si="76"/>
        <v>2.35247523074895-281.391540757387i</v>
      </c>
      <c r="P176" s="1">
        <f t="shared" si="81"/>
        <v>48.986524276032824</v>
      </c>
      <c r="Q176" s="1">
        <f t="shared" si="82"/>
        <v>-89.521009900580793</v>
      </c>
      <c r="R176" s="1" t="str">
        <f t="shared" si="83"/>
        <v>22.1633237536643-1.13942728599115i</v>
      </c>
      <c r="S176" s="1">
        <f t="shared" si="84"/>
        <v>26.924161237164498</v>
      </c>
      <c r="T176" s="1">
        <f t="shared" si="85"/>
        <v>-2.9430129680324226</v>
      </c>
      <c r="U176" s="1" t="str">
        <f>IMPRODUCT(COMPLEX(-1,0),IMDIV(COMPLEX(1,C176*Calculations!$B$195*Calculations!$B$197),IMPRODUCT(COMPLEX(0,C176*Calculations!$B$184),COMPLEX((Calculations!$B$197+Calculations!$B$199),C176*Calculations!$B$195*Calculations!$B$197*Calculations!$B$199))))</f>
        <v>-1.42674946368739+30.2153582820426i</v>
      </c>
      <c r="V176" s="1">
        <f t="shared" si="86"/>
        <v>29.6142275062113</v>
      </c>
      <c r="W176" s="1">
        <f t="shared" si="87"/>
        <v>92.703461170271325</v>
      </c>
      <c r="X176" s="1" t="str">
        <f t="shared" si="88"/>
        <v>2.80669340348749+671.298445207071i</v>
      </c>
      <c r="Y176" s="1">
        <f t="shared" si="89"/>
        <v>56.538388743375805</v>
      </c>
      <c r="Z176" s="1">
        <f t="shared" si="90"/>
        <v>89.760448202238891</v>
      </c>
    </row>
    <row r="177" spans="2:26" x14ac:dyDescent="0.15">
      <c r="B177" s="1">
        <v>9</v>
      </c>
      <c r="C177" s="1">
        <f t="shared" si="68"/>
        <v>56.548667764616276</v>
      </c>
      <c r="D177" s="83" t="str">
        <f t="shared" si="69"/>
        <v>2.96823414496366-0.321077824990848i</v>
      </c>
      <c r="E177" s="1">
        <f t="shared" si="70"/>
        <v>9.5004850800368796</v>
      </c>
      <c r="F177" s="1">
        <f t="shared" si="71"/>
        <v>-6.1737553767800692</v>
      </c>
      <c r="G177" s="1" t="str">
        <f t="shared" si="72"/>
        <v>242.963681482925+13.030241754621i</v>
      </c>
      <c r="H177" s="1">
        <f t="shared" si="77"/>
        <v>47.723300530191253</v>
      </c>
      <c r="I177" s="1">
        <f t="shared" si="78"/>
        <v>3.0698551835480177</v>
      </c>
      <c r="J177" s="83" t="str">
        <f t="shared" si="73"/>
        <v>134.975645376229-0.104945955083752i</v>
      </c>
      <c r="K177" s="1">
        <f t="shared" si="79"/>
        <v>42.605110879370415</v>
      </c>
      <c r="L177" s="1">
        <f t="shared" si="80"/>
        <v>-4.4548474466110322E-2</v>
      </c>
      <c r="M177" s="1">
        <f t="shared" si="74"/>
        <v>0.192</v>
      </c>
      <c r="N177" s="1">
        <f t="shared" si="75"/>
        <v>2.5000000000000001E-2</v>
      </c>
      <c r="O177" s="1" t="str">
        <f t="shared" si="76"/>
        <v>2.35247522629286-250.125860911725i</v>
      </c>
      <c r="P177" s="1">
        <f t="shared" si="81"/>
        <v>47.963556076537699</v>
      </c>
      <c r="Q177" s="1">
        <f t="shared" si="82"/>
        <v>-89.461139574664301</v>
      </c>
      <c r="R177" s="1" t="str">
        <f t="shared" si="83"/>
        <v>22.1477318085892-1.28094712286729i</v>
      </c>
      <c r="S177" s="1">
        <f t="shared" si="84"/>
        <v>26.921088285110805</v>
      </c>
      <c r="T177" s="1">
        <f t="shared" si="85"/>
        <v>-3.3100993771776697</v>
      </c>
      <c r="U177" s="1" t="str">
        <f>IMPRODUCT(COMPLEX(-1,0),IMDIV(COMPLEX(1,C177*Calculations!$B$195*Calculations!$B$197),IMPRODUCT(COMPLEX(0,C177*Calculations!$B$184),COMPLEX((Calculations!$B$197+Calculations!$B$199),C177*Calculations!$B$195*Calculations!$B$197*Calculations!$B$199))))</f>
        <v>-1.42674946334312+26.8581064040257i</v>
      </c>
      <c r="V177" s="1">
        <f t="shared" si="86"/>
        <v>28.593745983038591</v>
      </c>
      <c r="W177" s="1">
        <f t="shared" si="87"/>
        <v>93.04079361163889</v>
      </c>
      <c r="X177" s="1" t="str">
        <f t="shared" si="88"/>
        <v>2.80454965172827+596.673728143035i</v>
      </c>
      <c r="Y177" s="1">
        <f t="shared" si="89"/>
        <v>55.514834268149393</v>
      </c>
      <c r="Z177" s="1">
        <f t="shared" si="90"/>
        <v>89.730694234461225</v>
      </c>
    </row>
    <row r="178" spans="2:26" x14ac:dyDescent="0.15">
      <c r="B178" s="1">
        <v>10</v>
      </c>
      <c r="C178" s="1">
        <f t="shared" si="68"/>
        <v>62.831853071795862</v>
      </c>
      <c r="D178" s="83" t="str">
        <f t="shared" si="69"/>
        <v>2.96019487057871-0.355785853870838i</v>
      </c>
      <c r="E178" s="1">
        <f t="shared" si="70"/>
        <v>9.4886938287103337</v>
      </c>
      <c r="F178" s="1">
        <f t="shared" si="71"/>
        <v>-6.8535054512014826</v>
      </c>
      <c r="G178" s="1" t="str">
        <f t="shared" si="72"/>
        <v>242.967414925123+14.4781627668825i</v>
      </c>
      <c r="H178" s="1">
        <f t="shared" si="77"/>
        <v>47.726354438545975</v>
      </c>
      <c r="I178" s="1">
        <f t="shared" si="78"/>
        <v>3.4101604005014909</v>
      </c>
      <c r="J178" s="83" t="str">
        <f t="shared" si="73"/>
        <v>134.976739479283-0.116608265439621i</v>
      </c>
      <c r="K178" s="1">
        <f t="shared" si="79"/>
        <v>42.605181902179972</v>
      </c>
      <c r="L178" s="1">
        <f t="shared" si="80"/>
        <v>-4.9498601237902333E-2</v>
      </c>
      <c r="M178" s="1">
        <f t="shared" si="74"/>
        <v>0.192</v>
      </c>
      <c r="N178" s="1">
        <f t="shared" si="75"/>
        <v>2.5000000000000001E-2</v>
      </c>
      <c r="O178" s="1" t="str">
        <f t="shared" si="76"/>
        <v>2.35247522131255-225.113322001624i</v>
      </c>
      <c r="P178" s="1">
        <f t="shared" si="81"/>
        <v>47.048498189339185</v>
      </c>
      <c r="Q178" s="1">
        <f t="shared" si="82"/>
        <v>-89.401270461531297</v>
      </c>
      <c r="R178" s="1" t="str">
        <f t="shared" si="83"/>
        <v>22.1303317143778-1.42214798339878i</v>
      </c>
      <c r="S178" s="1">
        <f t="shared" si="84"/>
        <v>26.91765640485411</v>
      </c>
      <c r="T178" s="1">
        <f t="shared" si="85"/>
        <v>-3.6769077749172583</v>
      </c>
      <c r="U178" s="1" t="str">
        <f>IMPRODUCT(COMPLEX(-1,0),IMDIV(COMPLEX(1,C178*Calculations!$B$195*Calculations!$B$197),IMPRODUCT(COMPLEX(0,C178*Calculations!$B$184),COMPLEX((Calculations!$B$197+Calculations!$B$199),C178*Calculations!$B$195*Calculations!$B$197*Calculations!$B$199))))</f>
        <v>-1.42674946295834+24.1723059766699i</v>
      </c>
      <c r="V178" s="1">
        <f t="shared" si="86"/>
        <v>27.681465527069125</v>
      </c>
      <c r="W178" s="1">
        <f t="shared" si="87"/>
        <v>93.377914775863502</v>
      </c>
      <c r="X178" s="1" t="str">
        <f t="shared" si="88"/>
        <v>2.80215731024093+536.970198436703i</v>
      </c>
      <c r="Y178" s="1">
        <f t="shared" si="89"/>
        <v>54.599121931923229</v>
      </c>
      <c r="Z178" s="1">
        <f t="shared" si="90"/>
        <v>89.701007000946262</v>
      </c>
    </row>
    <row r="179" spans="2:26" x14ac:dyDescent="0.15">
      <c r="B179" s="1">
        <v>20</v>
      </c>
      <c r="C179" s="1">
        <f t="shared" si="68"/>
        <v>125.66370614359172</v>
      </c>
      <c r="D179" s="83" t="str">
        <f t="shared" si="69"/>
        <v>2.83880014463755-0.682359295572042i</v>
      </c>
      <c r="E179" s="1">
        <f t="shared" si="70"/>
        <v>9.3066384432535472</v>
      </c>
      <c r="F179" s="1">
        <f t="shared" si="71"/>
        <v>-13.515717393495722</v>
      </c>
      <c r="G179" s="1" t="str">
        <f t="shared" si="72"/>
        <v>243.026375840748+28.9600009572561i</v>
      </c>
      <c r="H179" s="1">
        <f t="shared" si="77"/>
        <v>47.77430454857631</v>
      </c>
      <c r="I179" s="1">
        <f t="shared" si="78"/>
        <v>6.7955508125411477</v>
      </c>
      <c r="J179" s="83" t="str">
        <f t="shared" si="73"/>
        <v>134.994017117051-0.233268604574321i</v>
      </c>
      <c r="K179" s="1">
        <f t="shared" si="79"/>
        <v>42.606303390967227</v>
      </c>
      <c r="L179" s="1">
        <f t="shared" si="80"/>
        <v>-9.9006559829288091E-2</v>
      </c>
      <c r="M179" s="1">
        <f t="shared" si="74"/>
        <v>0.192</v>
      </c>
      <c r="N179" s="1">
        <f t="shared" si="75"/>
        <v>2.5000000000000001E-2</v>
      </c>
      <c r="O179" s="1" t="str">
        <f t="shared" si="76"/>
        <v>2.35247514267598-112.557033482947i</v>
      </c>
      <c r="P179" s="1">
        <f t="shared" si="81"/>
        <v>41.029349449985006</v>
      </c>
      <c r="Q179" s="1">
        <f t="shared" si="82"/>
        <v>-88.802675656222604</v>
      </c>
      <c r="R179" s="1" t="str">
        <f t="shared" si="83"/>
        <v>21.8592079025304-2.80918742202747i</v>
      </c>
      <c r="S179" s="1">
        <f t="shared" si="84"/>
        <v>26.86382860559651</v>
      </c>
      <c r="T179" s="1">
        <f t="shared" si="85"/>
        <v>-7.3231005673806946</v>
      </c>
      <c r="U179" s="1" t="str">
        <f>IMPRODUCT(COMPLEX(-1,0),IMDIV(COMPLEX(1,C179*Calculations!$B$195*Calculations!$B$197),IMPRODUCT(COMPLEX(0,C179*Calculations!$B$184),COMPLEX((Calculations!$B$197+Calculations!$B$199),C179*Calculations!$B$195*Calculations!$B$197*Calculations!$B$199))))</f>
        <v>-1.42674945688291+12.0862336176503i</v>
      </c>
      <c r="V179" s="1">
        <f t="shared" si="86"/>
        <v>21.705921730528942</v>
      </c>
      <c r="W179" s="1">
        <f t="shared" si="87"/>
        <v>96.732465157752742</v>
      </c>
      <c r="X179" s="1" t="str">
        <f t="shared" si="88"/>
        <v>2.76488245556293+268.20350003543i</v>
      </c>
      <c r="Y179" s="1">
        <f t="shared" si="89"/>
        <v>48.569750336125452</v>
      </c>
      <c r="Z179" s="1">
        <f t="shared" si="90"/>
        <v>89.40936459037205</v>
      </c>
    </row>
    <row r="180" spans="2:26" x14ac:dyDescent="0.15">
      <c r="B180" s="1">
        <v>30</v>
      </c>
      <c r="C180" s="1">
        <f t="shared" si="68"/>
        <v>188.49555921538757</v>
      </c>
      <c r="D180" s="83" t="str">
        <f t="shared" si="69"/>
        <v>2.6572067381053-0.957991020277636i</v>
      </c>
      <c r="E180" s="1">
        <f t="shared" si="70"/>
        <v>9.0192094694394065</v>
      </c>
      <c r="F180" s="1">
        <f t="shared" si="71"/>
        <v>-19.825530832339002</v>
      </c>
      <c r="G180" s="1" t="str">
        <f t="shared" si="72"/>
        <v>243.124693495318+43.4491930746593i</v>
      </c>
      <c r="H180" s="1">
        <f t="shared" si="77"/>
        <v>47.853116723362973</v>
      </c>
      <c r="I180" s="1">
        <f t="shared" si="78"/>
        <v>10.132452253186958</v>
      </c>
      <c r="J180" s="83" t="str">
        <f t="shared" si="73"/>
        <v>135.02282290706-0.350033154541671i</v>
      </c>
      <c r="K180" s="1">
        <f t="shared" si="79"/>
        <v>42.608172856702382</v>
      </c>
      <c r="L180" s="1">
        <f t="shared" si="80"/>
        <v>-0.14853324116276093</v>
      </c>
      <c r="M180" s="1">
        <f t="shared" si="74"/>
        <v>0.192</v>
      </c>
      <c r="N180" s="1">
        <f t="shared" si="75"/>
        <v>2.5000000000000001E-2</v>
      </c>
      <c r="O180" s="1" t="str">
        <f t="shared" si="76"/>
        <v>2.35247501161503-75.0384361909661i</v>
      </c>
      <c r="P180" s="1">
        <f t="shared" si="81"/>
        <v>37.509941814823136</v>
      </c>
      <c r="Q180" s="1">
        <f t="shared" si="82"/>
        <v>-88.204350137224253</v>
      </c>
      <c r="R180" s="1" t="str">
        <f t="shared" si="83"/>
        <v>21.4219424011033-4.12884813178083i</v>
      </c>
      <c r="S180" s="1">
        <f t="shared" si="84"/>
        <v>26.77558596567269</v>
      </c>
      <c r="T180" s="1">
        <f t="shared" si="85"/>
        <v>-10.909367224653883</v>
      </c>
      <c r="U180" s="1" t="str">
        <f>IMPRODUCT(COMPLEX(-1,0),IMDIV(COMPLEX(1,C180*Calculations!$B$195*Calculations!$B$197),IMPRODUCT(COMPLEX(0,C180*Calculations!$B$184),COMPLEX((Calculations!$B$197+Calculations!$B$199),C180*Calculations!$B$195*Calculations!$B$197*Calculations!$B$199))))</f>
        <v>-1.42674944675719+8.05757866656069i</v>
      </c>
      <c r="V180" s="1">
        <f t="shared" si="86"/>
        <v>18.258166640151284</v>
      </c>
      <c r="W180" s="1">
        <f t="shared" si="87"/>
        <v>100.04124149682123</v>
      </c>
      <c r="X180" s="1" t="str">
        <f t="shared" si="88"/>
        <v>2.70477415486765+178.499817875185i</v>
      </c>
      <c r="Y180" s="1">
        <f t="shared" si="89"/>
        <v>45.033752605823992</v>
      </c>
      <c r="Z180" s="1">
        <f t="shared" si="90"/>
        <v>89.131874272167366</v>
      </c>
    </row>
    <row r="181" spans="2:26" x14ac:dyDescent="0.15">
      <c r="B181" s="1">
        <v>40</v>
      </c>
      <c r="C181" s="1">
        <f t="shared" si="68"/>
        <v>251.32741228718345</v>
      </c>
      <c r="D181" s="83" t="str">
        <f t="shared" si="69"/>
        <v>2.438835469476-1.17222368902165i</v>
      </c>
      <c r="E181" s="1">
        <f t="shared" si="70"/>
        <v>8.6463131558818755</v>
      </c>
      <c r="F181" s="1">
        <f t="shared" si="71"/>
        <v>-25.671217336765825</v>
      </c>
      <c r="G181" s="1" t="str">
        <f t="shared" si="72"/>
        <v>243.262442169408+57.9494237880863i</v>
      </c>
      <c r="H181" s="1">
        <f t="shared" si="77"/>
        <v>47.961214283039851</v>
      </c>
      <c r="I181" s="1">
        <f t="shared" si="78"/>
        <v>13.399138658856245</v>
      </c>
      <c r="J181" s="83" t="str">
        <f t="shared" si="73"/>
        <v>135.063171452725-0.466954179510019i</v>
      </c>
      <c r="K181" s="1">
        <f t="shared" si="79"/>
        <v>42.610790776302061</v>
      </c>
      <c r="L181" s="1">
        <f t="shared" si="80"/>
        <v>-0.19808802671085043</v>
      </c>
      <c r="M181" s="1">
        <f t="shared" si="74"/>
        <v>0.192</v>
      </c>
      <c r="N181" s="1">
        <f t="shared" si="75"/>
        <v>2.5000000000000001E-2</v>
      </c>
      <c r="O181" s="1" t="str">
        <f t="shared" si="76"/>
        <v>2.35247482812972-56.2792617056183i</v>
      </c>
      <c r="P181" s="1">
        <f t="shared" si="81"/>
        <v>35.014549387266463</v>
      </c>
      <c r="Q181" s="1">
        <f t="shared" si="82"/>
        <v>-87.606428098268054</v>
      </c>
      <c r="R181" s="1" t="str">
        <f t="shared" si="83"/>
        <v>20.8386375831708-5.35406799949212i</v>
      </c>
      <c r="S181" s="1">
        <f t="shared" si="84"/>
        <v>26.655011227027895</v>
      </c>
      <c r="T181" s="1">
        <f t="shared" si="85"/>
        <v>-14.409324989623613</v>
      </c>
      <c r="U181" s="1" t="str">
        <f>IMPRODUCT(COMPLEX(-1,0),IMDIV(COMPLEX(1,C181*Calculations!$B$195*Calculations!$B$197),IMPRODUCT(COMPLEX(0,C181*Calculations!$B$184),COMPLEX((Calculations!$B$197+Calculations!$B$199),C181*Calculations!$B$195*Calculations!$B$197*Calculations!$B$199))))</f>
        <v>-1.42674943258119+6.0432780674525i</v>
      </c>
      <c r="V181" s="1">
        <f t="shared" si="86"/>
        <v>15.861012501451221</v>
      </c>
      <c r="W181" s="1">
        <f t="shared" si="87"/>
        <v>103.28364815480812</v>
      </c>
      <c r="X181" s="1" t="str">
        <f t="shared" si="88"/>
        <v>2.62460736542601+133.572594942244i</v>
      </c>
      <c r="Y181" s="1">
        <f t="shared" si="89"/>
        <v>42.516023728479119</v>
      </c>
      <c r="Z181" s="1">
        <f t="shared" si="90"/>
        <v>88.874323165184506</v>
      </c>
    </row>
    <row r="182" spans="2:26" x14ac:dyDescent="0.15">
      <c r="B182" s="1">
        <v>50</v>
      </c>
      <c r="C182" s="1">
        <f t="shared" si="68"/>
        <v>314.15926535897933</v>
      </c>
      <c r="D182" s="83" t="str">
        <f t="shared" si="69"/>
        <v>2.20582345271922-1.32509965244436i</v>
      </c>
      <c r="E182" s="1">
        <f t="shared" si="70"/>
        <v>8.2095941313857708</v>
      </c>
      <c r="F182" s="1">
        <f t="shared" si="71"/>
        <v>-30.994411838521174</v>
      </c>
      <c r="G182" s="1" t="str">
        <f t="shared" si="72"/>
        <v>243.439726031669+72.464387028146i</v>
      </c>
      <c r="H182" s="1">
        <f t="shared" si="77"/>
        <v>48.096538863859443</v>
      </c>
      <c r="I182" s="1">
        <f t="shared" si="78"/>
        <v>16.576621161648625</v>
      </c>
      <c r="J182" s="83" t="str">
        <f t="shared" si="73"/>
        <v>135.11508322447-0.584084134567566i</v>
      </c>
      <c r="K182" s="1">
        <f t="shared" si="79"/>
        <v>42.614157818012217</v>
      </c>
      <c r="L182" s="1">
        <f t="shared" si="80"/>
        <v>-0.24768032210995847</v>
      </c>
      <c r="M182" s="1">
        <f t="shared" si="74"/>
        <v>0.192</v>
      </c>
      <c r="N182" s="1">
        <f t="shared" si="75"/>
        <v>2.5000000000000001E-2</v>
      </c>
      <c r="O182" s="1" t="str">
        <f t="shared" si="76"/>
        <v>2.35247459222009-45.0238563428768i</v>
      </c>
      <c r="P182" s="1">
        <f t="shared" si="81"/>
        <v>33.080693936677612</v>
      </c>
      <c r="Q182" s="1">
        <f t="shared" si="82"/>
        <v>-87.009043195456215</v>
      </c>
      <c r="R182" s="1" t="str">
        <f t="shared" si="83"/>
        <v>20.1342145750458-6.46455351150651i</v>
      </c>
      <c r="S182" s="1">
        <f t="shared" si="84"/>
        <v>26.504795053046731</v>
      </c>
      <c r="T182" s="1">
        <f t="shared" si="85"/>
        <v>-17.800424151325156</v>
      </c>
      <c r="U182" s="1" t="str">
        <f>IMPRODUCT(COMPLEX(-1,0),IMDIV(COMPLEX(1,C182*Calculations!$B$195*Calculations!$B$197),IMPRODUCT(COMPLEX(0,C182*Calculations!$B$184),COMPLEX((Calculations!$B$197+Calculations!$B$199),C182*Calculations!$B$195*Calculations!$B$197*Calculations!$B$199))))</f>
        <v>-1.42674941435491+4.83471920913552i</v>
      </c>
      <c r="V182" s="1">
        <f t="shared" si="86"/>
        <v>14.050067796465219</v>
      </c>
      <c r="W182" s="1">
        <f t="shared" si="87"/>
        <v>106.44158915330388</v>
      </c>
      <c r="X182" s="1" t="str">
        <f t="shared" si="88"/>
        <v>2.52782218712232+106.566571903438i</v>
      </c>
      <c r="Y182" s="1">
        <f t="shared" si="89"/>
        <v>40.554862849511935</v>
      </c>
      <c r="Z182" s="1">
        <f t="shared" si="90"/>
        <v>88.641165001978734</v>
      </c>
    </row>
    <row r="183" spans="2:26" x14ac:dyDescent="0.15">
      <c r="B183" s="1">
        <v>60</v>
      </c>
      <c r="C183" s="1">
        <f t="shared" si="68"/>
        <v>376.99111843077515</v>
      </c>
      <c r="D183" s="83" t="str">
        <f t="shared" si="69"/>
        <v>1.97523813225756-1.42365551204294i</v>
      </c>
      <c r="E183" s="1">
        <f t="shared" si="70"/>
        <v>7.7293461932315912</v>
      </c>
      <c r="F183" s="1">
        <f t="shared" si="71"/>
        <v>-35.782228097895839</v>
      </c>
      <c r="G183" s="1" t="str">
        <f t="shared" si="72"/>
        <v>243.656679315291+86.9977890993766i</v>
      </c>
      <c r="H183" s="1">
        <f t="shared" si="77"/>
        <v>48.256674942812474</v>
      </c>
      <c r="I183" s="1">
        <f t="shared" si="78"/>
        <v>19.649141263679745</v>
      </c>
      <c r="J183" s="83" t="str">
        <f t="shared" si="73"/>
        <v>135.178584585466-0.701475730049251i</v>
      </c>
      <c r="K183" s="1">
        <f t="shared" si="79"/>
        <v>42.61827484197341</v>
      </c>
      <c r="L183" s="1">
        <f t="shared" si="80"/>
        <v>-0.29731956528079201</v>
      </c>
      <c r="M183" s="1">
        <f t="shared" si="74"/>
        <v>0.192</v>
      </c>
      <c r="N183" s="1">
        <f t="shared" si="75"/>
        <v>2.5000000000000001E-2</v>
      </c>
      <c r="O183" s="1" t="str">
        <f t="shared" si="76"/>
        <v>2.35247430388616-37.5203355413888i</v>
      </c>
      <c r="P183" s="1">
        <f t="shared" si="81"/>
        <v>31.502373441233967</v>
      </c>
      <c r="Q183" s="1">
        <f t="shared" si="82"/>
        <v>-86.412328370838182</v>
      </c>
      <c r="R183" s="1" t="str">
        <f t="shared" si="83"/>
        <v>19.3359819835267-7.4473954422552i</v>
      </c>
      <c r="S183" s="1">
        <f t="shared" si="84"/>
        <v>26.328052950612197</v>
      </c>
      <c r="T183" s="1">
        <f t="shared" si="85"/>
        <v>-21.064556496103535</v>
      </c>
      <c r="U183" s="1" t="str">
        <f>IMPRODUCT(COMPLEX(-1,0),IMDIV(COMPLEX(1,C183*Calculations!$B$195*Calculations!$B$197),IMPRODUCT(COMPLEX(0,C183*Calculations!$B$184),COMPLEX((Calculations!$B$197+Calculations!$B$199),C183*Calculations!$B$195*Calculations!$B$197*Calculations!$B$199))))</f>
        <v>-1.42674939207834+4.02903122121279i</v>
      </c>
      <c r="V183" s="1">
        <f t="shared" si="86"/>
        <v>12.617077964389535</v>
      </c>
      <c r="W183" s="1">
        <f t="shared" si="87"/>
        <v>109.49993185746958</v>
      </c>
      <c r="X183" s="1" t="str">
        <f t="shared" si="88"/>
        <v>2.41818821332958+88.5308420242417i</v>
      </c>
      <c r="Y183" s="1">
        <f t="shared" si="89"/>
        <v>38.945130915001734</v>
      </c>
      <c r="Z183" s="1">
        <f t="shared" si="90"/>
        <v>88.435375361366056</v>
      </c>
    </row>
    <row r="184" spans="2:26" x14ac:dyDescent="0.15">
      <c r="B184" s="1">
        <v>70</v>
      </c>
      <c r="C184" s="1">
        <f t="shared" si="68"/>
        <v>439.82297150257102</v>
      </c>
      <c r="D184" s="83" t="str">
        <f t="shared" si="69"/>
        <v>1.7581184587903-1.47806464883635i</v>
      </c>
      <c r="E184" s="1">
        <f t="shared" si="70"/>
        <v>7.222764383793276</v>
      </c>
      <c r="F184" s="1">
        <f t="shared" si="71"/>
        <v>-40.054042194420873</v>
      </c>
      <c r="G184" s="1" t="str">
        <f t="shared" si="72"/>
        <v>243.913466545788+101.553351814178i</v>
      </c>
      <c r="H184" s="1">
        <f t="shared" si="77"/>
        <v>48.438981184357132</v>
      </c>
      <c r="I184" s="1">
        <f t="shared" si="78"/>
        <v>22.604399520134937</v>
      </c>
      <c r="J184" s="83" t="str">
        <f t="shared" si="73"/>
        <v>135.253707824806-0.819181996464284i</v>
      </c>
      <c r="K184" s="1">
        <f t="shared" si="79"/>
        <v>42.623142900948238</v>
      </c>
      <c r="L184" s="1">
        <f t="shared" si="80"/>
        <v>-0.34701523460910083</v>
      </c>
      <c r="M184" s="1">
        <f t="shared" si="74"/>
        <v>0.192</v>
      </c>
      <c r="N184" s="1">
        <f t="shared" si="75"/>
        <v>2.5000000000000001E-2</v>
      </c>
      <c r="O184" s="1" t="str">
        <f t="shared" si="76"/>
        <v>2.35247396312797-32.1607487748508i</v>
      </c>
      <c r="P184" s="1">
        <f t="shared" si="81"/>
        <v>30.169698172089554</v>
      </c>
      <c r="Q184" s="1">
        <f t="shared" si="82"/>
        <v>-85.816415678353238</v>
      </c>
      <c r="R184" s="1" t="str">
        <f t="shared" si="83"/>
        <v>18.4713614903614-8.29681082487335i</v>
      </c>
      <c r="S184" s="1">
        <f t="shared" si="84"/>
        <v>26.128137957071338</v>
      </c>
      <c r="T184" s="1">
        <f t="shared" si="85"/>
        <v>-24.188261690338031</v>
      </c>
      <c r="U184" s="1" t="str">
        <f>IMPRODUCT(COMPLEX(-1,0),IMDIV(COMPLEX(1,C184*Calculations!$B$195*Calculations!$B$197),IMPRODUCT(COMPLEX(0,C184*Calculations!$B$184),COMPLEX((Calculations!$B$197+Calculations!$B$199),C184*Calculations!$B$195*Calculations!$B$197*Calculations!$B$199))))</f>
        <v>-1.42674936575148+3.4535551592282i</v>
      </c>
      <c r="V184" s="1">
        <f t="shared" si="86"/>
        <v>11.449680691837399</v>
      </c>
      <c r="W184" s="1">
        <f t="shared" si="87"/>
        <v>112.44673473210779</v>
      </c>
      <c r="X184" s="1" t="str">
        <f t="shared" si="88"/>
        <v>2.2994905384423+75.6293353551548i</v>
      </c>
      <c r="Y184" s="1">
        <f t="shared" si="89"/>
        <v>37.577818648908739</v>
      </c>
      <c r="Z184" s="1">
        <f t="shared" si="90"/>
        <v>88.258473041769761</v>
      </c>
    </row>
    <row r="185" spans="2:26" x14ac:dyDescent="0.15">
      <c r="B185" s="1">
        <v>80</v>
      </c>
      <c r="C185" s="1">
        <f t="shared" si="68"/>
        <v>502.6548245743669</v>
      </c>
      <c r="D185" s="83" t="str">
        <f t="shared" si="69"/>
        <v>1.56030740948767-1.49881183359949i</v>
      </c>
      <c r="E185" s="1">
        <f t="shared" si="70"/>
        <v>6.7033828157859254</v>
      </c>
      <c r="F185" s="1">
        <f t="shared" si="71"/>
        <v>-43.848373607365254</v>
      </c>
      <c r="G185" s="1" t="str">
        <f t="shared" si="72"/>
        <v>244.210282820775+116.134815653893i</v>
      </c>
      <c r="H185" s="1">
        <f t="shared" si="77"/>
        <v>48.640715665578902</v>
      </c>
      <c r="I185" s="1">
        <f t="shared" si="78"/>
        <v>25.43354194810631</v>
      </c>
      <c r="J185" s="83" t="str">
        <f t="shared" si="73"/>
        <v>135.34049119821-0.937256350170958i</v>
      </c>
      <c r="K185" s="1">
        <f t="shared" si="79"/>
        <v>42.628763241212937</v>
      </c>
      <c r="L185" s="1">
        <f t="shared" si="80"/>
        <v>-0.39677685719883582</v>
      </c>
      <c r="M185" s="1">
        <f t="shared" si="74"/>
        <v>0.192</v>
      </c>
      <c r="N185" s="1">
        <f t="shared" si="75"/>
        <v>2.5000000000000001E-2</v>
      </c>
      <c r="O185" s="1" t="str">
        <f t="shared" si="76"/>
        <v>2.35247356994557-28.1411207801025i</v>
      </c>
      <c r="P185" s="1">
        <f t="shared" si="81"/>
        <v>29.017071714771884</v>
      </c>
      <c r="Q185" s="1">
        <f t="shared" si="82"/>
        <v>-85.221436112703373</v>
      </c>
      <c r="R185" s="1" t="str">
        <f t="shared" si="83"/>
        <v>17.5660535500664-9.01322908739008i</v>
      </c>
      <c r="S185" s="1">
        <f t="shared" si="84"/>
        <v>25.908468884175701</v>
      </c>
      <c r="T185" s="1">
        <f t="shared" si="85"/>
        <v>-27.162583958120422</v>
      </c>
      <c r="U185" s="1" t="str">
        <f>IMPRODUCT(COMPLEX(-1,0),IMDIV(COMPLEX(1,C185*Calculations!$B$195*Calculations!$B$197),IMPRODUCT(COMPLEX(0,C185*Calculations!$B$184),COMPLEX((Calculations!$B$197+Calculations!$B$199),C185*Calculations!$B$195*Calculations!$B$197*Calculations!$B$199))))</f>
        <v>-1.42674933537434+3.02196155095345i</v>
      </c>
      <c r="V185" s="1">
        <f t="shared" si="86"/>
        <v>10.479701663926662</v>
      </c>
      <c r="W185" s="1">
        <f t="shared" si="87"/>
        <v>115.27325628477435</v>
      </c>
      <c r="X185" s="1" t="str">
        <f t="shared" si="88"/>
        <v>2.17527652432078+65.9435570403005i</v>
      </c>
      <c r="Y185" s="1">
        <f t="shared" si="89"/>
        <v>36.388170548102366</v>
      </c>
      <c r="Z185" s="1">
        <f t="shared" si="90"/>
        <v>88.110672326653926</v>
      </c>
    </row>
    <row r="186" spans="2:26" x14ac:dyDescent="0.15">
      <c r="B186" s="1">
        <v>90</v>
      </c>
      <c r="C186" s="1">
        <f t="shared" si="68"/>
        <v>565.48667764616278</v>
      </c>
      <c r="D186" s="83" t="str">
        <f t="shared" si="69"/>
        <v>1.3839237709252-1.49516109426207i</v>
      </c>
      <c r="E186" s="1">
        <f t="shared" si="70"/>
        <v>6.1812675460664206</v>
      </c>
      <c r="F186" s="1">
        <f t="shared" si="71"/>
        <v>-47.212599120300354</v>
      </c>
      <c r="G186" s="1" t="str">
        <f t="shared" si="72"/>
        <v>244.547354142573+130.745942962628i</v>
      </c>
      <c r="H186" s="1">
        <f t="shared" si="77"/>
        <v>48.859145364280742</v>
      </c>
      <c r="I186" s="1">
        <f t="shared" si="78"/>
        <v>28.130951094045621</v>
      </c>
      <c r="J186" s="83" t="str">
        <f t="shared" si="73"/>
        <v>135.438978976359-1.05575265995632i</v>
      </c>
      <c r="K186" s="1">
        <f t="shared" si="79"/>
        <v>42.635137303615224</v>
      </c>
      <c r="L186" s="1">
        <f t="shared" si="80"/>
        <v>-0.44661401721350624</v>
      </c>
      <c r="M186" s="1">
        <f t="shared" si="74"/>
        <v>0.192</v>
      </c>
      <c r="N186" s="1">
        <f t="shared" si="75"/>
        <v>2.5000000000000001E-2</v>
      </c>
      <c r="O186" s="1" t="str">
        <f t="shared" si="76"/>
        <v>2.352473124339-25.0147986331585i</v>
      </c>
      <c r="P186" s="1">
        <f t="shared" si="81"/>
        <v>28.002180955484562</v>
      </c>
      <c r="Q186" s="1">
        <f t="shared" si="82"/>
        <v>-84.627519441702418</v>
      </c>
      <c r="R186" s="1" t="str">
        <f t="shared" si="83"/>
        <v>16.6427783088553-9.60200065694325i</v>
      </c>
      <c r="S186" s="1">
        <f t="shared" si="84"/>
        <v>25.672387377236735</v>
      </c>
      <c r="T186" s="1">
        <f t="shared" si="85"/>
        <v>-29.982666827141017</v>
      </c>
      <c r="U186" s="1" t="str">
        <f>IMPRODUCT(COMPLEX(-1,0),IMDIV(COMPLEX(1,C186*Calculations!$B$195*Calculations!$B$197),IMPRODUCT(COMPLEX(0,C186*Calculations!$B$184),COMPLEX((Calculations!$B$197+Calculations!$B$199),C186*Calculations!$B$195*Calculations!$B$197*Calculations!$B$199))))</f>
        <v>-1.42674930094691+2.68628957848375i</v>
      </c>
      <c r="V186" s="1">
        <f t="shared" si="86"/>
        <v>9.6622460546012103</v>
      </c>
      <c r="W186" s="1">
        <f t="shared" si="87"/>
        <v>117.97378452528164</v>
      </c>
      <c r="X186" s="1" t="str">
        <f t="shared" si="88"/>
        <v>2.04868197936708+58.406969653079i</v>
      </c>
      <c r="Y186" s="1">
        <f t="shared" si="89"/>
        <v>35.33463343183795</v>
      </c>
      <c r="Z186" s="1">
        <f t="shared" si="90"/>
        <v>87.991117698140641</v>
      </c>
    </row>
    <row r="187" spans="2:26" x14ac:dyDescent="0.15">
      <c r="B187" s="1">
        <v>100</v>
      </c>
      <c r="C187" s="1">
        <f t="shared" si="68"/>
        <v>628.31853071795865</v>
      </c>
      <c r="D187" s="83" t="str">
        <f t="shared" si="69"/>
        <v>1.22876351536414-1.47460137906596i</v>
      </c>
      <c r="E187" s="1">
        <f t="shared" si="70"/>
        <v>5.6635604742923116</v>
      </c>
      <c r="F187" s="1">
        <f t="shared" si="71"/>
        <v>-50.196056286167327</v>
      </c>
      <c r="G187" s="1" t="str">
        <f t="shared" si="72"/>
        <v>244.924937804644+145.390521179533i</v>
      </c>
      <c r="H187" s="1">
        <f t="shared" si="77"/>
        <v>49.091634293769047</v>
      </c>
      <c r="I187" s="1">
        <f t="shared" si="78"/>
        <v>30.69390033359123</v>
      </c>
      <c r="J187" s="83" t="str">
        <f t="shared" si="73"/>
        <v>135.549221500967-1.17472531468085i</v>
      </c>
      <c r="K187" s="1">
        <f t="shared" si="79"/>
        <v>42.642266724799782</v>
      </c>
      <c r="L187" s="1">
        <f t="shared" si="80"/>
        <v>-0.49653636432143</v>
      </c>
      <c r="M187" s="1">
        <f t="shared" si="74"/>
        <v>0.192</v>
      </c>
      <c r="N187" s="1">
        <f t="shared" si="75"/>
        <v>2.5000000000000001E-2</v>
      </c>
      <c r="O187" s="1" t="str">
        <f t="shared" si="76"/>
        <v>2.35247262630832-22.5137905796211i</v>
      </c>
      <c r="P187" s="1">
        <f t="shared" si="81"/>
        <v>27.096132688198942</v>
      </c>
      <c r="Q187" s="1">
        <f t="shared" si="82"/>
        <v>-84.034794042626046</v>
      </c>
      <c r="R187" s="1" t="str">
        <f t="shared" si="83"/>
        <v>15.720593329345-10.0719898577213i</v>
      </c>
      <c r="S187" s="1">
        <f t="shared" si="84"/>
        <v>25.423050001106041</v>
      </c>
      <c r="T187" s="1">
        <f t="shared" si="85"/>
        <v>-32.647184782281307</v>
      </c>
      <c r="U187" s="1" t="str">
        <f>IMPRODUCT(COMPLEX(-1,0),IMDIV(COMPLEX(1,C187*Calculations!$B$195*Calculations!$B$197),IMPRODUCT(COMPLEX(0,C187*Calculations!$B$184),COMPLEX((Calculations!$B$197+Calculations!$B$199),C187*Calculations!$B$195*Calculations!$B$197*Calculations!$B$199))))</f>
        <v>-1.4267492624692+2.41776275107602i</v>
      </c>
      <c r="V187" s="1">
        <f t="shared" si="86"/>
        <v>8.9659180745163063</v>
      </c>
      <c r="W187" s="1">
        <f t="shared" si="87"/>
        <v>120.54533749745077</v>
      </c>
      <c r="X187" s="1" t="str">
        <f t="shared" si="88"/>
        <v>1.92233696899282+52.3788690776056i</v>
      </c>
      <c r="Y187" s="1">
        <f t="shared" si="89"/>
        <v>34.388968075622351</v>
      </c>
      <c r="Z187" s="1">
        <f t="shared" si="90"/>
        <v>87.898152715169473</v>
      </c>
    </row>
    <row r="188" spans="2:26" x14ac:dyDescent="0.15">
      <c r="B188" s="1">
        <v>200</v>
      </c>
      <c r="C188" s="1">
        <f t="shared" si="68"/>
        <v>1256.6370614359173</v>
      </c>
      <c r="D188" s="83" t="str">
        <f t="shared" si="69"/>
        <v>0.444945169177864-1.06302323777861i</v>
      </c>
      <c r="E188" s="1">
        <f t="shared" si="70"/>
        <v>1.2319631156783808</v>
      </c>
      <c r="F188" s="1">
        <f t="shared" si="71"/>
        <v>-67.287481903774136</v>
      </c>
      <c r="G188" s="1" t="str">
        <f t="shared" si="72"/>
        <v>251.008989456375+294.534014810198i</v>
      </c>
      <c r="H188" s="1">
        <f t="shared" si="77"/>
        <v>51.753836476277087</v>
      </c>
      <c r="I188" s="1">
        <f t="shared" si="78"/>
        <v>49.561563573398409</v>
      </c>
      <c r="J188" s="83" t="str">
        <f t="shared" si="73"/>
        <v>137.313726499853-2.40313092406489i</v>
      </c>
      <c r="K188" s="1">
        <f t="shared" si="79"/>
        <v>42.755609047819682</v>
      </c>
      <c r="L188" s="1">
        <f t="shared" si="80"/>
        <v>-1.0026324988309854</v>
      </c>
      <c r="M188" s="1">
        <f t="shared" si="74"/>
        <v>0.192</v>
      </c>
      <c r="N188" s="1">
        <f t="shared" si="75"/>
        <v>2.5000000000000001E-2</v>
      </c>
      <c r="O188" s="1" t="str">
        <f t="shared" si="76"/>
        <v>2.35246476269414-11.2606200906125i</v>
      </c>
      <c r="P188" s="1">
        <f t="shared" si="81"/>
        <v>21.216768722087366</v>
      </c>
      <c r="Q188" s="1">
        <f t="shared" si="82"/>
        <v>-78.200006526657688</v>
      </c>
      <c r="R188" s="1" t="str">
        <f t="shared" si="83"/>
        <v>8.43057750275283-10.7127439242519i</v>
      </c>
      <c r="S188" s="1">
        <f t="shared" si="84"/>
        <v>22.691333998113997</v>
      </c>
      <c r="T188" s="1">
        <f t="shared" si="85"/>
        <v>-51.798416894169478</v>
      </c>
      <c r="U188" s="1" t="str">
        <f>IMPRODUCT(COMPLEX(-1,0),IMDIV(COMPLEX(1,C188*Calculations!$B$195*Calculations!$B$197),IMPRODUCT(COMPLEX(0,C188*Calculations!$B$184),COMPLEX((Calculations!$B$197+Calculations!$B$199),C188*Calculations!$B$195*Calculations!$B$197*Calculations!$B$199))))</f>
        <v>-1.42674865492671+1.20968766812536i</v>
      </c>
      <c r="V188" s="1">
        <f t="shared" si="86"/>
        <v>5.4393847854854354</v>
      </c>
      <c r="W188" s="1">
        <f t="shared" si="87"/>
        <v>139.70661540049329</v>
      </c>
      <c r="X188" s="1" t="str">
        <f t="shared" si="88"/>
        <v>0.930759104644419+25.4827586247559i</v>
      </c>
      <c r="Y188" s="1">
        <f t="shared" si="89"/>
        <v>28.130718783599438</v>
      </c>
      <c r="Z188" s="1">
        <f t="shared" si="90"/>
        <v>87.908198506323842</v>
      </c>
    </row>
    <row r="189" spans="2:26" x14ac:dyDescent="0.15">
      <c r="B189" s="1">
        <v>300</v>
      </c>
      <c r="C189" s="1">
        <f t="shared" si="68"/>
        <v>1884.9555921538758</v>
      </c>
      <c r="D189" s="83" t="str">
        <f t="shared" si="69"/>
        <v>0.217022514602511-0.771825656169525i</v>
      </c>
      <c r="E189" s="1">
        <f t="shared" si="70"/>
        <v>-1.9191493306665297</v>
      </c>
      <c r="F189" s="1">
        <f t="shared" si="71"/>
        <v>-74.295039278758551</v>
      </c>
      <c r="G189" s="1" t="str">
        <f t="shared" si="72"/>
        <v>261.684530013374+451.509939893646i</v>
      </c>
      <c r="H189" s="1">
        <f t="shared" si="77"/>
        <v>54.351114635387212</v>
      </c>
      <c r="I189" s="1">
        <f t="shared" si="78"/>
        <v>59.904428960550952</v>
      </c>
      <c r="J189" s="83" t="str">
        <f t="shared" si="73"/>
        <v>140.357725883513-3.7457557660891i</v>
      </c>
      <c r="K189" s="1">
        <f t="shared" si="79"/>
        <v>42.947818435688717</v>
      </c>
      <c r="L189" s="1">
        <f t="shared" si="80"/>
        <v>-1.5287015128844297</v>
      </c>
      <c r="M189" s="1">
        <f t="shared" si="74"/>
        <v>0.192</v>
      </c>
      <c r="N189" s="1">
        <f t="shared" si="75"/>
        <v>2.5000000000000001E-2</v>
      </c>
      <c r="O189" s="1" t="str">
        <f t="shared" si="76"/>
        <v>2.35245165678731-7.51121869107464i</v>
      </c>
      <c r="P189" s="1">
        <f t="shared" si="81"/>
        <v>17.920583808674671</v>
      </c>
      <c r="Q189" s="1">
        <f t="shared" si="82"/>
        <v>-72.609874795173965</v>
      </c>
      <c r="R189" s="1" t="str">
        <f t="shared" si="83"/>
        <v>4.80735138623211-9.05736921282718i</v>
      </c>
      <c r="S189" s="1">
        <f t="shared" si="84"/>
        <v>20.217950869800543</v>
      </c>
      <c r="T189" s="1">
        <f t="shared" si="85"/>
        <v>-62.042119001583004</v>
      </c>
      <c r="U189" s="1" t="str">
        <f>IMPRODUCT(COMPLEX(-1,0),IMDIV(COMPLEX(1,C189*Calculations!$B$195*Calculations!$B$197),IMPRODUCT(COMPLEX(0,C189*Calculations!$B$184),COMPLEX((Calculations!$B$197+Calculations!$B$199),C189*Calculations!$B$195*Calculations!$B$197*Calculations!$B$199))))</f>
        <v>-1.42674764235702+0.807354325052214i</v>
      </c>
      <c r="V189" s="1">
        <f t="shared" si="86"/>
        <v>4.2933713524986183</v>
      </c>
      <c r="W189" s="1">
        <f t="shared" si="87"/>
        <v>150.49576112577279</v>
      </c>
      <c r="X189" s="1" t="str">
        <f t="shared" si="88"/>
        <v>0.453628951282376+16.8038161040785i</v>
      </c>
      <c r="Y189" s="1">
        <f t="shared" si="89"/>
        <v>24.511322222299164</v>
      </c>
      <c r="Z189" s="1">
        <f t="shared" si="90"/>
        <v>88.453642124189798</v>
      </c>
    </row>
    <row r="190" spans="2:26" x14ac:dyDescent="0.15">
      <c r="B190" s="1">
        <v>400</v>
      </c>
      <c r="C190" s="1">
        <f t="shared" si="68"/>
        <v>2513.2741228718346</v>
      </c>
      <c r="D190" s="83" t="str">
        <f t="shared" si="69"/>
        <v>0.127345244828012-0.597502327824093i</v>
      </c>
      <c r="E190" s="1">
        <f t="shared" si="70"/>
        <v>-4.2802829219625735</v>
      </c>
      <c r="F190" s="1">
        <f t="shared" si="71"/>
        <v>-77.968607433052455</v>
      </c>
      <c r="G190" s="1" t="str">
        <f t="shared" si="72"/>
        <v>277.85789632386+621.111499374385i</v>
      </c>
      <c r="H190" s="1">
        <f t="shared" si="77"/>
        <v>56.655664566405513</v>
      </c>
      <c r="I190" s="1">
        <f t="shared" si="78"/>
        <v>65.898363075093854</v>
      </c>
      <c r="J190" s="83" t="str">
        <f t="shared" si="73"/>
        <v>144.850485314288-5.27858666792445i</v>
      </c>
      <c r="K190" s="1">
        <f t="shared" si="79"/>
        <v>43.224162661588245</v>
      </c>
      <c r="L190" s="1">
        <f t="shared" si="80"/>
        <v>-2.0870276283428488</v>
      </c>
      <c r="M190" s="1">
        <f t="shared" si="74"/>
        <v>0.192</v>
      </c>
      <c r="N190" s="1">
        <f t="shared" si="75"/>
        <v>2.5000000000000001E-2</v>
      </c>
      <c r="O190" s="1" t="str">
        <f t="shared" si="76"/>
        <v>2.35243330876308-5.63775952240274i</v>
      </c>
      <c r="P190" s="1">
        <f t="shared" si="81"/>
        <v>15.719215595996463</v>
      </c>
      <c r="Q190" s="1">
        <f t="shared" si="82"/>
        <v>-67.350986137579341</v>
      </c>
      <c r="R190" s="1" t="str">
        <f t="shared" si="83"/>
        <v>3.0324917579834-7.52636589962019i</v>
      </c>
      <c r="S190" s="1">
        <f t="shared" si="84"/>
        <v>18.185042671182558</v>
      </c>
      <c r="T190" s="1">
        <f t="shared" si="85"/>
        <v>-68.054715484404625</v>
      </c>
      <c r="U190" s="1" t="str">
        <f>IMPRODUCT(COMPLEX(-1,0),IMDIV(COMPLEX(1,C190*Calculations!$B$195*Calculations!$B$197),IMPRODUCT(COMPLEX(0,C190*Calculations!$B$184),COMPLEX((Calculations!$B$197+Calculations!$B$199),C190*Calculations!$B$195*Calculations!$B$197*Calculations!$B$199))))</f>
        <v>-1.4267462247619+0.606456415804004i</v>
      </c>
      <c r="V190" s="1">
        <f t="shared" si="86"/>
        <v>3.8082500410230886</v>
      </c>
      <c r="W190" s="1">
        <f t="shared" si="87"/>
        <v>156.97147157708267</v>
      </c>
      <c r="X190" s="1" t="str">
        <f t="shared" si="88"/>
        <v>0.237816720188746+12.5772882159616i</v>
      </c>
      <c r="Y190" s="1">
        <f t="shared" si="89"/>
        <v>21.993292712205644</v>
      </c>
      <c r="Z190" s="1">
        <f t="shared" si="90"/>
        <v>88.916756092678028</v>
      </c>
    </row>
    <row r="191" spans="2:26" x14ac:dyDescent="0.15">
      <c r="B191" s="1">
        <v>500</v>
      </c>
      <c r="C191" s="1">
        <f t="shared" si="68"/>
        <v>3141.5926535897929</v>
      </c>
      <c r="D191" s="83" t="str">
        <f t="shared" si="69"/>
        <v>0.0838534203179941-0.485231225019757i</v>
      </c>
      <c r="E191" s="1">
        <f t="shared" si="70"/>
        <v>-6.1532275514422849</v>
      </c>
      <c r="F191" s="1">
        <f t="shared" si="71"/>
        <v>-80.195478582835122</v>
      </c>
      <c r="G191" s="1" t="str">
        <f t="shared" si="72"/>
        <v>301.039931196906+809.374344112722i</v>
      </c>
      <c r="H191" s="1">
        <f t="shared" si="77"/>
        <v>58.725710555704723</v>
      </c>
      <c r="I191" s="1">
        <f t="shared" si="78"/>
        <v>69.597741900360191</v>
      </c>
      <c r="J191" s="83" t="str">
        <f t="shared" si="73"/>
        <v>151.061880891717-7.10584806463436i</v>
      </c>
      <c r="K191" s="1">
        <f t="shared" si="79"/>
        <v>43.592696764580211</v>
      </c>
      <c r="L191" s="1">
        <f t="shared" si="80"/>
        <v>-2.6931692538956553</v>
      </c>
      <c r="M191" s="1">
        <f t="shared" si="74"/>
        <v>0.192</v>
      </c>
      <c r="N191" s="1">
        <f t="shared" si="75"/>
        <v>2.5000000000000001E-2</v>
      </c>
      <c r="O191" s="1" t="str">
        <f t="shared" si="76"/>
        <v>2.35240971886675-4.51467719959675i</v>
      </c>
      <c r="P191" s="1">
        <f t="shared" si="81"/>
        <v>14.135703458765711</v>
      </c>
      <c r="Q191" s="1">
        <f t="shared" si="82"/>
        <v>-62.477862177788083</v>
      </c>
      <c r="R191" s="1" t="str">
        <f t="shared" si="83"/>
        <v>2.07080456553834-6.36175054614257i</v>
      </c>
      <c r="S191" s="1">
        <f t="shared" si="84"/>
        <v>16.508910632651023</v>
      </c>
      <c r="T191" s="1">
        <f t="shared" si="85"/>
        <v>-71.969485208296305</v>
      </c>
      <c r="U191" s="1" t="str">
        <f>IMPRODUCT(COMPLEX(-1,0),IMDIV(COMPLEX(1,C191*Calculations!$B$195*Calculations!$B$197),IMPRODUCT(COMPLEX(0,C191*Calculations!$B$184),COMPLEX((Calculations!$B$197+Calculations!$B$199),C191*Calculations!$B$195*Calculations!$B$197*Calculations!$B$199))))</f>
        <v>-1.42674440214373+0.486132678803974i</v>
      </c>
      <c r="V191" s="1">
        <f t="shared" si="86"/>
        <v>3.5639390838523495</v>
      </c>
      <c r="W191" s="1">
        <f t="shared" si="87"/>
        <v>161.18455311379319</v>
      </c>
      <c r="X191" s="1" t="str">
        <f t="shared" si="88"/>
        <v>0.138146013063427+10.0832777502684i</v>
      </c>
      <c r="Y191" s="1">
        <f t="shared" si="89"/>
        <v>20.072849716503388</v>
      </c>
      <c r="Z191" s="1">
        <f t="shared" si="90"/>
        <v>89.215067905496866</v>
      </c>
    </row>
    <row r="192" spans="2:26" x14ac:dyDescent="0.15">
      <c r="B192" s="1">
        <v>600</v>
      </c>
      <c r="C192" s="1">
        <f t="shared" si="68"/>
        <v>3769.9111843077517</v>
      </c>
      <c r="D192" s="83" t="str">
        <f t="shared" si="69"/>
        <v>0.0596722590489591-0.407708918320626i</v>
      </c>
      <c r="E192" s="1">
        <f t="shared" si="70"/>
        <v>-7.700946940802794</v>
      </c>
      <c r="F192" s="1">
        <f t="shared" si="71"/>
        <v>-81.673312381440184</v>
      </c>
      <c r="G192" s="1" t="str">
        <f t="shared" si="72"/>
        <v>333.691065138744+1024.37750331174i</v>
      </c>
      <c r="H192" s="1">
        <f t="shared" si="77"/>
        <v>60.647196088696056</v>
      </c>
      <c r="I192" s="1">
        <f t="shared" si="78"/>
        <v>71.956975687348205</v>
      </c>
      <c r="J192" s="83" t="str">
        <f t="shared" si="73"/>
        <v>159.405955322848-9.3814315836153i</v>
      </c>
      <c r="K192" s="1">
        <f t="shared" si="79"/>
        <v>44.065107129956012</v>
      </c>
      <c r="L192" s="1">
        <f t="shared" si="80"/>
        <v>-3.3681121779401684</v>
      </c>
      <c r="M192" s="1">
        <f t="shared" si="74"/>
        <v>0.192</v>
      </c>
      <c r="N192" s="1">
        <f t="shared" si="75"/>
        <v>2.5000000000000001E-2</v>
      </c>
      <c r="O192" s="1" t="str">
        <f t="shared" si="76"/>
        <v>2.35238088741374-3.76678324992543i</v>
      </c>
      <c r="P192" s="1">
        <f t="shared" si="81"/>
        <v>12.949587033307363</v>
      </c>
      <c r="Q192" s="1">
        <f t="shared" si="82"/>
        <v>-58.014951335944701</v>
      </c>
      <c r="R192" s="1" t="str">
        <f t="shared" si="83"/>
        <v>1.49626947116178-5.4876392849264i</v>
      </c>
      <c r="S192" s="1">
        <f t="shared" si="84"/>
        <v>15.099146550869797</v>
      </c>
      <c r="T192" s="1">
        <f t="shared" si="85"/>
        <v>-74.748374262199619</v>
      </c>
      <c r="U192" s="1" t="str">
        <f>IMPRODUCT(COMPLEX(-1,0),IMDIV(COMPLEX(1,C192*Calculations!$B$195*Calculations!$B$197),IMPRODUCT(COMPLEX(0,C192*Calculations!$B$184),COMPLEX((Calculations!$B$197+Calculations!$B$199),C192*Calculations!$B$195*Calculations!$B$197*Calculations!$B$199))))</f>
        <v>-1.42674217450562+0.406096026554705i</v>
      </c>
      <c r="V192" s="1">
        <f t="shared" si="86"/>
        <v>3.4252279692002139</v>
      </c>
      <c r="W192" s="1">
        <f t="shared" si="87"/>
        <v>164.11196764127803</v>
      </c>
      <c r="X192" s="1" t="str">
        <f t="shared" si="88"/>
        <v>0.0937177498423818+8.43707549317227i</v>
      </c>
      <c r="Y192" s="1">
        <f t="shared" si="89"/>
        <v>18.524374520070015</v>
      </c>
      <c r="Z192" s="1">
        <f t="shared" si="90"/>
        <v>89.363593379078395</v>
      </c>
    </row>
    <row r="193" spans="2:26" x14ac:dyDescent="0.15">
      <c r="B193" s="1">
        <v>700</v>
      </c>
      <c r="C193" s="1">
        <f t="shared" si="68"/>
        <v>4398.22971502571</v>
      </c>
      <c r="D193" s="83" t="str">
        <f t="shared" si="69"/>
        <v>0.0448972041777054-0.351219045098404i</v>
      </c>
      <c r="E193" s="1">
        <f t="shared" si="70"/>
        <v>-9.0180437679957652</v>
      </c>
      <c r="F193" s="1">
        <f t="shared" si="71"/>
        <v>-82.715246937356966</v>
      </c>
      <c r="G193" s="1" t="str">
        <f t="shared" si="72"/>
        <v>379.88031774262+1277.55605736519i</v>
      </c>
      <c r="H193" s="1">
        <f t="shared" si="77"/>
        <v>62.495550750363947</v>
      </c>
      <c r="I193" s="1">
        <f t="shared" si="78"/>
        <v>73.440194453500595</v>
      </c>
      <c r="J193" s="83" t="str">
        <f t="shared" si="73"/>
        <v>170.517563971807-12.3480684519306i</v>
      </c>
      <c r="K193" s="1">
        <f t="shared" si="79"/>
        <v>44.658097139643715</v>
      </c>
      <c r="L193" s="1">
        <f t="shared" si="80"/>
        <v>-4.1418571749424444</v>
      </c>
      <c r="M193" s="1">
        <f t="shared" si="74"/>
        <v>0.192</v>
      </c>
      <c r="N193" s="1">
        <f t="shared" si="75"/>
        <v>2.5000000000000001E-2</v>
      </c>
      <c r="O193" s="1" t="str">
        <f t="shared" si="76"/>
        <v>2.3523468147895-3.23328260416439i</v>
      </c>
      <c r="P193" s="1">
        <f t="shared" si="81"/>
        <v>12.037846847367925</v>
      </c>
      <c r="Q193" s="1">
        <f t="shared" si="82"/>
        <v>-53.962561110434358</v>
      </c>
      <c r="R193" s="1" t="str">
        <f t="shared" si="83"/>
        <v>1.12469759934499-4.81854317225593i</v>
      </c>
      <c r="S193" s="1">
        <f t="shared" si="84"/>
        <v>13.888700072157851</v>
      </c>
      <c r="T193" s="1">
        <f t="shared" si="85"/>
        <v>-76.861795686380972</v>
      </c>
      <c r="U193" s="1" t="str">
        <f>IMPRODUCT(COMPLEX(-1,0),IMDIV(COMPLEX(1,C193*Calculations!$B$195*Calculations!$B$197),IMPRODUCT(COMPLEX(0,C193*Calculations!$B$184),COMPLEX((Calculations!$B$197+Calculations!$B$199),C193*Calculations!$B$195*Calculations!$B$197*Calculations!$B$199))))</f>
        <v>-1.42673954185136+0.349080564152866i</v>
      </c>
      <c r="V193" s="1">
        <f t="shared" si="86"/>
        <v>3.3393932246595326</v>
      </c>
      <c r="W193" s="1">
        <f t="shared" si="87"/>
        <v>166.25153002411622</v>
      </c>
      <c r="X193" s="1" t="str">
        <f t="shared" si="88"/>
        <v>0.0774092313552452+7.26741615045615i</v>
      </c>
      <c r="Y193" s="1">
        <f t="shared" si="89"/>
        <v>17.228093296817384</v>
      </c>
      <c r="Z193" s="1">
        <f t="shared" si="90"/>
        <v>89.389734337735248</v>
      </c>
    </row>
    <row r="194" spans="2:26" x14ac:dyDescent="0.15">
      <c r="B194" s="1">
        <v>800</v>
      </c>
      <c r="C194" s="1">
        <f t="shared" si="68"/>
        <v>5026.5482457436692</v>
      </c>
      <c r="D194" s="83" t="str">
        <f t="shared" si="69"/>
        <v>0.0352279841254416-0.308321196636924i</v>
      </c>
      <c r="E194" s="1">
        <f t="shared" si="70"/>
        <v>-10.163603137166463</v>
      </c>
      <c r="F194" s="1">
        <f t="shared" si="71"/>
        <v>-83.481798556681397</v>
      </c>
      <c r="G194" s="1" t="str">
        <f t="shared" si="72"/>
        <v>446.605935578791+1586.00306146191i</v>
      </c>
      <c r="H194" s="1">
        <f t="shared" si="77"/>
        <v>64.337478503352969</v>
      </c>
      <c r="I194" s="1">
        <f t="shared" si="78"/>
        <v>74.273199614965094</v>
      </c>
      <c r="J194" s="83" t="str">
        <f t="shared" si="73"/>
        <v>185.391217450359-16.4147831432802i</v>
      </c>
      <c r="K194" s="1">
        <f t="shared" si="79"/>
        <v>45.395697165935751</v>
      </c>
      <c r="L194" s="1">
        <f t="shared" si="80"/>
        <v>-5.0598491486006285</v>
      </c>
      <c r="M194" s="1">
        <f t="shared" si="74"/>
        <v>0.192</v>
      </c>
      <c r="N194" s="1">
        <f t="shared" si="75"/>
        <v>2.5000000000000001E-2</v>
      </c>
      <c r="O194" s="1" t="str">
        <f t="shared" si="76"/>
        <v>2.35230750144953-2.83377771940575i</v>
      </c>
      <c r="P194" s="1">
        <f t="shared" si="81"/>
        <v>11.323764703595192</v>
      </c>
      <c r="Q194" s="1">
        <f t="shared" si="82"/>
        <v>-50.304070790068259</v>
      </c>
      <c r="R194" s="1" t="str">
        <f t="shared" si="83"/>
        <v>0.868948632444448-4.29337274050548i</v>
      </c>
      <c r="S194" s="1">
        <f t="shared" si="84"/>
        <v>12.83032453317289</v>
      </c>
      <c r="T194" s="1">
        <f t="shared" si="85"/>
        <v>-78.558292458997101</v>
      </c>
      <c r="U194" s="1" t="str">
        <f>IMPRODUCT(COMPLEX(-1,0),IMDIV(COMPLEX(1,C194*Calculations!$B$195*Calculations!$B$197),IMPRODUCT(COMPLEX(0,C194*Calculations!$B$184),COMPLEX((Calculations!$B$197+Calculations!$B$199),C194*Calculations!$B$195*Calculations!$B$197*Calculations!$B$199))))</f>
        <v>-1.42673650418545+0.306453343917916i</v>
      </c>
      <c r="V194" s="1">
        <f t="shared" si="86"/>
        <v>3.2827574863706053</v>
      </c>
      <c r="W194" s="1">
        <f t="shared" si="87"/>
        <v>167.87744385459854</v>
      </c>
      <c r="X194" s="1" t="str">
        <f t="shared" si="88"/>
        <v>0.0759576988434121+6.39180382905939i</v>
      </c>
      <c r="Y194" s="1">
        <f t="shared" si="89"/>
        <v>16.113082019543491</v>
      </c>
      <c r="Z194" s="1">
        <f t="shared" si="90"/>
        <v>89.319151395601438</v>
      </c>
    </row>
    <row r="195" spans="2:26" x14ac:dyDescent="0.15">
      <c r="B195" s="1">
        <v>900</v>
      </c>
      <c r="C195" s="1">
        <f t="shared" si="68"/>
        <v>5654.8667764616275</v>
      </c>
      <c r="D195" s="83" t="str">
        <f t="shared" si="69"/>
        <v>0.0285621915386838-0.274678847728748i</v>
      </c>
      <c r="E195" s="1">
        <f t="shared" si="70"/>
        <v>-11.176788928334449</v>
      </c>
      <c r="F195" s="1">
        <f t="shared" si="71"/>
        <v>-84.063493665454942</v>
      </c>
      <c r="G195" s="1" t="str">
        <f t="shared" si="72"/>
        <v>546.64110618456+1976.78714965975i</v>
      </c>
      <c r="H195" s="1">
        <f t="shared" si="77"/>
        <v>66.239212994151814</v>
      </c>
      <c r="I195" s="1">
        <f t="shared" si="78"/>
        <v>74.542277313416605</v>
      </c>
      <c r="J195" s="83" t="str">
        <f t="shared" si="73"/>
        <v>205.64553370339-22.3235666962853i</v>
      </c>
      <c r="K195" s="1">
        <f t="shared" si="79"/>
        <v>46.313263227696631</v>
      </c>
      <c r="L195" s="1">
        <f t="shared" si="80"/>
        <v>-6.1954048420035441</v>
      </c>
      <c r="M195" s="1">
        <f t="shared" si="74"/>
        <v>0.192</v>
      </c>
      <c r="N195" s="1">
        <f t="shared" si="75"/>
        <v>2.5000000000000001E-2</v>
      </c>
      <c r="O195" s="1" t="str">
        <f t="shared" si="76"/>
        <v>2.35226294791941-2.52360328666175i</v>
      </c>
      <c r="P195" s="1">
        <f t="shared" si="81"/>
        <v>10.756095290344827</v>
      </c>
      <c r="Q195" s="1">
        <f t="shared" si="82"/>
        <v>-47.012573746438008</v>
      </c>
      <c r="R195" s="1" t="str">
        <f t="shared" si="83"/>
        <v>0.684152673931173-3.87125891940382i</v>
      </c>
      <c r="S195" s="1">
        <f t="shared" si="84"/>
        <v>11.890608742698189</v>
      </c>
      <c r="T195" s="1">
        <f t="shared" si="85"/>
        <v>-79.977820587263949</v>
      </c>
      <c r="U195" s="1" t="str">
        <f>IMPRODUCT(COMPLEX(-1,0),IMDIV(COMPLEX(1,C195*Calculations!$B$195*Calculations!$B$197),IMPRODUCT(COMPLEX(0,C195*Calculations!$B$184),COMPLEX((Calculations!$B$197+Calculations!$B$199),C195*Calculations!$B$195*Calculations!$B$197*Calculations!$B$199))))</f>
        <v>-1.42673306151306+0.273418283601673i</v>
      </c>
      <c r="V195" s="1">
        <f t="shared" si="86"/>
        <v>3.2434929993415555</v>
      </c>
      <c r="W195" s="1">
        <f t="shared" si="87"/>
        <v>169.1514016753753</v>
      </c>
      <c r="X195" s="1" t="str">
        <f t="shared" si="88"/>
        <v>0.082369730100891+5.71031293981851i</v>
      </c>
      <c r="Y195" s="1">
        <f t="shared" si="89"/>
        <v>15.134101742039746</v>
      </c>
      <c r="Z195" s="1">
        <f t="shared" si="90"/>
        <v>89.173581088111334</v>
      </c>
    </row>
    <row r="196" spans="2:26" x14ac:dyDescent="0.15">
      <c r="B196" s="1">
        <v>1000</v>
      </c>
      <c r="C196" s="1">
        <f t="shared" si="68"/>
        <v>6283.1853071795858</v>
      </c>
      <c r="D196" s="83" t="str">
        <f t="shared" si="69"/>
        <v>0.0237757903142722-0.247608769108619i</v>
      </c>
      <c r="E196" s="1">
        <f t="shared" si="70"/>
        <v>-12.084820454698068</v>
      </c>
      <c r="F196" s="1">
        <f t="shared" si="71"/>
        <v>-84.515183240776537</v>
      </c>
      <c r="G196" s="1" t="str">
        <f t="shared" si="72"/>
        <v>705.288924279114+2495.67147367157i</v>
      </c>
      <c r="H196" s="1">
        <f t="shared" si="77"/>
        <v>68.27744502340677</v>
      </c>
      <c r="I196" s="1">
        <f t="shared" si="78"/>
        <v>74.219449419725535</v>
      </c>
      <c r="J196" s="83" t="str">
        <f t="shared" si="73"/>
        <v>234.061777659631-31.5464016471303i</v>
      </c>
      <c r="K196" s="1">
        <f t="shared" si="79"/>
        <v>47.464792201392719</v>
      </c>
      <c r="L196" s="1">
        <f t="shared" si="80"/>
        <v>-7.6759610265033125</v>
      </c>
      <c r="M196" s="1">
        <f t="shared" si="74"/>
        <v>0.192</v>
      </c>
      <c r="N196" s="1">
        <f t="shared" si="75"/>
        <v>2.5000000000000001E-2</v>
      </c>
      <c r="O196" s="1" t="str">
        <f t="shared" si="76"/>
        <v>2.35221315479469-2.27596011390629i</v>
      </c>
      <c r="P196" s="1">
        <f t="shared" si="81"/>
        <v>10.299070982479119</v>
      </c>
      <c r="Q196" s="1">
        <f t="shared" si="82"/>
        <v>-44.056089324177847</v>
      </c>
      <c r="R196" s="1" t="str">
        <f t="shared" si="83"/>
        <v>0.545448890997507-3.52482722307068i</v>
      </c>
      <c r="S196" s="1">
        <f t="shared" si="84"/>
        <v>11.04552709584674</v>
      </c>
      <c r="T196" s="1">
        <f t="shared" si="85"/>
        <v>-81.203543107948519</v>
      </c>
      <c r="U196" s="1" t="str">
        <f>IMPRODUCT(COMPLEX(-1,0),IMDIV(COMPLEX(1,C196*Calculations!$B$195*Calculations!$B$197),IMPRODUCT(COMPLEX(0,C196*Calculations!$B$184),COMPLEX((Calculations!$B$197+Calculations!$B$199),C196*Calculations!$B$195*Calculations!$B$197*Calculations!$B$199))))</f>
        <v>-1.42672921384004+0.247097733672139i</v>
      </c>
      <c r="V196" s="1">
        <f t="shared" si="86"/>
        <v>3.2151838607712699</v>
      </c>
      <c r="W196" s="1">
        <f t="shared" si="87"/>
        <v>170.17431156580398</v>
      </c>
      <c r="X196" s="1" t="str">
        <f t="shared" si="88"/>
        <v>0.0927689509638292+5.16375315769307i</v>
      </c>
      <c r="Y196" s="1">
        <f t="shared" si="89"/>
        <v>14.260710956618015</v>
      </c>
      <c r="Z196" s="1">
        <f t="shared" si="90"/>
        <v>88.970768457855456</v>
      </c>
    </row>
    <row r="197" spans="2:26" x14ac:dyDescent="0.15">
      <c r="B197" s="1">
        <v>2000</v>
      </c>
      <c r="C197" s="1">
        <f t="shared" si="68"/>
        <v>12566.370614359172</v>
      </c>
      <c r="D197" s="83" t="str">
        <f t="shared" si="69"/>
        <v>0.00836800042675561-0.124444668697876i</v>
      </c>
      <c r="E197" s="1">
        <f t="shared" si="70"/>
        <v>-18.08088134642303</v>
      </c>
      <c r="F197" s="1">
        <f t="shared" si="71"/>
        <v>-86.153065936089021</v>
      </c>
      <c r="G197" s="1" t="str">
        <f t="shared" si="72"/>
        <v>356.500868217953-3965.96049731777i</v>
      </c>
      <c r="H197" s="1">
        <f t="shared" si="77"/>
        <v>72.001918714556879</v>
      </c>
      <c r="I197" s="1">
        <f t="shared" si="78"/>
        <v>-84.863477666438669</v>
      </c>
      <c r="J197" s="83" t="str">
        <f t="shared" si="73"/>
        <v>-182.101880405739-23.1379764791747i</v>
      </c>
      <c r="K197" s="1">
        <f t="shared" si="79"/>
        <v>45.275842885714432</v>
      </c>
      <c r="L197" s="1">
        <f t="shared" si="80"/>
        <v>-172.75876525564129</v>
      </c>
      <c r="M197" s="1">
        <f t="shared" si="74"/>
        <v>0.192</v>
      </c>
      <c r="N197" s="1">
        <f t="shared" si="75"/>
        <v>2.5000000000000001E-2</v>
      </c>
      <c r="O197" s="1" t="str">
        <f t="shared" si="76"/>
        <v>2.35142722688912-1.17520753049067i</v>
      </c>
      <c r="P197" s="1">
        <f t="shared" si="81"/>
        <v>8.3949833134878187</v>
      </c>
      <c r="Q197" s="1">
        <f t="shared" si="82"/>
        <v>-26.555185198416172</v>
      </c>
      <c r="R197" s="1" t="str">
        <f t="shared" si="83"/>
        <v>0.0335615442457501-1.85685360779512i</v>
      </c>
      <c r="S197" s="1">
        <f t="shared" si="84"/>
        <v>5.3769718573241141</v>
      </c>
      <c r="T197" s="1">
        <f t="shared" si="85"/>
        <v>-88.96452500374167</v>
      </c>
      <c r="U197" s="1" t="str">
        <f>IMPRODUCT(COMPLEX(-1,0),IMDIV(COMPLEX(1,C197*Calculations!$B$195*Calculations!$B$197),IMPRODUCT(COMPLEX(0,C197*Calculations!$B$184),COMPLEX((Calculations!$B$197+Calculations!$B$199),C197*Calculations!$B$195*Calculations!$B$197*Calculations!$B$199))))</f>
        <v>-1.42666846385888+0.131611226235503i</v>
      </c>
      <c r="V197" s="1">
        <f t="shared" si="86"/>
        <v>3.1232641759928441</v>
      </c>
      <c r="W197" s="1">
        <f t="shared" si="87"/>
        <v>174.72933942957258</v>
      </c>
      <c r="X197" s="1" t="str">
        <f t="shared" si="88"/>
        <v>0.196501583487917+2.65353156023642i</v>
      </c>
      <c r="Y197" s="1">
        <f t="shared" si="89"/>
        <v>8.5002360333169484</v>
      </c>
      <c r="Z197" s="1">
        <f t="shared" si="90"/>
        <v>85.764814425830934</v>
      </c>
    </row>
    <row r="198" spans="2:26" x14ac:dyDescent="0.15">
      <c r="B198" s="1">
        <v>3000</v>
      </c>
      <c r="C198" s="1">
        <f t="shared" si="68"/>
        <v>18849.555921538758</v>
      </c>
      <c r="D198" s="83" t="str">
        <f t="shared" si="69"/>
        <v>0.00549720005413601-0.0830426448736991i</v>
      </c>
      <c r="E198" s="1">
        <f t="shared" si="70"/>
        <v>-21.594986969402473</v>
      </c>
      <c r="F198" s="1">
        <f t="shared" si="71"/>
        <v>-86.21269892286675</v>
      </c>
      <c r="G198" s="1" t="str">
        <f t="shared" si="72"/>
        <v>15.8542989132541-1520.64486156573i</v>
      </c>
      <c r="H198" s="1">
        <f t="shared" si="77"/>
        <v>63.641028037226341</v>
      </c>
      <c r="I198" s="1">
        <f t="shared" si="78"/>
        <v>-89.40265375203613</v>
      </c>
      <c r="J198" s="83" t="str">
        <f t="shared" si="73"/>
        <v>-46.9946435376208+0.150940136396102i</v>
      </c>
      <c r="K198" s="1">
        <f t="shared" si="79"/>
        <v>33.441011996779089</v>
      </c>
      <c r="L198" s="1">
        <f t="shared" si="80"/>
        <v>179.8159747072153</v>
      </c>
      <c r="M198" s="1">
        <f t="shared" si="74"/>
        <v>0.192</v>
      </c>
      <c r="N198" s="1">
        <f t="shared" si="75"/>
        <v>2.5000000000000001E-2</v>
      </c>
      <c r="O198" s="1" t="str">
        <f t="shared" si="76"/>
        <v>2.35011851349199-0.824798712042382i</v>
      </c>
      <c r="P198" s="1">
        <f t="shared" si="81"/>
        <v>7.9262628123906067</v>
      </c>
      <c r="Q198" s="1">
        <f t="shared" si="82"/>
        <v>-19.339057113811879</v>
      </c>
      <c r="R198" s="1" t="str">
        <f t="shared" si="83"/>
        <v>-0.0836426608660764-1.25380255860532i</v>
      </c>
      <c r="S198" s="1">
        <f t="shared" si="84"/>
        <v>1.9838679216671458</v>
      </c>
      <c r="T198" s="1">
        <f t="shared" si="85"/>
        <v>-93.816614545385562</v>
      </c>
      <c r="U198" s="1" t="str">
        <f>IMPRODUCT(COMPLEX(-1,0),IMDIV(COMPLEX(1,C198*Calculations!$B$195*Calculations!$B$197),IMPRODUCT(COMPLEX(0,C198*Calculations!$B$184),COMPLEX((Calculations!$B$197+Calculations!$B$199),C198*Calculations!$B$195*Calculations!$B$197*Calculations!$B$199))))</f>
        <v>-1.42656722538602+0.0966979775043371i</v>
      </c>
      <c r="V198" s="1">
        <f t="shared" si="86"/>
        <v>3.1057533544050169</v>
      </c>
      <c r="W198" s="1">
        <f t="shared" si="87"/>
        <v>176.1222129043276</v>
      </c>
      <c r="X198" s="1" t="str">
        <f t="shared" si="88"/>
        <v>0.24056205024252+1.78054556107265i</v>
      </c>
      <c r="Y198" s="1">
        <f t="shared" si="89"/>
        <v>5.0896212760721449</v>
      </c>
      <c r="Z198" s="1">
        <f t="shared" si="90"/>
        <v>82.305598358942021</v>
      </c>
    </row>
    <row r="199" spans="2:26" x14ac:dyDescent="0.15">
      <c r="B199" s="1">
        <v>4000</v>
      </c>
      <c r="C199" s="1">
        <f t="shared" si="68"/>
        <v>25132.741228718343</v>
      </c>
      <c r="D199" s="83" t="str">
        <f t="shared" si="69"/>
        <v>0.00449111912636145-0.0623028879403762i</v>
      </c>
      <c r="E199" s="1">
        <f t="shared" si="70"/>
        <v>-24.087327698556933</v>
      </c>
      <c r="F199" s="1">
        <f t="shared" si="71"/>
        <v>-85.87695116674287</v>
      </c>
      <c r="G199" s="1" t="str">
        <f t="shared" si="72"/>
        <v>1.33292612499017-990.90914200083i</v>
      </c>
      <c r="H199" s="1">
        <f t="shared" si="77"/>
        <v>59.920684561792967</v>
      </c>
      <c r="I199" s="1">
        <f t="shared" si="78"/>
        <v>-89.92292835733906</v>
      </c>
      <c r="J199" s="83" t="str">
        <f t="shared" si="73"/>
        <v>-23.0700740468377+1.1236851466933i</v>
      </c>
      <c r="K199" s="1">
        <f t="shared" si="79"/>
        <v>27.271270849239606</v>
      </c>
      <c r="L199" s="1">
        <f t="shared" si="80"/>
        <v>177.21147081646231</v>
      </c>
      <c r="M199" s="1">
        <f t="shared" si="74"/>
        <v>0.192</v>
      </c>
      <c r="N199" s="1">
        <f t="shared" si="75"/>
        <v>2.5000000000000001E-2</v>
      </c>
      <c r="O199" s="1" t="str">
        <f t="shared" si="76"/>
        <v>2.34828876018476-0.661934492883731i</v>
      </c>
      <c r="P199" s="1">
        <f t="shared" si="81"/>
        <v>7.7470796760693004</v>
      </c>
      <c r="Q199" s="1">
        <f t="shared" si="82"/>
        <v>-15.74205686700852</v>
      </c>
      <c r="R199" s="1" t="str">
        <f t="shared" si="83"/>
        <v>-0.127789818330696-0.942533910209912i</v>
      </c>
      <c r="S199" s="1">
        <f t="shared" si="84"/>
        <v>-0.43495213074928107</v>
      </c>
      <c r="T199" s="1">
        <f t="shared" si="85"/>
        <v>-97.721145921328201</v>
      </c>
      <c r="U199" s="1" t="str">
        <f>IMPRODUCT(COMPLEX(-1,0),IMDIV(COMPLEX(1,C199*Calculations!$B$195*Calculations!$B$197),IMPRODUCT(COMPLEX(0,C199*Calculations!$B$184),COMPLEX((Calculations!$B$197+Calculations!$B$199),C199*Calculations!$B$195*Calculations!$B$197*Calculations!$B$199))))</f>
        <v>-1.42642551565999+0.0819268995569915i</v>
      </c>
      <c r="V199" s="1">
        <f t="shared" si="86"/>
        <v>3.0992848669216451</v>
      </c>
      <c r="W199" s="1">
        <f t="shared" si="87"/>
        <v>176.71282227287702</v>
      </c>
      <c r="X199" s="1" t="str">
        <f t="shared" si="88"/>
        <v>0.259501538499285+1.33398499528742i</v>
      </c>
      <c r="Y199" s="1">
        <f t="shared" si="89"/>
        <v>2.6643327361723927</v>
      </c>
      <c r="Z199" s="1">
        <f t="shared" si="90"/>
        <v>78.991676351548875</v>
      </c>
    </row>
    <row r="200" spans="2:26" x14ac:dyDescent="0.15">
      <c r="B200" s="1">
        <v>5000</v>
      </c>
      <c r="C200" s="1">
        <f t="shared" si="68"/>
        <v>31415.926535897932</v>
      </c>
      <c r="D200" s="83" t="str">
        <f t="shared" si="69"/>
        <v>0.0040252187058199-0.0498500547115876i</v>
      </c>
      <c r="E200" s="1">
        <f t="shared" si="70"/>
        <v>-26.018463118885347</v>
      </c>
      <c r="F200" s="1">
        <f t="shared" si="71"/>
        <v>-85.383580523499589</v>
      </c>
      <c r="G200" s="1" t="str">
        <f t="shared" si="72"/>
        <v>-0.665764875986267-747.246442233514i</v>
      </c>
      <c r="H200" s="1">
        <f t="shared" si="77"/>
        <v>57.46928056678928</v>
      </c>
      <c r="I200" s="1">
        <f t="shared" si="78"/>
        <v>-90.051048095103241</v>
      </c>
      <c r="J200" s="83" t="str">
        <f t="shared" si="73"/>
        <v>-13.9814431516834+1.14102105390949i</v>
      </c>
      <c r="K200" s="1">
        <f t="shared" si="79"/>
        <v>22.939868746078538</v>
      </c>
      <c r="L200" s="1">
        <f t="shared" si="80"/>
        <v>175.33444937103047</v>
      </c>
      <c r="M200" s="1">
        <f t="shared" si="74"/>
        <v>0.192</v>
      </c>
      <c r="N200" s="1">
        <f t="shared" si="75"/>
        <v>2.5000000000000001E-2</v>
      </c>
      <c r="O200" s="1" t="str">
        <f t="shared" si="76"/>
        <v>2.34594040263409-0.574041964822917i</v>
      </c>
      <c r="P200" s="1">
        <f t="shared" si="81"/>
        <v>7.6588903918730971</v>
      </c>
      <c r="Q200" s="1">
        <f t="shared" si="82"/>
        <v>-13.749861747398201</v>
      </c>
      <c r="R200" s="1" t="str">
        <f t="shared" si="83"/>
        <v>-0.148872295578032-0.752511564044523i</v>
      </c>
      <c r="S200" s="1">
        <f t="shared" si="84"/>
        <v>-2.3030031190966236</v>
      </c>
      <c r="T200" s="1">
        <f t="shared" si="85"/>
        <v>-101.19054778614594</v>
      </c>
      <c r="U200" s="1" t="str">
        <f>IMPRODUCT(COMPLEX(-1,0),IMDIV(COMPLEX(1,C200*Calculations!$B$195*Calculations!$B$197),IMPRODUCT(COMPLEX(0,C200*Calculations!$B$184),COMPLEX((Calculations!$B$197+Calculations!$B$199),C200*Calculations!$B$195*Calculations!$B$197*Calculations!$B$199))))</f>
        <v>-1.42624335880436+0.0752114093088821i</v>
      </c>
      <c r="V200" s="1">
        <f t="shared" si="86"/>
        <v>3.0959330929542928</v>
      </c>
      <c r="W200" s="1">
        <f t="shared" si="87"/>
        <v>176.98136476957416</v>
      </c>
      <c r="X200" s="1" t="str">
        <f t="shared" si="88"/>
        <v>0.268925578131147+1.06206772548451i</v>
      </c>
      <c r="Y200" s="1">
        <f t="shared" si="89"/>
        <v>0.79292997385766162</v>
      </c>
      <c r="Z200" s="1">
        <f t="shared" si="90"/>
        <v>75.790816983428243</v>
      </c>
    </row>
    <row r="201" spans="2:26" x14ac:dyDescent="0.15">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0.00377207630692995-0.0415452187773606i</v>
      </c>
      <c r="E201" s="1">
        <f t="shared" ref="E201:E228" si="93">20*LOG(IMABS(D201))</f>
        <v>-27.593924096892142</v>
      </c>
      <c r="F201" s="1">
        <f t="shared" ref="F201:F223" si="94">IMARGUMENT(D201)*(180/PI())</f>
        <v>-84.812084367811778</v>
      </c>
      <c r="G201" s="1" t="str">
        <f t="shared" ref="G201:G228" si="95">IMDIV(IMSUM(COMPLEX(V48_Nom,0),IMPRODUCT(COMPLEX(np*(I_Channel_Design*(V12_Min/V48_Nom)),0),D201)),IMSUM(IMPRODUCT(COMPLEX(((V12_Min/V48_Nom)^2),0),D201),COMPLEX(Rcs/np,(Lm*C201)/np)))</f>
        <v>-0.940347306527165-603.86630443061i</v>
      </c>
      <c r="H201" s="1">
        <f t="shared" si="77"/>
        <v>55.61882646671905</v>
      </c>
      <c r="I201" s="1">
        <f t="shared" si="78"/>
        <v>-90.089221551187094</v>
      </c>
      <c r="J201" s="83" t="str">
        <f t="shared" ref="J201:J228" si="96">IMPRODUCT(COMPLEX(-1,0),IMDIV(IMSUM(IMSUB(IMPRODUCT(COMPLEX((1-(V12_Min/V48_Nom))*V48_Nom,0),D201),IMPRODUCT(COMPLEX(V48_Nom,0),D201)),IMPRODUCT(COMPLEX(0,I_Channel_Design*Lm*C201),D201)),IMSUM(IMPRODUCT(COMPLEX(((V12_Min/V48_Nom)^2),0),D201),COMPLEX(Rcs/np,(Lm*C201)/np))))</f>
        <v>-9.46478707646337+1.04003081923164i</v>
      </c>
      <c r="K201" s="1">
        <f t="shared" si="79"/>
        <v>19.574341979893916</v>
      </c>
      <c r="L201" s="1">
        <f t="shared" si="80"/>
        <v>173.72925554816624</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2.3430765585053-0.523586056930106i</v>
      </c>
      <c r="P201" s="1">
        <f t="shared" si="81"/>
        <v>7.6073528279124343</v>
      </c>
      <c r="Q201" s="1">
        <f t="shared" si="82"/>
        <v>-12.596422545534917</v>
      </c>
      <c r="R201" s="1" t="str">
        <f t="shared" si="83"/>
        <v>-0.160493327676223-0.624251103197084i</v>
      </c>
      <c r="S201" s="1">
        <f t="shared" si="84"/>
        <v>-3.8148379984886764</v>
      </c>
      <c r="T201" s="1">
        <f t="shared" si="85"/>
        <v>-104.41832945290392</v>
      </c>
      <c r="U201" s="1" t="str">
        <f>IMPRODUCT(COMPLEX(-1,0),IMDIV(COMPLEX(1,C201*Calculations!$B$195*Calculations!$B$197),IMPRODUCT(COMPLEX(0,C201*Calculations!$B$184),COMPLEX((Calculations!$B$197+Calculations!$B$199),C201*Calculations!$B$195*Calculations!$B$197*Calculations!$B$199))))</f>
        <v>-1.42602078581762+0.0725223416023077i</v>
      </c>
      <c r="V201" s="1">
        <f t="shared" si="86"/>
        <v>3.0937351119217587</v>
      </c>
      <c r="W201" s="1">
        <f t="shared" si="87"/>
        <v>177.08864880632774</v>
      </c>
      <c r="X201" s="1" t="str">
        <f t="shared" si="88"/>
        <v>0.274138973003009+0.878555696793996i</v>
      </c>
      <c r="Y201" s="1">
        <f t="shared" si="89"/>
        <v>-0.72110288656691446</v>
      </c>
      <c r="Z201" s="1">
        <f t="shared" si="90"/>
        <v>72.670319353423807</v>
      </c>
    </row>
    <row r="202" spans="2:26" x14ac:dyDescent="0.15">
      <c r="B202" s="1">
        <v>7000</v>
      </c>
      <c r="C202" s="1">
        <f t="shared" si="91"/>
        <v>43982.297150257102</v>
      </c>
      <c r="D202" s="83" t="str">
        <f t="shared" si="92"/>
        <v>0.00361941877076587-0.0356120000426019i</v>
      </c>
      <c r="E202" s="1">
        <f t="shared" si="93"/>
        <v>-28.923441780306188</v>
      </c>
      <c r="F202" s="1">
        <f t="shared" si="94"/>
        <v>-84.196681780980754</v>
      </c>
      <c r="G202" s="1" t="str">
        <f t="shared" si="95"/>
        <v>-0.882445392424041-508.322076761702i</v>
      </c>
      <c r="H202" s="1">
        <f t="shared" si="77"/>
        <v>54.122792524382966</v>
      </c>
      <c r="I202" s="1">
        <f t="shared" si="78"/>
        <v>-90.099465177998624</v>
      </c>
      <c r="J202" s="83" t="str">
        <f t="shared" si="96"/>
        <v>-6.87005788180542+0.932521156124189i</v>
      </c>
      <c r="K202" s="1">
        <f t="shared" si="79"/>
        <v>16.818496466905696</v>
      </c>
      <c r="L202" s="1">
        <f t="shared" si="80"/>
        <v>172.27008421590921</v>
      </c>
      <c r="M202" s="1">
        <f t="shared" si="97"/>
        <v>0.192</v>
      </c>
      <c r="N202" s="1">
        <f t="shared" si="98"/>
        <v>2.5000000000000001E-2</v>
      </c>
      <c r="O202" s="1" t="str">
        <f t="shared" si="99"/>
        <v>2.33970101715129-0.494471219894314i</v>
      </c>
      <c r="P202" s="1">
        <f t="shared" si="81"/>
        <v>7.5729751454215375</v>
      </c>
      <c r="Q202" s="1">
        <f t="shared" si="82"/>
        <v>-11.93326481671301</v>
      </c>
      <c r="R202" s="1" t="str">
        <f t="shared" si="83"/>
        <v>-0.167541047443874-0.531644323956727i</v>
      </c>
      <c r="S202" s="1">
        <f t="shared" si="84"/>
        <v>-5.0763681623254495</v>
      </c>
      <c r="T202" s="1">
        <f t="shared" si="85"/>
        <v>-107.4915925238685</v>
      </c>
      <c r="U202" s="1" t="str">
        <f>IMPRODUCT(COMPLEX(-1,0),IMDIV(COMPLEX(1,C202*Calculations!$B$195*Calculations!$B$197),IMPRODUCT(COMPLEX(0,C202*Calculations!$B$184),COMPLEX((Calculations!$B$197+Calculations!$B$199),C202*Calculations!$B$195*Calculations!$B$197*Calculations!$B$199))))</f>
        <v>-1.42575783455991+0.0721326511870832i</v>
      </c>
      <c r="V202" s="1">
        <f t="shared" si="86"/>
        <v>3.0920173375796418</v>
      </c>
      <c r="W202" s="1">
        <f t="shared" si="87"/>
        <v>177.10373276934874</v>
      </c>
      <c r="X202" s="1" t="str">
        <f t="shared" si="88"/>
        <v>0.27722187557904+0.745910880145823i</v>
      </c>
      <c r="Y202" s="1">
        <f t="shared" si="89"/>
        <v>-1.9843508247458082</v>
      </c>
      <c r="Z202" s="1">
        <f t="shared" si="90"/>
        <v>69.612140245480262</v>
      </c>
    </row>
    <row r="203" spans="2:26" x14ac:dyDescent="0.15">
      <c r="B203" s="1">
        <v>8000</v>
      </c>
      <c r="C203" s="1">
        <f t="shared" si="91"/>
        <v>50265.482457436687</v>
      </c>
      <c r="D203" s="83" t="str">
        <f t="shared" si="92"/>
        <v>0.00352032984182169-0.0311615294689873i</v>
      </c>
      <c r="E203" s="1">
        <f t="shared" si="93"/>
        <v>-30.072549395592599</v>
      </c>
      <c r="F203" s="1">
        <f t="shared" si="94"/>
        <v>-83.554600676817884</v>
      </c>
      <c r="G203" s="1" t="str">
        <f t="shared" si="95"/>
        <v>-0.765142042534567-439.665388421911i</v>
      </c>
      <c r="H203" s="1">
        <f t="shared" si="77"/>
        <v>52.862458716925566</v>
      </c>
      <c r="I203" s="1">
        <f t="shared" si="78"/>
        <v>-90.099710749726228</v>
      </c>
      <c r="J203" s="83" t="str">
        <f t="shared" si="96"/>
        <v>-5.23480198385759+0.83766815421244i</v>
      </c>
      <c r="K203" s="1">
        <f t="shared" si="79"/>
        <v>14.48781113297801</v>
      </c>
      <c r="L203" s="1">
        <f t="shared" si="80"/>
        <v>170.90865762763795</v>
      </c>
      <c r="M203" s="1">
        <f t="shared" si="97"/>
        <v>0.192</v>
      </c>
      <c r="N203" s="1">
        <f t="shared" si="98"/>
        <v>2.5000000000000001E-2</v>
      </c>
      <c r="O203" s="1" t="str">
        <f t="shared" si="99"/>
        <v>2.3358182271408-0.478641872702017i</v>
      </c>
      <c r="P203" s="1">
        <f t="shared" si="81"/>
        <v>7.5474153308262748</v>
      </c>
      <c r="Q203" s="1">
        <f t="shared" si="82"/>
        <v>-11.580397820536183</v>
      </c>
      <c r="R203" s="1" t="str">
        <f t="shared" si="83"/>
        <v>-0.172111277097988-0.461454371609762i</v>
      </c>
      <c r="S203" s="1">
        <f t="shared" si="84"/>
        <v>-6.1517646742763397</v>
      </c>
      <c r="T203" s="1">
        <f t="shared" si="85"/>
        <v>-110.45429421130763</v>
      </c>
      <c r="U203" s="1" t="str">
        <f>IMPRODUCT(COMPLEX(-1,0),IMDIV(COMPLEX(1,C203*Calculations!$B$195*Calculations!$B$197),IMPRODUCT(COMPLEX(0,C203*Calculations!$B$184),COMPLEX((Calculations!$B$197+Calculations!$B$199),C203*Calculations!$B$195*Calculations!$B$197*Calculations!$B$199))))</f>
        <v>-1.42545454973697+0.0731785883121814i</v>
      </c>
      <c r="V203" s="1">
        <f t="shared" si="86"/>
        <v>3.090498219592714</v>
      </c>
      <c r="W203" s="1">
        <f t="shared" si="87"/>
        <v>177.06118536449665</v>
      </c>
      <c r="X203" s="1" t="str">
        <f t="shared" si="88"/>
        <v>0.279105382485255+0.645187373216512i</v>
      </c>
      <c r="Y203" s="1">
        <f t="shared" si="89"/>
        <v>-3.0612664546836248</v>
      </c>
      <c r="Z203" s="1">
        <f t="shared" si="90"/>
        <v>66.606891153188968</v>
      </c>
    </row>
    <row r="204" spans="2:26" x14ac:dyDescent="0.15">
      <c r="B204" s="1">
        <v>9000</v>
      </c>
      <c r="C204" s="1">
        <f t="shared" si="91"/>
        <v>56548.667764616279</v>
      </c>
      <c r="D204" s="83" t="str">
        <f t="shared" si="92"/>
        <v>0.003452391015233-0.0276997646962505i</v>
      </c>
      <c r="E204" s="1">
        <f t="shared" si="93"/>
        <v>-31.083533034365807</v>
      </c>
      <c r="F204" s="1">
        <f t="shared" si="94"/>
        <v>-82.895512976795217</v>
      </c>
      <c r="G204" s="1" t="str">
        <f t="shared" si="95"/>
        <v>-0.651121504293221-387.755024146784i</v>
      </c>
      <c r="H204" s="1">
        <f t="shared" si="77"/>
        <v>51.771160919586634</v>
      </c>
      <c r="I204" s="1">
        <f t="shared" si="78"/>
        <v>-90.096211465379341</v>
      </c>
      <c r="J204" s="83" t="str">
        <f t="shared" si="96"/>
        <v>-4.13507971883756+0.757212329399312i</v>
      </c>
      <c r="K204" s="1">
        <f t="shared" si="79"/>
        <v>12.472919644279131</v>
      </c>
      <c r="L204" s="1">
        <f t="shared" si="80"/>
        <v>169.62301476223217</v>
      </c>
      <c r="M204" s="1">
        <f t="shared" si="97"/>
        <v>0.192</v>
      </c>
      <c r="N204" s="1">
        <f t="shared" si="98"/>
        <v>2.5000000000000001E-2</v>
      </c>
      <c r="O204" s="1" t="str">
        <f t="shared" si="99"/>
        <v>2.33143328170177-0.471615906807136i</v>
      </c>
      <c r="P204" s="1">
        <f t="shared" si="81"/>
        <v>7.5266315117854399</v>
      </c>
      <c r="Q204" s="1">
        <f t="shared" si="82"/>
        <v>-11.43580787541042</v>
      </c>
      <c r="R204" s="1" t="str">
        <f t="shared" si="83"/>
        <v>-0.175220454654121-0.406262303928809i</v>
      </c>
      <c r="S204" s="1">
        <f t="shared" si="84"/>
        <v>-7.082954175740217</v>
      </c>
      <c r="T204" s="1">
        <f t="shared" si="85"/>
        <v>-113.33047985244907</v>
      </c>
      <c r="U204" s="1" t="str">
        <f>IMPRODUCT(COMPLEX(-1,0),IMDIV(COMPLEX(1,C204*Calculations!$B$195*Calculations!$B$197),IMPRODUCT(COMPLEX(0,C204*Calculations!$B$184),COMPLEX((Calculations!$B$197+Calculations!$B$199),C204*Calculations!$B$195*Calculations!$B$197*Calculations!$B$199))))</f>
        <v>-1.42511098288115+0.0751800906750007i</v>
      </c>
      <c r="V204" s="1">
        <f t="shared" si="86"/>
        <v>3.0890432339006697</v>
      </c>
      <c r="W204" s="1">
        <f t="shared" si="87"/>
        <v>176.98022629194458</v>
      </c>
      <c r="X204" s="1" t="str">
        <f t="shared" si="88"/>
        <v>0.280251431200219+0.565795781590534i</v>
      </c>
      <c r="Y204" s="1">
        <f t="shared" si="89"/>
        <v>-3.9939109418395429</v>
      </c>
      <c r="Z204" s="1">
        <f t="shared" si="90"/>
        <v>63.649746439495509</v>
      </c>
    </row>
    <row r="205" spans="2:26" x14ac:dyDescent="0.15">
      <c r="B205" s="1">
        <v>10000</v>
      </c>
      <c r="C205" s="1">
        <f t="shared" si="91"/>
        <v>62831.853071795864</v>
      </c>
      <c r="D205" s="83" t="str">
        <f t="shared" si="92"/>
        <v>0.0034037928841359-0.024930192134168i</v>
      </c>
      <c r="E205" s="1">
        <f t="shared" si="93"/>
        <v>-31.985274903946312</v>
      </c>
      <c r="F205" s="1">
        <f t="shared" si="94"/>
        <v>-82.225309868061061</v>
      </c>
      <c r="G205" s="1" t="str">
        <f t="shared" si="95"/>
        <v>-0.553636891136597-347.036499045383i</v>
      </c>
      <c r="H205" s="1">
        <f t="shared" si="77"/>
        <v>50.807514122412456</v>
      </c>
      <c r="I205" s="1">
        <f t="shared" si="78"/>
        <v>-90.091405458565305</v>
      </c>
      <c r="J205" s="83" t="str">
        <f t="shared" si="96"/>
        <v>-3.35887705306276+0.689349583215523i</v>
      </c>
      <c r="K205" s="1">
        <f t="shared" si="79"/>
        <v>10.70306044921794</v>
      </c>
      <c r="L205" s="1">
        <f t="shared" si="80"/>
        <v>168.40210918945891</v>
      </c>
      <c r="M205" s="1">
        <f t="shared" si="97"/>
        <v>0.192</v>
      </c>
      <c r="N205" s="1">
        <f t="shared" si="98"/>
        <v>2.5000000000000001E-2</v>
      </c>
      <c r="O205" s="1" t="str">
        <f t="shared" si="99"/>
        <v>2.32655190216842-0.470698106712192i</v>
      </c>
      <c r="P205" s="1">
        <f t="shared" si="81"/>
        <v>7.5084771092898706</v>
      </c>
      <c r="Q205" s="1">
        <f t="shared" si="82"/>
        <v>-11.437455317887316</v>
      </c>
      <c r="R205" s="1" t="str">
        <f t="shared" si="83"/>
        <v>-0.17740832530588-0.361590092957805i</v>
      </c>
      <c r="S205" s="1">
        <f t="shared" si="84"/>
        <v>-7.8989263336620148</v>
      </c>
      <c r="T205" s="1">
        <f t="shared" si="85"/>
        <v>-116.13413035488472</v>
      </c>
      <c r="U205" s="1" t="str">
        <f>IMPRODUCT(COMPLEX(-1,0),IMDIV(COMPLEX(1,C205*Calculations!$B$195*Calculations!$B$197),IMPRODUCT(COMPLEX(0,C205*Calculations!$B$184),COMPLEX((Calculations!$B$197+Calculations!$B$199),C205*Calculations!$B$195*Calculations!$B$197*Calculations!$B$199))))</f>
        <v>-1.42472719232951+0.0778489402775178i</v>
      </c>
      <c r="V205" s="1">
        <f t="shared" si="86"/>
        <v>3.087581553262011</v>
      </c>
      <c r="W205" s="1">
        <f t="shared" si="87"/>
        <v>176.87239454321846</v>
      </c>
      <c r="X205" s="1" t="str">
        <f t="shared" si="88"/>
        <v>0.280907870760541+0.501356187792468i</v>
      </c>
      <c r="Y205" s="1">
        <f t="shared" si="89"/>
        <v>-4.811344780400006</v>
      </c>
      <c r="Z205" s="1">
        <f t="shared" si="90"/>
        <v>60.73826418833373</v>
      </c>
    </row>
    <row r="206" spans="2:26" x14ac:dyDescent="0.15">
      <c r="B206" s="1">
        <v>20000</v>
      </c>
      <c r="C206" s="1">
        <f t="shared" si="91"/>
        <v>125663.70614359173</v>
      </c>
      <c r="D206" s="83" t="str">
        <f t="shared" si="92"/>
        <v>0.00324839618687195-0.0124657418316093i</v>
      </c>
      <c r="E206" s="1">
        <f t="shared" si="93"/>
        <v>-37.800311251302134</v>
      </c>
      <c r="F206" s="1">
        <f t="shared" si="94"/>
        <v>-75.394345888916277</v>
      </c>
      <c r="G206" s="1" t="str">
        <f t="shared" si="95"/>
        <v>-0.158372753586293-170.482624310038i</v>
      </c>
      <c r="H206" s="1">
        <f t="shared" si="77"/>
        <v>44.633606188541243</v>
      </c>
      <c r="I206" s="1">
        <f t="shared" si="78"/>
        <v>-90.053225880331397</v>
      </c>
      <c r="J206" s="83" t="str">
        <f t="shared" si="96"/>
        <v>-0.933643848270875+0.356532650493468i</v>
      </c>
      <c r="K206" s="1">
        <f t="shared" si="79"/>
        <v>-5.186981665968861E-3</v>
      </c>
      <c r="L206" s="1">
        <f t="shared" si="80"/>
        <v>159.09953225461709</v>
      </c>
      <c r="M206" s="1">
        <f t="shared" si="97"/>
        <v>0.192</v>
      </c>
      <c r="N206" s="1">
        <f t="shared" si="98"/>
        <v>2.5000000000000001E-2</v>
      </c>
      <c r="O206" s="1" t="str">
        <f t="shared" si="99"/>
        <v>2.25210014761941-0.588008718782821i</v>
      </c>
      <c r="P206" s="1">
        <f t="shared" si="81"/>
        <v>7.3381570049155531</v>
      </c>
      <c r="Q206" s="1">
        <f t="shared" si="82"/>
        <v>-14.632886541382131</v>
      </c>
      <c r="R206" s="1" t="str">
        <f t="shared" si="83"/>
        <v>-0.181916577737537-0.146209091302367i</v>
      </c>
      <c r="S206" s="1">
        <f t="shared" si="84"/>
        <v>-12.638367275852184</v>
      </c>
      <c r="T206" s="1">
        <f t="shared" si="85"/>
        <v>-141.21063610175645</v>
      </c>
      <c r="U206" s="1" t="str">
        <f>IMPRODUCT(COMPLEX(-1,0),IMDIV(COMPLEX(1,C206*Calculations!$B$195*Calculations!$B$197),IMPRODUCT(COMPLEX(0,C206*Calculations!$B$184),COMPLEX((Calculations!$B$197+Calculations!$B$199),C206*Calculations!$B$195*Calculations!$B$197*Calculations!$B$199))))</f>
        <v>-1.41869462512314+0.118984947509023i</v>
      </c>
      <c r="V206" s="1">
        <f t="shared" si="86"/>
        <v>3.0682200720272212</v>
      </c>
      <c r="W206" s="1">
        <f t="shared" si="87"/>
        <v>175.20586192270937</v>
      </c>
      <c r="X206" s="1" t="str">
        <f t="shared" si="88"/>
        <v>0.275480752110994+0.185780717521685i</v>
      </c>
      <c r="Y206" s="1">
        <f t="shared" si="89"/>
        <v>-9.5701472038249484</v>
      </c>
      <c r="Z206" s="1">
        <f t="shared" si="90"/>
        <v>33.995225820952975</v>
      </c>
    </row>
    <row r="207" spans="2:26" x14ac:dyDescent="0.15">
      <c r="B207" s="1">
        <v>30000</v>
      </c>
      <c r="C207" s="1">
        <f t="shared" si="91"/>
        <v>188495.55921538759</v>
      </c>
      <c r="D207" s="83" t="str">
        <f t="shared" si="92"/>
        <v>0.00321961725379166-0.00831057428331671i</v>
      </c>
      <c r="E207" s="1">
        <f t="shared" si="93"/>
        <v>-41.000067976874945</v>
      </c>
      <c r="F207" s="1">
        <f t="shared" si="94"/>
        <v>-68.823028115174566</v>
      </c>
      <c r="G207" s="1" t="str">
        <f t="shared" si="95"/>
        <v>-0.0719594569253653-113.287987628183i</v>
      </c>
      <c r="H207" s="1">
        <f t="shared" si="77"/>
        <v>41.083678999216673</v>
      </c>
      <c r="I207" s="1">
        <f t="shared" si="78"/>
        <v>-90.036393731671836</v>
      </c>
      <c r="J207" s="83" t="str">
        <f t="shared" si="96"/>
        <v>-0.493742010627765+0.239076987560407i</v>
      </c>
      <c r="K207" s="1">
        <f t="shared" si="79"/>
        <v>-5.2152155674152372</v>
      </c>
      <c r="L207" s="1">
        <f t="shared" si="80"/>
        <v>154.16306634831258</v>
      </c>
      <c r="M207" s="1">
        <f t="shared" si="97"/>
        <v>0.192</v>
      </c>
      <c r="N207" s="1">
        <f t="shared" si="98"/>
        <v>2.5000000000000001E-2</v>
      </c>
      <c r="O207" s="1" t="str">
        <f t="shared" si="99"/>
        <v>2.13806671599859-0.752104707763627i</v>
      </c>
      <c r="P207" s="1">
        <f t="shared" si="81"/>
        <v>7.1070878569297413</v>
      </c>
      <c r="Q207" s="1">
        <f t="shared" si="82"/>
        <v>-19.380270399327014</v>
      </c>
      <c r="R207" s="1" t="str">
        <f t="shared" si="83"/>
        <v>-0.174290796275164-0.0561616312833797i</v>
      </c>
      <c r="S207" s="1">
        <f t="shared" si="84"/>
        <v>-14.745481776431951</v>
      </c>
      <c r="T207" s="1">
        <f t="shared" si="85"/>
        <v>-162.13952961219405</v>
      </c>
      <c r="U207" s="1" t="str">
        <f>IMPRODUCT(COMPLEX(-1,0),IMDIV(COMPLEX(1,C207*Calculations!$B$195*Calculations!$B$197),IMPRODUCT(COMPLEX(0,C207*Calculations!$B$184),COMPLEX((Calculations!$B$197+Calculations!$B$199),C207*Calculations!$B$195*Calculations!$B$197*Calculations!$B$199))))</f>
        <v>-1.40875307555117+0.167282003956561i</v>
      </c>
      <c r="V207" s="1">
        <f t="shared" si="86"/>
        <v>3.0375067027837801</v>
      </c>
      <c r="W207" s="1">
        <f t="shared" si="87"/>
        <v>173.22813776950659</v>
      </c>
      <c r="X207" s="1" t="str">
        <f t="shared" si="88"/>
        <v>0.254927525519453+0.0499621571263378i</v>
      </c>
      <c r="Y207" s="1">
        <f t="shared" si="89"/>
        <v>-11.70797507364817</v>
      </c>
      <c r="Z207" s="1">
        <f t="shared" si="90"/>
        <v>11.088608157312487</v>
      </c>
    </row>
    <row r="208" spans="2:26" x14ac:dyDescent="0.15">
      <c r="B208" s="1">
        <v>40000</v>
      </c>
      <c r="C208" s="1">
        <f t="shared" si="91"/>
        <v>251327.41228718346</v>
      </c>
      <c r="D208" s="83" t="str">
        <f t="shared" si="92"/>
        <v>0.00320954449675669-0.0062329516415976i</v>
      </c>
      <c r="E208" s="1">
        <f t="shared" si="93"/>
        <v>-43.084688607961901</v>
      </c>
      <c r="F208" s="1">
        <f t="shared" si="94"/>
        <v>-62.75462481510003</v>
      </c>
      <c r="G208" s="1" t="str">
        <f t="shared" si="95"/>
        <v>-0.0407837243849485-84.8700440201321i</v>
      </c>
      <c r="H208" s="1">
        <f t="shared" si="77"/>
        <v>38.575089551585087</v>
      </c>
      <c r="I208" s="1">
        <f t="shared" si="78"/>
        <v>-90.027533096361537</v>
      </c>
      <c r="J208" s="83" t="str">
        <f t="shared" si="96"/>
        <v>-0.340442155913612+0.179668206501179i</v>
      </c>
      <c r="K208" s="1">
        <f t="shared" si="79"/>
        <v>-8.2920593723310994</v>
      </c>
      <c r="L208" s="1">
        <f t="shared" si="80"/>
        <v>152.17716703645399</v>
      </c>
      <c r="M208" s="1">
        <f t="shared" si="97"/>
        <v>0.192</v>
      </c>
      <c r="N208" s="1">
        <f t="shared" si="98"/>
        <v>2.5000000000000001E-2</v>
      </c>
      <c r="O208" s="1" t="str">
        <f t="shared" si="99"/>
        <v>1.99653631279602-0.899275900874515i</v>
      </c>
      <c r="P208" s="1">
        <f t="shared" si="81"/>
        <v>6.8077542344564925</v>
      </c>
      <c r="Q208" s="1">
        <f t="shared" si="82"/>
        <v>-24.247658928661092</v>
      </c>
      <c r="R208" s="1" t="str">
        <f t="shared" si="83"/>
        <v>-0.157025393473988-0.0000527883010226818i</v>
      </c>
      <c r="S208" s="1">
        <f t="shared" si="84"/>
        <v>-16.080601702544389</v>
      </c>
      <c r="T208" s="1">
        <f t="shared" si="85"/>
        <v>-179.98073848646126</v>
      </c>
      <c r="U208" s="1" t="str">
        <f>IMPRODUCT(COMPLEX(-1,0),IMDIV(COMPLEX(1,C208*Calculations!$B$195*Calculations!$B$197),IMPRODUCT(COMPLEX(0,C208*Calculations!$B$184),COMPLEX((Calculations!$B$197+Calculations!$B$199),C208*Calculations!$B$195*Calculations!$B$197*Calculations!$B$199))))</f>
        <v>-1.39506670891791+0.21627997283595i</v>
      </c>
      <c r="V208" s="1">
        <f t="shared" si="86"/>
        <v>2.9950471623813293</v>
      </c>
      <c r="W208" s="1">
        <f t="shared" si="87"/>
        <v>171.1874769415069</v>
      </c>
      <c r="X208" s="1" t="str">
        <f t="shared" si="88"/>
        <v>0.219072315942608-0.0338878046337314i</v>
      </c>
      <c r="Y208" s="1">
        <f t="shared" si="89"/>
        <v>-13.085554540163038</v>
      </c>
      <c r="Z208" s="1">
        <f t="shared" si="90"/>
        <v>-8.7932615449543192</v>
      </c>
    </row>
    <row r="209" spans="1:26" x14ac:dyDescent="0.15">
      <c r="B209" s="1">
        <v>50000</v>
      </c>
      <c r="C209" s="1">
        <f t="shared" si="91"/>
        <v>314159.26535897929</v>
      </c>
      <c r="D209" s="83" t="str">
        <f t="shared" si="92"/>
        <v>0.00320488222631369-0.00498636906306662i</v>
      </c>
      <c r="E209" s="1">
        <f t="shared" si="93"/>
        <v>-44.542582310644633</v>
      </c>
      <c r="F209" s="1">
        <f t="shared" si="94"/>
        <v>-57.269983558882956</v>
      </c>
      <c r="G209" s="1" t="str">
        <f t="shared" si="95"/>
        <v>-0.0261920662085483-67.8605656366965i</v>
      </c>
      <c r="H209" s="1">
        <f t="shared" si="77"/>
        <v>36.632350152767671</v>
      </c>
      <c r="I209" s="1">
        <f t="shared" si="78"/>
        <v>-90.022114386490529</v>
      </c>
      <c r="J209" s="83" t="str">
        <f t="shared" si="96"/>
        <v>-0.269602537129841+0.143867479059901i</v>
      </c>
      <c r="K209" s="1">
        <f t="shared" si="79"/>
        <v>-10.297304129412201</v>
      </c>
      <c r="L209" s="1">
        <f t="shared" si="80"/>
        <v>151.91436763762749</v>
      </c>
      <c r="M209" s="1">
        <f t="shared" si="97"/>
        <v>0.192</v>
      </c>
      <c r="N209" s="1">
        <f t="shared" si="98"/>
        <v>2.5000000000000001E-2</v>
      </c>
      <c r="O209" s="1" t="str">
        <f t="shared" si="99"/>
        <v>1.83994163169035-1.01612092974564i</v>
      </c>
      <c r="P209" s="1">
        <f t="shared" si="81"/>
        <v>6.4521459863442923</v>
      </c>
      <c r="Q209" s="1">
        <f t="shared" si="82"/>
        <v>-28.90998924838804</v>
      </c>
      <c r="R209" s="1" t="str">
        <f t="shared" si="83"/>
        <v>-0.132573140751924+0.0358627374275812i</v>
      </c>
      <c r="S209" s="1">
        <f t="shared" si="84"/>
        <v>-17.244174726908145</v>
      </c>
      <c r="T209" s="1">
        <f t="shared" si="85"/>
        <v>164.86304111461612</v>
      </c>
      <c r="U209" s="1" t="str">
        <f>IMPRODUCT(COMPLEX(-1,0),IMDIV(COMPLEX(1,C209*Calculations!$B$195*Calculations!$B$197),IMPRODUCT(COMPLEX(0,C209*Calculations!$B$184),COMPLEX((Calculations!$B$197+Calculations!$B$199),C209*Calculations!$B$195*Calculations!$B$197*Calculations!$B$199))))</f>
        <v>-1.3778558890664+0.2643884939788i</v>
      </c>
      <c r="V209" s="1">
        <f t="shared" si="86"/>
        <v>2.941107367278069</v>
      </c>
      <c r="W209" s="1">
        <f t="shared" si="87"/>
        <v>169.13788502737827</v>
      </c>
      <c r="X209" s="1" t="str">
        <f t="shared" si="88"/>
        <v>0.173184987578632-0.0844644969880754i</v>
      </c>
      <c r="Y209" s="1">
        <f t="shared" si="89"/>
        <v>-14.303067359630074</v>
      </c>
      <c r="Z209" s="1">
        <f t="shared" si="90"/>
        <v>-25.999073858005577</v>
      </c>
    </row>
    <row r="210" spans="1:26" x14ac:dyDescent="0.15">
      <c r="B210" s="1">
        <v>60000</v>
      </c>
      <c r="C210" s="1">
        <f t="shared" si="91"/>
        <v>376991.11843077518</v>
      </c>
      <c r="D210" s="83" t="str">
        <f t="shared" si="92"/>
        <v>0.00320234962888765-0.00415531106069867i</v>
      </c>
      <c r="E210" s="1">
        <f t="shared" si="93"/>
        <v>-45.603254826707825</v>
      </c>
      <c r="F210" s="1">
        <f t="shared" si="94"/>
        <v>-52.379844259028701</v>
      </c>
      <c r="G210" s="1" t="str">
        <f t="shared" si="95"/>
        <v>-0.0182230087119011-56.5344279962599i</v>
      </c>
      <c r="H210" s="1">
        <f t="shared" si="77"/>
        <v>35.046260499732028</v>
      </c>
      <c r="I210" s="1">
        <f t="shared" si="78"/>
        <v>-90.018468418096148</v>
      </c>
      <c r="J210" s="83" t="str">
        <f t="shared" si="96"/>
        <v>-0.231152548888003+0.119949608926618i</v>
      </c>
      <c r="K210" s="1">
        <f t="shared" si="79"/>
        <v>-11.686459956702935</v>
      </c>
      <c r="L210" s="1">
        <f t="shared" si="80"/>
        <v>152.5743125427305</v>
      </c>
      <c r="M210" s="1">
        <f t="shared" si="97"/>
        <v>0.192</v>
      </c>
      <c r="N210" s="1">
        <f t="shared" si="98"/>
        <v>2.5000000000000001E-2</v>
      </c>
      <c r="O210" s="1" t="str">
        <f t="shared" si="99"/>
        <v>1.67898908871422-1.10089832258427i</v>
      </c>
      <c r="P210" s="1">
        <f t="shared" si="81"/>
        <v>6.0541080247215637</v>
      </c>
      <c r="Q210" s="1">
        <f t="shared" si="82"/>
        <v>-33.252502072606326</v>
      </c>
      <c r="R210" s="1" t="str">
        <f t="shared" si="83"/>
        <v>-0.106341211708599+0.0557490516543661i</v>
      </c>
      <c r="S210" s="1">
        <f t="shared" si="84"/>
        <v>-18.411428728867296</v>
      </c>
      <c r="T210" s="1">
        <f t="shared" si="85"/>
        <v>152.33436334740412</v>
      </c>
      <c r="U210" s="1" t="str">
        <f>IMPRODUCT(COMPLEX(-1,0),IMDIV(COMPLEX(1,C210*Calculations!$B$195*Calculations!$B$197),IMPRODUCT(COMPLEX(0,C210*Calculations!$B$184),COMPLEX((Calculations!$B$197+Calculations!$B$199),C210*Calculations!$B$195*Calculations!$B$197*Calculations!$B$199))))</f>
        <v>-1.35738857058364+0.310866915750943i</v>
      </c>
      <c r="V210" s="1">
        <f t="shared" si="86"/>
        <v>2.8760960634729775</v>
      </c>
      <c r="W210" s="1">
        <f t="shared" si="87"/>
        <v>167.10066448562614</v>
      </c>
      <c r="X210" s="1" t="str">
        <f t="shared" si="88"/>
        <v>0.127015809611435-0.108731090037584i</v>
      </c>
      <c r="Y210" s="1">
        <f t="shared" si="89"/>
        <v>-15.535332665394295</v>
      </c>
      <c r="Z210" s="1">
        <f t="shared" si="90"/>
        <v>-40.564972166969746</v>
      </c>
    </row>
    <row r="211" spans="1:26" x14ac:dyDescent="0.15">
      <c r="B211" s="1">
        <v>70000</v>
      </c>
      <c r="C211" s="1">
        <f t="shared" si="91"/>
        <v>439822.97150257102</v>
      </c>
      <c r="D211" s="83" t="str">
        <f t="shared" si="92"/>
        <v>0.00320082255045095-0.00356169700800103i</v>
      </c>
      <c r="E211" s="1">
        <f t="shared" si="93"/>
        <v>-46.395779417168256</v>
      </c>
      <c r="F211" s="1">
        <f t="shared" si="94"/>
        <v>-48.054629224140371</v>
      </c>
      <c r="G211" s="1" t="str">
        <f t="shared" si="95"/>
        <v>-0.013403412868553-48.4497931793341i</v>
      </c>
      <c r="H211" s="1">
        <f t="shared" si="77"/>
        <v>33.705838882191046</v>
      </c>
      <c r="I211" s="1">
        <f t="shared" si="78"/>
        <v>-90.015850613974877</v>
      </c>
      <c r="J211" s="83" t="str">
        <f t="shared" si="96"/>
        <v>-0.207978884846207+0.102844946537195i</v>
      </c>
      <c r="K211" s="1">
        <f t="shared" si="79"/>
        <v>-12.689570679034523</v>
      </c>
      <c r="L211" s="1">
        <f t="shared" si="80"/>
        <v>153.68773993748727</v>
      </c>
      <c r="M211" s="1">
        <f t="shared" si="97"/>
        <v>0.192</v>
      </c>
      <c r="N211" s="1">
        <f t="shared" si="98"/>
        <v>2.5000000000000001E-2</v>
      </c>
      <c r="O211" s="1" t="str">
        <f t="shared" si="99"/>
        <v>1.52167541022384-1.15652891551198i</v>
      </c>
      <c r="P211" s="1">
        <f t="shared" si="81"/>
        <v>5.6265623312330684</v>
      </c>
      <c r="Q211" s="1">
        <f t="shared" si="82"/>
        <v>-37.236161070685164</v>
      </c>
      <c r="R211" s="1" t="str">
        <f t="shared" si="83"/>
        <v>-0.082936097613146+0.0641455475605052i</v>
      </c>
      <c r="S211" s="1">
        <f t="shared" si="84"/>
        <v>-19.588818931416839</v>
      </c>
      <c r="T211" s="1">
        <f t="shared" si="85"/>
        <v>142.28043624211051</v>
      </c>
      <c r="U211" s="1" t="str">
        <f>IMPRODUCT(COMPLEX(-1,0),IMDIV(COMPLEX(1,C211*Calculations!$B$195*Calculations!$B$197),IMPRODUCT(COMPLEX(0,C211*Calculations!$B$184),COMPLEX((Calculations!$B$197+Calculations!$B$199),C211*Calculations!$B$195*Calculations!$B$197*Calculations!$B$199))))</f>
        <v>-1.33397034459029+0.35525510498061i</v>
      </c>
      <c r="V211" s="1">
        <f t="shared" si="86"/>
        <v>2.8005067570670281</v>
      </c>
      <c r="W211" s="1">
        <f t="shared" si="87"/>
        <v>165.08744421260195</v>
      </c>
      <c r="X211" s="1" t="str">
        <f t="shared" si="88"/>
        <v>0.0878462614793363-0.11503173024746i</v>
      </c>
      <c r="Y211" s="1">
        <f t="shared" si="89"/>
        <v>-16.788312174349826</v>
      </c>
      <c r="Z211" s="1">
        <f t="shared" si="90"/>
        <v>-52.63211954528748</v>
      </c>
    </row>
    <row r="212" spans="1:26" x14ac:dyDescent="0.15">
      <c r="B212" s="1">
        <v>80000</v>
      </c>
      <c r="C212" s="1">
        <f t="shared" si="91"/>
        <v>502654.82457436691</v>
      </c>
      <c r="D212" s="83" t="str">
        <f t="shared" si="92"/>
        <v>0.00319983141697974-0.00311648591168629i</v>
      </c>
      <c r="E212" s="1">
        <f t="shared" si="93"/>
        <v>-47.00026503760747</v>
      </c>
      <c r="F212" s="1">
        <f t="shared" si="94"/>
        <v>-44.24401065971103</v>
      </c>
      <c r="G212" s="1" t="str">
        <f t="shared" si="95"/>
        <v>-0.0102694769794674-42.3888635425839i</v>
      </c>
      <c r="H212" s="1">
        <f t="shared" si="77"/>
        <v>32.545035718233535</v>
      </c>
      <c r="I212" s="1">
        <f t="shared" si="78"/>
        <v>-90.013880949571274</v>
      </c>
      <c r="J212" s="83" t="str">
        <f t="shared" si="96"/>
        <v>-0.192942496891585+0.0900069184541697i</v>
      </c>
      <c r="K212" s="1">
        <f t="shared" si="79"/>
        <v>-13.436329400397774</v>
      </c>
      <c r="L212" s="1">
        <f t="shared" si="80"/>
        <v>154.99113305879476</v>
      </c>
      <c r="M212" s="1">
        <f t="shared" si="97"/>
        <v>0.192</v>
      </c>
      <c r="N212" s="1">
        <f t="shared" si="98"/>
        <v>2.5000000000000001E-2</v>
      </c>
      <c r="O212" s="1" t="str">
        <f t="shared" si="99"/>
        <v>1.3732167270007-1.18776587607207i</v>
      </c>
      <c r="P212" s="1">
        <f t="shared" si="81"/>
        <v>5.1805465516681313</v>
      </c>
      <c r="Q212" s="1">
        <f t="shared" si="82"/>
        <v>-40.858216066095871</v>
      </c>
      <c r="R212" s="1" t="str">
        <f t="shared" si="83"/>
        <v>-0.0642113689773704+0.0656694334761102i</v>
      </c>
      <c r="S212" s="1">
        <f t="shared" si="84"/>
        <v>-20.738853398878923</v>
      </c>
      <c r="T212" s="1">
        <f t="shared" si="85"/>
        <v>134.35681462347051</v>
      </c>
      <c r="U212" s="1" t="str">
        <f>IMPRODUCT(COMPLEX(-1,0),IMDIV(COMPLEX(1,C212*Calculations!$B$195*Calculations!$B$197),IMPRODUCT(COMPLEX(0,C212*Calculations!$B$184),COMPLEX((Calculations!$B$197+Calculations!$B$199),C212*Calculations!$B$195*Calculations!$B$197*Calculations!$B$199))))</f>
        <v>-1.30793379249252+0.397233445514156i</v>
      </c>
      <c r="V212" s="1">
        <f t="shared" si="86"/>
        <v>2.7148966588325427</v>
      </c>
      <c r="W212" s="1">
        <f t="shared" si="87"/>
        <v>163.10590450530381</v>
      </c>
      <c r="X212" s="1" t="str">
        <f t="shared" si="88"/>
        <v>0.0578981240230307-0.111398174517306i</v>
      </c>
      <c r="Y212" s="1">
        <f t="shared" si="89"/>
        <v>-18.023956740046362</v>
      </c>
      <c r="Z212" s="1">
        <f t="shared" si="90"/>
        <v>-62.537280871225718</v>
      </c>
    </row>
    <row r="213" spans="1:26" x14ac:dyDescent="0.15">
      <c r="B213" s="1">
        <v>90000</v>
      </c>
      <c r="C213" s="1">
        <f t="shared" si="91"/>
        <v>565486.6776461628</v>
      </c>
      <c r="D213" s="83" t="str">
        <f t="shared" si="92"/>
        <v>0.00319915189875643-0.0027702103267872i</v>
      </c>
      <c r="E213" s="1">
        <f t="shared" si="93"/>
        <v>-47.46937439101881</v>
      </c>
      <c r="F213" s="1">
        <f t="shared" si="94"/>
        <v>-40.889950816480685</v>
      </c>
      <c r="G213" s="1" t="str">
        <f t="shared" si="95"/>
        <v>-0.00811820986396477-37.6761227311306i</v>
      </c>
      <c r="H213" s="1">
        <f t="shared" si="77"/>
        <v>31.521324260744763</v>
      </c>
      <c r="I213" s="1">
        <f t="shared" si="78"/>
        <v>-90.012345727784336</v>
      </c>
      <c r="J213" s="83" t="str">
        <f t="shared" si="96"/>
        <v>-0.182635513621951+0.0800168644419639i</v>
      </c>
      <c r="K213" s="1">
        <f t="shared" si="79"/>
        <v>-14.005707797799694</v>
      </c>
      <c r="L213" s="1">
        <f t="shared" si="80"/>
        <v>156.34065657940556</v>
      </c>
      <c r="M213" s="1">
        <f t="shared" si="97"/>
        <v>0.192</v>
      </c>
      <c r="N213" s="1">
        <f t="shared" si="98"/>
        <v>2.5000000000000001E-2</v>
      </c>
      <c r="O213" s="1" t="str">
        <f t="shared" si="99"/>
        <v>1.23649611320682-1.19970565642817i</v>
      </c>
      <c r="P213" s="1">
        <f t="shared" si="81"/>
        <v>4.7249554569444658</v>
      </c>
      <c r="Q213" s="1">
        <f t="shared" si="82"/>
        <v>-44.134809889527723</v>
      </c>
      <c r="R213" s="1" t="str">
        <f t="shared" si="83"/>
        <v>-0.0500264526029492+0.0637059737795098i</v>
      </c>
      <c r="S213" s="1">
        <f t="shared" si="84"/>
        <v>-21.830235378806549</v>
      </c>
      <c r="T213" s="1">
        <f t="shared" si="85"/>
        <v>128.14151883207043</v>
      </c>
      <c r="U213" s="1" t="str">
        <f>IMPRODUCT(COMPLEX(-1,0),IMDIV(COMPLEX(1,C213*Calculations!$B$195*Calculations!$B$197),IMPRODUCT(COMPLEX(0,C213*Calculations!$B$184),COMPLEX((Calculations!$B$197+Calculations!$B$199),C213*Calculations!$B$195*Calculations!$B$197*Calculations!$B$199))))</f>
        <v>-1.27962778476547+0.436576333180636i</v>
      </c>
      <c r="V213" s="1">
        <f t="shared" si="86"/>
        <v>2.619871584392635</v>
      </c>
      <c r="W213" s="1">
        <f t="shared" si="87"/>
        <v>161.16166903911767</v>
      </c>
      <c r="X213" s="1" t="str">
        <f t="shared" si="88"/>
        <v>0.0362027182896265-0.103360299343232i</v>
      </c>
      <c r="Y213" s="1">
        <f t="shared" si="89"/>
        <v>-19.21036379441389</v>
      </c>
      <c r="Z213" s="1">
        <f t="shared" si="90"/>
        <v>-70.696812128811956</v>
      </c>
    </row>
    <row r="214" spans="1:26" x14ac:dyDescent="0.15">
      <c r="B214" s="1">
        <v>100000</v>
      </c>
      <c r="C214" s="1">
        <f t="shared" si="91"/>
        <v>628318.53071795858</v>
      </c>
      <c r="D214" s="83" t="str">
        <f t="shared" si="92"/>
        <v>0.0031986658431796-0.00249318969807774i</v>
      </c>
      <c r="E214" s="1">
        <f t="shared" si="93"/>
        <v>-47.839012126986617</v>
      </c>
      <c r="F214" s="1">
        <f t="shared" si="94"/>
        <v>-37.934517274594889</v>
      </c>
      <c r="G214" s="1" t="str">
        <f t="shared" si="95"/>
        <v>-0.00657809887656016-33.9066649688671i</v>
      </c>
      <c r="H214" s="1">
        <f t="shared" si="77"/>
        <v>30.605701664215207</v>
      </c>
      <c r="I214" s="1">
        <f t="shared" si="78"/>
        <v>-90.01111572897139</v>
      </c>
      <c r="J214" s="83" t="str">
        <f t="shared" si="96"/>
        <v>-0.175263944464555+0.0720220734465022i</v>
      </c>
      <c r="K214" s="1">
        <f t="shared" si="79"/>
        <v>-14.448495529061478</v>
      </c>
      <c r="L214" s="1">
        <f t="shared" si="80"/>
        <v>157.66052812170233</v>
      </c>
      <c r="M214" s="1">
        <f t="shared" si="97"/>
        <v>0.192</v>
      </c>
      <c r="N214" s="1">
        <f t="shared" si="98"/>
        <v>2.5000000000000001E-2</v>
      </c>
      <c r="O214" s="1" t="str">
        <f t="shared" si="99"/>
        <v>1.11268187040715-1.19703061915885i</v>
      </c>
      <c r="P214" s="1">
        <f t="shared" si="81"/>
        <v>4.2666466025281</v>
      </c>
      <c r="Q214" s="1">
        <f t="shared" si="82"/>
        <v>-47.091464032317774</v>
      </c>
      <c r="R214" s="1" t="str">
        <f t="shared" si="83"/>
        <v>-0.0394954619700187+0.0602580756639641i</v>
      </c>
      <c r="S214" s="1">
        <f t="shared" si="84"/>
        <v>-22.847550619160536</v>
      </c>
      <c r="T214" s="1">
        <f t="shared" si="85"/>
        <v>123.24237612230147</v>
      </c>
      <c r="U214" s="1" t="str">
        <f>IMPRODUCT(COMPLEX(-1,0),IMDIV(COMPLEX(1,C214*Calculations!$B$195*Calculations!$B$197),IMPRODUCT(COMPLEX(0,C214*Calculations!$B$184),COMPLEX((Calculations!$B$197+Calculations!$B$199),C214*Calculations!$B$195*Calculations!$B$197*Calculations!$B$199))))</f>
        <v>-1.24940728964469+0.47313222034123i</v>
      </c>
      <c r="V214" s="1">
        <f t="shared" si="86"/>
        <v>2.5160724048342544</v>
      </c>
      <c r="W214" s="1">
        <f t="shared" si="87"/>
        <v>159.25905791522086</v>
      </c>
      <c r="X214" s="1" t="str">
        <f t="shared" si="88"/>
        <v>0.0208358809608448-0.0939734546097956i</v>
      </c>
      <c r="Y214" s="1">
        <f t="shared" si="89"/>
        <v>-20.331478214326282</v>
      </c>
      <c r="Z214" s="1">
        <f t="shared" si="90"/>
        <v>-77.498565962477656</v>
      </c>
    </row>
    <row r="215" spans="1:26" x14ac:dyDescent="0.15">
      <c r="B215" s="1">
        <v>200000</v>
      </c>
      <c r="C215" s="1">
        <f t="shared" si="91"/>
        <v>1256637.0614359172</v>
      </c>
      <c r="D215" s="83" t="str">
        <f t="shared" si="92"/>
        <v>0.00319711174337046-0.0012465954948586i</v>
      </c>
      <c r="E215" s="1">
        <f t="shared" si="93"/>
        <v>-49.290197644293166</v>
      </c>
      <c r="F215" s="1">
        <f t="shared" si="94"/>
        <v>-21.301457831363141</v>
      </c>
      <c r="G215" s="1" t="str">
        <f t="shared" si="95"/>
        <v>-0.00164640136545999-16.9503827976957i</v>
      </c>
      <c r="H215" s="1">
        <f t="shared" si="77"/>
        <v>24.583590251105601</v>
      </c>
      <c r="I215" s="1">
        <f t="shared" si="78"/>
        <v>-90.005565175161806</v>
      </c>
      <c r="J215" s="83" t="str">
        <f t="shared" si="96"/>
        <v>-0.151699667011781+0.0360220539350782i</v>
      </c>
      <c r="K215" s="1">
        <f t="shared" si="79"/>
        <v>-16.14208300065614</v>
      </c>
      <c r="L215" s="1">
        <f t="shared" si="80"/>
        <v>166.64214731770576</v>
      </c>
      <c r="M215" s="1">
        <f t="shared" si="97"/>
        <v>0.192</v>
      </c>
      <c r="N215" s="1">
        <f t="shared" si="98"/>
        <v>2.5000000000000001E-2</v>
      </c>
      <c r="O215" s="1" t="str">
        <f t="shared" si="99"/>
        <v>0.43109665747445-0.921365475581154i</v>
      </c>
      <c r="P215" s="1">
        <f t="shared" si="81"/>
        <v>0.14839072965225752</v>
      </c>
      <c r="Q215" s="1">
        <f t="shared" si="82"/>
        <v>-64.925629143065763</v>
      </c>
      <c r="R215" s="1" t="str">
        <f t="shared" si="83"/>
        <v>-0.00789567789160266+0.0319347489712763i</v>
      </c>
      <c r="S215" s="1">
        <f t="shared" si="84"/>
        <v>-29.657045413948882</v>
      </c>
      <c r="T215" s="1">
        <f t="shared" si="85"/>
        <v>103.88753361611954</v>
      </c>
      <c r="U215" s="1" t="str">
        <f>IMPRODUCT(COMPLEX(-1,0),IMDIV(COMPLEX(1,C215*Calculations!$B$195*Calculations!$B$197),IMPRODUCT(COMPLEX(0,C215*Calculations!$B$184),COMPLEX((Calculations!$B$197+Calculations!$B$199),C215*Calculations!$B$195*Calculations!$B$197*Calculations!$B$199))))</f>
        <v>-0.910053620341282+0.686935179131645i</v>
      </c>
      <c r="V215" s="1">
        <f t="shared" si="86"/>
        <v>1.1396925293251907</v>
      </c>
      <c r="W215" s="1">
        <f t="shared" si="87"/>
        <v>142.95342373719313</v>
      </c>
      <c r="X215" s="1" t="str">
        <f t="shared" si="88"/>
        <v>-0.0147516122548062-0.0344861528228339i</v>
      </c>
      <c r="Y215" s="1">
        <f t="shared" si="89"/>
        <v>-28.517352884623683</v>
      </c>
      <c r="Z215" s="1">
        <f t="shared" si="90"/>
        <v>-113.15904264668734</v>
      </c>
    </row>
    <row r="216" spans="1:26" x14ac:dyDescent="0.15">
      <c r="B216" s="1">
        <v>300000</v>
      </c>
      <c r="C216" s="1">
        <f t="shared" si="91"/>
        <v>1884955.5921538759</v>
      </c>
      <c r="D216" s="83" t="str">
        <f t="shared" si="92"/>
        <v>0.0031968239469328-0.000831063742969945i</v>
      </c>
      <c r="E216" s="1">
        <f t="shared" si="93"/>
        <v>-49.621613055358907</v>
      </c>
      <c r="F216" s="1">
        <f t="shared" si="94"/>
        <v>-14.572361405350096</v>
      </c>
      <c r="G216" s="1" t="str">
        <f t="shared" si="95"/>
        <v>-0.000731888328523485-11.2998911140016i</v>
      </c>
      <c r="H216" s="1">
        <f t="shared" si="77"/>
        <v>21.061485190867792</v>
      </c>
      <c r="I216" s="1">
        <f t="shared" si="78"/>
        <v>-90.003711019143239</v>
      </c>
      <c r="J216" s="83" t="str">
        <f t="shared" si="96"/>
        <v>-0.147336805322224+0.0240160620562524i</v>
      </c>
      <c r="K216" s="1">
        <f t="shared" si="79"/>
        <v>-16.519892044003143</v>
      </c>
      <c r="L216" s="1">
        <f t="shared" si="80"/>
        <v>170.74214343308822</v>
      </c>
      <c r="M216" s="1">
        <f t="shared" si="97"/>
        <v>0.192</v>
      </c>
      <c r="N216" s="1">
        <f t="shared" si="98"/>
        <v>2.5000000000000001E-2</v>
      </c>
      <c r="O216" s="1" t="str">
        <f t="shared" si="99"/>
        <v>0.213315497697528-0.683015372789783i</v>
      </c>
      <c r="P216" s="1">
        <f t="shared" si="81"/>
        <v>-2.9071858718159116</v>
      </c>
      <c r="Q216" s="1">
        <f t="shared" si="82"/>
        <v>-72.655666832027109</v>
      </c>
      <c r="R216" s="1" t="str">
        <f t="shared" si="83"/>
        <v>-0.00324879868125761+0.0210473737738835i</v>
      </c>
      <c r="S216" s="1">
        <f t="shared" si="84"/>
        <v>-33.433780502496198</v>
      </c>
      <c r="T216" s="1">
        <f t="shared" si="85"/>
        <v>98.774723950709046</v>
      </c>
      <c r="U216" s="1" t="str">
        <f>IMPRODUCT(COMPLEX(-1,0),IMDIV(COMPLEX(1,C216*Calculations!$B$195*Calculations!$B$197),IMPRODUCT(COMPLEX(0,C216*Calculations!$B$184),COMPLEX((Calculations!$B$197+Calculations!$B$199),C216*Calculations!$B$195*Calculations!$B$197*Calculations!$B$199))))</f>
        <v>-0.626462628341604+0.708866328915262i</v>
      </c>
      <c r="V216" s="1">
        <f t="shared" si="86"/>
        <v>-0.48202733436522044</v>
      </c>
      <c r="W216" s="1">
        <f t="shared" si="87"/>
        <v>131.46873183972235</v>
      </c>
      <c r="X216" s="1" t="str">
        <f t="shared" si="88"/>
        <v>-0.0128845236195868-0.015488357088643i</v>
      </c>
      <c r="Y216" s="1">
        <f t="shared" si="89"/>
        <v>-33.915807836861433</v>
      </c>
      <c r="Z216" s="1">
        <f t="shared" si="90"/>
        <v>-129.75654420956869</v>
      </c>
    </row>
    <row r="217" spans="1:26" x14ac:dyDescent="0.15">
      <c r="B217" s="1">
        <v>400000</v>
      </c>
      <c r="C217" s="1">
        <f t="shared" si="91"/>
        <v>2513274.1228718343</v>
      </c>
      <c r="D217" s="83" t="str">
        <f t="shared" si="92"/>
        <v>0.00319672321816656-0.000623297828156817i</v>
      </c>
      <c r="E217" s="1">
        <f t="shared" si="93"/>
        <v>-49.743853416858812</v>
      </c>
      <c r="F217" s="1">
        <f t="shared" si="94"/>
        <v>-11.033117753258752</v>
      </c>
      <c r="G217" s="1" t="str">
        <f t="shared" si="95"/>
        <v>-0.000411717577164795-8.47482276744835i</v>
      </c>
      <c r="H217" s="1">
        <f t="shared" si="77"/>
        <v>18.562612503093867</v>
      </c>
      <c r="I217" s="1">
        <f t="shared" si="78"/>
        <v>-90.002783501219028</v>
      </c>
      <c r="J217" s="83" t="str">
        <f t="shared" si="96"/>
        <v>-0.145809869674395+0.018012403353644i</v>
      </c>
      <c r="K217" s="1">
        <f t="shared" si="79"/>
        <v>-16.658486558622279</v>
      </c>
      <c r="L217" s="1">
        <f t="shared" si="80"/>
        <v>172.95773017875769</v>
      </c>
      <c r="M217" s="1">
        <f t="shared" si="97"/>
        <v>0.192</v>
      </c>
      <c r="N217" s="1">
        <f t="shared" si="98"/>
        <v>2.5000000000000001E-2</v>
      </c>
      <c r="O217" s="1" t="str">
        <f t="shared" si="99"/>
        <v>0.124946755954028-0.533190580281755i</v>
      </c>
      <c r="P217" s="1">
        <f t="shared" si="81"/>
        <v>-5.2301790579058487</v>
      </c>
      <c r="Q217" s="1">
        <f t="shared" si="82"/>
        <v>-76.811404793373825</v>
      </c>
      <c r="R217" s="1" t="str">
        <f t="shared" si="83"/>
        <v>-0.00177214090758104+0.0156903661361533i</v>
      </c>
      <c r="S217" s="1">
        <f t="shared" si="84"/>
        <v>-36.032288197243581</v>
      </c>
      <c r="T217" s="1">
        <f t="shared" si="85"/>
        <v>96.443936420437609</v>
      </c>
      <c r="U217" s="1" t="str">
        <f>IMPRODUCT(COMPLEX(-1,0),IMDIV(COMPLEX(1,C217*Calculations!$B$195*Calculations!$B$197),IMPRODUCT(COMPLEX(0,C217*Calculations!$B$184),COMPLEX((Calculations!$B$197+Calculations!$B$199),C217*Calculations!$B$195*Calculations!$B$197*Calculations!$B$199))))</f>
        <v>-0.436173870589352+0.657919444666363i</v>
      </c>
      <c r="V217" s="1">
        <f t="shared" si="86"/>
        <v>-2.054383170039999</v>
      </c>
      <c r="W217" s="1">
        <f t="shared" si="87"/>
        <v>123.54276163253273</v>
      </c>
      <c r="X217" s="1" t="str">
        <f t="shared" si="88"/>
        <v>-0.00955003541602054-0.00800965369035634i</v>
      </c>
      <c r="Y217" s="1">
        <f t="shared" si="89"/>
        <v>-38.086671367283579</v>
      </c>
      <c r="Z217" s="1">
        <f t="shared" si="90"/>
        <v>-140.01330194702967</v>
      </c>
    </row>
    <row r="218" spans="1:26" x14ac:dyDescent="0.15">
      <c r="B218" s="1">
        <v>500000</v>
      </c>
      <c r="C218" s="1">
        <f t="shared" si="91"/>
        <v>3141592.653589793</v>
      </c>
      <c r="D218" s="83" t="str">
        <f t="shared" si="92"/>
        <v>0.00319667659513532-0.000498638270275296i</v>
      </c>
      <c r="E218" s="1">
        <f t="shared" si="93"/>
        <v>-49.80161952048217</v>
      </c>
      <c r="F218" s="1">
        <f t="shared" si="94"/>
        <v>-8.8659187662999628</v>
      </c>
      <c r="G218" s="1" t="str">
        <f t="shared" si="95"/>
        <v>-0.000263508252156001-6.77982282705229i</v>
      </c>
      <c r="H218" s="1">
        <f t="shared" si="77"/>
        <v>16.624366903845985</v>
      </c>
      <c r="I218" s="1">
        <f t="shared" si="78"/>
        <v>-90.002226888680269</v>
      </c>
      <c r="J218" s="83" t="str">
        <f t="shared" si="96"/>
        <v>-0.145103128178473+0.0144100547995287i</v>
      </c>
      <c r="K218" s="1">
        <f t="shared" si="79"/>
        <v>-16.723842949445864</v>
      </c>
      <c r="L218" s="1">
        <f t="shared" si="80"/>
        <v>174.3286057050085</v>
      </c>
      <c r="M218" s="1">
        <f t="shared" si="97"/>
        <v>0.192</v>
      </c>
      <c r="N218" s="1">
        <f t="shared" si="98"/>
        <v>2.5000000000000001E-2</v>
      </c>
      <c r="O218" s="1" t="str">
        <f t="shared" si="99"/>
        <v>0.0815247287949559-0.434779643108068i</v>
      </c>
      <c r="P218" s="1">
        <f t="shared" si="81"/>
        <v>-7.0845440486962419</v>
      </c>
      <c r="Q218" s="1">
        <f t="shared" si="82"/>
        <v>-79.379893335478954</v>
      </c>
      <c r="R218" s="1" t="str">
        <f t="shared" si="83"/>
        <v>-0.00111734380389822+0.0125125093667771i</v>
      </c>
      <c r="S218" s="1">
        <f t="shared" si="84"/>
        <v>-38.01861770944938</v>
      </c>
      <c r="T218" s="1">
        <f t="shared" si="85"/>
        <v>95.102871519712096</v>
      </c>
      <c r="U218" s="1" t="str">
        <f>IMPRODUCT(COMPLEX(-1,0),IMDIV(COMPLEX(1,C218*Calculations!$B$195*Calculations!$B$197),IMPRODUCT(COMPLEX(0,C218*Calculations!$B$184),COMPLEX((Calculations!$B$197+Calculations!$B$199),C218*Calculations!$B$195*Calculations!$B$197*Calculations!$B$199))))</f>
        <v>-0.313672919963588+0.591365810680288i</v>
      </c>
      <c r="V218" s="1">
        <f t="shared" si="86"/>
        <v>-3.486209634452659</v>
      </c>
      <c r="W218" s="1">
        <f t="shared" si="87"/>
        <v>117.94242382698944</v>
      </c>
      <c r="X218" s="1" t="str">
        <f t="shared" si="88"/>
        <v>-0.00704898975175686-0.00458559427354959i</v>
      </c>
      <c r="Y218" s="1">
        <f t="shared" si="89"/>
        <v>-41.504827343902036</v>
      </c>
      <c r="Z218" s="1">
        <f t="shared" si="90"/>
        <v>-146.95470465329845</v>
      </c>
    </row>
    <row r="219" spans="1:26" x14ac:dyDescent="0.15">
      <c r="B219" s="1">
        <v>600000</v>
      </c>
      <c r="C219" s="1">
        <f t="shared" si="91"/>
        <v>3769911.1843077517</v>
      </c>
      <c r="D219" s="83" t="str">
        <f t="shared" si="92"/>
        <v>0.00319665126904369-0.00041553189540424i</v>
      </c>
      <c r="E219" s="1">
        <f t="shared" si="93"/>
        <v>-49.833323698229684</v>
      </c>
      <c r="F219" s="1">
        <f t="shared" si="94"/>
        <v>-7.4063345374447902</v>
      </c>
      <c r="G219" s="1" t="str">
        <f t="shared" si="95"/>
        <v>-0.000182995237823297-5.64983633724053i</v>
      </c>
      <c r="H219" s="1">
        <f t="shared" si="77"/>
        <v>15.040717354350871</v>
      </c>
      <c r="I219" s="1">
        <f t="shared" si="78"/>
        <v>-90.001855780268443</v>
      </c>
      <c r="J219" s="83" t="str">
        <f t="shared" si="96"/>
        <v>-0.144719222287907+0.0120084388042502i</v>
      </c>
      <c r="K219" s="1">
        <f t="shared" si="79"/>
        <v>-16.759675747038152</v>
      </c>
      <c r="L219" s="1">
        <f t="shared" si="80"/>
        <v>175.25660622985166</v>
      </c>
      <c r="M219" s="1">
        <f t="shared" si="97"/>
        <v>0.192</v>
      </c>
      <c r="N219" s="1">
        <f t="shared" si="98"/>
        <v>2.5000000000000001E-2</v>
      </c>
      <c r="O219" s="1" t="str">
        <f t="shared" si="99"/>
        <v>0.0572203001073894-0.36615383945975i</v>
      </c>
      <c r="P219" s="1">
        <f t="shared" si="81"/>
        <v>-8.6219411273100608</v>
      </c>
      <c r="Q219" s="1">
        <f t="shared" si="82"/>
        <v>-81.118002346136663</v>
      </c>
      <c r="R219" s="1" t="str">
        <f t="shared" si="83"/>
        <v>-0.000769505394470949+0.0104080688325456i</v>
      </c>
      <c r="S219" s="1">
        <f t="shared" si="84"/>
        <v>-39.628922262815777</v>
      </c>
      <c r="T219" s="1">
        <f t="shared" si="85"/>
        <v>94.22838676251979</v>
      </c>
      <c r="U219" s="1" t="str">
        <f>IMPRODUCT(COMPLEX(-1,0),IMDIV(COMPLEX(1,C219*Calculations!$B$195*Calculations!$B$197),IMPRODUCT(COMPLEX(0,C219*Calculations!$B$184),COMPLEX((Calculations!$B$197+Calculations!$B$199),C219*Calculations!$B$195*Calculations!$B$197*Calculations!$B$199))))</f>
        <v>-0.233515229001291+0.528264941744562i</v>
      </c>
      <c r="V219" s="1">
        <f t="shared" si="86"/>
        <v>-4.767827965221735</v>
      </c>
      <c r="W219" s="1">
        <f t="shared" si="87"/>
        <v>113.84743610551307</v>
      </c>
      <c r="X219" s="1" t="str">
        <f t="shared" si="88"/>
        <v>-0.00531852664709048-0.00283694529927541i</v>
      </c>
      <c r="Y219" s="1">
        <f t="shared" si="89"/>
        <v>-44.396750228037511</v>
      </c>
      <c r="Z219" s="1">
        <f t="shared" si="90"/>
        <v>-151.9241771319671</v>
      </c>
    </row>
    <row r="220" spans="1:26" x14ac:dyDescent="0.15">
      <c r="B220" s="1">
        <v>700000</v>
      </c>
      <c r="C220" s="1">
        <f t="shared" si="91"/>
        <v>4398229.7150257099</v>
      </c>
      <c r="D220" s="83" t="str">
        <f t="shared" si="92"/>
        <v>0.003196635998209-0.000356170197873899i</v>
      </c>
      <c r="E220" s="1">
        <f t="shared" si="93"/>
        <v>-49.852552772109526</v>
      </c>
      <c r="F220" s="1">
        <f t="shared" si="94"/>
        <v>-6.3576913214638928</v>
      </c>
      <c r="G220" s="1" t="str">
        <f t="shared" si="95"/>
        <v>-0.00013444698527514-4.84270858161559i</v>
      </c>
      <c r="H220" s="1">
        <f t="shared" si="77"/>
        <v>13.701766711537243</v>
      </c>
      <c r="I220" s="1">
        <f t="shared" si="78"/>
        <v>-90.001590689320381</v>
      </c>
      <c r="J220" s="83" t="str">
        <f t="shared" si="96"/>
        <v>-0.144487740188777+0.0102929784549813i</v>
      </c>
      <c r="K220" s="1">
        <f t="shared" si="79"/>
        <v>-16.781396124048136</v>
      </c>
      <c r="L220" s="1">
        <f t="shared" si="80"/>
        <v>175.92526233787882</v>
      </c>
      <c r="M220" s="1">
        <f t="shared" si="97"/>
        <v>0.192</v>
      </c>
      <c r="N220" s="1">
        <f t="shared" si="98"/>
        <v>2.5000000000000001E-2</v>
      </c>
      <c r="O220" s="1" t="str">
        <f t="shared" si="99"/>
        <v>0.0423124531326463-0.315863714041085i</v>
      </c>
      <c r="P220" s="1">
        <f t="shared" si="81"/>
        <v>-9.9327632624116671</v>
      </c>
      <c r="Q220" s="1">
        <f t="shared" si="82"/>
        <v>-82.370197172062973</v>
      </c>
      <c r="R220" s="1" t="str">
        <f t="shared" si="83"/>
        <v>-0.000562483455795646+0.00891107391987589i</v>
      </c>
      <c r="S220" s="1">
        <f t="shared" si="84"/>
        <v>-40.984129566488463</v>
      </c>
      <c r="T220" s="1">
        <f t="shared" si="85"/>
        <v>93.611823641924715</v>
      </c>
      <c r="U220" s="1" t="str">
        <f>IMPRODUCT(COMPLEX(-1,0),IMDIV(COMPLEX(1,C220*Calculations!$B$195*Calculations!$B$197),IMPRODUCT(COMPLEX(0,C220*Calculations!$B$184),COMPLEX((Calculations!$B$197+Calculations!$B$199),C220*Calculations!$B$195*Calculations!$B$197*Calculations!$B$199))))</f>
        <v>-0.179350034856579+0.473336999922894i</v>
      </c>
      <c r="V220" s="1">
        <f t="shared" si="86"/>
        <v>-5.9139654918924069</v>
      </c>
      <c r="W220" s="1">
        <f t="shared" si="87"/>
        <v>110.75197810214145</v>
      </c>
      <c r="X220" s="1" t="str">
        <f t="shared" si="88"/>
        <v>-0.004117059567922-0.00186444564961187i</v>
      </c>
      <c r="Y220" s="1">
        <f t="shared" si="89"/>
        <v>-46.898095058380861</v>
      </c>
      <c r="Z220" s="1">
        <f t="shared" si="90"/>
        <v>-155.63619825593378</v>
      </c>
    </row>
    <row r="221" spans="1:26" x14ac:dyDescent="0.15">
      <c r="B221" s="1">
        <v>800000</v>
      </c>
      <c r="C221" s="1">
        <f t="shared" si="91"/>
        <v>5026548.2457436686</v>
      </c>
      <c r="D221" s="83" t="str">
        <f t="shared" si="92"/>
        <v>0.00319662608684986-0.00031164892416935i</v>
      </c>
      <c r="E221" s="1">
        <f t="shared" si="93"/>
        <v>-49.865078897921137</v>
      </c>
      <c r="F221" s="1">
        <f t="shared" si="94"/>
        <v>-5.5683443485704096</v>
      </c>
      <c r="G221" s="1" t="str">
        <f t="shared" si="95"/>
        <v>-0.000102936720675934-4.23736530728126i</v>
      </c>
      <c r="H221" s="1">
        <f t="shared" si="77"/>
        <v>12.541918133644913</v>
      </c>
      <c r="I221" s="1">
        <f t="shared" si="78"/>
        <v>-90.001391864808156</v>
      </c>
      <c r="J221" s="83" t="str">
        <f t="shared" si="96"/>
        <v>-0.144337499823806+0.00900637370117601i</v>
      </c>
      <c r="K221" s="1">
        <f t="shared" si="79"/>
        <v>-16.795539957463888</v>
      </c>
      <c r="L221" s="1">
        <f t="shared" si="80"/>
        <v>176.4294861475725</v>
      </c>
      <c r="M221" s="1">
        <f t="shared" si="97"/>
        <v>0.192</v>
      </c>
      <c r="N221" s="1">
        <f t="shared" si="98"/>
        <v>2.5000000000000001E-2</v>
      </c>
      <c r="O221" s="1" t="str">
        <f t="shared" si="99"/>
        <v>0.0325326148519337-0.277538867051585i</v>
      </c>
      <c r="P221" s="1">
        <f t="shared" si="81"/>
        <v>-11.074257459787635</v>
      </c>
      <c r="Q221" s="1">
        <f t="shared" si="82"/>
        <v>-83.314399030447802</v>
      </c>
      <c r="R221" s="1" t="str">
        <f t="shared" si="83"/>
        <v>-0.000429220383596356+0.00779133322106968i</v>
      </c>
      <c r="S221" s="1">
        <f t="shared" si="84"/>
        <v>-42.15460420232111</v>
      </c>
      <c r="T221" s="1">
        <f t="shared" si="85"/>
        <v>93.153206617378373</v>
      </c>
      <c r="U221" s="1" t="str">
        <f>IMPRODUCT(COMPLEX(-1,0),IMDIV(COMPLEX(1,C221*Calculations!$B$195*Calculations!$B$197),IMPRODUCT(COMPLEX(0,C221*Calculations!$B$184),COMPLEX((Calculations!$B$197+Calculations!$B$199),C221*Calculations!$B$195*Calculations!$B$197*Calculations!$B$199))))</f>
        <v>-0.141483277706146+0.426733475760411i</v>
      </c>
      <c r="V221" s="1">
        <f t="shared" si="86"/>
        <v>-6.9439290811505083</v>
      </c>
      <c r="W221" s="1">
        <f t="shared" si="87"/>
        <v>108.34291500955737</v>
      </c>
      <c r="X221" s="1" t="str">
        <f t="shared" si="88"/>
        <v>-0.00326409519950512-0.00128550606797701i</v>
      </c>
      <c r="Y221" s="1">
        <f t="shared" si="89"/>
        <v>-49.098533283471617</v>
      </c>
      <c r="Z221" s="1">
        <f t="shared" si="90"/>
        <v>-158.50387837306428</v>
      </c>
    </row>
    <row r="222" spans="1:26" x14ac:dyDescent="0.15">
      <c r="B222" s="1">
        <v>900000</v>
      </c>
      <c r="C222" s="1">
        <f t="shared" si="91"/>
        <v>5654866.7764616273</v>
      </c>
      <c r="D222" s="83" t="str">
        <f t="shared" si="92"/>
        <v>0.00319661929165463-0.000277021266555823i</v>
      </c>
      <c r="E222" s="1">
        <f t="shared" si="93"/>
        <v>-49.873687692020845</v>
      </c>
      <c r="F222" s="1">
        <f t="shared" si="94"/>
        <v>-4.9529181811948728</v>
      </c>
      <c r="G222" s="1" t="str">
        <f t="shared" si="95"/>
        <v>-0.0000813331225351912-3.7665440745454i</v>
      </c>
      <c r="H222" s="1">
        <f t="shared" si="77"/>
        <v>11.518861076690181</v>
      </c>
      <c r="I222" s="1">
        <f t="shared" si="78"/>
        <v>-90.00123722026423</v>
      </c>
      <c r="J222" s="83" t="str">
        <f t="shared" si="96"/>
        <v>-0.144234495715474+0.00800567620928328i</v>
      </c>
      <c r="K222" s="1">
        <f t="shared" si="79"/>
        <v>-16.805258190731017</v>
      </c>
      <c r="L222" s="1">
        <f t="shared" si="80"/>
        <v>176.823081148981</v>
      </c>
      <c r="M222" s="1">
        <f t="shared" si="97"/>
        <v>0.192</v>
      </c>
      <c r="N222" s="1">
        <f t="shared" si="98"/>
        <v>2.5000000000000001E-2</v>
      </c>
      <c r="O222" s="1" t="str">
        <f t="shared" si="99"/>
        <v>0.0257796049246797-0.24741204512434i</v>
      </c>
      <c r="P222" s="1">
        <f t="shared" si="81"/>
        <v>-12.084685880169612</v>
      </c>
      <c r="Q222" s="1">
        <f t="shared" si="82"/>
        <v>-84.051414872595771</v>
      </c>
      <c r="R222" s="1" t="str">
        <f t="shared" si="83"/>
        <v>-0.000338359712084725+0.00692201809949049i</v>
      </c>
      <c r="S222" s="1">
        <f t="shared" si="84"/>
        <v>-43.184980663706099</v>
      </c>
      <c r="T222" s="1">
        <f t="shared" si="85"/>
        <v>92.79848512488384</v>
      </c>
      <c r="U222" s="1" t="str">
        <f>IMPRODUCT(COMPLEX(-1,0),IMDIV(COMPLEX(1,C222*Calculations!$B$195*Calculations!$B$197),IMPRODUCT(COMPLEX(0,C222*Calculations!$B$184),COMPLEX((Calculations!$B$197+Calculations!$B$199),C222*Calculations!$B$195*Calculations!$B$197*Calculations!$B$199))))</f>
        <v>-0.114165305721475+0.387375247827565i</v>
      </c>
      <c r="V222" s="1">
        <f t="shared" si="86"/>
        <v>-7.8756388065491603</v>
      </c>
      <c r="W222" s="1">
        <f t="shared" si="87"/>
        <v>106.4210373567454</v>
      </c>
      <c r="X222" s="1" t="str">
        <f t="shared" si="88"/>
        <v>-0.00264278953678304-0.000921326489861599i</v>
      </c>
      <c r="Y222" s="1">
        <f t="shared" si="89"/>
        <v>-51.060619470255247</v>
      </c>
      <c r="Z222" s="1">
        <f t="shared" si="90"/>
        <v>-160.78047751837079</v>
      </c>
    </row>
    <row r="223" spans="1:26" ht="14.25" thickBot="1" x14ac:dyDescent="0.2">
      <c r="B223" s="98">
        <v>1000000</v>
      </c>
      <c r="C223" s="98">
        <f t="shared" si="91"/>
        <v>6283185.307179586</v>
      </c>
      <c r="D223" s="113" t="str">
        <f t="shared" si="92"/>
        <v>0.00319661443109143-0.00024931914030421i</v>
      </c>
      <c r="E223" s="98">
        <f t="shared" si="93"/>
        <v>-49.879855997386038</v>
      </c>
      <c r="F223" s="98">
        <f t="shared" si="94"/>
        <v>-4.4597414288275701</v>
      </c>
      <c r="G223" s="98" t="str">
        <f t="shared" si="95"/>
        <v>-0.0000658800638842756-3.38988782253987i</v>
      </c>
      <c r="H223" s="98">
        <f t="shared" si="77"/>
        <v>10.603706538811062</v>
      </c>
      <c r="I223" s="98">
        <f t="shared" si="78"/>
        <v>-90.001113502809446</v>
      </c>
      <c r="J223" s="113" t="str">
        <f t="shared" si="96"/>
        <v>-0.144160817578142+0.00720511547476471i</v>
      </c>
      <c r="K223" s="98">
        <f t="shared" si="79"/>
        <v>-16.812220243249637</v>
      </c>
      <c r="L223" s="98">
        <f t="shared" si="80"/>
        <v>177.13875455845681</v>
      </c>
      <c r="M223" s="98">
        <f t="shared" si="97"/>
        <v>0.192</v>
      </c>
      <c r="N223" s="98">
        <f t="shared" si="98"/>
        <v>2.5000000000000001E-2</v>
      </c>
      <c r="O223" s="98" t="str">
        <f t="shared" si="99"/>
        <v>0.0209250483543678-0.223130737442074i</v>
      </c>
      <c r="P223" s="98">
        <f t="shared" si="81"/>
        <v>-12.990784666508723</v>
      </c>
      <c r="Q223" s="98">
        <f t="shared" si="82"/>
        <v>-84.642509806308212</v>
      </c>
      <c r="R223" s="98" t="str">
        <f t="shared" si="83"/>
        <v>-0.000273620076582648+0.00622747232254941i</v>
      </c>
      <c r="S223" s="98">
        <f t="shared" si="84"/>
        <v>-44.105387858535956</v>
      </c>
      <c r="T223" s="98">
        <f t="shared" si="85"/>
        <v>92.515819910736013</v>
      </c>
      <c r="U223" s="98" t="str">
        <f>IMPRODUCT(COMPLEX(-1,0),IMDIV(COMPLEX(1,C223*Calculations!$B$195*Calculations!$B$197),IMPRODUCT(COMPLEX(0,C223*Calculations!$B$184),COMPLEX((Calculations!$B$197+Calculations!$B$199),C223*Calculations!$B$195*Calculations!$B$197*Calculations!$B$199))))</f>
        <v>-0.0939015176826526+0.354016290703384i</v>
      </c>
      <c r="V223" s="98">
        <f t="shared" si="86"/>
        <v>-8.7242541595977006</v>
      </c>
      <c r="W223" s="98">
        <f t="shared" si="87"/>
        <v>104.85541319243102</v>
      </c>
      <c r="X223" s="98" t="str">
        <f t="shared" si="88"/>
        <v>-0.00217893331162738-0.000681635066987868i</v>
      </c>
      <c r="Y223" s="98">
        <f t="shared" si="89"/>
        <v>-52.82964201813364</v>
      </c>
      <c r="Z223" s="98">
        <f t="shared" si="90"/>
        <v>-162.62876689683299</v>
      </c>
    </row>
    <row r="224" spans="1:26" x14ac:dyDescent="0.15">
      <c r="A224" s="82" t="s">
        <v>407</v>
      </c>
      <c r="B224" s="106">
        <f>Calculations!B189</f>
        <v>5500</v>
      </c>
      <c r="C224" s="107">
        <f t="shared" si="91"/>
        <v>34557.519189487721</v>
      </c>
      <c r="D224" s="108" t="str">
        <f t="shared" si="92"/>
        <v>0.00388144058769948-0.0453204042196489i</v>
      </c>
      <c r="E224" s="107">
        <f t="shared" si="93"/>
        <v>-26.842385396415768</v>
      </c>
      <c r="F224" s="107">
        <f t="shared" ref="F224" si="100">IMARGUMENT(D224)*(180/PI())</f>
        <v>-85.104880313037938</v>
      </c>
      <c r="G224" s="107" t="str">
        <f t="shared" si="95"/>
        <v>-0.882029486358291-667.488796509145i</v>
      </c>
      <c r="H224" s="107">
        <f t="shared" si="77"/>
        <v>56.488887196682654</v>
      </c>
      <c r="I224" s="107">
        <f t="shared" ref="I224" si="101">IMARGUMENT(G224)*(180/PI())</f>
        <v>-90.075711439389181</v>
      </c>
      <c r="J224" s="108" t="str">
        <f t="shared" si="96"/>
        <v>-11.3823269953437+1.09425481968458i</v>
      </c>
      <c r="K224" s="107">
        <f t="shared" si="79"/>
        <v>21.164575126764209</v>
      </c>
      <c r="L224" s="107">
        <f t="shared" ref="L224" si="102">IMARGUMENT(J224)*(180/PI())</f>
        <v>174.50867147089284</v>
      </c>
      <c r="M224" s="107">
        <f t="shared" si="97"/>
        <v>0.192</v>
      </c>
      <c r="N224" s="107">
        <f t="shared" si="98"/>
        <v>2.5000000000000001E-2</v>
      </c>
      <c r="O224" s="107" t="str">
        <f t="shared" si="99"/>
        <v>2.34457269516432-0.545414492319554i</v>
      </c>
      <c r="P224" s="107">
        <f t="shared" si="81"/>
        <v>7.6301582414766678</v>
      </c>
      <c r="Q224" s="107">
        <f t="shared" ref="Q224" si="103">IMARGUMENT(O224)*(180/PI())</f>
        <v>-13.09571898321216</v>
      </c>
      <c r="R224" s="107" t="str">
        <f t="shared" ref="R224" si="104">IMDIV(IMPRODUCT(O224,J224,COMPLEX(M224,0)),IMSUM(COMPLEX(1,0),IMPRODUCT(G224,O224,COMPLEX(M224,0),COMPLEX(N224,0))))</f>
        <v>-0.155459923209452-0.68272849260987i</v>
      </c>
      <c r="S224" s="107">
        <f t="shared" si="84"/>
        <v>-3.0955052339050706</v>
      </c>
      <c r="T224" s="107">
        <f t="shared" ref="T224" si="105">IMARGUMENT(R224)*(180/PI())</f>
        <v>-102.82775350249244</v>
      </c>
      <c r="U224" s="8" t="str">
        <f>IMPRODUCT(COMPLEX(-1,0),IMDIV(COMPLEX(1,C224*Calculations!$B$195*Calculations!$B$197),IMPRODUCT(COMPLEX(0,C224*Calculations!$B$184),COMPLEX((Calculations!$B$197+Calculations!$B$199),C224*Calculations!$B$195*Calculations!$B$197*Calculations!$B$199))))</f>
        <v>-1.42613712212177+0.0735009434846365i</v>
      </c>
      <c r="V224" s="8">
        <f t="shared" si="86"/>
        <v>3.0947461952574966</v>
      </c>
      <c r="W224" s="8">
        <f t="shared" si="87"/>
        <v>177.04967284211367</v>
      </c>
      <c r="X224" s="8" t="str">
        <f t="shared" si="88"/>
        <v>0.271888355841868+0.96223799661123i</v>
      </c>
      <c r="Y224" s="8">
        <f t="shared" si="89"/>
        <v>-7.5903864757623685E-4</v>
      </c>
      <c r="Z224" s="9">
        <f t="shared" si="90"/>
        <v>74.221919339621223</v>
      </c>
    </row>
    <row r="225" spans="1:26" x14ac:dyDescent="0.15">
      <c r="A225" t="s">
        <v>449</v>
      </c>
      <c r="B225" s="114">
        <f>Calculations!B200</f>
        <v>169.31376924669715</v>
      </c>
      <c r="C225" s="92">
        <f t="shared" si="91"/>
        <v>1063.8297872340424</v>
      </c>
      <c r="D225" s="93" t="str">
        <f t="shared" si="92"/>
        <v>0.585670663072903-1.18660583389863i</v>
      </c>
      <c r="E225" s="92">
        <f t="shared" si="93"/>
        <v>2.4329694270017899</v>
      </c>
      <c r="F225" s="92">
        <f t="shared" ref="F225:F228" si="106">IMARGUMENT(D225)*(180/PI())</f>
        <v>-63.730528036324209</v>
      </c>
      <c r="G225" s="92" t="str">
        <f t="shared" si="95"/>
        <v>248.68333731652+248.133621275278i</v>
      </c>
      <c r="H225" s="92">
        <f t="shared" si="77"/>
        <v>50.913633597191094</v>
      </c>
      <c r="I225" s="92">
        <f t="shared" ref="I225:I228" si="107">IMARGUMENT(G225)*(180/PI())</f>
        <v>44.936603620920032</v>
      </c>
      <c r="J225" s="93" t="str">
        <f t="shared" si="96"/>
        <v>136.641849899104-2.0170510502391i</v>
      </c>
      <c r="K225" s="92">
        <f t="shared" si="79"/>
        <v>42.712620904300124</v>
      </c>
      <c r="L225" s="92">
        <f t="shared" ref="L225:L228" si="108">IMARGUMENT(J225)*(180/PI())</f>
        <v>-0.84571541677702566</v>
      </c>
      <c r="M225" s="92">
        <f t="shared" si="97"/>
        <v>0.192</v>
      </c>
      <c r="N225" s="92">
        <f t="shared" si="98"/>
        <v>2.5000000000000001E-2</v>
      </c>
      <c r="O225" s="92" t="str">
        <f t="shared" si="99"/>
        <v>2.35246773325933-13.2998196862302i</v>
      </c>
      <c r="P225" s="92">
        <f t="shared" si="81"/>
        <v>22.610708042071078</v>
      </c>
      <c r="Q225" s="92">
        <f t="shared" ref="Q225:Q228" si="109">IMARGUMENT(O225)*(180/PI())</f>
        <v>-79.969290944140894</v>
      </c>
      <c r="R225" s="92" t="str">
        <f t="shared" ref="R225:R228" si="110">IMDIV(IMPRODUCT(O225,J225,COMPLEX(M225,0)),IMSUM(COMPLEX(1,0),IMPRODUCT(G225,O225,COMPLEX(M225,0),COMPLEX(N225,0))))</f>
        <v>10.2067780407493-11.0130855319385i</v>
      </c>
      <c r="S225" s="92">
        <f t="shared" si="84"/>
        <v>23.530817745124626</v>
      </c>
      <c r="T225" s="92">
        <f t="shared" ref="T225:T228" si="111">IMARGUMENT(R225)*(180/PI())</f>
        <v>-47.176064953627346</v>
      </c>
      <c r="U225" s="1" t="str">
        <f>IMPRODUCT(COMPLEX(-1,0),IMDIV(COMPLEX(1,C225*Calculations!$B$195*Calculations!$B$197),IMPRODUCT(COMPLEX(0,C225*Calculations!$B$184),COMPLEX((Calculations!$B$197+Calculations!$B$199),C225*Calculations!$B$195*Calculations!$B$197*Calculations!$B$199))))</f>
        <v>-1.42674888443286+1.42857026598746i</v>
      </c>
      <c r="V225" s="1">
        <f t="shared" si="86"/>
        <v>6.1027949729837649</v>
      </c>
      <c r="W225" s="1">
        <f t="shared" ref="W225:W228" si="112">IMARGUMENT(U225)*(180/PI())</f>
        <v>134.96345155959477</v>
      </c>
      <c r="X225" s="1" t="str">
        <f t="shared" ref="X225:X228" si="113">IMPRODUCT(U225,R225)</f>
        <v>1.17045734441115+30.2940071174051i</v>
      </c>
      <c r="Y225" s="1">
        <f t="shared" si="89"/>
        <v>29.633612718108388</v>
      </c>
      <c r="Z225" s="6">
        <f t="shared" ref="Z225:Z228" si="114">IMARGUMENT(X225)*(180/PI())</f>
        <v>87.787386605967441</v>
      </c>
    </row>
    <row r="226" spans="1:26" x14ac:dyDescent="0.15">
      <c r="A226" t="s">
        <v>450</v>
      </c>
      <c r="B226" s="27">
        <f>Calculations!B201</f>
        <v>265258.23848649225</v>
      </c>
      <c r="C226" s="92">
        <f t="shared" si="91"/>
        <v>1666666.6666666667</v>
      </c>
      <c r="D226" s="93" t="str">
        <f t="shared" si="92"/>
        <v>0.00319688820629434-0.000939910929714524i</v>
      </c>
      <c r="E226" s="92">
        <f t="shared" si="93"/>
        <v>-49.545390564521469</v>
      </c>
      <c r="F226" s="92">
        <f t="shared" si="106"/>
        <v>-16.383761694445827</v>
      </c>
      <c r="G226" s="92" t="str">
        <f t="shared" si="95"/>
        <v>-0.000936114804883411-12.7799677055682i</v>
      </c>
      <c r="H226" s="92">
        <f t="shared" si="77"/>
        <v>22.130595150905187</v>
      </c>
      <c r="I226" s="92">
        <f t="shared" si="107"/>
        <v>-90.004196835907507</v>
      </c>
      <c r="J226" s="93" t="str">
        <f t="shared" si="96"/>
        <v>-0.148310923425166+0.0271611830166701i</v>
      </c>
      <c r="K226" s="92">
        <f t="shared" si="79"/>
        <v>-16.433268212936817</v>
      </c>
      <c r="L226" s="92">
        <f t="shared" si="108"/>
        <v>169.62203875642226</v>
      </c>
      <c r="M226" s="92">
        <f t="shared" si="97"/>
        <v>0.192</v>
      </c>
      <c r="N226" s="92">
        <f t="shared" si="98"/>
        <v>2.5000000000000001E-2</v>
      </c>
      <c r="O226" s="92" t="str">
        <f t="shared" si="99"/>
        <v>0.2661171094485-0.753614469397808i</v>
      </c>
      <c r="P226" s="92">
        <f t="shared" si="81"/>
        <v>-1.9466698972004679</v>
      </c>
      <c r="Q226" s="92">
        <f t="shared" si="109"/>
        <v>-70.550802855912551</v>
      </c>
      <c r="R226" s="92" t="str">
        <f t="shared" si="110"/>
        <v>-0.00423331255510678+0.0238824982916912i</v>
      </c>
      <c r="S226" s="92">
        <f t="shared" si="84"/>
        <v>-32.304050938388663</v>
      </c>
      <c r="T226" s="92">
        <f t="shared" si="111"/>
        <v>100.05160733763795</v>
      </c>
      <c r="U226" s="1" t="str">
        <f>IMPRODUCT(COMPLEX(-1,0),IMDIV(COMPLEX(1,C226*Calculations!$B$195*Calculations!$B$197),IMPRODUCT(COMPLEX(0,C226*Calculations!$B$184),COMPLEX((Calculations!$B$197+Calculations!$B$199),C226*Calculations!$B$195*Calculations!$B$197*Calculations!$B$199))))</f>
        <v>-0.713829932742646+0.714285859701499i</v>
      </c>
      <c r="V226" s="1">
        <f t="shared" si="86"/>
        <v>8.4968920245855617E-2</v>
      </c>
      <c r="W226" s="1">
        <f t="shared" si="112"/>
        <v>134.98170828320838</v>
      </c>
      <c r="X226" s="1" t="str">
        <f t="shared" si="113"/>
        <v>-0.0140370656076098-0.0200718374470939i</v>
      </c>
      <c r="Y226" s="1">
        <f t="shared" si="89"/>
        <v>-32.219082018142792</v>
      </c>
      <c r="Z226" s="6">
        <f t="shared" si="114"/>
        <v>-124.96668437915375</v>
      </c>
    </row>
    <row r="227" spans="1:26" x14ac:dyDescent="0.15">
      <c r="A227" t="s">
        <v>451</v>
      </c>
      <c r="B227" s="27">
        <f>Calculations!B186</f>
        <v>166.40061554034898</v>
      </c>
      <c r="C227" s="92">
        <f t="shared" si="91"/>
        <v>1045.5259026687597</v>
      </c>
      <c r="D227" s="93" t="str">
        <f t="shared" si="92"/>
        <v>0.602136163481202-1.19915559955401i</v>
      </c>
      <c r="E227" s="92">
        <f t="shared" si="93"/>
        <v>2.5540328316203906</v>
      </c>
      <c r="F227" s="92">
        <f t="shared" si="106"/>
        <v>-63.337241192757453</v>
      </c>
      <c r="G227" s="92" t="str">
        <f t="shared" si="95"/>
        <v>248.484212305243+243.762258691387i</v>
      </c>
      <c r="H227" s="92">
        <f t="shared" si="77"/>
        <v>50.833751884782018</v>
      </c>
      <c r="I227" s="92">
        <f t="shared" si="107"/>
        <v>44.450397857584861</v>
      </c>
      <c r="J227" s="93" t="str">
        <f t="shared" si="96"/>
        <v>136.584173863775-1.98088480461901i</v>
      </c>
      <c r="K227" s="92">
        <f t="shared" si="79"/>
        <v>42.708920993187704</v>
      </c>
      <c r="L227" s="92">
        <f t="shared" si="108"/>
        <v>-0.83090433737711378</v>
      </c>
      <c r="M227" s="92">
        <f t="shared" si="97"/>
        <v>0.192</v>
      </c>
      <c r="N227" s="92">
        <f t="shared" si="98"/>
        <v>2.5000000000000001E-2</v>
      </c>
      <c r="O227" s="92" t="str">
        <f t="shared" si="99"/>
        <v>2.35246798960971-13.5325119362603i</v>
      </c>
      <c r="P227" s="92">
        <f t="shared" si="81"/>
        <v>22.756867013834608</v>
      </c>
      <c r="Q227" s="92">
        <f t="shared" si="109"/>
        <v>-80.138353487913378</v>
      </c>
      <c r="R227" s="92" t="str">
        <f t="shared" si="110"/>
        <v>10.396599590444-11.0278531923366i</v>
      </c>
      <c r="S227" s="92">
        <f t="shared" si="84"/>
        <v>23.611663441041269</v>
      </c>
      <c r="T227" s="92">
        <f t="shared" si="111"/>
        <v>-46.687684007514939</v>
      </c>
      <c r="U227" s="1" t="str">
        <f>IMPRODUCT(COMPLEX(-1,0),IMDIV(COMPLEX(1,C227*Calculations!$B$195*Calculations!$B$197),IMPRODUCT(COMPLEX(0,C227*Calculations!$B$184),COMPLEX((Calculations!$B$197+Calculations!$B$199),C227*Calculations!$B$195*Calculations!$B$197*Calculations!$B$199))))</f>
        <v>-1.4267489042385+1.45354846568389i</v>
      </c>
      <c r="V227" s="1">
        <f t="shared" si="86"/>
        <v>6.178822564251182</v>
      </c>
      <c r="W227" s="1">
        <f t="shared" si="112"/>
        <v>134.4669100936805</v>
      </c>
      <c r="X227" s="1" t="str">
        <f t="shared" si="113"/>
        <v>1.19618201403564+30.8459388412889i</v>
      </c>
      <c r="Y227" s="1">
        <f t="shared" si="89"/>
        <v>29.790486005292443</v>
      </c>
      <c r="Z227" s="6">
        <f t="shared" si="114"/>
        <v>87.779226086165551</v>
      </c>
    </row>
    <row r="228" spans="1:26" ht="14.25" thickBot="1" x14ac:dyDescent="0.2">
      <c r="A228" t="s">
        <v>452</v>
      </c>
      <c r="B228" s="28">
        <f>Calculations!B187</f>
        <v>27842.708720567978</v>
      </c>
      <c r="C228" s="94">
        <f t="shared" si="91"/>
        <v>174940.89834515366</v>
      </c>
      <c r="D228" s="109" t="str">
        <f t="shared" si="92"/>
        <v>0.00322332323103807-0.00895447792064477i</v>
      </c>
      <c r="E228" s="94">
        <f t="shared" si="93"/>
        <v>-40.430037046285115</v>
      </c>
      <c r="F228" s="94">
        <f t="shared" si="106"/>
        <v>-70.20275967071349</v>
      </c>
      <c r="G228" s="94" t="str">
        <f t="shared" si="95"/>
        <v>-0.0833089508320889-122.116488926703i</v>
      </c>
      <c r="H228" s="94">
        <f t="shared" si="77"/>
        <v>41.735488202090579</v>
      </c>
      <c r="I228" s="94">
        <f t="shared" si="107"/>
        <v>-90.039087682423471</v>
      </c>
      <c r="J228" s="109" t="str">
        <f t="shared" si="96"/>
        <v>-0.550231114475715+0.257409716191403i</v>
      </c>
      <c r="K228" s="94">
        <f t="shared" si="79"/>
        <v>-4.3295710821822286</v>
      </c>
      <c r="L228" s="94">
        <f t="shared" si="108"/>
        <v>154.92881587032056</v>
      </c>
      <c r="M228" s="94">
        <f t="shared" si="97"/>
        <v>0.192</v>
      </c>
      <c r="N228" s="94">
        <f t="shared" si="98"/>
        <v>2.5000000000000001E-2</v>
      </c>
      <c r="O228" s="94" t="str">
        <f t="shared" si="99"/>
        <v>2.16543049978029-0.717273274166817i</v>
      </c>
      <c r="P228" s="94">
        <f t="shared" si="81"/>
        <v>7.1630141782443761</v>
      </c>
      <c r="Q228" s="94">
        <f t="shared" si="109"/>
        <v>-18.326842295357249</v>
      </c>
      <c r="R228" s="94" t="str">
        <f t="shared" si="110"/>
        <v>-0.176759198782896-0.071730362217735i</v>
      </c>
      <c r="S228" s="94">
        <f t="shared" si="84"/>
        <v>-14.39029172267581</v>
      </c>
      <c r="T228" s="94">
        <f t="shared" si="111"/>
        <v>-157.91227407896017</v>
      </c>
      <c r="U228" s="87" t="str">
        <f>IMPRODUCT(COMPLEX(-1,0),IMDIV(COMPLEX(1,C228*Calculations!$B$195*Calculations!$B$197),IMPRODUCT(COMPLEX(0,C228*Calculations!$B$184),COMPLEX((Calculations!$B$197+Calculations!$B$199),C228*Calculations!$B$195*Calculations!$B$197*Calculations!$B$199))))</f>
        <v>-1.41122108957416+0.156715398685953i</v>
      </c>
      <c r="V228" s="87">
        <f t="shared" si="86"/>
        <v>3.045130777231106</v>
      </c>
      <c r="W228" s="87">
        <f t="shared" si="112"/>
        <v>173.66329519261814</v>
      </c>
      <c r="X228" s="87" t="str">
        <f t="shared" si="113"/>
        <v>0.260687561411494+0.07352651161579i</v>
      </c>
      <c r="Y228" s="87">
        <f t="shared" si="89"/>
        <v>-11.345160945444707</v>
      </c>
      <c r="Z228" s="88">
        <f t="shared" si="114"/>
        <v>15.751021113657984</v>
      </c>
    </row>
  </sheetData>
  <mergeCells count="47">
    <mergeCell ref="X167:Z167"/>
    <mergeCell ref="G77:I77"/>
    <mergeCell ref="M77:N77"/>
    <mergeCell ref="D76:T76"/>
    <mergeCell ref="O77:Q77"/>
    <mergeCell ref="R77:T77"/>
    <mergeCell ref="U77:W77"/>
    <mergeCell ref="R167:T167"/>
    <mergeCell ref="M166:N166"/>
    <mergeCell ref="O166:Q166"/>
    <mergeCell ref="R166:T166"/>
    <mergeCell ref="U167:W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BR167:BT167"/>
    <mergeCell ref="BU167:BW167"/>
    <mergeCell ref="BX167:BZ167"/>
    <mergeCell ref="CD166:CO166"/>
    <mergeCell ref="CA167:CC167"/>
    <mergeCell ref="CD167:CF167"/>
    <mergeCell ref="CG167:CI167"/>
    <mergeCell ref="CJ167:CL167"/>
    <mergeCell ref="CM167:CO167"/>
    <mergeCell ref="BC167:BE167"/>
    <mergeCell ref="BF167:BH167"/>
    <mergeCell ref="BI167:BK167"/>
    <mergeCell ref="BL167:BN167"/>
    <mergeCell ref="BO167:BQ167"/>
    <mergeCell ref="B76:C77"/>
    <mergeCell ref="D77:F77"/>
    <mergeCell ref="J77:L77"/>
    <mergeCell ref="BC166:BN166"/>
    <mergeCell ref="BO166:BZ166"/>
  </mergeCells>
  <phoneticPr fontId="30"/>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defaultColWidth="8.875" defaultRowHeight="13.5" x14ac:dyDescent="0.15"/>
  <sheetData/>
  <phoneticPr fontId="30"/>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defaultColWidth="8.875" defaultRowHeight="13.5" x14ac:dyDescent="0.15"/>
  <cols>
    <col min="1" max="1" width="34.625" style="12" customWidth="1"/>
    <col min="2" max="2" width="9.125" style="5"/>
    <col min="3" max="3" width="12" style="1" bestFit="1" customWidth="1"/>
    <col min="4" max="4" width="9.125" style="6"/>
    <col min="5" max="5" width="9.125" style="13"/>
  </cols>
  <sheetData>
    <row r="1" spans="1:9" x14ac:dyDescent="0.15">
      <c r="A1" s="10" t="s">
        <v>17</v>
      </c>
      <c r="B1" s="7" t="s">
        <v>18</v>
      </c>
      <c r="C1" s="8" t="s">
        <v>19</v>
      </c>
      <c r="D1" s="9" t="s">
        <v>20</v>
      </c>
      <c r="E1" s="11" t="s">
        <v>21</v>
      </c>
    </row>
    <row r="2" spans="1:9" x14ac:dyDescent="0.15">
      <c r="A2" s="220" t="s">
        <v>91</v>
      </c>
      <c r="B2" s="201"/>
      <c r="C2" s="201"/>
      <c r="D2" s="201"/>
      <c r="E2" s="221"/>
    </row>
    <row r="3" spans="1:9" x14ac:dyDescent="0.15">
      <c r="A3" s="12" t="s">
        <v>22</v>
      </c>
      <c r="C3" s="1">
        <f>200*(10^-9)</f>
        <v>2.0000000000000002E-7</v>
      </c>
      <c r="E3" s="13" t="s">
        <v>23</v>
      </c>
    </row>
    <row r="4" spans="1:9" x14ac:dyDescent="0.15">
      <c r="A4" s="12" t="s">
        <v>41</v>
      </c>
      <c r="C4" s="1">
        <f>1*10^-3</f>
        <v>1E-3</v>
      </c>
      <c r="E4" s="13" t="s">
        <v>42</v>
      </c>
    </row>
    <row r="5" spans="1:9" x14ac:dyDescent="0.15">
      <c r="A5" s="12" t="s">
        <v>43</v>
      </c>
      <c r="C5" s="1">
        <v>50</v>
      </c>
      <c r="E5" s="13" t="s">
        <v>42</v>
      </c>
    </row>
    <row r="6" spans="1:9" x14ac:dyDescent="0.15">
      <c r="A6" s="12" t="s">
        <v>185</v>
      </c>
      <c r="C6" s="1">
        <v>0.05</v>
      </c>
      <c r="E6" s="13" t="s">
        <v>1</v>
      </c>
    </row>
    <row r="7" spans="1:9" x14ac:dyDescent="0.15">
      <c r="A7" s="12" t="s">
        <v>46</v>
      </c>
      <c r="C7" s="1">
        <v>0.02</v>
      </c>
      <c r="E7" s="13" t="s">
        <v>42</v>
      </c>
    </row>
    <row r="8" spans="1:9" x14ac:dyDescent="0.15">
      <c r="A8" s="12" t="s">
        <v>47</v>
      </c>
      <c r="C8" s="1">
        <v>6.25E-2</v>
      </c>
      <c r="E8" s="13" t="s">
        <v>42</v>
      </c>
    </row>
    <row r="9" spans="1:9" x14ac:dyDescent="0.15">
      <c r="A9" s="12" t="s">
        <v>64</v>
      </c>
      <c r="C9" s="1">
        <f>100*10^3</f>
        <v>100000</v>
      </c>
      <c r="E9" s="13" t="s">
        <v>56</v>
      </c>
    </row>
    <row r="10" spans="1:9" x14ac:dyDescent="0.15">
      <c r="A10" s="12" t="s">
        <v>45</v>
      </c>
      <c r="C10" s="1">
        <v>1.23</v>
      </c>
      <c r="E10" s="13" t="s">
        <v>1</v>
      </c>
      <c r="I10" t="s">
        <v>70</v>
      </c>
    </row>
    <row r="11" spans="1:9" x14ac:dyDescent="0.15">
      <c r="A11" s="12" t="s">
        <v>69</v>
      </c>
      <c r="C11" s="1">
        <v>2.5</v>
      </c>
      <c r="E11" s="13" t="s">
        <v>1</v>
      </c>
    </row>
    <row r="12" spans="1:9" x14ac:dyDescent="0.15">
      <c r="A12" s="12" t="s">
        <v>66</v>
      </c>
      <c r="C12" s="1">
        <v>1.25</v>
      </c>
      <c r="E12" s="13" t="s">
        <v>1</v>
      </c>
    </row>
    <row r="13" spans="1:9" x14ac:dyDescent="0.15">
      <c r="A13" s="12" t="s">
        <v>180</v>
      </c>
      <c r="C13" s="1">
        <f>25*(10^-6)</f>
        <v>2.4999999999999998E-5</v>
      </c>
      <c r="E13" s="13" t="s">
        <v>4</v>
      </c>
    </row>
    <row r="14" spans="1:9" x14ac:dyDescent="0.15">
      <c r="A14" s="12" t="s">
        <v>65</v>
      </c>
      <c r="C14" s="1">
        <v>8</v>
      </c>
      <c r="E14" s="13" t="s">
        <v>1</v>
      </c>
    </row>
    <row r="15" spans="1:9" x14ac:dyDescent="0.15">
      <c r="A15" s="12" t="s">
        <v>48</v>
      </c>
      <c r="C15" s="1">
        <f>25*(10^-6)</f>
        <v>2.4999999999999998E-5</v>
      </c>
      <c r="E15" s="13" t="s">
        <v>4</v>
      </c>
    </row>
    <row r="16" spans="1:9" x14ac:dyDescent="0.15">
      <c r="A16" s="12" t="s">
        <v>49</v>
      </c>
      <c r="C16" s="1">
        <v>200</v>
      </c>
      <c r="E16" s="13" t="s">
        <v>50</v>
      </c>
    </row>
    <row r="17" spans="1:5" x14ac:dyDescent="0.15">
      <c r="A17" s="12" t="s">
        <v>53</v>
      </c>
      <c r="C17" s="1">
        <f>4*(10^9)</f>
        <v>4000000000</v>
      </c>
      <c r="E17" s="13" t="s">
        <v>51</v>
      </c>
    </row>
    <row r="18" spans="1:5" x14ac:dyDescent="0.15">
      <c r="A18" s="12" t="s">
        <v>52</v>
      </c>
      <c r="C18" s="1">
        <v>1.1850000000000001</v>
      </c>
      <c r="E18" s="13" t="s">
        <v>1</v>
      </c>
    </row>
    <row r="19" spans="1:5" x14ac:dyDescent="0.15">
      <c r="A19" s="12" t="s">
        <v>54</v>
      </c>
      <c r="C19" s="1">
        <f>3*10^6</f>
        <v>3000000</v>
      </c>
      <c r="E19" s="13" t="s">
        <v>56</v>
      </c>
    </row>
    <row r="20" spans="1:5" x14ac:dyDescent="0.15">
      <c r="A20" s="12" t="s">
        <v>55</v>
      </c>
      <c r="C20" s="1">
        <f>1*10^6</f>
        <v>1000000</v>
      </c>
      <c r="E20" s="13" t="s">
        <v>56</v>
      </c>
    </row>
    <row r="21" spans="1:5" x14ac:dyDescent="0.15">
      <c r="A21" s="12" t="s">
        <v>57</v>
      </c>
      <c r="C21" s="1">
        <f>25*(10^-6)</f>
        <v>2.4999999999999998E-5</v>
      </c>
      <c r="E21" s="13" t="s">
        <v>4</v>
      </c>
    </row>
    <row r="22" spans="1:5" x14ac:dyDescent="0.15">
      <c r="A22" s="12" t="s">
        <v>63</v>
      </c>
      <c r="C22" s="1">
        <f>1.1*(10^-6)</f>
        <v>1.1000000000000001E-6</v>
      </c>
      <c r="E22" s="13" t="s">
        <v>4</v>
      </c>
    </row>
    <row r="23" spans="1:5" x14ac:dyDescent="0.15">
      <c r="A23" s="12" t="s">
        <v>62</v>
      </c>
      <c r="C23" s="1">
        <f>3*10^-3</f>
        <v>3.0000000000000001E-3</v>
      </c>
      <c r="E23" s="13" t="s">
        <v>1</v>
      </c>
    </row>
    <row r="24" spans="1:5" x14ac:dyDescent="0.15">
      <c r="A24" s="12" t="s">
        <v>58</v>
      </c>
      <c r="C24" s="1">
        <f>10*10^3</f>
        <v>10000</v>
      </c>
      <c r="E24" s="13" t="s">
        <v>56</v>
      </c>
    </row>
    <row r="25" spans="1:5" x14ac:dyDescent="0.15">
      <c r="A25" s="12" t="s">
        <v>59</v>
      </c>
      <c r="C25" s="1">
        <f>50*10^3</f>
        <v>50000</v>
      </c>
      <c r="E25" s="13" t="s">
        <v>56</v>
      </c>
    </row>
    <row r="26" spans="1:5" x14ac:dyDescent="0.15">
      <c r="A26" s="12" t="s">
        <v>60</v>
      </c>
      <c r="C26" s="1">
        <f>4*(10^-12)</f>
        <v>3.9999999999999999E-12</v>
      </c>
      <c r="E26" s="13" t="s">
        <v>61</v>
      </c>
    </row>
    <row r="27" spans="1:5" x14ac:dyDescent="0.15">
      <c r="A27" s="12" t="s">
        <v>230</v>
      </c>
      <c r="C27" s="1">
        <f>16*(10^-9)</f>
        <v>1.6000000000000001E-8</v>
      </c>
      <c r="E27" s="13" t="s">
        <v>23</v>
      </c>
    </row>
    <row r="28" spans="1:5" x14ac:dyDescent="0.15">
      <c r="A28" s="12" t="s">
        <v>68</v>
      </c>
      <c r="C28" s="1">
        <v>1.5</v>
      </c>
      <c r="E28" s="13" t="s">
        <v>1</v>
      </c>
    </row>
    <row r="29" spans="1:5" x14ac:dyDescent="0.15">
      <c r="A29" s="12" t="s">
        <v>235</v>
      </c>
      <c r="C29" s="1">
        <f>36*(10^-9)</f>
        <v>3.6000000000000005E-8</v>
      </c>
      <c r="E29" s="13" t="s">
        <v>23</v>
      </c>
    </row>
    <row r="30" spans="1:5" x14ac:dyDescent="0.15">
      <c r="A30" s="12" t="s">
        <v>236</v>
      </c>
      <c r="C30" s="1">
        <f>41*(10^-9)</f>
        <v>4.1000000000000003E-8</v>
      </c>
      <c r="E30" s="13" t="s">
        <v>23</v>
      </c>
    </row>
    <row r="31" spans="1:5" x14ac:dyDescent="0.15">
      <c r="A31" s="12" t="s">
        <v>248</v>
      </c>
      <c r="C31" s="1">
        <f>15*(10^-9)</f>
        <v>1.5000000000000002E-8</v>
      </c>
      <c r="E31" s="13" t="s">
        <v>23</v>
      </c>
    </row>
    <row r="32" spans="1:5" x14ac:dyDescent="0.15">
      <c r="A32" s="12" t="s">
        <v>249</v>
      </c>
      <c r="C32" s="1">
        <f>200*(10^-9)</f>
        <v>2.0000000000000002E-7</v>
      </c>
      <c r="E32" s="13" t="s">
        <v>23</v>
      </c>
    </row>
    <row r="33" spans="1:5" x14ac:dyDescent="0.15">
      <c r="A33" s="12" t="s">
        <v>67</v>
      </c>
      <c r="C33" s="1">
        <f>25*(10^-6)</f>
        <v>2.4999999999999998E-5</v>
      </c>
      <c r="E33" s="13" t="s">
        <v>4</v>
      </c>
    </row>
    <row r="34" spans="1:5" x14ac:dyDescent="0.15">
      <c r="A34" s="12" t="s">
        <v>159</v>
      </c>
      <c r="C34" s="1">
        <v>5</v>
      </c>
      <c r="E34" s="13" t="s">
        <v>1</v>
      </c>
    </row>
    <row r="36" spans="1:5" x14ac:dyDescent="0.15">
      <c r="A36" s="12" t="s">
        <v>92</v>
      </c>
      <c r="B36" s="5">
        <v>0</v>
      </c>
      <c r="D36" s="6">
        <v>42</v>
      </c>
      <c r="E36" s="13" t="s">
        <v>1</v>
      </c>
    </row>
    <row r="37" spans="1:5" x14ac:dyDescent="0.15">
      <c r="A37" s="12" t="s">
        <v>93</v>
      </c>
      <c r="B37" s="5">
        <v>3</v>
      </c>
      <c r="D37" s="6">
        <v>42</v>
      </c>
      <c r="E37" s="13" t="s">
        <v>1</v>
      </c>
    </row>
    <row r="38" spans="1:5" x14ac:dyDescent="0.15">
      <c r="A38" s="12" t="s">
        <v>94</v>
      </c>
      <c r="B38" s="5">
        <v>6</v>
      </c>
      <c r="D38" s="6">
        <v>80</v>
      </c>
      <c r="E38" s="13" t="s">
        <v>1</v>
      </c>
    </row>
    <row r="39" spans="1:5" x14ac:dyDescent="0.15">
      <c r="A39" s="12" t="s">
        <v>95</v>
      </c>
      <c r="B39" s="5">
        <v>50000</v>
      </c>
      <c r="D39" s="6">
        <v>500000</v>
      </c>
      <c r="E39" s="13" t="s">
        <v>87</v>
      </c>
    </row>
    <row r="40" spans="1:5" x14ac:dyDescent="0.15">
      <c r="A40" s="12" t="s">
        <v>96</v>
      </c>
      <c r="B40" s="5">
        <v>15</v>
      </c>
      <c r="D40" s="6">
        <v>200</v>
      </c>
      <c r="E40" s="13" t="s">
        <v>97</v>
      </c>
    </row>
    <row r="43" spans="1:5" x14ac:dyDescent="0.15">
      <c r="A43" s="12" t="s">
        <v>105</v>
      </c>
      <c r="C43" s="1">
        <v>14</v>
      </c>
      <c r="E43" s="13" t="s">
        <v>1</v>
      </c>
    </row>
    <row r="44" spans="1:5" x14ac:dyDescent="0.15">
      <c r="A44" s="12" t="s">
        <v>106</v>
      </c>
      <c r="C44" s="1">
        <v>0.625</v>
      </c>
      <c r="E44" s="13" t="s">
        <v>1</v>
      </c>
    </row>
    <row r="46" spans="1:5" x14ac:dyDescent="0.15">
      <c r="A46" s="12" t="s">
        <v>116</v>
      </c>
      <c r="C46" s="1">
        <v>2.5</v>
      </c>
      <c r="E46" s="13" t="s">
        <v>1</v>
      </c>
    </row>
    <row r="48" spans="1:5" x14ac:dyDescent="0.15">
      <c r="A48" s="12" t="s">
        <v>187</v>
      </c>
      <c r="C48" s="1">
        <f>3.3</f>
        <v>3.3</v>
      </c>
      <c r="E48" s="13" t="s">
        <v>1</v>
      </c>
    </row>
  </sheetData>
  <autoFilter ref="A1:E33" xr:uid="{00000000-0009-0000-0000-000004000000}"/>
  <mergeCells count="1">
    <mergeCell ref="A2:E2"/>
  </mergeCells>
  <phoneticPr fontId="3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defaultColWidth="8.875" defaultRowHeight="13.5" x14ac:dyDescent="0.15"/>
  <sheetData>
    <row r="1" spans="1:7" x14ac:dyDescent="0.15">
      <c r="A1" t="s">
        <v>171</v>
      </c>
      <c r="C1" t="s">
        <v>221</v>
      </c>
      <c r="E1" t="s">
        <v>189</v>
      </c>
      <c r="G1" t="s">
        <v>96</v>
      </c>
    </row>
    <row r="2" spans="1:7" ht="15" x14ac:dyDescent="0.25">
      <c r="A2" s="43" t="s">
        <v>172</v>
      </c>
      <c r="C2" t="s">
        <v>222</v>
      </c>
      <c r="E2">
        <v>1.8</v>
      </c>
      <c r="G2" t="s">
        <v>225</v>
      </c>
    </row>
    <row r="3" spans="1:7" x14ac:dyDescent="0.15">
      <c r="A3" t="s">
        <v>173</v>
      </c>
      <c r="C3" t="s">
        <v>312</v>
      </c>
      <c r="E3">
        <v>3.3</v>
      </c>
      <c r="G3" t="s">
        <v>226</v>
      </c>
    </row>
  </sheetData>
  <phoneticPr fontId="3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defaultColWidth="8.875" defaultRowHeight="13.5" x14ac:dyDescent="0.15"/>
  <cols>
    <col min="2" max="2" width="137.375" customWidth="1"/>
  </cols>
  <sheetData>
    <row r="1" spans="1:1" x14ac:dyDescent="0.15">
      <c r="A1" t="s">
        <v>126</v>
      </c>
    </row>
    <row r="2" spans="1:1" x14ac:dyDescent="0.15">
      <c r="A2" t="str">
        <f>"schematic_1"</f>
        <v>schematic_1</v>
      </c>
    </row>
    <row r="4" spans="1:1" ht="343.5" customHeight="1" x14ac:dyDescent="0.15"/>
  </sheetData>
  <phoneticPr fontId="30"/>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2025-06-11T15:17:47Z</dcterms:modified>
</cp:coreProperties>
</file>
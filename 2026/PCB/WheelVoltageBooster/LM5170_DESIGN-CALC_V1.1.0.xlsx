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08"/>
  <workbookPr codeName="ThisWorkbook" defaultThemeVersion="124226"/>
  <mc:AlternateContent xmlns:mc="http://schemas.openxmlformats.org/markup-compatibility/2006">
    <mc:Choice Requires="x15">
      <x15ac:absPath xmlns:x15ac="http://schemas.microsoft.com/office/spreadsheetml/2010/11/ac" url="/Users/tsukigake/Documents/GitHub/ssl-Circuit/2026/PCB/WheelVoltageBooster/"/>
    </mc:Choice>
  </mc:AlternateContent>
  <xr:revisionPtr revIDLastSave="0" documentId="13_ncr:1_{4C807EAC-8641-CE49-81E6-66402B643891}"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rgb="FF000000"/>
            <rFont val="Tahoma"/>
            <family val="2"/>
          </rPr>
          <t>Calculated RAMP1/RAMP2 Resistors</t>
        </r>
        <r>
          <rPr>
            <sz val="9"/>
            <color rgb="FF000000"/>
            <rFont val="Tahoma"/>
            <family val="2"/>
          </rPr>
          <t xml:space="preserve">
</t>
        </r>
        <r>
          <rPr>
            <sz val="9"/>
            <color rgb="FF000000"/>
            <rFont val="Tahoma"/>
            <family val="2"/>
          </rPr>
          <t xml:space="preserve">
</t>
        </r>
        <r>
          <rPr>
            <sz val="9"/>
            <color rgb="FF000000"/>
            <rFont val="Tahoma"/>
            <family val="2"/>
          </rPr>
          <t xml:space="preserve">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rgb="FF000000"/>
            <rFont val="Tahoma"/>
            <family val="2"/>
          </rPr>
          <t>Peak RAMP voltage at the HV minimum</t>
        </r>
        <r>
          <rPr>
            <sz val="9"/>
            <color rgb="FF000000"/>
            <rFont val="Tahoma"/>
            <family val="2"/>
          </rPr>
          <t xml:space="preserve">
</t>
        </r>
        <r>
          <rPr>
            <sz val="9"/>
            <color rgb="FF000000"/>
            <rFont val="Tahoma"/>
            <family val="2"/>
          </rPr>
          <t xml:space="preserve">
</t>
        </r>
        <r>
          <rPr>
            <sz val="9"/>
            <color rgb="FF000000"/>
            <rFont val="Tahoma"/>
            <family val="2"/>
          </rPr>
          <t>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rgb="FF000000"/>
            <rFont val="Tahoma"/>
            <family val="2"/>
          </rPr>
          <t xml:space="preserve">Actual Soft-Start Time
</t>
        </r>
        <r>
          <rPr>
            <sz val="9"/>
            <color rgb="FF000000"/>
            <rFont val="Tahoma"/>
            <family val="2"/>
          </rPr>
          <t xml:space="preserve">
</t>
        </r>
        <r>
          <rPr>
            <sz val="9"/>
            <color rgb="FF000000"/>
            <rFont val="Tahoma"/>
            <family val="2"/>
          </rPr>
          <t>This is the soft-start time of the converter based on the value of the selected C</t>
        </r>
        <r>
          <rPr>
            <vertAlign val="subscript"/>
            <sz val="9"/>
            <color rgb="FF000000"/>
            <rFont val="Tahoma"/>
            <family val="2"/>
          </rPr>
          <t>SS</t>
        </r>
        <r>
          <rPr>
            <sz val="9"/>
            <color rgb="FF000000"/>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rgb="FF000000"/>
            <rFont val="Tahoma"/>
            <family val="2"/>
          </rPr>
          <t>Calculated R</t>
        </r>
        <r>
          <rPr>
            <b/>
            <vertAlign val="subscript"/>
            <sz val="9"/>
            <color rgb="FF000000"/>
            <rFont val="Tahoma"/>
            <family val="2"/>
          </rPr>
          <t>OVPB</t>
        </r>
        <r>
          <rPr>
            <b/>
            <sz val="9"/>
            <color rgb="FF000000"/>
            <rFont val="Tahoma"/>
            <family val="2"/>
          </rPr>
          <t xml:space="preserve">
</t>
        </r>
        <r>
          <rPr>
            <b/>
            <sz val="9"/>
            <color rgb="FF000000"/>
            <rFont val="Tahoma"/>
            <family val="2"/>
          </rPr>
          <t xml:space="preserve">
</t>
        </r>
        <r>
          <rPr>
            <sz val="9"/>
            <color rgb="FF000000"/>
            <rFont val="Tahoma"/>
            <family val="2"/>
          </rPr>
          <t>This is the calculated R</t>
        </r>
        <r>
          <rPr>
            <vertAlign val="subscript"/>
            <sz val="9"/>
            <color rgb="FF000000"/>
            <rFont val="Tahoma"/>
            <family val="2"/>
          </rPr>
          <t>OVPB</t>
        </r>
        <r>
          <rPr>
            <sz val="9"/>
            <color rgb="FF000000"/>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rgb="FF000000"/>
            <rFont val="Tahoma"/>
            <family val="2"/>
          </rPr>
          <t xml:space="preserve">Actual LV OVP Level
</t>
        </r>
        <r>
          <rPr>
            <b/>
            <sz val="9"/>
            <color rgb="FF000000"/>
            <rFont val="Tahoma"/>
            <family val="2"/>
          </rPr>
          <t xml:space="preserve">
</t>
        </r>
        <r>
          <rPr>
            <sz val="9"/>
            <color rgb="FF000000"/>
            <rFont val="Tahoma"/>
            <family val="2"/>
          </rPr>
          <t>This the level that OVPB will trigger at. This is based on the resistor value (R</t>
        </r>
        <r>
          <rPr>
            <vertAlign val="subscript"/>
            <sz val="9"/>
            <color rgb="FF000000"/>
            <rFont val="Tahoma"/>
            <family val="2"/>
          </rPr>
          <t>OVPB</t>
        </r>
        <r>
          <rPr>
            <sz val="9"/>
            <color rgb="FF000000"/>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rgb="FF000000"/>
            <rFont val="Tahoma"/>
            <family val="2"/>
          </rPr>
          <t>Calculated R</t>
        </r>
        <r>
          <rPr>
            <b/>
            <vertAlign val="subscript"/>
            <sz val="9"/>
            <color rgb="FF000000"/>
            <rFont val="Tahoma"/>
            <family val="2"/>
          </rPr>
          <t>UVLO3</t>
        </r>
        <r>
          <rPr>
            <b/>
            <sz val="9"/>
            <color rgb="FF000000"/>
            <rFont val="Tahoma"/>
            <family val="2"/>
          </rPr>
          <t xml:space="preserve"> Value</t>
        </r>
        <r>
          <rPr>
            <sz val="9"/>
            <color rgb="FF000000"/>
            <rFont val="Tahoma"/>
            <family val="2"/>
          </rPr>
          <t xml:space="preserve">
</t>
        </r>
        <r>
          <rPr>
            <sz val="9"/>
            <color rgb="FF000000"/>
            <rFont val="Tahoma"/>
            <family val="2"/>
          </rPr>
          <t xml:space="preserve">
</t>
        </r>
        <r>
          <rPr>
            <sz val="9"/>
            <color rgb="FF000000"/>
            <rFont val="Tahoma"/>
            <family val="2"/>
          </rPr>
          <t>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rgb="FF000000"/>
            <rFont val="Tahoma"/>
            <family val="2"/>
          </rPr>
          <t>Selected R</t>
        </r>
        <r>
          <rPr>
            <b/>
            <vertAlign val="subscript"/>
            <sz val="9"/>
            <color rgb="FF000000"/>
            <rFont val="Tahoma"/>
            <family val="2"/>
          </rPr>
          <t>UVLO3</t>
        </r>
        <r>
          <rPr>
            <b/>
            <sz val="9"/>
            <color rgb="FF000000"/>
            <rFont val="Tahoma"/>
            <family val="2"/>
          </rPr>
          <t xml:space="preserve"> Value
</t>
        </r>
        <r>
          <rPr>
            <b/>
            <sz val="9"/>
            <color rgb="FF000000"/>
            <rFont val="Tahoma"/>
            <family val="2"/>
          </rPr>
          <t xml:space="preserve">
</t>
        </r>
        <r>
          <rPr>
            <sz val="9"/>
            <color rgb="FF000000"/>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rgb="FF000000"/>
            <rFont val="Tahoma"/>
            <family val="2"/>
          </rPr>
          <t xml:space="preserve">UVLO Release Rising Edge
</t>
        </r>
        <r>
          <rPr>
            <b/>
            <sz val="9"/>
            <color rgb="FF000000"/>
            <rFont val="Tahoma"/>
            <family val="2"/>
          </rPr>
          <t xml:space="preserve">
</t>
        </r>
        <r>
          <rPr>
            <sz val="9"/>
            <color rgb="FF000000"/>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rgb="FF000000"/>
            <rFont val="Tahoma"/>
            <family val="2"/>
          </rPr>
          <t xml:space="preserve">UVLO Latch Falling Edge
</t>
        </r>
        <r>
          <rPr>
            <sz val="9"/>
            <color rgb="FF000000"/>
            <rFont val="Tahoma"/>
            <family val="2"/>
          </rPr>
          <t xml:space="preserve">
</t>
        </r>
        <r>
          <rPr>
            <sz val="9"/>
            <color rgb="FF000000"/>
            <rFont val="Tahoma"/>
            <family val="2"/>
          </rPr>
          <t>This is the UVLO input rail voltage at which an Undervoltage event occurs. If the input rail voltage is less than this value the LM5170 is in standby mode.</t>
        </r>
      </text>
    </comment>
    <comment ref="B105" authorId="0" shapeId="0" xr:uid="{00000000-0006-0000-0000-00003D000000}">
      <text>
        <r>
          <rPr>
            <b/>
            <sz val="9"/>
            <color rgb="FF000000"/>
            <rFont val="Tahoma"/>
            <family val="2"/>
          </rPr>
          <t xml:space="preserve">UVLO Shutdown Voltage
</t>
        </r>
        <r>
          <rPr>
            <b/>
            <sz val="9"/>
            <color rgb="FF000000"/>
            <rFont val="Tahoma"/>
            <family val="2"/>
          </rPr>
          <t xml:space="preserve">
</t>
        </r>
        <r>
          <rPr>
            <sz val="9"/>
            <color rgb="FF000000"/>
            <rFont val="Tahoma"/>
            <family val="2"/>
          </rPr>
          <t>This is the UVLO input rail voltage at which the LM5170 will enter shutdown mode.</t>
        </r>
        <r>
          <rPr>
            <b/>
            <sz val="9"/>
            <color rgb="FF000000"/>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rgb="FF000000"/>
            <rFont val="Tahoma"/>
            <family val="2"/>
          </rPr>
          <t>LO falling to HO rising Dead Time</t>
        </r>
        <r>
          <rPr>
            <sz val="9"/>
            <color rgb="FF000000"/>
            <rFont val="Tahoma"/>
            <family val="2"/>
          </rPr>
          <t xml:space="preserve">
</t>
        </r>
        <r>
          <rPr>
            <sz val="9"/>
            <color rgb="FF000000"/>
            <rFont val="Tahoma"/>
            <family val="2"/>
          </rPr>
          <t xml:space="preserve">
</t>
        </r>
        <r>
          <rPr>
            <sz val="9"/>
            <color rgb="FF000000"/>
            <rFont val="Tahoma"/>
            <family val="2"/>
          </rPr>
          <t>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b/>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r>
          <rPr>
            <b/>
            <sz val="9"/>
            <color rgb="FF000000"/>
            <rFont val="Tahoma"/>
            <family val="2"/>
          </rPr>
          <t>.</t>
        </r>
        <r>
          <rPr>
            <sz val="9"/>
            <color rgb="FF000000"/>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t>
        </r>
      </text>
    </comment>
    <comment ref="B160" authorId="0" shapeId="0" xr:uid="{00000000-0006-0000-0000-000060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rgb="FF000000"/>
            <rFont val="Tahoma"/>
            <family val="2"/>
          </rPr>
          <t>Compensation Zero Location (F</t>
        </r>
        <r>
          <rPr>
            <b/>
            <vertAlign val="subscript"/>
            <sz val="9"/>
            <color rgb="FF000000"/>
            <rFont val="Tahoma"/>
            <family val="2"/>
          </rPr>
          <t>Zcomp</t>
        </r>
        <r>
          <rPr>
            <b/>
            <sz val="9"/>
            <color rgb="FF000000"/>
            <rFont val="Tahoma"/>
            <family val="2"/>
          </rPr>
          <t>)</t>
        </r>
        <r>
          <rPr>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<sst xmlns="http://schemas.openxmlformats.org/spreadsheetml/2006/main" count="921" uniqueCount="497">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</sst>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4" borderId="4" xfId="0" applyFill="1" applyBorder="1" applyAlignment="1">
      <alignment horizontal="center"/>
    </xf>
    <xf numFmtId="0" fontId="0" fillId="0" borderId="0" xfId="0"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91.871677981694702</c:v>
                </c:pt>
                <c:pt idx="1">
                  <c:v>85.851077853127407</c:v>
                </c:pt>
                <c:pt idx="2">
                  <c:v>82.32925231320246</c:v>
                </c:pt>
                <c:pt idx="3">
                  <c:v>79.83047707870368</c:v>
                </c:pt>
                <c:pt idx="4">
                  <c:v>77.892276172691354</c:v>
                </c:pt>
                <c:pt idx="5">
                  <c:v>76.30865046237318</c:v>
                </c:pt>
                <c:pt idx="6">
                  <c:v>74.969713736885623</c:v>
                </c:pt>
                <c:pt idx="7">
                  <c:v>73.809873720952623</c:v>
                </c:pt>
                <c:pt idx="8">
                  <c:v>72.786822052128443</c:v>
                </c:pt>
                <c:pt idx="9">
                  <c:v>71.871670877548354</c:v>
                </c:pt>
                <c:pt idx="10">
                  <c:v>65.851049440922381</c:v>
                </c:pt>
                <c:pt idx="11">
                  <c:v>62.329188402160412</c:v>
                </c:pt>
                <c:pt idx="12">
                  <c:v>59.830363499914121</c:v>
                </c:pt>
                <c:pt idx="13">
                  <c:v>57.892098787811804</c:v>
                </c:pt>
                <c:pt idx="14">
                  <c:v>56.30839517228295</c:v>
                </c:pt>
                <c:pt idx="15">
                  <c:v>54.96936649027927</c:v>
                </c:pt>
                <c:pt idx="16">
                  <c:v>53.809420522861387</c:v>
                </c:pt>
                <c:pt idx="17">
                  <c:v>52.786248972355523</c:v>
                </c:pt>
                <c:pt idx="18">
                  <c:v>51.870964059006894</c:v>
                </c:pt>
                <c:pt idx="19">
                  <c:v>45.848264885395579</c:v>
                </c:pt>
                <c:pt idx="20">
                  <c:v>42.323077090430417</c:v>
                </c:pt>
                <c:pt idx="21">
                  <c:v>39.819860376500273</c:v>
                </c:pt>
                <c:pt idx="22">
                  <c:v>37.876361137893603</c:v>
                </c:pt>
                <c:pt idx="23">
                  <c:v>36.286816022775383</c:v>
                </c:pt>
                <c:pt idx="24">
                  <c:v>34.941566288784124</c:v>
                </c:pt>
                <c:pt idx="25">
                  <c:v>33.775223070144655</c:v>
                </c:pt>
                <c:pt idx="26">
                  <c:v>32.745648310585025</c:v>
                </c:pt>
                <c:pt idx="27">
                  <c:v>31.824088240202091</c:v>
                </c:pt>
                <c:pt idx="28">
                  <c:v>25.756069288686255</c:v>
                </c:pt>
                <c:pt idx="29">
                  <c:v>22.212023264871252</c:v>
                </c:pt>
                <c:pt idx="30">
                  <c:v>19.701796439867184</c:v>
                </c:pt>
                <c:pt idx="31">
                  <c:v>17.756321425587007</c:v>
                </c:pt>
                <c:pt idx="32">
                  <c:v>16.167091968870999</c:v>
                </c:pt>
                <c:pt idx="33">
                  <c:v>14.823176740594475</c:v>
                </c:pt>
                <c:pt idx="34">
                  <c:v>13.658498556309837</c:v>
                </c:pt>
                <c:pt idx="35">
                  <c:v>12.630502696165101</c:v>
                </c:pt>
                <c:pt idx="36">
                  <c:v>11.71016669957986</c:v>
                </c:pt>
                <c:pt idx="37">
                  <c:v>5.6160349446616751</c:v>
                </c:pt>
                <c:pt idx="38">
                  <c:v>1.9771833946264343</c:v>
                </c:pt>
                <c:pt idx="39">
                  <c:v>-0.67994039919256144</c:v>
                </c:pt>
                <c:pt idx="40">
                  <c:v>-2.8135042740932459</c:v>
                </c:pt>
                <c:pt idx="41">
                  <c:v>-4.6245210002173565</c:v>
                </c:pt>
                <c:pt idx="42">
                  <c:v>-6.2176745147573254</c:v>
                </c:pt>
                <c:pt idx="43">
                  <c:v>-7.6534583318339813</c:v>
                </c:pt>
                <c:pt idx="44">
                  <c:v>-8.9694106887513154</c:v>
                </c:pt>
                <c:pt idx="45">
                  <c:v>-10.19011818655127</c:v>
                </c:pt>
                <c:pt idx="46">
                  <c:v>-19.376109025171878</c:v>
                </c:pt>
                <c:pt idx="47">
                  <c:v>-25.599049145766799</c:v>
                </c:pt>
                <c:pt idx="48">
                  <c:v>-30.268313785833129</c:v>
                </c:pt>
                <c:pt idx="49">
                  <c:v>-33.983935143389317</c:v>
                </c:pt>
                <c:pt idx="50">
                  <c:v>-37.061287321874104</c:v>
                </c:pt>
                <c:pt idx="51">
                  <c:v>-39.684040239742878</c:v>
                </c:pt>
                <c:pt idx="52">
                  <c:v>-41.967565948197489</c:v>
                </c:pt>
                <c:pt idx="53">
                  <c:v>-43.988705992591413</c:v>
                </c:pt>
                <c:pt idx="54">
                  <c:v>-45.801062841695845</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1388.3729078229169</c:v>
                </c:pt>
              </c:numCache>
            </c:numRef>
          </c:xVal>
          <c:yVal>
            <c:numRef>
              <c:f>Compensation!$AD$9</c:f>
              <c:numCache>
                <c:formatCode>General</c:formatCode>
                <c:ptCount val="1"/>
                <c:pt idx="0">
                  <c:v>28.951605416310429</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1410.9480770558096</c:v>
                </c:pt>
              </c:numCache>
            </c:numRef>
          </c:xVal>
          <c:yVal>
            <c:numRef>
              <c:f>Compensation!$AD$10</c:f>
              <c:numCache>
                <c:formatCode>General</c:formatCode>
                <c:ptCount val="1"/>
                <c:pt idx="0">
                  <c:v>28.810362312644429</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132629.1192432461</c:v>
                </c:pt>
              </c:numCache>
            </c:numRef>
          </c:xVal>
          <c:yVal>
            <c:numRef>
              <c:f>Compensation!$AD$11</c:f>
              <c:numCache>
                <c:formatCode>General</c:formatCode>
                <c:ptCount val="1"/>
                <c:pt idx="0">
                  <c:v>-13.685767688124251</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89.998912255022603</c:v>
                </c:pt>
                <c:pt idx="1">
                  <c:v>89.997824512067837</c:v>
                </c:pt>
                <c:pt idx="2">
                  <c:v>89.996736773158318</c:v>
                </c:pt>
                <c:pt idx="3">
                  <c:v>89.995649040316621</c:v>
                </c:pt>
                <c:pt idx="4">
                  <c:v>89.99456131556525</c:v>
                </c:pt>
                <c:pt idx="5">
                  <c:v>89.993473600926635</c:v>
                </c:pt>
                <c:pt idx="6">
                  <c:v>89.992385898423109</c:v>
                </c:pt>
                <c:pt idx="7">
                  <c:v>89.991298210076877</c:v>
                </c:pt>
                <c:pt idx="8">
                  <c:v>89.990210537909959</c:v>
                </c:pt>
                <c:pt idx="9">
                  <c:v>89.98912288394429</c:v>
                </c:pt>
                <c:pt idx="10">
                  <c:v>89.978247790011693</c:v>
                </c:pt>
                <c:pt idx="11">
                  <c:v>89.967376738261436</c:v>
                </c:pt>
                <c:pt idx="12">
                  <c:v>89.956511744629367</c:v>
                </c:pt>
                <c:pt idx="13">
                  <c:v>89.945654818877415</c:v>
                </c:pt>
                <c:pt idx="14">
                  <c:v>89.934807962556022</c:v>
                </c:pt>
                <c:pt idx="15">
                  <c:v>89.923973166984297</c:v>
                </c:pt>
                <c:pt idx="16">
                  <c:v>89.913152411251986</c:v>
                </c:pt>
                <c:pt idx="17">
                  <c:v>89.902347660247173</c:v>
                </c:pt>
                <c:pt idx="18">
                  <c:v>89.891560862714343</c:v>
                </c:pt>
                <c:pt idx="19">
                  <c:v>89.785093815608562</c:v>
                </c:pt>
                <c:pt idx="20">
                  <c:v>89.682378422427874</c:v>
                </c:pt>
                <c:pt idx="21">
                  <c:v>89.584847364215875</c:v>
                </c:pt>
                <c:pt idx="22">
                  <c:v>89.493495978207093</c:v>
                </c:pt>
                <c:pt idx="23">
                  <c:v>89.408862431966995</c:v>
                </c:pt>
                <c:pt idx="24">
                  <c:v>89.33106779589464</c:v>
                </c:pt>
                <c:pt idx="25">
                  <c:v>89.259895013488062</c:v>
                </c:pt>
                <c:pt idx="26">
                  <c:v>89.194883970161001</c:v>
                </c:pt>
                <c:pt idx="27">
                  <c:v>89.135424213210143</c:v>
                </c:pt>
                <c:pt idx="28">
                  <c:v>88.711040340251444</c:v>
                </c:pt>
                <c:pt idx="29">
                  <c:v>88.363776050986004</c:v>
                </c:pt>
                <c:pt idx="30">
                  <c:v>88.002605737058929</c:v>
                </c:pt>
                <c:pt idx="31">
                  <c:v>87.623833760354088</c:v>
                </c:pt>
                <c:pt idx="32">
                  <c:v>87.232544156342726</c:v>
                </c:pt>
                <c:pt idx="33">
                  <c:v>86.83287074931971</c:v>
                </c:pt>
                <c:pt idx="34">
                  <c:v>86.427550165814196</c:v>
                </c:pt>
                <c:pt idx="35">
                  <c:v>86.018367945892436</c:v>
                </c:pt>
                <c:pt idx="36">
                  <c:v>85.606516873803301</c:v>
                </c:pt>
                <c:pt idx="37">
                  <c:v>81.449198794354928</c:v>
                </c:pt>
                <c:pt idx="38">
                  <c:v>77.341307370784861</c:v>
                </c:pt>
                <c:pt idx="39">
                  <c:v>73.351640414262661</c:v>
                </c:pt>
                <c:pt idx="40">
                  <c:v>69.517489305613722</c:v>
                </c:pt>
                <c:pt idx="41">
                  <c:v>65.86385924447444</c:v>
                </c:pt>
                <c:pt idx="42">
                  <c:v>62.406529395490473</c:v>
                </c:pt>
                <c:pt idx="43">
                  <c:v>59.153543511735791</c:v>
                </c:pt>
                <c:pt idx="44">
                  <c:v>56.106600112889701</c:v>
                </c:pt>
                <c:pt idx="45">
                  <c:v>53.262451464194534</c:v>
                </c:pt>
                <c:pt idx="46">
                  <c:v>33.823539667396091</c:v>
                </c:pt>
                <c:pt idx="47">
                  <c:v>24.070791049852758</c:v>
                </c:pt>
                <c:pt idx="48">
                  <c:v>18.522775832335345</c:v>
                </c:pt>
                <c:pt idx="49">
                  <c:v>15.004412735311352</c:v>
                </c:pt>
                <c:pt idx="50">
                  <c:v>12.590948099024798</c:v>
                </c:pt>
                <c:pt idx="51">
                  <c:v>10.838261384544037</c:v>
                </c:pt>
                <c:pt idx="52">
                  <c:v>9.5099464101767133</c:v>
                </c:pt>
                <c:pt idx="53">
                  <c:v>8.4695526352856714</c:v>
                </c:pt>
                <c:pt idx="54">
                  <c:v>7.6331317951683664</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3.3244680851063833</c:v>
                </c:pt>
              </c:numCache>
            </c:numRef>
          </c:xVal>
          <c:yVal>
            <c:numRef>
              <c:f>Calculations!$B$55</c:f>
              <c:numCache>
                <c:formatCode>0.000</c:formatCode>
                <c:ptCount val="1"/>
                <c:pt idx="0">
                  <c:v>0.5</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0.39581140290126393</c:v>
                </c:pt>
                <c:pt idx="2">
                  <c:v>0.55976185412488888</c:v>
                </c:pt>
                <c:pt idx="3">
                  <c:v>0.625</c:v>
                </c:pt>
                <c:pt idx="4">
                  <c:v>0.625</c:v>
                </c:pt>
                <c:pt idx="5">
                  <c:v>0.625</c:v>
                </c:pt>
                <c:pt idx="6">
                  <c:v>0.625</c:v>
                </c:pt>
                <c:pt idx="7">
                  <c:v>0.625</c:v>
                </c:pt>
                <c:pt idx="8">
                  <c:v>0.625</c:v>
                </c:pt>
                <c:pt idx="9">
                  <c:v>0.625</c:v>
                </c:pt>
                <c:pt idx="10">
                  <c:v>0.625</c:v>
                </c:pt>
                <c:pt idx="11">
                  <c:v>0.625</c:v>
                </c:pt>
                <c:pt idx="12">
                  <c:v>0.625</c:v>
                </c:pt>
                <c:pt idx="13">
                  <c:v>0.625</c:v>
                </c:pt>
                <c:pt idx="14">
                  <c:v>0.625</c:v>
                </c:pt>
                <c:pt idx="15">
                  <c:v>0.625</c:v>
                </c:pt>
                <c:pt idx="16">
                  <c:v>0.625</c:v>
                </c:pt>
                <c:pt idx="17">
                  <c:v>0.625</c:v>
                </c:pt>
                <c:pt idx="18">
                  <c:v>0.625</c:v>
                </c:pt>
                <c:pt idx="19">
                  <c:v>0.625</c:v>
                </c:pt>
                <c:pt idx="20">
                  <c:v>0.625</c:v>
                </c:pt>
                <c:pt idx="21">
                  <c:v>0.625</c:v>
                </c:pt>
                <c:pt idx="22">
                  <c:v>0.625</c:v>
                </c:pt>
                <c:pt idx="23">
                  <c:v>0.625</c:v>
                </c:pt>
                <c:pt idx="24">
                  <c:v>0.625</c:v>
                </c:pt>
                <c:pt idx="25">
                  <c:v>0.625</c:v>
                </c:pt>
                <c:pt idx="26">
                  <c:v>0.625</c:v>
                </c:pt>
                <c:pt idx="27">
                  <c:v>0.625</c:v>
                </c:pt>
                <c:pt idx="28">
                  <c:v>0.625</c:v>
                </c:pt>
                <c:pt idx="29">
                  <c:v>0.625</c:v>
                </c:pt>
                <c:pt idx="30">
                  <c:v>0.625</c:v>
                </c:pt>
                <c:pt idx="31">
                  <c:v>0.625</c:v>
                </c:pt>
                <c:pt idx="32">
                  <c:v>0.625</c:v>
                </c:pt>
                <c:pt idx="33">
                  <c:v>0.625</c:v>
                </c:pt>
                <c:pt idx="34">
                  <c:v>0.625</c:v>
                </c:pt>
                <c:pt idx="35">
                  <c:v>0.625</c:v>
                </c:pt>
                <c:pt idx="36">
                  <c:v>0.625</c:v>
                </c:pt>
                <c:pt idx="37">
                  <c:v>0.625</c:v>
                </c:pt>
                <c:pt idx="38">
                  <c:v>0.625</c:v>
                </c:pt>
                <c:pt idx="39">
                  <c:v>0.625</c:v>
                </c:pt>
                <c:pt idx="40">
                  <c:v>0.625</c:v>
                </c:pt>
                <c:pt idx="41">
                  <c:v>0.625</c:v>
                </c:pt>
                <c:pt idx="42">
                  <c:v>0.625</c:v>
                </c:pt>
                <c:pt idx="43">
                  <c:v>0.625</c:v>
                </c:pt>
                <c:pt idx="44">
                  <c:v>0.625</c:v>
                </c:pt>
                <c:pt idx="45">
                  <c:v>0.625</c:v>
                </c:pt>
                <c:pt idx="46">
                  <c:v>0.625</c:v>
                </c:pt>
                <c:pt idx="47">
                  <c:v>0.625</c:v>
                </c:pt>
                <c:pt idx="48">
                  <c:v>0.625</c:v>
                </c:pt>
                <c:pt idx="49">
                  <c:v>0.625</c:v>
                </c:pt>
                <c:pt idx="50">
                  <c:v>0.625</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0.21157009420498152</c:v>
                </c:pt>
                <c:pt idx="2">
                  <c:v>0.29920529661723827</c:v>
                </c:pt>
                <c:pt idx="3">
                  <c:v>0.36645015252516172</c:v>
                </c:pt>
                <c:pt idx="4">
                  <c:v>0.41666666666666669</c:v>
                </c:pt>
                <c:pt idx="5">
                  <c:v>0.41666666666666669</c:v>
                </c:pt>
                <c:pt idx="6">
                  <c:v>0.41666666666666669</c:v>
                </c:pt>
                <c:pt idx="7">
                  <c:v>0.41666666666666669</c:v>
                </c:pt>
                <c:pt idx="8">
                  <c:v>0.41666666666666669</c:v>
                </c:pt>
                <c:pt idx="9">
                  <c:v>0.41666666666666669</c:v>
                </c:pt>
                <c:pt idx="10">
                  <c:v>0.41666666666666669</c:v>
                </c:pt>
                <c:pt idx="11">
                  <c:v>0.41666666666666669</c:v>
                </c:pt>
                <c:pt idx="12">
                  <c:v>0.41666666666666669</c:v>
                </c:pt>
                <c:pt idx="13">
                  <c:v>0.41666666666666669</c:v>
                </c:pt>
                <c:pt idx="14">
                  <c:v>0.41666666666666669</c:v>
                </c:pt>
                <c:pt idx="15">
                  <c:v>0.41666666666666669</c:v>
                </c:pt>
                <c:pt idx="16">
                  <c:v>0.41666666666666669</c:v>
                </c:pt>
                <c:pt idx="17">
                  <c:v>0.41666666666666669</c:v>
                </c:pt>
                <c:pt idx="18">
                  <c:v>0.41666666666666669</c:v>
                </c:pt>
                <c:pt idx="19">
                  <c:v>0.41666666666666669</c:v>
                </c:pt>
                <c:pt idx="20">
                  <c:v>0.41666666666666669</c:v>
                </c:pt>
                <c:pt idx="21">
                  <c:v>0.41666666666666669</c:v>
                </c:pt>
                <c:pt idx="22">
                  <c:v>0.41666666666666669</c:v>
                </c:pt>
                <c:pt idx="23">
                  <c:v>0.41666666666666669</c:v>
                </c:pt>
                <c:pt idx="24">
                  <c:v>0.41666666666666669</c:v>
                </c:pt>
                <c:pt idx="25">
                  <c:v>0.41666666666666669</c:v>
                </c:pt>
                <c:pt idx="26">
                  <c:v>0.41666666666666669</c:v>
                </c:pt>
                <c:pt idx="27">
                  <c:v>0.41666666666666669</c:v>
                </c:pt>
                <c:pt idx="28">
                  <c:v>0.41666666666666669</c:v>
                </c:pt>
                <c:pt idx="29">
                  <c:v>0.41666666666666669</c:v>
                </c:pt>
                <c:pt idx="30">
                  <c:v>0.41666666666666669</c:v>
                </c:pt>
                <c:pt idx="31">
                  <c:v>0.41666666666666669</c:v>
                </c:pt>
                <c:pt idx="32">
                  <c:v>0.41666666666666669</c:v>
                </c:pt>
                <c:pt idx="33">
                  <c:v>0.41666666666666669</c:v>
                </c:pt>
                <c:pt idx="34">
                  <c:v>0.41666666666666669</c:v>
                </c:pt>
                <c:pt idx="35">
                  <c:v>0.41666666666666669</c:v>
                </c:pt>
                <c:pt idx="36">
                  <c:v>0.41666666666666669</c:v>
                </c:pt>
                <c:pt idx="37">
                  <c:v>0.41666666666666669</c:v>
                </c:pt>
                <c:pt idx="38">
                  <c:v>0.41666666666666669</c:v>
                </c:pt>
                <c:pt idx="39">
                  <c:v>0.41666666666666669</c:v>
                </c:pt>
                <c:pt idx="40">
                  <c:v>0.41666666666666669</c:v>
                </c:pt>
                <c:pt idx="41">
                  <c:v>0.41666666666666669</c:v>
                </c:pt>
                <c:pt idx="42">
                  <c:v>0.41666666666666669</c:v>
                </c:pt>
                <c:pt idx="43">
                  <c:v>0.41666666666666669</c:v>
                </c:pt>
                <c:pt idx="44">
                  <c:v>0.41666666666666669</c:v>
                </c:pt>
                <c:pt idx="45">
                  <c:v>0.41666666666666669</c:v>
                </c:pt>
                <c:pt idx="46">
                  <c:v>0.41666666666666669</c:v>
                </c:pt>
                <c:pt idx="47">
                  <c:v>0.41666666666666669</c:v>
                </c:pt>
                <c:pt idx="48">
                  <c:v>0.41666666666666669</c:v>
                </c:pt>
                <c:pt idx="49">
                  <c:v>0.41666666666666669</c:v>
                </c:pt>
                <c:pt idx="50">
                  <c:v>0.41666666666666669</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2.4933510638297873</c:v>
                </c:pt>
              </c:numCache>
            </c:numRef>
          </c:xVal>
          <c:yVal>
            <c:numRef>
              <c:f>Calculations!$B$43</c:f>
              <c:numCache>
                <c:formatCode>General</c:formatCode>
                <c:ptCount val="1"/>
                <c:pt idx="0">
                  <c:v>0.625</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3.3244680851063833</c:v>
                </c:pt>
              </c:numCache>
            </c:numRef>
          </c:xVal>
          <c:yVal>
            <c:numRef>
              <c:f>Calculations!$B$46</c:f>
              <c:numCache>
                <c:formatCode>0.0000</c:formatCode>
                <c:ptCount val="1"/>
                <c:pt idx="0">
                  <c:v>0.5</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3.878546099290781</c:v>
                </c:pt>
              </c:numCache>
            </c:numRef>
          </c:xVal>
          <c:yVal>
            <c:numRef>
              <c:f>Calculations!$B$49</c:f>
              <c:numCache>
                <c:formatCode>0.000</c:formatCode>
                <c:ptCount val="1"/>
                <c:pt idx="0">
                  <c:v>0.41666666666666669</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77.237321712848498</c:v>
                </c:pt>
                <c:pt idx="1">
                  <c:v>71.216362766893198</c:v>
                </c:pt>
                <c:pt idx="2">
                  <c:v>67.693939283407161</c:v>
                </c:pt>
                <c:pt idx="3">
                  <c:v>65.194327107244604</c:v>
                </c:pt>
                <c:pt idx="4">
                  <c:v>63.255050440649974</c:v>
                </c:pt>
                <c:pt idx="5">
                  <c:v>61.670110381013103</c:v>
                </c:pt>
                <c:pt idx="6">
                  <c:v>60.329620998503948</c:v>
                </c:pt>
                <c:pt idx="7">
                  <c:v>59.16799034955126</c:v>
                </c:pt>
                <c:pt idx="8">
                  <c:v>58.142910453873647</c:v>
                </c:pt>
                <c:pt idx="9">
                  <c:v>57.225493890986968</c:v>
                </c:pt>
                <c:pt idx="10">
                  <c:v>51.169305076576173</c:v>
                </c:pt>
                <c:pt idx="11">
                  <c:v>47.588994551779315</c:v>
                </c:pt>
                <c:pt idx="12">
                  <c:v>45.010028590511808</c:v>
                </c:pt>
                <c:pt idx="13">
                  <c:v>42.971497516547572</c:v>
                </c:pt>
                <c:pt idx="14">
                  <c:v>41.269258367394215</c:v>
                </c:pt>
                <c:pt idx="15">
                  <c:v>39.795478146010247</c:v>
                </c:pt>
                <c:pt idx="16">
                  <c:v>38.486723546706571</c:v>
                </c:pt>
                <c:pt idx="17">
                  <c:v>37.302867988434542</c:v>
                </c:pt>
                <c:pt idx="18">
                  <c:v>36.217158159095582</c:v>
                </c:pt>
                <c:pt idx="19">
                  <c:v>28.320801504364969</c:v>
                </c:pt>
                <c:pt idx="20">
                  <c:v>23.199468221165155</c:v>
                </c:pt>
                <c:pt idx="21">
                  <c:v>19.548141063210068</c:v>
                </c:pt>
                <c:pt idx="22">
                  <c:v>16.805351324177973</c:v>
                </c:pt>
                <c:pt idx="23">
                  <c:v>14.654151194268387</c:v>
                </c:pt>
                <c:pt idx="24">
                  <c:v>12.90360379699692</c:v>
                </c:pt>
                <c:pt idx="25">
                  <c:v>11.433984937112431</c:v>
                </c:pt>
                <c:pt idx="26">
                  <c:v>10.167513431803396</c:v>
                </c:pt>
                <c:pt idx="27">
                  <c:v>9.0519897087309289</c:v>
                </c:pt>
                <c:pt idx="28">
                  <c:v>1.5862633986584105</c:v>
                </c:pt>
                <c:pt idx="29">
                  <c:v>-3.4365886077402683</c:v>
                </c:pt>
                <c:pt idx="30">
                  <c:v>-7.4272834193268267</c:v>
                </c:pt>
                <c:pt idx="31">
                  <c:v>-10.732330110393116</c:v>
                </c:pt>
                <c:pt idx="32">
                  <c:v>-13.534087396347054</c:v>
                </c:pt>
                <c:pt idx="33">
                  <c:v>-15.951938977021424</c:v>
                </c:pt>
                <c:pt idx="34">
                  <c:v>-18.06900276388842</c:v>
                </c:pt>
                <c:pt idx="35">
                  <c:v>-19.94509078401828</c:v>
                </c:pt>
                <c:pt idx="36">
                  <c:v>-21.624416826131444</c:v>
                </c:pt>
                <c:pt idx="37">
                  <c:v>-32.407983834557996</c:v>
                </c:pt>
                <c:pt idx="38">
                  <c:v>-38.380851677199949</c:v>
                </c:pt>
                <c:pt idx="39">
                  <c:v>-42.613115275683271</c:v>
                </c:pt>
                <c:pt idx="40">
                  <c:v>-46.054849122135124</c:v>
                </c:pt>
                <c:pt idx="41">
                  <c:v>-49.067629213134516</c:v>
                </c:pt>
                <c:pt idx="42">
                  <c:v>-51.802108550447777</c:v>
                </c:pt>
                <c:pt idx="43">
                  <c:v>-54.326201472183151</c:v>
                </c:pt>
                <c:pt idx="44">
                  <c:v>-56.674635272191772</c:v>
                </c:pt>
                <c:pt idx="45">
                  <c:v>-58.868781264896022</c:v>
                </c:pt>
                <c:pt idx="46">
                  <c:v>-74.962282408849617</c:v>
                </c:pt>
                <c:pt idx="47">
                  <c:v>-85.133110135919424</c:v>
                </c:pt>
                <c:pt idx="48">
                  <c:v>-92.489821104011526</c:v>
                </c:pt>
                <c:pt idx="49">
                  <c:v>-98.239593734226816</c:v>
                </c:pt>
                <c:pt idx="50">
                  <c:v>-102.95520476894866</c:v>
                </c:pt>
                <c:pt idx="51">
                  <c:v>-106.95073393598143</c:v>
                </c:pt>
                <c:pt idx="52">
                  <c:v>-110.41643450392969</c:v>
                </c:pt>
                <c:pt idx="53">
                  <c:v>-113.47611088648247</c:v>
                </c:pt>
                <c:pt idx="54">
                  <c:v>-116.21478167055692</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218.44796110652297</c:v>
                </c:pt>
              </c:numCache>
            </c:numRef>
          </c:xVal>
          <c:yVal>
            <c:numRef>
              <c:f>Compensation!$Y$137</c:f>
              <c:numCache>
                <c:formatCode>General</c:formatCode>
                <c:ptCount val="1"/>
                <c:pt idx="0">
                  <c:v>27.225641722655034</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16.869121967624338</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1.647406664344246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89.778949042904102</c:v>
                </c:pt>
                <c:pt idx="1">
                  <c:v>89.557917520266457</c:v>
                </c:pt>
                <c:pt idx="2">
                  <c:v>89.336924858858481</c:v>
                </c:pt>
                <c:pt idx="3">
                  <c:v>89.115990470085066</c:v>
                </c:pt>
                <c:pt idx="4">
                  <c:v>88.8951337423198</c:v>
                </c:pt>
                <c:pt idx="5">
                  <c:v>88.674374033261799</c:v>
                </c:pt>
                <c:pt idx="6">
                  <c:v>88.453730662322073</c:v>
                </c:pt>
                <c:pt idx="7">
                  <c:v>88.233222903045998</c:v>
                </c:pt>
                <c:pt idx="8">
                  <c:v>88.012869975579406</c:v>
                </c:pt>
                <c:pt idx="9">
                  <c:v>87.792691039185243</c:v>
                </c:pt>
                <c:pt idx="10">
                  <c:v>85.604628040559135</c:v>
                </c:pt>
                <c:pt idx="11">
                  <c:v>83.454311859566275</c:v>
                </c:pt>
                <c:pt idx="12">
                  <c:v>81.358821332568297</c:v>
                </c:pt>
                <c:pt idx="13">
                  <c:v>79.333261441248311</c:v>
                </c:pt>
                <c:pt idx="14">
                  <c:v>77.390373736633535</c:v>
                </c:pt>
                <c:pt idx="15">
                  <c:v>75.540322896991796</c:v>
                </c:pt>
                <c:pt idx="16">
                  <c:v>73.790651385930772</c:v>
                </c:pt>
                <c:pt idx="17">
                  <c:v>72.146377459487795</c:v>
                </c:pt>
                <c:pt idx="18">
                  <c:v>70.610202054137659</c:v>
                </c:pt>
                <c:pt idx="19">
                  <c:v>60.721616541798802</c:v>
                </c:pt>
                <c:pt idx="20">
                  <c:v>57.487436580059729</c:v>
                </c:pt>
                <c:pt idx="21">
                  <c:v>57.034533615085699</c:v>
                </c:pt>
                <c:pt idx="22">
                  <c:v>57.477416301649214</c:v>
                </c:pt>
                <c:pt idx="23">
                  <c:v>58.050848899195501</c:v>
                </c:pt>
                <c:pt idx="24">
                  <c:v>58.472821575708522</c:v>
                </c:pt>
                <c:pt idx="25">
                  <c:v>58.659539238171881</c:v>
                </c:pt>
                <c:pt idx="26">
                  <c:v>58.606151909185527</c:v>
                </c:pt>
                <c:pt idx="27">
                  <c:v>58.337179350747398</c:v>
                </c:pt>
                <c:pt idx="28">
                  <c:v>50.045558936333812</c:v>
                </c:pt>
                <c:pt idx="29">
                  <c:v>41.077095986850104</c:v>
                </c:pt>
                <c:pt idx="30">
                  <c:v>34.495436046938067</c:v>
                </c:pt>
                <c:pt idx="31">
                  <c:v>29.881675654554865</c:v>
                </c:pt>
                <c:pt idx="32">
                  <c:v>26.610578634921257</c:v>
                </c:pt>
                <c:pt idx="33">
                  <c:v>24.237474366467278</c:v>
                </c:pt>
                <c:pt idx="34">
                  <c:v>22.472863088688676</c:v>
                </c:pt>
                <c:pt idx="35">
                  <c:v>21.128012668493668</c:v>
                </c:pt>
                <c:pt idx="36">
                  <c:v>20.077050029654821</c:v>
                </c:pt>
                <c:pt idx="37">
                  <c:v>14.825977284029506</c:v>
                </c:pt>
                <c:pt idx="38">
                  <c:v>9.7585882082912558</c:v>
                </c:pt>
                <c:pt idx="39">
                  <c:v>3.1919212553127569</c:v>
                </c:pt>
                <c:pt idx="40">
                  <c:v>-4.0463071539319451</c:v>
                </c:pt>
                <c:pt idx="41">
                  <c:v>-11.227023937301258</c:v>
                </c:pt>
                <c:pt idx="42">
                  <c:v>-17.93719432107148</c:v>
                </c:pt>
                <c:pt idx="43">
                  <c:v>-24.001170712070547</c:v>
                </c:pt>
                <c:pt idx="44">
                  <c:v>-29.384279151883028</c:v>
                </c:pt>
                <c:pt idx="45">
                  <c:v>-34.123287415965486</c:v>
                </c:pt>
                <c:pt idx="46">
                  <c:v>-59.828370558512866</c:v>
                </c:pt>
                <c:pt idx="47">
                  <c:v>-69.612730763766365</c:v>
                </c:pt>
                <c:pt idx="48">
                  <c:v>-74.639431305283537</c:v>
                </c:pt>
                <c:pt idx="49">
                  <c:v>-77.685858529457093</c:v>
                </c:pt>
                <c:pt idx="50">
                  <c:v>-79.726655296635343</c:v>
                </c:pt>
                <c:pt idx="51">
                  <c:v>-81.188321992627209</c:v>
                </c:pt>
                <c:pt idx="52">
                  <c:v>-82.286407907732652</c:v>
                </c:pt>
                <c:pt idx="53">
                  <c:v>-83.141420691246765</c:v>
                </c:pt>
                <c:pt idx="54">
                  <c:v>-83.825958367909834</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76.784427786583805</c:v>
                </c:pt>
                <c:pt idx="1">
                  <c:v>70.762167516569562</c:v>
                </c:pt>
                <c:pt idx="2">
                  <c:v>67.237577257196023</c:v>
                </c:pt>
                <c:pt idx="3">
                  <c:v>64.734935991978219</c:v>
                </c:pt>
                <c:pt idx="4">
                  <c:v>62.791772302027873</c:v>
                </c:pt>
                <c:pt idx="5">
                  <c:v>61.20209288867791</c:v>
                </c:pt>
                <c:pt idx="6">
                  <c:v>59.856018631840769</c:v>
                </c:pt>
                <c:pt idx="7">
                  <c:v>58.687965580197684</c:v>
                </c:pt>
                <c:pt idx="8">
                  <c:v>57.65563490108191</c:v>
                </c:pt>
                <c:pt idx="9">
                  <c:v>56.730149446163544</c:v>
                </c:pt>
                <c:pt idx="10">
                  <c:v>50.551262108267011</c:v>
                </c:pt>
                <c:pt idx="11">
                  <c:v>46.784442230102535</c:v>
                </c:pt>
                <c:pt idx="12">
                  <c:v>43.97668094917114</c:v>
                </c:pt>
                <c:pt idx="13">
                  <c:v>41.689181143818899</c:v>
                </c:pt>
                <c:pt idx="14">
                  <c:v>39.736939838954058</c:v>
                </c:pt>
                <c:pt idx="15">
                  <c:v>38.026628871456133</c:v>
                </c:pt>
                <c:pt idx="16">
                  <c:v>36.504520426213517</c:v>
                </c:pt>
                <c:pt idx="17">
                  <c:v>35.136058841945612</c:v>
                </c:pt>
                <c:pt idx="18">
                  <c:v>33.896881290265142</c:v>
                </c:pt>
                <c:pt idx="19">
                  <c:v>25.81941596978222</c:v>
                </c:pt>
                <c:pt idx="20">
                  <c:v>21.498824853828779</c:v>
                </c:pt>
                <c:pt idx="21">
                  <c:v>18.655446897405469</c:v>
                </c:pt>
                <c:pt idx="22">
                  <c:v>16.551832884140467</c:v>
                </c:pt>
                <c:pt idx="23">
                  <c:v>14.884678970965759</c:v>
                </c:pt>
                <c:pt idx="24">
                  <c:v>13.504253653246181</c:v>
                </c:pt>
                <c:pt idx="25">
                  <c:v>12.326352585523264</c:v>
                </c:pt>
                <c:pt idx="26">
                  <c:v>11.298999340454383</c:v>
                </c:pt>
                <c:pt idx="27">
                  <c:v>10.387853099112325</c:v>
                </c:pt>
                <c:pt idx="28">
                  <c:v>4.5003585571445175</c:v>
                </c:pt>
                <c:pt idx="29">
                  <c:v>1.0783809099090274</c:v>
                </c:pt>
                <c:pt idx="30">
                  <c:v>-1.349232922783977</c:v>
                </c:pt>
                <c:pt idx="31">
                  <c:v>-3.2243449984609995</c:v>
                </c:pt>
                <c:pt idx="32">
                  <c:v>-4.7441101003135664</c:v>
                </c:pt>
                <c:pt idx="33">
                  <c:v>-6.0147196760871013</c:v>
                </c:pt>
                <c:pt idx="34">
                  <c:v>-7.1001937063531519</c:v>
                </c:pt>
                <c:pt idx="35">
                  <c:v>-8.0422175002472009</c:v>
                </c:pt>
                <c:pt idx="36">
                  <c:v>-8.8695223097450544</c:v>
                </c:pt>
                <c:pt idx="37">
                  <c:v>-13.698924591200628</c:v>
                </c:pt>
                <c:pt idx="38">
                  <c:v>-15.749752807003963</c:v>
                </c:pt>
                <c:pt idx="39">
                  <c:v>-16.831525962820209</c:v>
                </c:pt>
                <c:pt idx="40">
                  <c:v>-17.568545952076377</c:v>
                </c:pt>
                <c:pt idx="41">
                  <c:v>-18.204522423387797</c:v>
                </c:pt>
                <c:pt idx="42">
                  <c:v>-18.82734100794173</c:v>
                </c:pt>
                <c:pt idx="43">
                  <c:v>-19.461397928685258</c:v>
                </c:pt>
                <c:pt idx="44">
                  <c:v>-20.107700676791627</c:v>
                </c:pt>
                <c:pt idx="45">
                  <c:v>-20.760460670601312</c:v>
                </c:pt>
                <c:pt idx="46">
                  <c:v>-26.82392700413471</c:v>
                </c:pt>
                <c:pt idx="47">
                  <c:v>-31.697925967770722</c:v>
                </c:pt>
                <c:pt idx="48">
                  <c:v>-35.673796743896901</c:v>
                </c:pt>
                <c:pt idx="49">
                  <c:v>-38.999624088172958</c:v>
                </c:pt>
                <c:pt idx="50">
                  <c:v>-41.840835703190336</c:v>
                </c:pt>
                <c:pt idx="51">
                  <c:v>-44.311412361251868</c:v>
                </c:pt>
                <c:pt idx="52">
                  <c:v>-46.491803727995311</c:v>
                </c:pt>
                <c:pt idx="53">
                  <c:v>-48.440110690069332</c:v>
                </c:pt>
                <c:pt idx="54">
                  <c:v>-50.199259463285102</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80.825745609413531</c:v>
                </c:pt>
              </c:numCache>
            </c:numRef>
          </c:xVal>
          <c:yVal>
            <c:numRef>
              <c:f>Compensation!$Y$227</c:f>
              <c:numCache>
                <c:formatCode>General</c:formatCode>
                <c:ptCount val="1"/>
                <c:pt idx="0">
                  <c:v>36.38608456080496</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27.703422435295849</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-30.122443533974096</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35797.768355015964</c:v>
                </c:pt>
              </c:numCache>
            </c:numRef>
          </c:xVal>
          <c:yVal>
            <c:numRef>
              <c:f>Compensation!$Y$228</c:f>
              <c:numCache>
                <c:formatCode>General</c:formatCode>
                <c:ptCount val="1"/>
                <c:pt idx="0">
                  <c:v>-16.442309889632142</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89.608890721551148</c:v>
                </c:pt>
                <c:pt idx="1">
                  <c:v>89.217994969615802</c:v>
                </c:pt>
                <c:pt idx="2">
                  <c:v>88.827525818841423</c:v>
                </c:pt>
                <c:pt idx="3">
                  <c:v>88.437695442378256</c:v>
                </c:pt>
                <c:pt idx="4">
                  <c:v>88.048714666698871</c:v>
                </c:pt>
                <c:pt idx="5">
                  <c:v>87.660792533039981</c:v>
                </c:pt>
                <c:pt idx="6">
                  <c:v>87.27413586758469</c:v>
                </c:pt>
                <c:pt idx="7">
                  <c:v>86.888948862419525</c:v>
                </c:pt>
                <c:pt idx="8">
                  <c:v>86.505432669205263</c:v>
                </c:pt>
                <c:pt idx="9">
                  <c:v>86.123785007390879</c:v>
                </c:pt>
                <c:pt idx="10">
                  <c:v>82.450427864798129</c:v>
                </c:pt>
                <c:pt idx="11">
                  <c:v>79.144120557975768</c:v>
                </c:pt>
                <c:pt idx="12">
                  <c:v>76.307517754349817</c:v>
                </c:pt>
                <c:pt idx="13">
                  <c:v>73.979758980418467</c:v>
                </c:pt>
                <c:pt idx="14">
                  <c:v>72.149421765031803</c:v>
                </c:pt>
                <c:pt idx="15">
                  <c:v>70.772746482803385</c:v>
                </c:pt>
                <c:pt idx="16">
                  <c:v>69.790080231320232</c:v>
                </c:pt>
                <c:pt idx="17">
                  <c:v>69.137663648472582</c:v>
                </c:pt>
                <c:pt idx="18">
                  <c:v>68.754736542913122</c:v>
                </c:pt>
                <c:pt idx="19">
                  <c:v>71.303145366180587</c:v>
                </c:pt>
                <c:pt idx="20">
                  <c:v>75.399824223747927</c:v>
                </c:pt>
                <c:pt idx="21">
                  <c:v>78.368899485929077</c:v>
                </c:pt>
                <c:pt idx="22">
                  <c:v>80.43182830130722</c:v>
                </c:pt>
                <c:pt idx="23">
                  <c:v>81.895606662726891</c:v>
                </c:pt>
                <c:pt idx="24">
                  <c:v>82.959059128411127</c:v>
                </c:pt>
                <c:pt idx="25">
                  <c:v>83.744417274578822</c:v>
                </c:pt>
                <c:pt idx="26">
                  <c:v>84.32896111591414</c:v>
                </c:pt>
                <c:pt idx="27">
                  <c:v>84.763693653141786</c:v>
                </c:pt>
                <c:pt idx="28">
                  <c:v>85.46113124419216</c:v>
                </c:pt>
                <c:pt idx="29">
                  <c:v>84.140973609983007</c:v>
                </c:pt>
                <c:pt idx="30">
                  <c:v>82.438311709958001</c:v>
                </c:pt>
                <c:pt idx="31">
                  <c:v>80.635935903925855</c:v>
                </c:pt>
                <c:pt idx="32">
                  <c:v>78.803014469483912</c:v>
                </c:pt>
                <c:pt idx="33">
                  <c:v>76.96132902598508</c:v>
                </c:pt>
                <c:pt idx="34">
                  <c:v>75.119272703080426</c:v>
                </c:pt>
                <c:pt idx="35">
                  <c:v>73.280700568452588</c:v>
                </c:pt>
                <c:pt idx="36">
                  <c:v>71.447692832985865</c:v>
                </c:pt>
                <c:pt idx="37">
                  <c:v>53.599377842235491</c:v>
                </c:pt>
                <c:pt idx="38">
                  <c:v>36.865023568475181</c:v>
                </c:pt>
                <c:pt idx="39">
                  <c:v>21.410094437246059</c:v>
                </c:pt>
                <c:pt idx="40">
                  <c:v>7.3325185084348554</c:v>
                </c:pt>
                <c:pt idx="41">
                  <c:v>-5.3278050609959733</c:v>
                </c:pt>
                <c:pt idx="42">
                  <c:v>-16.609211310086032</c:v>
                </c:pt>
                <c:pt idx="43">
                  <c:v>-26.616285413914902</c:v>
                </c:pt>
                <c:pt idx="44">
                  <c:v>-35.48971449911491</c:v>
                </c:pt>
                <c:pt idx="45">
                  <c:v>-43.378799666658544</c:v>
                </c:pt>
                <c:pt idx="46">
                  <c:v>-91.088037190591677</c:v>
                </c:pt>
                <c:pt idx="47">
                  <c:v>-114.27960420127296</c:v>
                </c:pt>
                <c:pt idx="48">
                  <c:v>-128.19657400418697</c:v>
                </c:pt>
                <c:pt idx="49">
                  <c:v>-137.42267484293805</c:v>
                </c:pt>
                <c:pt idx="50">
                  <c:v>-143.94493936727645</c:v>
                </c:pt>
                <c:pt idx="51">
                  <c:v>-148.77822666337482</c:v>
                </c:pt>
                <c:pt idx="52">
                  <c:v>-152.49254727982529</c:v>
                </c:pt>
                <c:pt idx="53">
                  <c:v>-155.4305970200914</c:v>
                </c:pt>
                <c:pt idx="54">
                  <c:v>-157.80970079976822</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0.26346799542901717</c:v>
                </c:pt>
                <c:pt idx="2">
                  <c:v>0.37260001238696872</c:v>
                </c:pt>
                <c:pt idx="3">
                  <c:v>0.45633995425138252</c:v>
                </c:pt>
                <c:pt idx="4">
                  <c:v>0.48</c:v>
                </c:pt>
                <c:pt idx="5">
                  <c:v>0.48</c:v>
                </c:pt>
                <c:pt idx="6">
                  <c:v>0.48</c:v>
                </c:pt>
                <c:pt idx="7">
                  <c:v>0.48</c:v>
                </c:pt>
                <c:pt idx="8">
                  <c:v>0.48</c:v>
                </c:pt>
                <c:pt idx="9">
                  <c:v>0.48</c:v>
                </c:pt>
                <c:pt idx="10">
                  <c:v>0.48</c:v>
                </c:pt>
                <c:pt idx="11">
                  <c:v>0.48</c:v>
                </c:pt>
                <c:pt idx="12">
                  <c:v>0.48</c:v>
                </c:pt>
                <c:pt idx="13">
                  <c:v>0.48</c:v>
                </c:pt>
                <c:pt idx="14">
                  <c:v>0.48</c:v>
                </c:pt>
                <c:pt idx="15">
                  <c:v>0.48</c:v>
                </c:pt>
                <c:pt idx="16">
                  <c:v>0.48</c:v>
                </c:pt>
                <c:pt idx="17">
                  <c:v>0.48</c:v>
                </c:pt>
                <c:pt idx="18">
                  <c:v>0.48</c:v>
                </c:pt>
                <c:pt idx="19">
                  <c:v>0.48</c:v>
                </c:pt>
                <c:pt idx="20">
                  <c:v>0.48</c:v>
                </c:pt>
                <c:pt idx="21">
                  <c:v>0.48</c:v>
                </c:pt>
                <c:pt idx="22">
                  <c:v>0.48</c:v>
                </c:pt>
                <c:pt idx="23">
                  <c:v>0.48</c:v>
                </c:pt>
                <c:pt idx="24">
                  <c:v>0.48</c:v>
                </c:pt>
                <c:pt idx="25">
                  <c:v>0.48</c:v>
                </c:pt>
                <c:pt idx="26">
                  <c:v>0.48</c:v>
                </c:pt>
                <c:pt idx="27">
                  <c:v>0.48</c:v>
                </c:pt>
                <c:pt idx="28">
                  <c:v>0.48</c:v>
                </c:pt>
                <c:pt idx="29">
                  <c:v>0.48</c:v>
                </c:pt>
                <c:pt idx="30">
                  <c:v>0.48</c:v>
                </c:pt>
                <c:pt idx="31">
                  <c:v>0.48</c:v>
                </c:pt>
                <c:pt idx="32">
                  <c:v>0.48</c:v>
                </c:pt>
                <c:pt idx="33">
                  <c:v>0.48</c:v>
                </c:pt>
                <c:pt idx="34">
                  <c:v>0.48</c:v>
                </c:pt>
                <c:pt idx="35">
                  <c:v>0.48</c:v>
                </c:pt>
                <c:pt idx="36">
                  <c:v>0.48</c:v>
                </c:pt>
                <c:pt idx="37">
                  <c:v>0.48</c:v>
                </c:pt>
                <c:pt idx="38">
                  <c:v>0.48</c:v>
                </c:pt>
                <c:pt idx="39">
                  <c:v>0.48</c:v>
                </c:pt>
                <c:pt idx="40">
                  <c:v>0.48</c:v>
                </c:pt>
                <c:pt idx="41">
                  <c:v>0.48</c:v>
                </c:pt>
                <c:pt idx="42">
                  <c:v>0.48</c:v>
                </c:pt>
                <c:pt idx="43">
                  <c:v>0.48</c:v>
                </c:pt>
                <c:pt idx="44">
                  <c:v>0.48</c:v>
                </c:pt>
                <c:pt idx="45">
                  <c:v>0.48</c:v>
                </c:pt>
                <c:pt idx="46">
                  <c:v>0.48</c:v>
                </c:pt>
                <c:pt idx="47">
                  <c:v>0.48</c:v>
                </c:pt>
                <c:pt idx="48">
                  <c:v>0.48</c:v>
                </c:pt>
                <c:pt idx="49">
                  <c:v>0.48</c:v>
                </c:pt>
                <c:pt idx="50">
                  <c:v>0.48</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3.3244680851063833</c:v>
                </c:pt>
              </c:numCache>
            </c:numRef>
          </c:xVal>
          <c:yVal>
            <c:numRef>
              <c:f>Calculations!$B$55</c:f>
              <c:numCache>
                <c:formatCode>0.000</c:formatCode>
                <c:ptCount val="1"/>
                <c:pt idx="0">
                  <c:v>0.5</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3.3191489361702136</c:v>
                </c:pt>
              </c:numCache>
            </c:numRef>
          </c:xVal>
          <c:yVal>
            <c:numRef>
              <c:f>Calculations!$B$58</c:f>
              <c:numCache>
                <c:formatCode>General</c:formatCode>
                <c:ptCount val="1"/>
                <c:pt idx="0">
                  <c:v>0.48</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0.39581140290126393</c:v>
                </c:pt>
                <c:pt idx="2">
                  <c:v>0.55976185412488888</c:v>
                </c:pt>
                <c:pt idx="3">
                  <c:v>0.625</c:v>
                </c:pt>
                <c:pt idx="4">
                  <c:v>0.625</c:v>
                </c:pt>
                <c:pt idx="5">
                  <c:v>0.625</c:v>
                </c:pt>
                <c:pt idx="6">
                  <c:v>0.625</c:v>
                </c:pt>
                <c:pt idx="7">
                  <c:v>0.625</c:v>
                </c:pt>
                <c:pt idx="8">
                  <c:v>0.625</c:v>
                </c:pt>
                <c:pt idx="9">
                  <c:v>0.625</c:v>
                </c:pt>
                <c:pt idx="10">
                  <c:v>0.625</c:v>
                </c:pt>
                <c:pt idx="11">
                  <c:v>0.625</c:v>
                </c:pt>
                <c:pt idx="12">
                  <c:v>0.625</c:v>
                </c:pt>
                <c:pt idx="13">
                  <c:v>0.625</c:v>
                </c:pt>
                <c:pt idx="14">
                  <c:v>0.625</c:v>
                </c:pt>
                <c:pt idx="15">
                  <c:v>0.625</c:v>
                </c:pt>
                <c:pt idx="16">
                  <c:v>0.625</c:v>
                </c:pt>
                <c:pt idx="17">
                  <c:v>0.625</c:v>
                </c:pt>
                <c:pt idx="18">
                  <c:v>0.625</c:v>
                </c:pt>
                <c:pt idx="19">
                  <c:v>0.625</c:v>
                </c:pt>
                <c:pt idx="20">
                  <c:v>0.625</c:v>
                </c:pt>
                <c:pt idx="21">
                  <c:v>0.625</c:v>
                </c:pt>
                <c:pt idx="22">
                  <c:v>0.625</c:v>
                </c:pt>
                <c:pt idx="23">
                  <c:v>0.625</c:v>
                </c:pt>
                <c:pt idx="24">
                  <c:v>0.625</c:v>
                </c:pt>
                <c:pt idx="25">
                  <c:v>0.625</c:v>
                </c:pt>
                <c:pt idx="26">
                  <c:v>0.625</c:v>
                </c:pt>
                <c:pt idx="27">
                  <c:v>0.625</c:v>
                </c:pt>
                <c:pt idx="28">
                  <c:v>0.625</c:v>
                </c:pt>
                <c:pt idx="29">
                  <c:v>0.625</c:v>
                </c:pt>
                <c:pt idx="30">
                  <c:v>0.625</c:v>
                </c:pt>
                <c:pt idx="31">
                  <c:v>0.625</c:v>
                </c:pt>
                <c:pt idx="32">
                  <c:v>0.625</c:v>
                </c:pt>
                <c:pt idx="33">
                  <c:v>0.625</c:v>
                </c:pt>
                <c:pt idx="34">
                  <c:v>0.625</c:v>
                </c:pt>
                <c:pt idx="35">
                  <c:v>0.625</c:v>
                </c:pt>
                <c:pt idx="36">
                  <c:v>0.625</c:v>
                </c:pt>
                <c:pt idx="37">
                  <c:v>0.625</c:v>
                </c:pt>
                <c:pt idx="38">
                  <c:v>0.625</c:v>
                </c:pt>
                <c:pt idx="39">
                  <c:v>0.625</c:v>
                </c:pt>
                <c:pt idx="40">
                  <c:v>0.625</c:v>
                </c:pt>
                <c:pt idx="41">
                  <c:v>0.625</c:v>
                </c:pt>
                <c:pt idx="42">
                  <c:v>0.625</c:v>
                </c:pt>
                <c:pt idx="43">
                  <c:v>0.625</c:v>
                </c:pt>
                <c:pt idx="44">
                  <c:v>0.625</c:v>
                </c:pt>
                <c:pt idx="45">
                  <c:v>0.625</c:v>
                </c:pt>
                <c:pt idx="46">
                  <c:v>0.625</c:v>
                </c:pt>
                <c:pt idx="47">
                  <c:v>0.625</c:v>
                </c:pt>
                <c:pt idx="48">
                  <c:v>0.625</c:v>
                </c:pt>
                <c:pt idx="49">
                  <c:v>0.625</c:v>
                </c:pt>
                <c:pt idx="50">
                  <c:v>0.625</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0.21157009420498152</c:v>
                </c:pt>
                <c:pt idx="2">
                  <c:v>0.29920529661723827</c:v>
                </c:pt>
                <c:pt idx="3">
                  <c:v>0.36645015252516172</c:v>
                </c:pt>
                <c:pt idx="4">
                  <c:v>0.41666666666666669</c:v>
                </c:pt>
                <c:pt idx="5">
                  <c:v>0.41666666666666669</c:v>
                </c:pt>
                <c:pt idx="6">
                  <c:v>0.41666666666666669</c:v>
                </c:pt>
                <c:pt idx="7">
                  <c:v>0.41666666666666669</c:v>
                </c:pt>
                <c:pt idx="8">
                  <c:v>0.41666666666666669</c:v>
                </c:pt>
                <c:pt idx="9">
                  <c:v>0.41666666666666669</c:v>
                </c:pt>
                <c:pt idx="10">
                  <c:v>0.41666666666666669</c:v>
                </c:pt>
                <c:pt idx="11">
                  <c:v>0.41666666666666669</c:v>
                </c:pt>
                <c:pt idx="12">
                  <c:v>0.41666666666666669</c:v>
                </c:pt>
                <c:pt idx="13">
                  <c:v>0.41666666666666669</c:v>
                </c:pt>
                <c:pt idx="14">
                  <c:v>0.41666666666666669</c:v>
                </c:pt>
                <c:pt idx="15">
                  <c:v>0.41666666666666669</c:v>
                </c:pt>
                <c:pt idx="16">
                  <c:v>0.41666666666666669</c:v>
                </c:pt>
                <c:pt idx="17">
                  <c:v>0.41666666666666669</c:v>
                </c:pt>
                <c:pt idx="18">
                  <c:v>0.41666666666666669</c:v>
                </c:pt>
                <c:pt idx="19">
                  <c:v>0.41666666666666669</c:v>
                </c:pt>
                <c:pt idx="20">
                  <c:v>0.41666666666666669</c:v>
                </c:pt>
                <c:pt idx="21">
                  <c:v>0.41666666666666669</c:v>
                </c:pt>
                <c:pt idx="22">
                  <c:v>0.41666666666666669</c:v>
                </c:pt>
                <c:pt idx="23">
                  <c:v>0.41666666666666669</c:v>
                </c:pt>
                <c:pt idx="24">
                  <c:v>0.41666666666666669</c:v>
                </c:pt>
                <c:pt idx="25">
                  <c:v>0.41666666666666669</c:v>
                </c:pt>
                <c:pt idx="26">
                  <c:v>0.41666666666666669</c:v>
                </c:pt>
                <c:pt idx="27">
                  <c:v>0.41666666666666669</c:v>
                </c:pt>
                <c:pt idx="28">
                  <c:v>0.41666666666666669</c:v>
                </c:pt>
                <c:pt idx="29">
                  <c:v>0.41666666666666669</c:v>
                </c:pt>
                <c:pt idx="30">
                  <c:v>0.41666666666666669</c:v>
                </c:pt>
                <c:pt idx="31">
                  <c:v>0.41666666666666669</c:v>
                </c:pt>
                <c:pt idx="32">
                  <c:v>0.41666666666666669</c:v>
                </c:pt>
                <c:pt idx="33">
                  <c:v>0.41666666666666669</c:v>
                </c:pt>
                <c:pt idx="34">
                  <c:v>0.41666666666666669</c:v>
                </c:pt>
                <c:pt idx="35">
                  <c:v>0.41666666666666669</c:v>
                </c:pt>
                <c:pt idx="36">
                  <c:v>0.41666666666666669</c:v>
                </c:pt>
                <c:pt idx="37">
                  <c:v>0.41666666666666669</c:v>
                </c:pt>
                <c:pt idx="38">
                  <c:v>0.41666666666666669</c:v>
                </c:pt>
                <c:pt idx="39">
                  <c:v>0.41666666666666669</c:v>
                </c:pt>
                <c:pt idx="40">
                  <c:v>0.41666666666666669</c:v>
                </c:pt>
                <c:pt idx="41">
                  <c:v>0.41666666666666669</c:v>
                </c:pt>
                <c:pt idx="42">
                  <c:v>0.41666666666666669</c:v>
                </c:pt>
                <c:pt idx="43">
                  <c:v>0.41666666666666669</c:v>
                </c:pt>
                <c:pt idx="44">
                  <c:v>0.41666666666666669</c:v>
                </c:pt>
                <c:pt idx="45">
                  <c:v>0.41666666666666669</c:v>
                </c:pt>
                <c:pt idx="46">
                  <c:v>0.41666666666666669</c:v>
                </c:pt>
                <c:pt idx="47">
                  <c:v>0.41666666666666669</c:v>
                </c:pt>
                <c:pt idx="48">
                  <c:v>0.41666666666666669</c:v>
                </c:pt>
                <c:pt idx="49">
                  <c:v>0.41666666666666669</c:v>
                </c:pt>
                <c:pt idx="50">
                  <c:v>0.41666666666666669</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2.4933510638297873</c:v>
                </c:pt>
              </c:numCache>
            </c:numRef>
          </c:xVal>
          <c:yVal>
            <c:numRef>
              <c:f>Calculations!$B$43</c:f>
              <c:numCache>
                <c:formatCode>General</c:formatCode>
                <c:ptCount val="1"/>
                <c:pt idx="0">
                  <c:v>0.625</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3.3244680851063833</c:v>
                </c:pt>
              </c:numCache>
            </c:numRef>
          </c:xVal>
          <c:yVal>
            <c:numRef>
              <c:f>Calculations!$B$46</c:f>
              <c:numCache>
                <c:formatCode>0.0000</c:formatCode>
                <c:ptCount val="1"/>
                <c:pt idx="0">
                  <c:v>0.5</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3.878546099290781</c:v>
                </c:pt>
              </c:numCache>
            </c:numRef>
          </c:xVal>
          <c:yVal>
            <c:numRef>
              <c:f>Calculations!$B$49</c:f>
              <c:numCache>
                <c:formatCode>0.000</c:formatCode>
                <c:ptCount val="1"/>
                <c:pt idx="0">
                  <c:v>0.41666666666666669</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47.389745273340907</c:v>
                </c:pt>
                <c:pt idx="1">
                  <c:v>47.389738514180706</c:v>
                </c:pt>
                <c:pt idx="2">
                  <c:v>47.389727248937</c:v>
                </c:pt>
                <c:pt idx="3">
                  <c:v>47.389711477644965</c:v>
                </c:pt>
                <c:pt idx="4">
                  <c:v>47.389691200353624</c:v>
                </c:pt>
                <c:pt idx="5">
                  <c:v>47.389666417126087</c:v>
                </c:pt>
                <c:pt idx="6">
                  <c:v>47.389637128039553</c:v>
                </c:pt>
                <c:pt idx="7">
                  <c:v>47.389603333185121</c:v>
                </c:pt>
                <c:pt idx="8">
                  <c:v>47.389565032668045</c:v>
                </c:pt>
                <c:pt idx="9">
                  <c:v>47.389522226607468</c:v>
                </c:pt>
                <c:pt idx="10">
                  <c:v>47.388846397358854</c:v>
                </c:pt>
                <c:pt idx="11">
                  <c:v>47.387720248935246</c:v>
                </c:pt>
                <c:pt idx="12">
                  <c:v>47.386144131568287</c:v>
                </c:pt>
                <c:pt idx="13">
                  <c:v>47.384118535074279</c:v>
                </c:pt>
                <c:pt idx="14">
                  <c:v>47.381644088346995</c:v>
                </c:pt>
                <c:pt idx="15">
                  <c:v>47.378721558708008</c:v>
                </c:pt>
                <c:pt idx="16">
                  <c:v>47.375351851115482</c:v>
                </c:pt>
                <c:pt idx="17">
                  <c:v>47.371536007232848</c:v>
                </c:pt>
                <c:pt idx="18">
                  <c:v>47.367275204359927</c:v>
                </c:pt>
                <c:pt idx="19">
                  <c:v>47.300547617118568</c:v>
                </c:pt>
                <c:pt idx="20">
                  <c:v>47.191563933117841</c:v>
                </c:pt>
                <c:pt idx="21">
                  <c:v>47.043440251740975</c:v>
                </c:pt>
                <c:pt idx="22">
                  <c:v>46.860130277843631</c:v>
                </c:pt>
                <c:pt idx="23">
                  <c:v>46.646108495530498</c:v>
                </c:pt>
                <c:pt idx="24">
                  <c:v>46.406062794326139</c:v>
                </c:pt>
                <c:pt idx="25">
                  <c:v>46.144631425035584</c:v>
                </c:pt>
                <c:pt idx="26">
                  <c:v>45.866203002211769</c:v>
                </c:pt>
                <c:pt idx="27">
                  <c:v>45.574783411303478</c:v>
                </c:pt>
                <c:pt idx="28">
                  <c:v>42.511096384647445</c:v>
                </c:pt>
                <c:pt idx="29">
                  <c:v>39.854630454615879</c:v>
                </c:pt>
                <c:pt idx="30">
                  <c:v>37.704653605207</c:v>
                </c:pt>
                <c:pt idx="31">
                  <c:v>35.93789699454782</c:v>
                </c:pt>
                <c:pt idx="32">
                  <c:v>34.450318880747368</c:v>
                </c:pt>
                <c:pt idx="33">
                  <c:v>33.170339795319975</c:v>
                </c:pt>
                <c:pt idx="34">
                  <c:v>32.049198834843423</c:v>
                </c:pt>
                <c:pt idx="35">
                  <c:v>31.052880250470018</c:v>
                </c:pt>
                <c:pt idx="36">
                  <c:v>30.156953031772073</c:v>
                </c:pt>
                <c:pt idx="37">
                  <c:v>24.198392060045954</c:v>
                </c:pt>
                <c:pt idx="38">
                  <c:v>20.688153464146506</c:v>
                </c:pt>
                <c:pt idx="39">
                  <c:v>18.193441350814435</c:v>
                </c:pt>
                <c:pt idx="40">
                  <c:v>16.257122790181825</c:v>
                </c:pt>
                <c:pt idx="41">
                  <c:v>14.674520368827617</c:v>
                </c:pt>
                <c:pt idx="42">
                  <c:v>13.33620122758439</c:v>
                </c:pt>
                <c:pt idx="43">
                  <c:v>12.176762565347696</c:v>
                </c:pt>
                <c:pt idx="44">
                  <c:v>11.153986566529664</c:v>
                </c:pt>
                <c:pt idx="45">
                  <c:v>10.239033078519784</c:v>
                </c:pt>
                <c:pt idx="46">
                  <c:v>4.2190609424109171</c:v>
                </c:pt>
                <c:pt idx="47">
                  <c:v>0.6973520262878834</c:v>
                </c:pt>
                <c:pt idx="48">
                  <c:v>-1.8013820123960405</c:v>
                </c:pt>
                <c:pt idx="49">
                  <c:v>-3.7395634371592235</c:v>
                </c:pt>
                <c:pt idx="50">
                  <c:v>-5.3231781265032883</c:v>
                </c:pt>
                <c:pt idx="51">
                  <c:v>-6.6621077497667383</c:v>
                </c:pt>
                <c:pt idx="52">
                  <c:v>-7.8219426851711162</c:v>
                </c:pt>
                <c:pt idx="53">
                  <c:v>-8.8449903888849786</c:v>
                </c:pt>
                <c:pt idx="54">
                  <c:v>-9.7601382364478297</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-4.1268285546466742E-2</c:v>
                </c:pt>
                <c:pt idx="1">
                  <c:v>-8.2536528274224488E-2</c:v>
                </c:pt>
                <c:pt idx="2">
                  <c:v>-0.12380468536483343</c:v>
                </c:pt>
                <c:pt idx="3">
                  <c:v>-0.16507271400038367</c:v>
                </c:pt>
                <c:pt idx="4">
                  <c:v>-0.20634057136376646</c:v>
                </c:pt>
                <c:pt idx="5">
                  <c:v>-0.24760821463894067</c:v>
                </c:pt>
                <c:pt idx="6">
                  <c:v>-0.28887560101119419</c:v>
                </c:pt>
                <c:pt idx="7">
                  <c:v>-0.33014268766741783</c:v>
                </c:pt>
                <c:pt idx="8">
                  <c:v>-0.37140943179636465</c:v>
                </c:pt>
                <c:pt idx="9">
                  <c:v>-0.41267579058892262</c:v>
                </c:pt>
                <c:pt idx="10">
                  <c:v>-0.82530876906609507</c:v>
                </c:pt>
                <c:pt idx="11">
                  <c:v>-1.2378561499624532</c:v>
                </c:pt>
                <c:pt idx="12">
                  <c:v>-1.6502752010528647</c:v>
                </c:pt>
                <c:pt idx="13">
                  <c:v>-2.0625232698746028</c:v>
                </c:pt>
                <c:pt idx="14">
                  <c:v>-2.4745578101220151</c:v>
                </c:pt>
                <c:pt idx="15">
                  <c:v>-2.8863364078767004</c:v>
                </c:pt>
                <c:pt idx="16">
                  <c:v>-3.297816807632735</c:v>
                </c:pt>
                <c:pt idx="17">
                  <c:v>-3.7089569380775989</c:v>
                </c:pt>
                <c:pt idx="18">
                  <c:v>-4.1197149375896593</c:v>
                </c:pt>
                <c:pt idx="19">
                  <c:v>-8.1972673077915488</c:v>
                </c:pt>
                <c:pt idx="20">
                  <c:v>-12.193027533830765</c:v>
                </c:pt>
                <c:pt idx="21">
                  <c:v>-16.072063246127378</c:v>
                </c:pt>
                <c:pt idx="22">
                  <c:v>-19.805662287485923</c:v>
                </c:pt>
                <c:pt idx="23">
                  <c:v>-23.372096150060418</c:v>
                </c:pt>
                <c:pt idx="24">
                  <c:v>-26.756661625920213</c:v>
                </c:pt>
                <c:pt idx="25">
                  <c:v>-29.951151294535844</c:v>
                </c:pt>
                <c:pt idx="26">
                  <c:v>-32.952954160877582</c:v>
                </c:pt>
                <c:pt idx="27">
                  <c:v>-35.763983071272747</c:v>
                </c:pt>
                <c:pt idx="28">
                  <c:v>-55.232142338916439</c:v>
                </c:pt>
                <c:pt idx="29">
                  <c:v>-65.165726580097612</c:v>
                </c:pt>
                <c:pt idx="30">
                  <c:v>-70.858458492449401</c:v>
                </c:pt>
                <c:pt idx="31">
                  <c:v>-74.481378310408402</c:v>
                </c:pt>
                <c:pt idx="32">
                  <c:v>-76.971320425852639</c:v>
                </c:pt>
                <c:pt idx="33">
                  <c:v>-78.781605384054032</c:v>
                </c:pt>
                <c:pt idx="34">
                  <c:v>-80.154572845362765</c:v>
                </c:pt>
                <c:pt idx="35">
                  <c:v>-81.230471159052968</c:v>
                </c:pt>
                <c:pt idx="36">
                  <c:v>-82.095737722007897</c:v>
                </c:pt>
                <c:pt idx="37">
                  <c:v>-86.028975144400519</c:v>
                </c:pt>
                <c:pt idx="38">
                  <c:v>-87.35029366095911</c:v>
                </c:pt>
                <c:pt idx="39">
                  <c:v>-88.012100342294673</c:v>
                </c:pt>
                <c:pt idx="40">
                  <c:v>-88.409450543846731</c:v>
                </c:pt>
                <c:pt idx="41">
                  <c:v>-88.674438085137126</c:v>
                </c:pt>
                <c:pt idx="42">
                  <c:v>-88.863750292513132</c:v>
                </c:pt>
                <c:pt idx="43">
                  <c:v>-89.005750959268042</c:v>
                </c:pt>
                <c:pt idx="44">
                  <c:v>-89.11620445743273</c:v>
                </c:pt>
                <c:pt idx="45">
                  <c:v>-89.204572025638356</c:v>
                </c:pt>
                <c:pt idx="46">
                  <c:v>-89.602266848726799</c:v>
                </c:pt>
                <c:pt idx="47">
                  <c:v>-89.734842199637313</c:v>
                </c:pt>
                <c:pt idx="48">
                  <c:v>-89.801131028592124</c:v>
                </c:pt>
                <c:pt idx="49">
                  <c:v>-89.840904592874068</c:v>
                </c:pt>
                <c:pt idx="50">
                  <c:v>-89.867420389946247</c:v>
                </c:pt>
                <c:pt idx="51">
                  <c:v>-89.886360280429514</c:v>
                </c:pt>
                <c:pt idx="52">
                  <c:v>-89.900565214816538</c:v>
                </c:pt>
                <c:pt idx="53">
                  <c:v>-89.911613505657925</c:v>
                </c:pt>
                <c:pt idx="54">
                  <c:v>-89.92045214310302</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44.481932708353796</c:v>
                </c:pt>
                <c:pt idx="1">
                  <c:v>38.461339338946715</c:v>
                </c:pt>
                <c:pt idx="2">
                  <c:v>34.939525064265439</c:v>
                </c:pt>
                <c:pt idx="3">
                  <c:v>32.440765601058715</c:v>
                </c:pt>
                <c:pt idx="4">
                  <c:v>30.502584972337733</c:v>
                </c:pt>
                <c:pt idx="5">
                  <c:v>28.918984045247086</c:v>
                </c:pt>
                <c:pt idx="6">
                  <c:v>27.58007660884607</c:v>
                </c:pt>
                <c:pt idx="7">
                  <c:v>26.420270387767495</c:v>
                </c:pt>
                <c:pt idx="8">
                  <c:v>25.397257019460397</c:v>
                </c:pt>
                <c:pt idx="9">
                  <c:v>24.482148650940903</c:v>
                </c:pt>
                <c:pt idx="10">
                  <c:v>18.462203043563534</c:v>
                </c:pt>
                <c:pt idx="11">
                  <c:v>14.941468153225198</c:v>
                </c:pt>
                <c:pt idx="12">
                  <c:v>12.444219368345831</c:v>
                </c:pt>
                <c:pt idx="13">
                  <c:v>10.507980252737532</c:v>
                </c:pt>
                <c:pt idx="14">
                  <c:v>8.9267510839359492</c:v>
                </c:pt>
                <c:pt idx="15">
                  <c:v>7.5906449315712576</c:v>
                </c:pt>
                <c:pt idx="16">
                  <c:v>6.4340686717459041</c:v>
                </c:pt>
                <c:pt idx="17">
                  <c:v>5.4147129651226749</c:v>
                </c:pt>
                <c:pt idx="18">
                  <c:v>4.5036888546469616</c:v>
                </c:pt>
                <c:pt idx="19">
                  <c:v>-1.4522827317230056</c:v>
                </c:pt>
                <c:pt idx="20">
                  <c:v>-4.8684868426873953</c:v>
                </c:pt>
                <c:pt idx="21">
                  <c:v>-7.223579875240695</c:v>
                </c:pt>
                <c:pt idx="22">
                  <c:v>-8.9837691399500237</c:v>
                </c:pt>
                <c:pt idx="23">
                  <c:v>-10.359292472755113</c:v>
                </c:pt>
                <c:pt idx="24">
                  <c:v>-11.464496505542016</c:v>
                </c:pt>
                <c:pt idx="25">
                  <c:v>-12.369408354890922</c:v>
                </c:pt>
                <c:pt idx="26">
                  <c:v>-13.12055469162674</c:v>
                </c:pt>
                <c:pt idx="27">
                  <c:v>-13.750695171101396</c:v>
                </c:pt>
                <c:pt idx="28">
                  <c:v>-16.755027095961175</c:v>
                </c:pt>
                <c:pt idx="29">
                  <c:v>-17.642607189744645</c:v>
                </c:pt>
                <c:pt idx="30">
                  <c:v>-18.002857165339815</c:v>
                </c:pt>
                <c:pt idx="31">
                  <c:v>-18.181575568960817</c:v>
                </c:pt>
                <c:pt idx="32">
                  <c:v>-18.283226911876369</c:v>
                </c:pt>
                <c:pt idx="33">
                  <c:v>-18.347163054725502</c:v>
                </c:pt>
                <c:pt idx="34">
                  <c:v>-18.39070027853359</c:v>
                </c:pt>
                <c:pt idx="35">
                  <c:v>-18.422377554304923</c:v>
                </c:pt>
                <c:pt idx="36">
                  <c:v>-18.446786332192222</c:v>
                </c:pt>
                <c:pt idx="37">
                  <c:v>-18.582357115384294</c:v>
                </c:pt>
                <c:pt idx="38">
                  <c:v>-18.710970069520073</c:v>
                </c:pt>
                <c:pt idx="39">
                  <c:v>-18.873381750006999</c:v>
                </c:pt>
                <c:pt idx="40">
                  <c:v>-19.070627064275069</c:v>
                </c:pt>
                <c:pt idx="41">
                  <c:v>-19.299041369044978</c:v>
                </c:pt>
                <c:pt idx="42">
                  <c:v>-19.553875742341717</c:v>
                </c:pt>
                <c:pt idx="43">
                  <c:v>-19.830220897181675</c:v>
                </c:pt>
                <c:pt idx="44">
                  <c:v>-20.123397255280977</c:v>
                </c:pt>
                <c:pt idx="45">
                  <c:v>-20.429151265071045</c:v>
                </c:pt>
                <c:pt idx="46">
                  <c:v>-23.595169967582798</c:v>
                </c:pt>
                <c:pt idx="47">
                  <c:v>-26.296401172054683</c:v>
                </c:pt>
                <c:pt idx="48">
                  <c:v>-28.466931773437082</c:v>
                </c:pt>
                <c:pt idx="49">
                  <c:v>-30.244371706230101</c:v>
                </c:pt>
                <c:pt idx="50">
                  <c:v>-31.738109195370804</c:v>
                </c:pt>
                <c:pt idx="51">
                  <c:v>-33.021932489976166</c:v>
                </c:pt>
                <c:pt idx="52">
                  <c:v>-34.145623263026373</c:v>
                </c:pt>
                <c:pt idx="53">
                  <c:v>-35.143715603706433</c:v>
                </c:pt>
                <c:pt idx="54">
                  <c:v>-36.040924605248023</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90.040180540569068</c:v>
                </c:pt>
                <c:pt idx="1">
                  <c:v>90.080361040342055</c:v>
                </c:pt>
                <c:pt idx="2">
                  <c:v>90.120541458523149</c:v>
                </c:pt>
                <c:pt idx="3">
                  <c:v>90.160721754317009</c:v>
                </c:pt>
                <c:pt idx="4">
                  <c:v>90.200901886929017</c:v>
                </c:pt>
                <c:pt idx="5">
                  <c:v>90.241081815565579</c:v>
                </c:pt>
                <c:pt idx="6">
                  <c:v>90.281261499434308</c:v>
                </c:pt>
                <c:pt idx="7">
                  <c:v>90.321440897744296</c:v>
                </c:pt>
                <c:pt idx="8">
                  <c:v>90.361619969706339</c:v>
                </c:pt>
                <c:pt idx="9">
                  <c:v>90.401798674533211</c:v>
                </c:pt>
                <c:pt idx="10">
                  <c:v>90.803556559077776</c:v>
                </c:pt>
                <c:pt idx="11">
                  <c:v>91.205232888223875</c:v>
                </c:pt>
                <c:pt idx="12">
                  <c:v>91.606786945682231</c:v>
                </c:pt>
                <c:pt idx="13">
                  <c:v>92.008178088752004</c:v>
                </c:pt>
                <c:pt idx="14">
                  <c:v>92.409365772678029</c:v>
                </c:pt>
                <c:pt idx="15">
                  <c:v>92.810309574860995</c:v>
                </c:pt>
                <c:pt idx="16">
                  <c:v>93.210969218884713</c:v>
                </c:pt>
                <c:pt idx="17">
                  <c:v>93.611304598324764</c:v>
                </c:pt>
                <c:pt idx="18">
                  <c:v>94.011275800304006</c:v>
                </c:pt>
                <c:pt idx="19">
                  <c:v>97.982361123400111</c:v>
                </c:pt>
                <c:pt idx="20">
                  <c:v>101.87540595625862</c:v>
                </c:pt>
                <c:pt idx="21">
                  <c:v>105.65691061034325</c:v>
                </c:pt>
                <c:pt idx="22">
                  <c:v>109.29915826569301</c:v>
                </c:pt>
                <c:pt idx="23">
                  <c:v>112.78095858202741</c:v>
                </c:pt>
                <c:pt idx="24">
                  <c:v>116.08772942181484</c:v>
                </c:pt>
                <c:pt idx="25">
                  <c:v>119.21104630802388</c:v>
                </c:pt>
                <c:pt idx="26">
                  <c:v>122.14783813103858</c:v>
                </c:pt>
                <c:pt idx="27">
                  <c:v>124.89940728448286</c:v>
                </c:pt>
                <c:pt idx="28">
                  <c:v>143.94318267916788</c:v>
                </c:pt>
                <c:pt idx="29">
                  <c:v>153.5295026310836</c:v>
                </c:pt>
                <c:pt idx="30">
                  <c:v>158.86106422950832</c:v>
                </c:pt>
                <c:pt idx="31">
                  <c:v>162.10521207076246</c:v>
                </c:pt>
                <c:pt idx="32">
                  <c:v>164.20386458219537</c:v>
                </c:pt>
                <c:pt idx="33">
                  <c:v>165.61447613337373</c:v>
                </c:pt>
                <c:pt idx="34">
                  <c:v>166.58212301117695</c:v>
                </c:pt>
                <c:pt idx="35">
                  <c:v>167.2488391049454</c:v>
                </c:pt>
                <c:pt idx="36">
                  <c:v>167.70225459581118</c:v>
                </c:pt>
                <c:pt idx="37">
                  <c:v>167.47817393875542</c:v>
                </c:pt>
                <c:pt idx="38">
                  <c:v>164.69160103174394</c:v>
                </c:pt>
                <c:pt idx="39">
                  <c:v>161.36374075655729</c:v>
                </c:pt>
                <c:pt idx="40">
                  <c:v>157.92693984946047</c:v>
                </c:pt>
                <c:pt idx="41">
                  <c:v>154.53829732961157</c:v>
                </c:pt>
                <c:pt idx="42">
                  <c:v>151.27027968800357</c:v>
                </c:pt>
                <c:pt idx="43">
                  <c:v>148.15929447100388</c:v>
                </c:pt>
                <c:pt idx="44">
                  <c:v>145.22280457032238</c:v>
                </c:pt>
                <c:pt idx="45">
                  <c:v>142.46702348983288</c:v>
                </c:pt>
                <c:pt idx="46">
                  <c:v>123.42580651612288</c:v>
                </c:pt>
                <c:pt idx="47">
                  <c:v>113.80563324949001</c:v>
                </c:pt>
                <c:pt idx="48">
                  <c:v>108.32390686092744</c:v>
                </c:pt>
                <c:pt idx="49">
                  <c:v>104.84531732818542</c:v>
                </c:pt>
                <c:pt idx="50">
                  <c:v>102.45836848897099</c:v>
                </c:pt>
                <c:pt idx="51">
                  <c:v>100.72462166497358</c:v>
                </c:pt>
                <c:pt idx="52">
                  <c:v>99.410511624993262</c:v>
                </c:pt>
                <c:pt idx="53">
                  <c:v>98.381166140943606</c:v>
                </c:pt>
                <c:pt idx="54">
                  <c:v>97.553583938271387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91.871677981694702</c:v>
                </c:pt>
                <c:pt idx="1">
                  <c:v>85.851077853127407</c:v>
                </c:pt>
                <c:pt idx="2">
                  <c:v>82.32925231320246</c:v>
                </c:pt>
                <c:pt idx="3">
                  <c:v>79.83047707870368</c:v>
                </c:pt>
                <c:pt idx="4">
                  <c:v>77.892276172691354</c:v>
                </c:pt>
                <c:pt idx="5">
                  <c:v>76.30865046237318</c:v>
                </c:pt>
                <c:pt idx="6">
                  <c:v>74.969713736885623</c:v>
                </c:pt>
                <c:pt idx="7">
                  <c:v>73.809873720952623</c:v>
                </c:pt>
                <c:pt idx="8">
                  <c:v>72.786822052128443</c:v>
                </c:pt>
                <c:pt idx="9">
                  <c:v>71.871670877548354</c:v>
                </c:pt>
                <c:pt idx="10">
                  <c:v>65.851049440922381</c:v>
                </c:pt>
                <c:pt idx="11">
                  <c:v>62.329188402160412</c:v>
                </c:pt>
                <c:pt idx="12">
                  <c:v>59.830363499914121</c:v>
                </c:pt>
                <c:pt idx="13">
                  <c:v>57.892098787811804</c:v>
                </c:pt>
                <c:pt idx="14">
                  <c:v>56.30839517228295</c:v>
                </c:pt>
                <c:pt idx="15">
                  <c:v>54.96936649027927</c:v>
                </c:pt>
                <c:pt idx="16">
                  <c:v>53.809420522861387</c:v>
                </c:pt>
                <c:pt idx="17">
                  <c:v>52.786248972355523</c:v>
                </c:pt>
                <c:pt idx="18">
                  <c:v>51.870964059006894</c:v>
                </c:pt>
                <c:pt idx="19">
                  <c:v>45.848264885395579</c:v>
                </c:pt>
                <c:pt idx="20">
                  <c:v>42.323077090430417</c:v>
                </c:pt>
                <c:pt idx="21">
                  <c:v>39.819860376500273</c:v>
                </c:pt>
                <c:pt idx="22">
                  <c:v>37.876361137893603</c:v>
                </c:pt>
                <c:pt idx="23">
                  <c:v>36.286816022775383</c:v>
                </c:pt>
                <c:pt idx="24">
                  <c:v>34.941566288784124</c:v>
                </c:pt>
                <c:pt idx="25">
                  <c:v>33.775223070144655</c:v>
                </c:pt>
                <c:pt idx="26">
                  <c:v>32.745648310585025</c:v>
                </c:pt>
                <c:pt idx="27">
                  <c:v>31.824088240202091</c:v>
                </c:pt>
                <c:pt idx="28">
                  <c:v>25.756069288686255</c:v>
                </c:pt>
                <c:pt idx="29">
                  <c:v>22.212023264871252</c:v>
                </c:pt>
                <c:pt idx="30">
                  <c:v>19.701796439867184</c:v>
                </c:pt>
                <c:pt idx="31">
                  <c:v>17.756321425587007</c:v>
                </c:pt>
                <c:pt idx="32">
                  <c:v>16.167091968870999</c:v>
                </c:pt>
                <c:pt idx="33">
                  <c:v>14.823176740594475</c:v>
                </c:pt>
                <c:pt idx="34">
                  <c:v>13.658498556309837</c:v>
                </c:pt>
                <c:pt idx="35">
                  <c:v>12.630502696165101</c:v>
                </c:pt>
                <c:pt idx="36">
                  <c:v>11.71016669957986</c:v>
                </c:pt>
                <c:pt idx="37">
                  <c:v>5.6160349446616751</c:v>
                </c:pt>
                <c:pt idx="38">
                  <c:v>1.9771833946264343</c:v>
                </c:pt>
                <c:pt idx="39">
                  <c:v>-0.67994039919256144</c:v>
                </c:pt>
                <c:pt idx="40">
                  <c:v>-2.8135042740932459</c:v>
                </c:pt>
                <c:pt idx="41">
                  <c:v>-4.6245210002173565</c:v>
                </c:pt>
                <c:pt idx="42">
                  <c:v>-6.2176745147573254</c:v>
                </c:pt>
                <c:pt idx="43">
                  <c:v>-7.6534583318339813</c:v>
                </c:pt>
                <c:pt idx="44">
                  <c:v>-8.9694106887513154</c:v>
                </c:pt>
                <c:pt idx="45">
                  <c:v>-10.19011818655127</c:v>
                </c:pt>
                <c:pt idx="46">
                  <c:v>-19.376109025171878</c:v>
                </c:pt>
                <c:pt idx="47">
                  <c:v>-25.599049145766799</c:v>
                </c:pt>
                <c:pt idx="48">
                  <c:v>-30.268313785833129</c:v>
                </c:pt>
                <c:pt idx="49">
                  <c:v>-33.983935143389317</c:v>
                </c:pt>
                <c:pt idx="50">
                  <c:v>-37.061287321874104</c:v>
                </c:pt>
                <c:pt idx="51">
                  <c:v>-39.684040239742878</c:v>
                </c:pt>
                <c:pt idx="52">
                  <c:v>-41.967565948197489</c:v>
                </c:pt>
                <c:pt idx="53">
                  <c:v>-43.988705992591413</c:v>
                </c:pt>
                <c:pt idx="54">
                  <c:v>-45.801062841695845</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89.998912255022603</c:v>
                </c:pt>
                <c:pt idx="1">
                  <c:v>89.997824512067837</c:v>
                </c:pt>
                <c:pt idx="2">
                  <c:v>89.996736773158318</c:v>
                </c:pt>
                <c:pt idx="3">
                  <c:v>89.995649040316621</c:v>
                </c:pt>
                <c:pt idx="4">
                  <c:v>89.99456131556525</c:v>
                </c:pt>
                <c:pt idx="5">
                  <c:v>89.993473600926635</c:v>
                </c:pt>
                <c:pt idx="6">
                  <c:v>89.992385898423109</c:v>
                </c:pt>
                <c:pt idx="7">
                  <c:v>89.991298210076877</c:v>
                </c:pt>
                <c:pt idx="8">
                  <c:v>89.990210537909959</c:v>
                </c:pt>
                <c:pt idx="9">
                  <c:v>89.98912288394429</c:v>
                </c:pt>
                <c:pt idx="10">
                  <c:v>89.978247790011693</c:v>
                </c:pt>
                <c:pt idx="11">
                  <c:v>89.967376738261436</c:v>
                </c:pt>
                <c:pt idx="12">
                  <c:v>89.956511744629367</c:v>
                </c:pt>
                <c:pt idx="13">
                  <c:v>89.945654818877415</c:v>
                </c:pt>
                <c:pt idx="14">
                  <c:v>89.934807962556022</c:v>
                </c:pt>
                <c:pt idx="15">
                  <c:v>89.923973166984297</c:v>
                </c:pt>
                <c:pt idx="16">
                  <c:v>89.913152411251986</c:v>
                </c:pt>
                <c:pt idx="17">
                  <c:v>89.902347660247173</c:v>
                </c:pt>
                <c:pt idx="18">
                  <c:v>89.891560862714343</c:v>
                </c:pt>
                <c:pt idx="19">
                  <c:v>89.785093815608562</c:v>
                </c:pt>
                <c:pt idx="20">
                  <c:v>89.682378422427874</c:v>
                </c:pt>
                <c:pt idx="21">
                  <c:v>89.584847364215875</c:v>
                </c:pt>
                <c:pt idx="22">
                  <c:v>89.493495978207093</c:v>
                </c:pt>
                <c:pt idx="23">
                  <c:v>89.408862431966995</c:v>
                </c:pt>
                <c:pt idx="24">
                  <c:v>89.33106779589464</c:v>
                </c:pt>
                <c:pt idx="25">
                  <c:v>89.259895013488062</c:v>
                </c:pt>
                <c:pt idx="26">
                  <c:v>89.194883970161001</c:v>
                </c:pt>
                <c:pt idx="27">
                  <c:v>89.135424213210143</c:v>
                </c:pt>
                <c:pt idx="28">
                  <c:v>88.711040340251444</c:v>
                </c:pt>
                <c:pt idx="29">
                  <c:v>88.363776050986004</c:v>
                </c:pt>
                <c:pt idx="30">
                  <c:v>88.002605737058929</c:v>
                </c:pt>
                <c:pt idx="31">
                  <c:v>87.623833760354088</c:v>
                </c:pt>
                <c:pt idx="32">
                  <c:v>87.232544156342726</c:v>
                </c:pt>
                <c:pt idx="33">
                  <c:v>86.83287074931971</c:v>
                </c:pt>
                <c:pt idx="34">
                  <c:v>86.427550165814196</c:v>
                </c:pt>
                <c:pt idx="35">
                  <c:v>86.018367945892436</c:v>
                </c:pt>
                <c:pt idx="36">
                  <c:v>85.606516873803301</c:v>
                </c:pt>
                <c:pt idx="37">
                  <c:v>81.449198794354928</c:v>
                </c:pt>
                <c:pt idx="38">
                  <c:v>77.341307370784861</c:v>
                </c:pt>
                <c:pt idx="39">
                  <c:v>73.351640414262661</c:v>
                </c:pt>
                <c:pt idx="40">
                  <c:v>69.517489305613722</c:v>
                </c:pt>
                <c:pt idx="41">
                  <c:v>65.86385924447444</c:v>
                </c:pt>
                <c:pt idx="42">
                  <c:v>62.406529395490473</c:v>
                </c:pt>
                <c:pt idx="43">
                  <c:v>59.153543511735791</c:v>
                </c:pt>
                <c:pt idx="44">
                  <c:v>56.106600112889701</c:v>
                </c:pt>
                <c:pt idx="45">
                  <c:v>53.262451464194534</c:v>
                </c:pt>
                <c:pt idx="46">
                  <c:v>33.823539667396091</c:v>
                </c:pt>
                <c:pt idx="47">
                  <c:v>24.070791049852758</c:v>
                </c:pt>
                <c:pt idx="48">
                  <c:v>18.522775832335345</c:v>
                </c:pt>
                <c:pt idx="49">
                  <c:v>15.004412735311352</c:v>
                </c:pt>
                <c:pt idx="50">
                  <c:v>12.590948099024798</c:v>
                </c:pt>
                <c:pt idx="51">
                  <c:v>10.838261384544037</c:v>
                </c:pt>
                <c:pt idx="52">
                  <c:v>9.5099464101767133</c:v>
                </c:pt>
                <c:pt idx="53">
                  <c:v>8.4695526352856714</c:v>
                </c:pt>
                <c:pt idx="54">
                  <c:v>7.6331317951683664</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29.117933949428529</c:v>
                </c:pt>
                <c:pt idx="1">
                  <c:v>29.115819145986279</c:v>
                </c:pt>
                <c:pt idx="2">
                  <c:v>29.11229676220545</c:v>
                </c:pt>
                <c:pt idx="3">
                  <c:v>29.107370223229367</c:v>
                </c:pt>
                <c:pt idx="4">
                  <c:v>29.10104430873233</c:v>
                </c:pt>
                <c:pt idx="5">
                  <c:v>29.093325137518086</c:v>
                </c:pt>
                <c:pt idx="6">
                  <c:v>29.084220147899359</c:v>
                </c:pt>
                <c:pt idx="7">
                  <c:v>29.073738073986391</c:v>
                </c:pt>
                <c:pt idx="8">
                  <c:v>29.061888918043319</c:v>
                </c:pt>
                <c:pt idx="9">
                  <c:v>29.048683919094422</c:v>
                </c:pt>
                <c:pt idx="10">
                  <c:v>28.845340377738076</c:v>
                </c:pt>
                <c:pt idx="11">
                  <c:v>28.52627558995124</c:v>
                </c:pt>
                <c:pt idx="12">
                  <c:v>28.115668447719905</c:v>
                </c:pt>
                <c:pt idx="13">
                  <c:v>27.639113347353703</c:v>
                </c:pt>
                <c:pt idx="14">
                  <c:v>27.119861874564528</c:v>
                </c:pt>
                <c:pt idx="15">
                  <c:v>26.576948179618732</c:v>
                </c:pt>
                <c:pt idx="16">
                  <c:v>26.024818762286863</c:v>
                </c:pt>
                <c:pt idx="17">
                  <c:v>25.4738127873444</c:v>
                </c:pt>
                <c:pt idx="18">
                  <c:v>24.930963215748832</c:v>
                </c:pt>
                <c:pt idx="19">
                  <c:v>20.380031184296783</c:v>
                </c:pt>
                <c:pt idx="20">
                  <c:v>17.205453501330133</c:v>
                </c:pt>
                <c:pt idx="21">
                  <c:v>14.847196856382379</c:v>
                </c:pt>
                <c:pt idx="22">
                  <c:v>12.98789380028812</c:v>
                </c:pt>
                <c:pt idx="23">
                  <c:v>11.459451001765542</c:v>
                </c:pt>
                <c:pt idx="24">
                  <c:v>10.16486042858665</c:v>
                </c:pt>
                <c:pt idx="25">
                  <c:v>9.043595099152661</c:v>
                </c:pt>
                <c:pt idx="26">
                  <c:v>8.055506341112828</c:v>
                </c:pt>
                <c:pt idx="27">
                  <c:v>7.1726692383410571</c:v>
                </c:pt>
                <c:pt idx="28">
                  <c:v>1.3770943811516891</c:v>
                </c:pt>
                <c:pt idx="29">
                  <c:v>-2.0273724444959864</c:v>
                </c:pt>
                <c:pt idx="30">
                  <c:v>-4.4485177897056252</c:v>
                </c:pt>
                <c:pt idx="31">
                  <c:v>-6.3202780914152914</c:v>
                </c:pt>
                <c:pt idx="32">
                  <c:v>-7.8378452122353206</c:v>
                </c:pt>
                <c:pt idx="33">
                  <c:v>-9.1067370136667378</c:v>
                </c:pt>
                <c:pt idx="34">
                  <c:v>-10.190691925945858</c:v>
                </c:pt>
                <c:pt idx="35">
                  <c:v>-11.131260734147883</c:v>
                </c:pt>
                <c:pt idx="36">
                  <c:v>-11.95710386300707</c:v>
                </c:pt>
                <c:pt idx="37">
                  <c:v>-16.76714466322785</c:v>
                </c:pt>
                <c:pt idx="38">
                  <c:v>-18.787259509787745</c:v>
                </c:pt>
                <c:pt idx="39">
                  <c:v>-19.826573125201552</c:v>
                </c:pt>
                <c:pt idx="40">
                  <c:v>-20.509653319354456</c:v>
                </c:pt>
                <c:pt idx="41">
                  <c:v>-21.080618486860786</c:v>
                </c:pt>
                <c:pt idx="42">
                  <c:v>-21.627847765008731</c:v>
                </c:pt>
                <c:pt idx="43">
                  <c:v>-22.176294587517805</c:v>
                </c:pt>
                <c:pt idx="44">
                  <c:v>-22.727572261184271</c:v>
                </c:pt>
                <c:pt idx="45">
                  <c:v>-23.276533075435566</c:v>
                </c:pt>
                <c:pt idx="46">
                  <c:v>-27.963619533459902</c:v>
                </c:pt>
                <c:pt idx="47">
                  <c:v>-31.215898633405502</c:v>
                </c:pt>
                <c:pt idx="48">
                  <c:v>-33.619413573856903</c:v>
                </c:pt>
                <c:pt idx="49">
                  <c:v>-35.513414453720301</c:v>
                </c:pt>
                <c:pt idx="50">
                  <c:v>-37.073007737968602</c:v>
                </c:pt>
                <c:pt idx="51">
                  <c:v>-38.397446869359456</c:v>
                </c:pt>
                <c:pt idx="52">
                  <c:v>-39.547874646844811</c:v>
                </c:pt>
                <c:pt idx="53">
                  <c:v>-40.564471883520177</c:v>
                </c:pt>
                <c:pt idx="54">
                  <c:v>-41.475005303687396</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-0.72928948149855399</c:v>
                </c:pt>
                <c:pt idx="1">
                  <c:v>-1.4583418300517754</c:v>
                </c:pt>
                <c:pt idx="2">
                  <c:v>-2.1869203744595178</c:v>
                </c:pt>
                <c:pt idx="3">
                  <c:v>-2.9147893647669219</c:v>
                </c:pt>
                <c:pt idx="4">
                  <c:v>-3.6417144272930311</c:v>
                </c:pt>
                <c:pt idx="5">
                  <c:v>-4.3674630130062519</c:v>
                </c:pt>
                <c:pt idx="6">
                  <c:v>-5.0918048371182314</c:v>
                </c:pt>
                <c:pt idx="7">
                  <c:v>-5.8145123078517837</c:v>
                </c:pt>
                <c:pt idx="8">
                  <c:v>-6.5353609424336314</c:v>
                </c:pt>
                <c:pt idx="9">
                  <c:v>-7.2541297684726302</c:v>
                </c:pt>
                <c:pt idx="10">
                  <c:v>-14.282037292954614</c:v>
                </c:pt>
                <c:pt idx="11">
                  <c:v>-20.897120938845489</c:v>
                </c:pt>
                <c:pt idx="12">
                  <c:v>-26.976130400458313</c:v>
                </c:pt>
                <c:pt idx="13">
                  <c:v>-32.461830172885414</c:v>
                </c:pt>
                <c:pt idx="14">
                  <c:v>-37.350510092437787</c:v>
                </c:pt>
                <c:pt idx="15">
                  <c:v>-41.673988249304415</c:v>
                </c:pt>
                <c:pt idx="16">
                  <c:v>-45.483176053454102</c:v>
                </c:pt>
                <c:pt idx="17">
                  <c:v>-48.836120876809041</c:v>
                </c:pt>
                <c:pt idx="18">
                  <c:v>-51.790600954537702</c:v>
                </c:pt>
                <c:pt idx="19">
                  <c:v>-68.403470034312718</c:v>
                </c:pt>
                <c:pt idx="20">
                  <c:v>-75.095936902024945</c:v>
                </c:pt>
                <c:pt idx="21">
                  <c:v>-78.60257209115359</c:v>
                </c:pt>
                <c:pt idx="22">
                  <c:v>-80.752724812485965</c:v>
                </c:pt>
                <c:pt idx="23">
                  <c:v>-82.216360978551151</c:v>
                </c:pt>
                <c:pt idx="24">
                  <c:v>-83.292470895705094</c:v>
                </c:pt>
                <c:pt idx="25">
                  <c:v>-84.133026580019731</c:v>
                </c:pt>
                <c:pt idx="26">
                  <c:v>-84.822440559461143</c:v>
                </c:pt>
                <c:pt idx="27">
                  <c:v>-85.410617912662204</c:v>
                </c:pt>
                <c:pt idx="28">
                  <c:v>-89.268208185380402</c:v>
                </c:pt>
                <c:pt idx="29">
                  <c:v>-91.98123929434459</c:v>
                </c:pt>
                <c:pt idx="30">
                  <c:v>-94.274510562919048</c:v>
                </c:pt>
                <c:pt idx="31">
                  <c:v>-96.345428865648287</c:v>
                </c:pt>
                <c:pt idx="32">
                  <c:v>-98.28563433684387</c:v>
                </c:pt>
                <c:pt idx="33">
                  <c:v>-100.1424037433637</c:v>
                </c:pt>
                <c:pt idx="34">
                  <c:v>-101.94191266141627</c:v>
                </c:pt>
                <c:pt idx="35">
                  <c:v>-103.69952572349193</c:v>
                </c:pt>
                <c:pt idx="36">
                  <c:v>-105.42470171023261</c:v>
                </c:pt>
                <c:pt idx="37">
                  <c:v>-121.60648408047389</c:v>
                </c:pt>
                <c:pt idx="38">
                  <c:v>-136.36311420103138</c:v>
                </c:pt>
                <c:pt idx="39">
                  <c:v>-149.77738250426083</c:v>
                </c:pt>
                <c:pt idx="40">
                  <c:v>-161.80536651894343</c:v>
                </c:pt>
                <c:pt idx="41">
                  <c:v>-172.42846954662213</c:v>
                </c:pt>
                <c:pt idx="42">
                  <c:v>178.30334447731207</c:v>
                </c:pt>
                <c:pt idx="43">
                  <c:v>170.27781008078128</c:v>
                </c:pt>
                <c:pt idx="44">
                  <c:v>163.34861646176739</c:v>
                </c:pt>
                <c:pt idx="45">
                  <c:v>157.36214241812056</c:v>
                </c:pt>
                <c:pt idx="46">
                  <c:v>125.95853907221519</c:v>
                </c:pt>
                <c:pt idx="47">
                  <c:v>114.25166395900469</c:v>
                </c:pt>
                <c:pt idx="48">
                  <c:v>108.2606643632801</c:v>
                </c:pt>
                <c:pt idx="49">
                  <c:v>104.63490133007254</c:v>
                </c:pt>
                <c:pt idx="50">
                  <c:v>102.20762452721046</c:v>
                </c:pt>
                <c:pt idx="51">
                  <c:v>100.46979523448371</c:v>
                </c:pt>
                <c:pt idx="52">
                  <c:v>99.16453771061731</c:v>
                </c:pt>
                <c:pt idx="53">
                  <c:v>98.148365623163116</c:v>
                </c:pt>
                <c:pt idx="54">
                  <c:v>97.334886007800804</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29.118502572452435</c:v>
                </c:pt>
                <c:pt idx="1">
                  <c:v>29.118092976882203</c:v>
                </c:pt>
                <c:pt idx="2">
                  <c:v>29.117410404436058</c:v>
                </c:pt>
                <c:pt idx="3">
                  <c:v>29.116454985312267</c:v>
                </c:pt>
                <c:pt idx="4">
                  <c:v>29.11522690167352</c:v>
                </c:pt>
                <c:pt idx="5">
                  <c:v>29.113726387531532</c:v>
                </c:pt>
                <c:pt idx="6">
                  <c:v>29.111953728599339</c:v>
                </c:pt>
                <c:pt idx="7">
                  <c:v>29.109909262111518</c:v>
                </c:pt>
                <c:pt idx="8">
                  <c:v>29.107593376611604</c:v>
                </c:pt>
                <c:pt idx="9">
                  <c:v>29.105006511708154</c:v>
                </c:pt>
                <c:pt idx="10">
                  <c:v>29.064366576547979</c:v>
                </c:pt>
                <c:pt idx="11">
                  <c:v>28.99747696166348</c:v>
                </c:pt>
                <c:pt idx="12">
                  <c:v>28.905549283048579</c:v>
                </c:pt>
                <c:pt idx="13">
                  <c:v>28.790179087070094</c:v>
                </c:pt>
                <c:pt idx="14">
                  <c:v>28.653259744482355</c:v>
                </c:pt>
                <c:pt idx="15">
                  <c:v>28.496889332742782</c:v>
                </c:pt>
                <c:pt idx="16">
                  <c:v>28.323279001732104</c:v>
                </c:pt>
                <c:pt idx="17">
                  <c:v>28.134669633881323</c:v>
                </c:pt>
                <c:pt idx="18">
                  <c:v>27.933261352546573</c:v>
                </c:pt>
                <c:pt idx="19">
                  <c:v>25.599646119760106</c:v>
                </c:pt>
                <c:pt idx="20">
                  <c:v>23.338227555737706</c:v>
                </c:pt>
                <c:pt idx="21">
                  <c:v>21.415026262270569</c:v>
                </c:pt>
                <c:pt idx="22">
                  <c:v>19.804701309743088</c:v>
                </c:pt>
                <c:pt idx="23">
                  <c:v>18.443003129967067</c:v>
                </c:pt>
                <c:pt idx="24">
                  <c:v>17.274492546420827</c:v>
                </c:pt>
                <c:pt idx="25">
                  <c:v>16.25704198763599</c:v>
                </c:pt>
                <c:pt idx="26">
                  <c:v>15.35925920785326</c:v>
                </c:pt>
                <c:pt idx="27">
                  <c:v>14.55760421897047</c:v>
                </c:pt>
                <c:pt idx="28">
                  <c:v>9.306713598469873</c:v>
                </c:pt>
                <c:pt idx="29">
                  <c:v>6.1613596417988736</c:v>
                </c:pt>
                <c:pt idx="30">
                  <c:v>3.8683131186064097</c:v>
                </c:pt>
                <c:pt idx="31">
                  <c:v>2.0660465188804524</c:v>
                </c:pt>
                <c:pt idx="32">
                  <c:v>0.58946415410611519</c:v>
                </c:pt>
                <c:pt idx="33">
                  <c:v>-0.65386672466725149</c:v>
                </c:pt>
                <c:pt idx="34">
                  <c:v>-1.7215679708860487</c:v>
                </c:pt>
                <c:pt idx="35">
                  <c:v>-2.652160289104661</c:v>
                </c:pt>
                <c:pt idx="36">
                  <c:v>-3.4727517860130104</c:v>
                </c:pt>
                <c:pt idx="37">
                  <c:v>-8.4216413506297148</c:v>
                </c:pt>
                <c:pt idx="38">
                  <c:v>-10.908082912443152</c:v>
                </c:pt>
                <c:pt idx="39">
                  <c:v>-12.654035661656767</c:v>
                </c:pt>
                <c:pt idx="40">
                  <c:v>-14.163351394950892</c:v>
                </c:pt>
                <c:pt idx="41">
                  <c:v>-15.595650984166948</c:v>
                </c:pt>
                <c:pt idx="42">
                  <c:v>-16.993091707230178</c:v>
                </c:pt>
                <c:pt idx="43">
                  <c:v>-18.358577511829136</c:v>
                </c:pt>
                <c:pt idx="44">
                  <c:v>-19.684805615062881</c:v>
                </c:pt>
                <c:pt idx="45">
                  <c:v>-20.964406152040688</c:v>
                </c:pt>
                <c:pt idx="46">
                  <c:v>-31.039240341483016</c:v>
                </c:pt>
                <c:pt idx="47">
                  <c:v>-37.688600945070178</c:v>
                </c:pt>
                <c:pt idx="48">
                  <c:v>-42.546662508722932</c:v>
                </c:pt>
                <c:pt idx="49">
                  <c:v>-46.358292888937001</c:v>
                </c:pt>
                <c:pt idx="50">
                  <c:v>-49.490310514750064</c:v>
                </c:pt>
                <c:pt idx="51">
                  <c:v>-52.146922890058704</c:v>
                </c:pt>
                <c:pt idx="52">
                  <c:v>-54.45279685080866</c:v>
                </c:pt>
                <c:pt idx="53">
                  <c:v>-56.489431239458014</c:v>
                </c:pt>
                <c:pt idx="54">
                  <c:v>-58.31295826017336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-0.31321080310271732</c:v>
                </c:pt>
                <c:pt idx="1">
                  <c:v>-0.62640124779702289</c:v>
                </c:pt>
                <c:pt idx="2">
                  <c:v>-0.93955098340657583</c:v>
                </c:pt>
                <c:pt idx="3">
                  <c:v>-1.2526396747118251</c:v>
                </c:pt>
                <c:pt idx="4">
                  <c:v>-1.5656470096600501</c:v>
                </c:pt>
                <c:pt idx="5">
                  <c:v>-1.8785527070535659</c:v>
                </c:pt>
                <c:pt idx="6">
                  <c:v>-2.1913365242085545</c:v>
                </c:pt>
                <c:pt idx="7">
                  <c:v>-2.5039782645776625</c:v>
                </c:pt>
                <c:pt idx="8">
                  <c:v>-2.8164577853289097</c:v>
                </c:pt>
                <c:pt idx="9">
                  <c:v>-3.1287550048741073</c:v>
                </c:pt>
                <c:pt idx="10">
                  <c:v>-6.2373412140002422</c:v>
                </c:pt>
                <c:pt idx="11">
                  <c:v>-9.3063394371066686</c:v>
                </c:pt>
                <c:pt idx="12">
                  <c:v>-12.317761446185123</c:v>
                </c:pt>
                <c:pt idx="13">
                  <c:v>-15.255606148185068</c:v>
                </c:pt>
                <c:pt idx="14">
                  <c:v>-18.106253340067898</c:v>
                </c:pt>
                <c:pt idx="15">
                  <c:v>-20.858681124772975</c:v>
                </c:pt>
                <c:pt idx="16">
                  <c:v>-23.504514979027096</c:v>
                </c:pt>
                <c:pt idx="17">
                  <c:v>-26.03793318672891</c:v>
                </c:pt>
                <c:pt idx="18">
                  <c:v>-28.455463074402921</c:v>
                </c:pt>
                <c:pt idx="19">
                  <c:v>-46.586516361677539</c:v>
                </c:pt>
                <c:pt idx="20">
                  <c:v>-56.731587331074152</c:v>
                </c:pt>
                <c:pt idx="21">
                  <c:v>-62.635636773565714</c:v>
                </c:pt>
                <c:pt idx="22">
                  <c:v>-66.305866382099595</c:v>
                </c:pt>
                <c:pt idx="23">
                  <c:v>-68.727979227455862</c:v>
                </c:pt>
                <c:pt idx="24">
                  <c:v>-70.411679357813</c:v>
                </c:pt>
                <c:pt idx="25">
                  <c:v>-71.638349682442922</c:v>
                </c:pt>
                <c:pt idx="26">
                  <c:v>-72.57210073253934</c:v>
                </c:pt>
                <c:pt idx="27">
                  <c:v>-73.312706561323623</c:v>
                </c:pt>
                <c:pt idx="28">
                  <c:v>-77.181521610703541</c:v>
                </c:pt>
                <c:pt idx="29">
                  <c:v>-79.166083458163214</c:v>
                </c:pt>
                <c:pt idx="30">
                  <c:v>-80.285970613139384</c:v>
                </c:pt>
                <c:pt idx="31">
                  <c:v>-80.881572399893884</c:v>
                </c:pt>
                <c:pt idx="32">
                  <c:v>-81.163168724923636</c:v>
                </c:pt>
                <c:pt idx="33">
                  <c:v>-81.256331320457903</c:v>
                </c:pt>
                <c:pt idx="34">
                  <c:v>-81.237473515843405</c:v>
                </c:pt>
                <c:pt idx="35">
                  <c:v>-81.154961216268617</c:v>
                </c:pt>
                <c:pt idx="36">
                  <c:v>-81.040656045251964</c:v>
                </c:pt>
                <c:pt idx="37">
                  <c:v>-80.83725573690414</c:v>
                </c:pt>
                <c:pt idx="38">
                  <c:v>-84.030209592996044</c:v>
                </c:pt>
                <c:pt idx="39">
                  <c:v>-89.653195106990452</c:v>
                </c:pt>
                <c:pt idx="40">
                  <c:v>-96.323706366740439</c:v>
                </c:pt>
                <c:pt idx="41">
                  <c:v>-103.12544862988956</c:v>
                </c:pt>
                <c:pt idx="42">
                  <c:v>-109.56472168129616</c:v>
                </c:pt>
                <c:pt idx="43">
                  <c:v>-115.42543112208101</c:v>
                </c:pt>
                <c:pt idx="44">
                  <c:v>-120.65039445772422</c:v>
                </c:pt>
                <c:pt idx="45">
                  <c:v>-125.26285947842904</c:v>
                </c:pt>
                <c:pt idx="46">
                  <c:v>-150.39826579960379</c:v>
                </c:pt>
                <c:pt idx="47">
                  <c:v>-159.99267441167305</c:v>
                </c:pt>
                <c:pt idx="48">
                  <c:v>-164.92439258184629</c:v>
                </c:pt>
                <c:pt idx="49">
                  <c:v>-167.91382886178795</c:v>
                </c:pt>
                <c:pt idx="50">
                  <c:v>-169.91663116707872</c:v>
                </c:pt>
                <c:pt idx="51">
                  <c:v>-171.35115875974864</c:v>
                </c:pt>
                <c:pt idx="52">
                  <c:v>-172.4288902531658</c:v>
                </c:pt>
                <c:pt idx="53">
                  <c:v>-173.26807177112744</c:v>
                </c:pt>
                <c:pt idx="54">
                  <c:v>-173.93994440814612</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77.237321712848498</c:v>
                </c:pt>
                <c:pt idx="1">
                  <c:v>71.216362766893198</c:v>
                </c:pt>
                <c:pt idx="2">
                  <c:v>67.693939283407161</c:v>
                </c:pt>
                <c:pt idx="3">
                  <c:v>65.194327107244604</c:v>
                </c:pt>
                <c:pt idx="4">
                  <c:v>63.255050440649974</c:v>
                </c:pt>
                <c:pt idx="5">
                  <c:v>61.670110381013103</c:v>
                </c:pt>
                <c:pt idx="6">
                  <c:v>60.329620998503948</c:v>
                </c:pt>
                <c:pt idx="7">
                  <c:v>59.16799034955126</c:v>
                </c:pt>
                <c:pt idx="8">
                  <c:v>58.142910453873647</c:v>
                </c:pt>
                <c:pt idx="9">
                  <c:v>57.225493890986968</c:v>
                </c:pt>
                <c:pt idx="10">
                  <c:v>51.169305076576173</c:v>
                </c:pt>
                <c:pt idx="11">
                  <c:v>47.588994551779315</c:v>
                </c:pt>
                <c:pt idx="12">
                  <c:v>45.010028590511808</c:v>
                </c:pt>
                <c:pt idx="13">
                  <c:v>42.971497516547572</c:v>
                </c:pt>
                <c:pt idx="14">
                  <c:v>41.269258367394215</c:v>
                </c:pt>
                <c:pt idx="15">
                  <c:v>39.795478146010247</c:v>
                </c:pt>
                <c:pt idx="16">
                  <c:v>38.486723546706571</c:v>
                </c:pt>
                <c:pt idx="17">
                  <c:v>37.302867988434542</c:v>
                </c:pt>
                <c:pt idx="18">
                  <c:v>36.217158159095582</c:v>
                </c:pt>
                <c:pt idx="19">
                  <c:v>28.320801504364969</c:v>
                </c:pt>
                <c:pt idx="20">
                  <c:v>23.199468221165155</c:v>
                </c:pt>
                <c:pt idx="21">
                  <c:v>19.548141063210068</c:v>
                </c:pt>
                <c:pt idx="22">
                  <c:v>16.805351324177973</c:v>
                </c:pt>
                <c:pt idx="23">
                  <c:v>14.654151194268387</c:v>
                </c:pt>
                <c:pt idx="24">
                  <c:v>12.90360379699692</c:v>
                </c:pt>
                <c:pt idx="25">
                  <c:v>11.433984937112431</c:v>
                </c:pt>
                <c:pt idx="26">
                  <c:v>10.167513431803396</c:v>
                </c:pt>
                <c:pt idx="27">
                  <c:v>9.0519897087309289</c:v>
                </c:pt>
                <c:pt idx="28">
                  <c:v>1.5862633986584105</c:v>
                </c:pt>
                <c:pt idx="29">
                  <c:v>-3.4365886077402683</c:v>
                </c:pt>
                <c:pt idx="30">
                  <c:v>-7.4272834193268267</c:v>
                </c:pt>
                <c:pt idx="31">
                  <c:v>-10.732330110393116</c:v>
                </c:pt>
                <c:pt idx="32">
                  <c:v>-13.534087396347054</c:v>
                </c:pt>
                <c:pt idx="33">
                  <c:v>-15.951938977021424</c:v>
                </c:pt>
                <c:pt idx="34">
                  <c:v>-18.06900276388842</c:v>
                </c:pt>
                <c:pt idx="35">
                  <c:v>-19.94509078401828</c:v>
                </c:pt>
                <c:pt idx="36">
                  <c:v>-21.624416826131444</c:v>
                </c:pt>
                <c:pt idx="37">
                  <c:v>-32.407983834557996</c:v>
                </c:pt>
                <c:pt idx="38">
                  <c:v>-38.380851677199949</c:v>
                </c:pt>
                <c:pt idx="39">
                  <c:v>-42.613115275683271</c:v>
                </c:pt>
                <c:pt idx="40">
                  <c:v>-46.054849122135124</c:v>
                </c:pt>
                <c:pt idx="41">
                  <c:v>-49.067629213134516</c:v>
                </c:pt>
                <c:pt idx="42">
                  <c:v>-51.802108550447777</c:v>
                </c:pt>
                <c:pt idx="43">
                  <c:v>-54.326201472183151</c:v>
                </c:pt>
                <c:pt idx="44">
                  <c:v>-56.674635272191772</c:v>
                </c:pt>
                <c:pt idx="45">
                  <c:v>-58.868781264896022</c:v>
                </c:pt>
                <c:pt idx="46">
                  <c:v>-74.962282408849617</c:v>
                </c:pt>
                <c:pt idx="47">
                  <c:v>-85.133110135919424</c:v>
                </c:pt>
                <c:pt idx="48">
                  <c:v>-92.489821104011526</c:v>
                </c:pt>
                <c:pt idx="49">
                  <c:v>-98.239593734226816</c:v>
                </c:pt>
                <c:pt idx="50">
                  <c:v>-102.95520476894866</c:v>
                </c:pt>
                <c:pt idx="51">
                  <c:v>-106.95073393598143</c:v>
                </c:pt>
                <c:pt idx="52">
                  <c:v>-110.41643450392969</c:v>
                </c:pt>
                <c:pt idx="53">
                  <c:v>-113.47611088648247</c:v>
                </c:pt>
                <c:pt idx="54">
                  <c:v>-116.21478167055692</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218.44796110652297</c:v>
                </c:pt>
              </c:numCache>
            </c:numRef>
          </c:xVal>
          <c:yVal>
            <c:numRef>
              <c:f>Compensation!$Y$137</c:f>
              <c:numCache>
                <c:formatCode>General</c:formatCode>
                <c:ptCount val="1"/>
                <c:pt idx="0">
                  <c:v>27.225641722655034</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16.869121967624338</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218.44796110652297</c:v>
                </c:pt>
              </c:numCache>
            </c:numRef>
          </c:xVal>
          <c:yVal>
            <c:numRef>
              <c:f>Compensation!$Y$136</c:f>
              <c:numCache>
                <c:formatCode>General</c:formatCode>
                <c:ptCount val="1"/>
                <c:pt idx="0">
                  <c:v>1.647406664344246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89.778949042904102</c:v>
                </c:pt>
                <c:pt idx="1">
                  <c:v>89.557917520266457</c:v>
                </c:pt>
                <c:pt idx="2">
                  <c:v>89.336924858858481</c:v>
                </c:pt>
                <c:pt idx="3">
                  <c:v>89.115990470085066</c:v>
                </c:pt>
                <c:pt idx="4">
                  <c:v>88.8951337423198</c:v>
                </c:pt>
                <c:pt idx="5">
                  <c:v>88.674374033261799</c:v>
                </c:pt>
                <c:pt idx="6">
                  <c:v>88.453730662322073</c:v>
                </c:pt>
                <c:pt idx="7">
                  <c:v>88.233222903045998</c:v>
                </c:pt>
                <c:pt idx="8">
                  <c:v>88.012869975579406</c:v>
                </c:pt>
                <c:pt idx="9">
                  <c:v>87.792691039185243</c:v>
                </c:pt>
                <c:pt idx="10">
                  <c:v>85.604628040559135</c:v>
                </c:pt>
                <c:pt idx="11">
                  <c:v>83.454311859566275</c:v>
                </c:pt>
                <c:pt idx="12">
                  <c:v>81.358821332568297</c:v>
                </c:pt>
                <c:pt idx="13">
                  <c:v>79.333261441248311</c:v>
                </c:pt>
                <c:pt idx="14">
                  <c:v>77.390373736633535</c:v>
                </c:pt>
                <c:pt idx="15">
                  <c:v>75.540322896991796</c:v>
                </c:pt>
                <c:pt idx="16">
                  <c:v>73.790651385930772</c:v>
                </c:pt>
                <c:pt idx="17">
                  <c:v>72.146377459487795</c:v>
                </c:pt>
                <c:pt idx="18">
                  <c:v>70.610202054137659</c:v>
                </c:pt>
                <c:pt idx="19">
                  <c:v>60.721616541798802</c:v>
                </c:pt>
                <c:pt idx="20">
                  <c:v>57.487436580059729</c:v>
                </c:pt>
                <c:pt idx="21">
                  <c:v>57.034533615085699</c:v>
                </c:pt>
                <c:pt idx="22">
                  <c:v>57.477416301649214</c:v>
                </c:pt>
                <c:pt idx="23">
                  <c:v>58.050848899195501</c:v>
                </c:pt>
                <c:pt idx="24">
                  <c:v>58.472821575708522</c:v>
                </c:pt>
                <c:pt idx="25">
                  <c:v>58.659539238171881</c:v>
                </c:pt>
                <c:pt idx="26">
                  <c:v>58.606151909185527</c:v>
                </c:pt>
                <c:pt idx="27">
                  <c:v>58.337179350747398</c:v>
                </c:pt>
                <c:pt idx="28">
                  <c:v>50.045558936333812</c:v>
                </c:pt>
                <c:pt idx="29">
                  <c:v>41.077095986850104</c:v>
                </c:pt>
                <c:pt idx="30">
                  <c:v>34.495436046938067</c:v>
                </c:pt>
                <c:pt idx="31">
                  <c:v>29.881675654554865</c:v>
                </c:pt>
                <c:pt idx="32">
                  <c:v>26.610578634921257</c:v>
                </c:pt>
                <c:pt idx="33">
                  <c:v>24.237474366467278</c:v>
                </c:pt>
                <c:pt idx="34">
                  <c:v>22.472863088688676</c:v>
                </c:pt>
                <c:pt idx="35">
                  <c:v>21.128012668493668</c:v>
                </c:pt>
                <c:pt idx="36">
                  <c:v>20.077050029654821</c:v>
                </c:pt>
                <c:pt idx="37">
                  <c:v>14.825977284029506</c:v>
                </c:pt>
                <c:pt idx="38">
                  <c:v>9.7585882082912558</c:v>
                </c:pt>
                <c:pt idx="39">
                  <c:v>3.1919212553127569</c:v>
                </c:pt>
                <c:pt idx="40">
                  <c:v>-4.0463071539319451</c:v>
                </c:pt>
                <c:pt idx="41">
                  <c:v>-11.227023937301258</c:v>
                </c:pt>
                <c:pt idx="42">
                  <c:v>-17.93719432107148</c:v>
                </c:pt>
                <c:pt idx="43">
                  <c:v>-24.001170712070547</c:v>
                </c:pt>
                <c:pt idx="44">
                  <c:v>-29.384279151883028</c:v>
                </c:pt>
                <c:pt idx="45">
                  <c:v>-34.123287415965486</c:v>
                </c:pt>
                <c:pt idx="46">
                  <c:v>-59.828370558512866</c:v>
                </c:pt>
                <c:pt idx="47">
                  <c:v>-69.612730763766365</c:v>
                </c:pt>
                <c:pt idx="48">
                  <c:v>-74.639431305283537</c:v>
                </c:pt>
                <c:pt idx="49">
                  <c:v>-77.685858529457093</c:v>
                </c:pt>
                <c:pt idx="50">
                  <c:v>-79.726655296635343</c:v>
                </c:pt>
                <c:pt idx="51">
                  <c:v>-81.188321992627209</c:v>
                </c:pt>
                <c:pt idx="52">
                  <c:v>-82.286407907732652</c:v>
                </c:pt>
                <c:pt idx="53">
                  <c:v>-83.141420691246765</c:v>
                </c:pt>
                <c:pt idx="54">
                  <c:v>-83.825958367909834</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76.784427786583805</c:v>
                </c:pt>
                <c:pt idx="1">
                  <c:v>70.762167516569562</c:v>
                </c:pt>
                <c:pt idx="2">
                  <c:v>67.237577257196023</c:v>
                </c:pt>
                <c:pt idx="3">
                  <c:v>64.734935991978219</c:v>
                </c:pt>
                <c:pt idx="4">
                  <c:v>62.791772302027873</c:v>
                </c:pt>
                <c:pt idx="5">
                  <c:v>61.20209288867791</c:v>
                </c:pt>
                <c:pt idx="6">
                  <c:v>59.856018631840769</c:v>
                </c:pt>
                <c:pt idx="7">
                  <c:v>58.687965580197684</c:v>
                </c:pt>
                <c:pt idx="8">
                  <c:v>57.65563490108191</c:v>
                </c:pt>
                <c:pt idx="9">
                  <c:v>56.730149446163544</c:v>
                </c:pt>
                <c:pt idx="10">
                  <c:v>50.551262108267011</c:v>
                </c:pt>
                <c:pt idx="11">
                  <c:v>46.784442230102535</c:v>
                </c:pt>
                <c:pt idx="12">
                  <c:v>43.97668094917114</c:v>
                </c:pt>
                <c:pt idx="13">
                  <c:v>41.689181143818899</c:v>
                </c:pt>
                <c:pt idx="14">
                  <c:v>39.736939838954058</c:v>
                </c:pt>
                <c:pt idx="15">
                  <c:v>38.026628871456133</c:v>
                </c:pt>
                <c:pt idx="16">
                  <c:v>36.504520426213517</c:v>
                </c:pt>
                <c:pt idx="17">
                  <c:v>35.136058841945612</c:v>
                </c:pt>
                <c:pt idx="18">
                  <c:v>33.896881290265142</c:v>
                </c:pt>
                <c:pt idx="19">
                  <c:v>25.81941596978222</c:v>
                </c:pt>
                <c:pt idx="20">
                  <c:v>21.498824853828779</c:v>
                </c:pt>
                <c:pt idx="21">
                  <c:v>18.655446897405469</c:v>
                </c:pt>
                <c:pt idx="22">
                  <c:v>16.551832884140467</c:v>
                </c:pt>
                <c:pt idx="23">
                  <c:v>14.884678970965759</c:v>
                </c:pt>
                <c:pt idx="24">
                  <c:v>13.504253653246181</c:v>
                </c:pt>
                <c:pt idx="25">
                  <c:v>12.326352585523264</c:v>
                </c:pt>
                <c:pt idx="26">
                  <c:v>11.298999340454383</c:v>
                </c:pt>
                <c:pt idx="27">
                  <c:v>10.387853099112325</c:v>
                </c:pt>
                <c:pt idx="28">
                  <c:v>4.5003585571445175</c:v>
                </c:pt>
                <c:pt idx="29">
                  <c:v>1.0783809099090274</c:v>
                </c:pt>
                <c:pt idx="30">
                  <c:v>-1.349232922783977</c:v>
                </c:pt>
                <c:pt idx="31">
                  <c:v>-3.2243449984609995</c:v>
                </c:pt>
                <c:pt idx="32">
                  <c:v>-4.7441101003135664</c:v>
                </c:pt>
                <c:pt idx="33">
                  <c:v>-6.0147196760871013</c:v>
                </c:pt>
                <c:pt idx="34">
                  <c:v>-7.1001937063531519</c:v>
                </c:pt>
                <c:pt idx="35">
                  <c:v>-8.0422175002472009</c:v>
                </c:pt>
                <c:pt idx="36">
                  <c:v>-8.8695223097450544</c:v>
                </c:pt>
                <c:pt idx="37">
                  <c:v>-13.698924591200628</c:v>
                </c:pt>
                <c:pt idx="38">
                  <c:v>-15.749752807003963</c:v>
                </c:pt>
                <c:pt idx="39">
                  <c:v>-16.831525962820209</c:v>
                </c:pt>
                <c:pt idx="40">
                  <c:v>-17.568545952076377</c:v>
                </c:pt>
                <c:pt idx="41">
                  <c:v>-18.204522423387797</c:v>
                </c:pt>
                <c:pt idx="42">
                  <c:v>-18.82734100794173</c:v>
                </c:pt>
                <c:pt idx="43">
                  <c:v>-19.461397928685258</c:v>
                </c:pt>
                <c:pt idx="44">
                  <c:v>-20.107700676791627</c:v>
                </c:pt>
                <c:pt idx="45">
                  <c:v>-20.760460670601312</c:v>
                </c:pt>
                <c:pt idx="46">
                  <c:v>-26.82392700413471</c:v>
                </c:pt>
                <c:pt idx="47">
                  <c:v>-31.697925967770722</c:v>
                </c:pt>
                <c:pt idx="48">
                  <c:v>-35.673796743896901</c:v>
                </c:pt>
                <c:pt idx="49">
                  <c:v>-38.999624088172958</c:v>
                </c:pt>
                <c:pt idx="50">
                  <c:v>-41.840835703190336</c:v>
                </c:pt>
                <c:pt idx="51">
                  <c:v>-44.311412361251868</c:v>
                </c:pt>
                <c:pt idx="52">
                  <c:v>-46.491803727995311</c:v>
                </c:pt>
                <c:pt idx="53">
                  <c:v>-48.440110690069332</c:v>
                </c:pt>
                <c:pt idx="54">
                  <c:v>-50.199259463285102</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80.825745609413531</c:v>
                </c:pt>
              </c:numCache>
            </c:numRef>
          </c:xVal>
          <c:yVal>
            <c:numRef>
              <c:f>Compensation!$Y$227</c:f>
              <c:numCache>
                <c:formatCode>General</c:formatCode>
                <c:ptCount val="1"/>
                <c:pt idx="0">
                  <c:v>36.38608456080496</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169.31376924669715</c:v>
                </c:pt>
              </c:numCache>
            </c:numRef>
          </c:xVal>
          <c:yVal>
            <c:numRef>
              <c:f>Compensation!$Y$225</c:f>
              <c:numCache>
                <c:formatCode>General</c:formatCode>
                <c:ptCount val="1"/>
                <c:pt idx="0">
                  <c:v>27.703422435295849</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265258.23848649225</c:v>
                </c:pt>
              </c:numCache>
            </c:numRef>
          </c:xVal>
          <c:yVal>
            <c:numRef>
              <c:f>Compensation!$Y$226</c:f>
              <c:numCache>
                <c:formatCode>General</c:formatCode>
                <c:ptCount val="1"/>
                <c:pt idx="0">
                  <c:v>-30.122443533974096</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35797.768355015964</c:v>
                </c:pt>
              </c:numCache>
            </c:numRef>
          </c:xVal>
          <c:yVal>
            <c:numRef>
              <c:f>Compensation!$Y$228</c:f>
              <c:numCache>
                <c:formatCode>General</c:formatCode>
                <c:ptCount val="1"/>
                <c:pt idx="0">
                  <c:v>-16.442309889632142</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89.608890721551148</c:v>
                </c:pt>
                <c:pt idx="1">
                  <c:v>89.217994969615802</c:v>
                </c:pt>
                <c:pt idx="2">
                  <c:v>88.827525818841423</c:v>
                </c:pt>
                <c:pt idx="3">
                  <c:v>88.437695442378256</c:v>
                </c:pt>
                <c:pt idx="4">
                  <c:v>88.048714666698871</c:v>
                </c:pt>
                <c:pt idx="5">
                  <c:v>87.660792533039981</c:v>
                </c:pt>
                <c:pt idx="6">
                  <c:v>87.27413586758469</c:v>
                </c:pt>
                <c:pt idx="7">
                  <c:v>86.888948862419525</c:v>
                </c:pt>
                <c:pt idx="8">
                  <c:v>86.505432669205263</c:v>
                </c:pt>
                <c:pt idx="9">
                  <c:v>86.123785007390879</c:v>
                </c:pt>
                <c:pt idx="10">
                  <c:v>82.450427864798129</c:v>
                </c:pt>
                <c:pt idx="11">
                  <c:v>79.144120557975768</c:v>
                </c:pt>
                <c:pt idx="12">
                  <c:v>76.307517754349817</c:v>
                </c:pt>
                <c:pt idx="13">
                  <c:v>73.979758980418467</c:v>
                </c:pt>
                <c:pt idx="14">
                  <c:v>72.149421765031803</c:v>
                </c:pt>
                <c:pt idx="15">
                  <c:v>70.772746482803385</c:v>
                </c:pt>
                <c:pt idx="16">
                  <c:v>69.790080231320232</c:v>
                </c:pt>
                <c:pt idx="17">
                  <c:v>69.137663648472582</c:v>
                </c:pt>
                <c:pt idx="18">
                  <c:v>68.754736542913122</c:v>
                </c:pt>
                <c:pt idx="19">
                  <c:v>71.303145366180587</c:v>
                </c:pt>
                <c:pt idx="20">
                  <c:v>75.399824223747927</c:v>
                </c:pt>
                <c:pt idx="21">
                  <c:v>78.368899485929077</c:v>
                </c:pt>
                <c:pt idx="22">
                  <c:v>80.43182830130722</c:v>
                </c:pt>
                <c:pt idx="23">
                  <c:v>81.895606662726891</c:v>
                </c:pt>
                <c:pt idx="24">
                  <c:v>82.959059128411127</c:v>
                </c:pt>
                <c:pt idx="25">
                  <c:v>83.744417274578822</c:v>
                </c:pt>
                <c:pt idx="26">
                  <c:v>84.32896111591414</c:v>
                </c:pt>
                <c:pt idx="27">
                  <c:v>84.763693653141786</c:v>
                </c:pt>
                <c:pt idx="28">
                  <c:v>85.46113124419216</c:v>
                </c:pt>
                <c:pt idx="29">
                  <c:v>84.140973609983007</c:v>
                </c:pt>
                <c:pt idx="30">
                  <c:v>82.438311709958001</c:v>
                </c:pt>
                <c:pt idx="31">
                  <c:v>80.635935903925855</c:v>
                </c:pt>
                <c:pt idx="32">
                  <c:v>78.803014469483912</c:v>
                </c:pt>
                <c:pt idx="33">
                  <c:v>76.96132902598508</c:v>
                </c:pt>
                <c:pt idx="34">
                  <c:v>75.119272703080426</c:v>
                </c:pt>
                <c:pt idx="35">
                  <c:v>73.280700568452588</c:v>
                </c:pt>
                <c:pt idx="36">
                  <c:v>71.447692832985865</c:v>
                </c:pt>
                <c:pt idx="37">
                  <c:v>53.599377842235491</c:v>
                </c:pt>
                <c:pt idx="38">
                  <c:v>36.865023568475181</c:v>
                </c:pt>
                <c:pt idx="39">
                  <c:v>21.410094437246059</c:v>
                </c:pt>
                <c:pt idx="40">
                  <c:v>7.3325185084348554</c:v>
                </c:pt>
                <c:pt idx="41">
                  <c:v>-5.3278050609959733</c:v>
                </c:pt>
                <c:pt idx="42">
                  <c:v>-16.609211310086032</c:v>
                </c:pt>
                <c:pt idx="43">
                  <c:v>-26.616285413914902</c:v>
                </c:pt>
                <c:pt idx="44">
                  <c:v>-35.48971449911491</c:v>
                </c:pt>
                <c:pt idx="45">
                  <c:v>-43.378799666658544</c:v>
                </c:pt>
                <c:pt idx="46">
                  <c:v>-91.088037190591677</c:v>
                </c:pt>
                <c:pt idx="47">
                  <c:v>-114.27960420127296</c:v>
                </c:pt>
                <c:pt idx="48">
                  <c:v>-128.19657400418697</c:v>
                </c:pt>
                <c:pt idx="49">
                  <c:v>-137.42267484293805</c:v>
                </c:pt>
                <c:pt idx="50">
                  <c:v>-143.94493936727645</c:v>
                </c:pt>
                <c:pt idx="51">
                  <c:v>-148.77822666337482</c:v>
                </c:pt>
                <c:pt idx="52">
                  <c:v>-152.49254727982529</c:v>
                </c:pt>
                <c:pt idx="53">
                  <c:v>-155.4305970200914</c:v>
                </c:pt>
                <c:pt idx="54">
                  <c:v>-157.80970079976822</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14781</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168571</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92373</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129922</xdr:colOff>
      <xdr:row>103</xdr:row>
      <xdr:rowOff>111739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245708</xdr:colOff>
      <xdr:row>116</xdr:row>
      <xdr:rowOff>130175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72646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282589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16656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131337</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56" zoomScale="136" zoomScaleNormal="110" workbookViewId="0">
      <selection activeCell="D86" sqref="D86"/>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78" customFormat="1">
      <c r="A1" s="177" t="s">
        <v>462</v>
      </c>
    </row>
    <row r="2" spans="1:22" s="180" customFormat="1">
      <c r="A2" s="179"/>
    </row>
    <row r="3" spans="1:22" s="180" customFormat="1" ht="12.75" customHeight="1">
      <c r="A3" s="179"/>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4" t="s">
        <v>321</v>
      </c>
      <c r="B10" s="175"/>
      <c r="C10" s="176"/>
      <c r="F10" s="129"/>
      <c r="G10" s="184" t="s">
        <v>281</v>
      </c>
      <c r="H10" s="184"/>
      <c r="I10" s="184"/>
      <c r="J10" s="184"/>
      <c r="K10" s="184"/>
      <c r="L10" s="184"/>
      <c r="M10" s="184"/>
      <c r="N10" s="132"/>
      <c r="O10" s="132"/>
      <c r="P10" s="129"/>
      <c r="Q10" s="129"/>
      <c r="R10" s="129"/>
      <c r="S10" s="130"/>
      <c r="T10" s="129"/>
      <c r="U10" s="129"/>
      <c r="V10" s="129"/>
    </row>
    <row r="11" spans="1:22" ht="15" customHeight="1">
      <c r="A11" s="133" t="s">
        <v>330</v>
      </c>
      <c r="B11" s="154">
        <v>40</v>
      </c>
      <c r="C11" s="134" t="s">
        <v>1</v>
      </c>
      <c r="F11" s="129"/>
      <c r="G11" s="184"/>
      <c r="H11" s="184"/>
      <c r="I11" s="184"/>
      <c r="J11" s="184"/>
      <c r="K11" s="184"/>
      <c r="L11" s="184"/>
      <c r="M11" s="18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60</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4" t="s">
        <v>320</v>
      </c>
      <c r="B15" s="175"/>
      <c r="C15" s="176"/>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25</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26</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4" t="s">
        <v>2</v>
      </c>
      <c r="B20" s="175"/>
      <c r="C20" s="176"/>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4" t="s">
        <v>282</v>
      </c>
      <c r="B24" s="175"/>
      <c r="C24" s="176"/>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35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2.8571428571428572</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1"/>
      <c r="B31" s="181"/>
      <c r="C31" s="181"/>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4" t="s">
        <v>9</v>
      </c>
      <c r="B34" s="175"/>
      <c r="C34" s="176"/>
      <c r="F34" s="129"/>
      <c r="G34" s="129"/>
      <c r="H34" s="129"/>
      <c r="I34" s="129"/>
      <c r="J34" s="129"/>
      <c r="K34" s="129"/>
      <c r="L34" s="129"/>
      <c r="M34" s="129"/>
      <c r="N34" s="129"/>
      <c r="O34" s="129"/>
      <c r="P34" s="129"/>
      <c r="Q34" s="129"/>
      <c r="R34" s="129"/>
      <c r="S34" s="130"/>
      <c r="T34" s="129"/>
      <c r="U34" s="129"/>
      <c r="V34" s="129"/>
    </row>
    <row r="35" spans="1:22">
      <c r="A35" s="133" t="s">
        <v>471</v>
      </c>
      <c r="B35" s="156">
        <v>30</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6.9444444444444446</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2.25</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21.37854609929078</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4" t="s">
        <v>287</v>
      </c>
      <c r="B43" s="175"/>
      <c r="C43" s="176"/>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23.516400709219859</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21.37854609929078</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21</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23.1</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4" t="s">
        <v>338</v>
      </c>
      <c r="B52" s="175"/>
      <c r="C52" s="176"/>
      <c r="F52" s="129"/>
      <c r="G52" s="129"/>
      <c r="H52" s="129"/>
      <c r="I52" s="129"/>
      <c r="J52" s="129"/>
      <c r="K52" s="129"/>
      <c r="L52" s="129"/>
      <c r="M52" s="129"/>
      <c r="N52" s="129"/>
      <c r="O52" s="129"/>
      <c r="P52" s="129"/>
      <c r="Q52" s="129"/>
      <c r="R52" s="129"/>
      <c r="S52" s="130"/>
      <c r="T52" s="129"/>
      <c r="U52" s="129"/>
      <c r="V52" s="129"/>
    </row>
    <row r="53" spans="1:22" ht="16">
      <c r="A53" s="133" t="s">
        <v>347</v>
      </c>
      <c r="B53" s="154">
        <v>1020</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6</v>
      </c>
      <c r="C54" s="136" t="s">
        <v>7</v>
      </c>
      <c r="F54" s="129"/>
      <c r="G54" s="129"/>
      <c r="H54" s="129"/>
      <c r="I54" s="129"/>
      <c r="J54" s="129"/>
      <c r="K54" s="129"/>
      <c r="L54" s="129"/>
      <c r="M54" s="129"/>
      <c r="N54" s="129"/>
      <c r="O54" s="129"/>
      <c r="P54" s="129"/>
      <c r="Q54" s="129"/>
      <c r="R54" s="129"/>
      <c r="S54" s="130"/>
      <c r="T54" s="129"/>
      <c r="U54" s="129"/>
      <c r="V54" s="129"/>
    </row>
    <row r="55" spans="1:22" ht="15" thickBot="1">
      <c r="A55" s="174" t="s">
        <v>339</v>
      </c>
      <c r="B55" s="175"/>
      <c r="C55" s="176"/>
      <c r="F55" s="129"/>
      <c r="G55" s="129"/>
      <c r="H55" s="129"/>
      <c r="I55" s="129"/>
      <c r="J55" s="129"/>
      <c r="K55" s="129"/>
      <c r="L55" s="129"/>
      <c r="M55" s="129"/>
      <c r="N55" s="129"/>
      <c r="O55" s="129"/>
      <c r="P55" s="129"/>
      <c r="Q55" s="129"/>
      <c r="R55" s="129"/>
      <c r="S55" s="130"/>
      <c r="T55" s="129"/>
      <c r="U55" s="129"/>
      <c r="V55" s="129"/>
    </row>
    <row r="56" spans="1:22" ht="16">
      <c r="A56" s="133" t="s">
        <v>348</v>
      </c>
      <c r="B56" s="154">
        <v>1020</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4</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4" t="s">
        <v>296</v>
      </c>
      <c r="B61" s="175"/>
      <c r="C61" s="176"/>
      <c r="F61" s="129"/>
      <c r="G61" s="129"/>
      <c r="H61" s="129"/>
      <c r="I61" s="129"/>
      <c r="J61" s="129"/>
      <c r="K61" s="129"/>
      <c r="L61" s="129"/>
      <c r="M61" s="129"/>
      <c r="N61" s="129"/>
      <c r="O61" s="129"/>
      <c r="P61" s="187" t="s">
        <v>384</v>
      </c>
      <c r="Q61" s="18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4.166666666666667</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6.25</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4" t="s">
        <v>112</v>
      </c>
      <c r="B71" s="175"/>
      <c r="C71" s="176"/>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87" t="s">
        <v>384</v>
      </c>
      <c r="Q73" s="18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4" t="s">
        <v>298</v>
      </c>
      <c r="B79" s="175"/>
      <c r="C79" s="176"/>
    </row>
    <row r="80" spans="1:22">
      <c r="A80" s="133" t="s">
        <v>337</v>
      </c>
      <c r="B80" s="154">
        <v>55</v>
      </c>
      <c r="C80" s="134" t="s">
        <v>1</v>
      </c>
    </row>
    <row r="81" spans="1:19" ht="16">
      <c r="A81" s="133" t="s">
        <v>355</v>
      </c>
      <c r="B81" s="144">
        <f>Calculations!B90</f>
        <v>65.05964879680387</v>
      </c>
      <c r="C81" s="134" t="s">
        <v>104</v>
      </c>
    </row>
    <row r="82" spans="1:19" ht="16">
      <c r="A82" s="133" t="s">
        <v>356</v>
      </c>
      <c r="B82" s="154">
        <v>64.900000000000006</v>
      </c>
      <c r="C82" s="134" t="s">
        <v>104</v>
      </c>
    </row>
    <row r="83" spans="1:19" ht="15" thickBot="1">
      <c r="A83" s="135" t="s">
        <v>336</v>
      </c>
      <c r="B83" s="143">
        <f>Calculations!B92</f>
        <v>55.112389984825498</v>
      </c>
      <c r="C83" s="136" t="s">
        <v>1</v>
      </c>
    </row>
    <row r="84" spans="1:19" ht="15" thickBot="1">
      <c r="A84" s="174" t="s">
        <v>299</v>
      </c>
      <c r="B84" s="175"/>
      <c r="C84" s="176"/>
    </row>
    <row r="85" spans="1:19">
      <c r="A85" s="133" t="s">
        <v>335</v>
      </c>
      <c r="B85" s="154">
        <v>28</v>
      </c>
      <c r="C85" s="134" t="s">
        <v>1</v>
      </c>
    </row>
    <row r="86" spans="1:19" ht="16">
      <c r="A86" s="133" t="s">
        <v>357</v>
      </c>
      <c r="B86" s="144">
        <f>Calculations!B94</f>
        <v>43.191683759090061</v>
      </c>
      <c r="C86" s="134" t="s">
        <v>104</v>
      </c>
    </row>
    <row r="87" spans="1:19" ht="16">
      <c r="A87" s="133" t="s">
        <v>358</v>
      </c>
      <c r="B87" s="154">
        <v>43</v>
      </c>
      <c r="C87" s="134" t="s">
        <v>104</v>
      </c>
    </row>
    <row r="88" spans="1:19" ht="15" thickBot="1">
      <c r="A88" s="135" t="s">
        <v>334</v>
      </c>
      <c r="B88" s="143">
        <f>Calculations!B96</f>
        <v>28.743139534883721</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4" t="s">
        <v>113</v>
      </c>
      <c r="B92" s="175"/>
      <c r="C92" s="176"/>
      <c r="E92" s="129"/>
      <c r="F92" s="129"/>
      <c r="G92" s="129"/>
      <c r="H92" s="129"/>
      <c r="I92" s="129"/>
      <c r="J92" s="129"/>
      <c r="K92" s="129"/>
      <c r="L92" s="129"/>
      <c r="M92" s="129"/>
      <c r="N92" s="129"/>
      <c r="O92" s="129"/>
      <c r="P92" s="129"/>
      <c r="Q92" s="129"/>
      <c r="R92" s="129"/>
      <c r="S92" s="130"/>
    </row>
    <row r="93" spans="1:19">
      <c r="A93" s="133" t="s">
        <v>117</v>
      </c>
      <c r="B93" s="182" t="s">
        <v>172</v>
      </c>
      <c r="C93" s="183"/>
      <c r="E93" s="129"/>
      <c r="F93" s="185" t="s">
        <v>309</v>
      </c>
      <c r="G93" s="185"/>
      <c r="H93" s="185"/>
      <c r="I93" s="129"/>
      <c r="J93" s="129"/>
      <c r="K93" s="185" t="s">
        <v>307</v>
      </c>
      <c r="L93" s="185"/>
      <c r="M93" s="185"/>
      <c r="N93" s="129"/>
      <c r="O93" s="129"/>
      <c r="P93" s="129"/>
      <c r="Q93" s="185" t="s">
        <v>308</v>
      </c>
      <c r="R93" s="18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4" t="s">
        <v>302</v>
      </c>
      <c r="B109" s="175"/>
      <c r="C109" s="176"/>
      <c r="E109" s="129"/>
      <c r="F109" s="129"/>
      <c r="G109" s="129"/>
      <c r="H109" s="129"/>
      <c r="I109" s="129"/>
      <c r="J109" s="129"/>
      <c r="K109" s="129"/>
      <c r="L109" s="129"/>
      <c r="M109" s="129"/>
      <c r="N109" s="129"/>
      <c r="O109" s="129"/>
      <c r="P109" s="129"/>
      <c r="Q109" s="129"/>
      <c r="R109" s="129"/>
      <c r="S109" s="130"/>
    </row>
    <row r="110" spans="1:21" ht="16">
      <c r="A110" s="133" t="s">
        <v>478</v>
      </c>
      <c r="B110" s="154">
        <v>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10.909090909090908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11</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3.0250000000000004</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0.27499999999999997</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9.0909090909090899</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9.1</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1.6958510541536154</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1.589959471447506</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4" t="s">
        <v>303</v>
      </c>
      <c r="B122" s="175"/>
      <c r="C122" s="176"/>
      <c r="E122" s="186" t="s">
        <v>361</v>
      </c>
      <c r="F122" s="186"/>
      <c r="G122" s="186"/>
      <c r="I122" s="186" t="s">
        <v>362</v>
      </c>
      <c r="J122" s="186"/>
      <c r="K122" s="18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10</v>
      </c>
      <c r="C126" s="134" t="s">
        <v>104</v>
      </c>
    </row>
    <row r="127" spans="1:19">
      <c r="A127" s="133" t="s">
        <v>237</v>
      </c>
      <c r="B127" s="128">
        <f>Calculations!B131</f>
        <v>56</v>
      </c>
      <c r="C127" s="134" t="s">
        <v>97</v>
      </c>
    </row>
    <row r="128" spans="1:19" ht="15" thickBot="1">
      <c r="A128" s="135" t="s">
        <v>238</v>
      </c>
      <c r="B128" s="138">
        <f>Calculations!B132</f>
        <v>56</v>
      </c>
      <c r="C128" s="136" t="s">
        <v>97</v>
      </c>
    </row>
    <row r="131" spans="1:3" ht="17">
      <c r="A131" s="173" t="s">
        <v>305</v>
      </c>
      <c r="B131" s="173"/>
      <c r="C131" s="173"/>
    </row>
    <row r="132" spans="1:3" ht="15" thickBot="1"/>
    <row r="133" spans="1:3" ht="15" thickBot="1">
      <c r="A133" s="174" t="s">
        <v>306</v>
      </c>
      <c r="B133" s="175"/>
      <c r="C133" s="176"/>
    </row>
    <row r="134" spans="1:3">
      <c r="A134" s="133" t="s">
        <v>250</v>
      </c>
      <c r="B134" s="154">
        <v>40</v>
      </c>
      <c r="C134" s="134" t="s">
        <v>251</v>
      </c>
    </row>
    <row r="135" spans="1:3" ht="16">
      <c r="A135" s="133" t="s">
        <v>363</v>
      </c>
      <c r="B135" s="139">
        <f>Calculations!B137</f>
        <v>1.3883729078229168</v>
      </c>
      <c r="C135" s="134" t="s">
        <v>3</v>
      </c>
    </row>
    <row r="136" spans="1:3" ht="16">
      <c r="A136" s="133" t="s">
        <v>467</v>
      </c>
      <c r="B136" s="128">
        <f>Calculations!B139/1000</f>
        <v>40</v>
      </c>
      <c r="C136" s="134" t="s">
        <v>3</v>
      </c>
    </row>
    <row r="137" spans="1:3" ht="16">
      <c r="A137" s="133" t="s">
        <v>468</v>
      </c>
      <c r="B137" s="154">
        <v>40</v>
      </c>
      <c r="C137" s="134" t="s">
        <v>3</v>
      </c>
    </row>
    <row r="138" spans="1:3" ht="16">
      <c r="A138" s="133" t="s">
        <v>367</v>
      </c>
      <c r="B138" s="139">
        <f>Calculations!B143</f>
        <v>2.4623961764354605</v>
      </c>
      <c r="C138" s="134" t="s">
        <v>104</v>
      </c>
    </row>
    <row r="139" spans="1:3" ht="16">
      <c r="A139" s="133" t="s">
        <v>368</v>
      </c>
      <c r="B139" s="154">
        <v>2.4</v>
      </c>
      <c r="C139" s="134" t="s">
        <v>104</v>
      </c>
    </row>
    <row r="140" spans="1:3" ht="16">
      <c r="A140" s="133" t="s">
        <v>370</v>
      </c>
      <c r="B140" s="144">
        <f>Calculations!B145</f>
        <v>46.553900399328356</v>
      </c>
      <c r="C140" s="134" t="s">
        <v>40</v>
      </c>
    </row>
    <row r="141" spans="1:3" ht="16">
      <c r="A141" s="133" t="s">
        <v>369</v>
      </c>
      <c r="B141" s="154">
        <v>47</v>
      </c>
      <c r="C141" s="134" t="s">
        <v>40</v>
      </c>
    </row>
    <row r="142" spans="1:3" ht="16">
      <c r="A142" s="133" t="s">
        <v>372</v>
      </c>
      <c r="B142" s="144">
        <f>Calculations!B147</f>
        <v>0.46553900399328357</v>
      </c>
      <c r="C142" s="134" t="s">
        <v>40</v>
      </c>
    </row>
    <row r="143" spans="1:3" ht="16">
      <c r="A143" s="133" t="s">
        <v>371</v>
      </c>
      <c r="B143" s="154">
        <v>0.5</v>
      </c>
      <c r="C143" s="134" t="s">
        <v>40</v>
      </c>
    </row>
    <row r="144" spans="1:3" ht="16">
      <c r="A144" s="133" t="s">
        <v>374</v>
      </c>
      <c r="B144" s="139">
        <f>Calculations!B149</f>
        <v>1.4109480770558096</v>
      </c>
      <c r="C144" s="134" t="s">
        <v>3</v>
      </c>
    </row>
    <row r="145" spans="1:3" ht="17" thickBot="1">
      <c r="A145" s="135" t="s">
        <v>373</v>
      </c>
      <c r="B145" s="152">
        <f>Calculations!B150</f>
        <v>132.62911924324609</v>
      </c>
      <c r="C145" s="136" t="s">
        <v>3</v>
      </c>
    </row>
    <row r="149" spans="1:3" ht="17">
      <c r="A149" s="173" t="s">
        <v>460</v>
      </c>
      <c r="B149" s="173"/>
      <c r="C149" s="173"/>
    </row>
    <row r="150" spans="1:3" ht="8.25" customHeight="1" thickBot="1"/>
    <row r="151" spans="1:3" ht="15" thickBot="1">
      <c r="A151" s="174" t="s">
        <v>459</v>
      </c>
      <c r="B151" s="175"/>
      <c r="C151" s="176"/>
    </row>
    <row r="152" spans="1:3" ht="16">
      <c r="A152" s="146" t="s">
        <v>484</v>
      </c>
      <c r="B152" s="158">
        <v>3.3</v>
      </c>
      <c r="C152" s="147" t="s">
        <v>1</v>
      </c>
    </row>
    <row r="153" spans="1:3" ht="16">
      <c r="A153" s="133" t="s">
        <v>485</v>
      </c>
      <c r="B153" s="154">
        <v>5</v>
      </c>
      <c r="C153" s="134" t="s">
        <v>104</v>
      </c>
    </row>
    <row r="154" spans="1:3" ht="16">
      <c r="A154" s="133" t="s">
        <v>487</v>
      </c>
      <c r="B154" s="128">
        <f>Calculations!B159/1000</f>
        <v>32.878787878787882</v>
      </c>
      <c r="C154" s="134" t="s">
        <v>104</v>
      </c>
    </row>
    <row r="155" spans="1:3" ht="16">
      <c r="A155" s="133" t="s">
        <v>486</v>
      </c>
      <c r="B155" s="154">
        <v>25</v>
      </c>
      <c r="C155" s="134" t="s">
        <v>104</v>
      </c>
    </row>
    <row r="156" spans="1:3">
      <c r="A156" s="133" t="s">
        <v>432</v>
      </c>
      <c r="B156" s="128">
        <f>Calculations!B164/1000</f>
        <v>4</v>
      </c>
      <c r="C156" s="134" t="s">
        <v>3</v>
      </c>
    </row>
    <row r="157" spans="1:3">
      <c r="A157" s="133" t="s">
        <v>258</v>
      </c>
      <c r="B157" s="154">
        <v>4</v>
      </c>
      <c r="C157" s="134" t="s">
        <v>3</v>
      </c>
    </row>
    <row r="158" spans="1:3" ht="16">
      <c r="A158" s="133" t="s">
        <v>455</v>
      </c>
      <c r="B158" s="139">
        <f>Calculations!B170/1000</f>
        <v>16.179130440544636</v>
      </c>
      <c r="C158" s="134" t="s">
        <v>104</v>
      </c>
    </row>
    <row r="159" spans="1:3" ht="16">
      <c r="A159" s="133" t="s">
        <v>456</v>
      </c>
      <c r="B159" s="154">
        <v>16</v>
      </c>
      <c r="C159" s="134" t="s">
        <v>104</v>
      </c>
    </row>
    <row r="160" spans="1:3" ht="16">
      <c r="A160" s="133" t="s">
        <v>457</v>
      </c>
      <c r="B160" s="144">
        <f>Calculations!B172*(10^9)</f>
        <v>45.031556624677471</v>
      </c>
      <c r="C160" s="134" t="s">
        <v>40</v>
      </c>
    </row>
    <row r="161" spans="1:3" ht="16">
      <c r="A161" s="133" t="s">
        <v>458</v>
      </c>
      <c r="B161" s="154">
        <v>20</v>
      </c>
      <c r="C161" s="134" t="s">
        <v>40</v>
      </c>
    </row>
    <row r="162" spans="1:3" ht="16">
      <c r="A162" s="133" t="s">
        <v>454</v>
      </c>
      <c r="B162" s="139">
        <f>Calculations!B174*(10^9)</f>
        <v>0.37826507564729067</v>
      </c>
      <c r="C162" s="134" t="s">
        <v>40</v>
      </c>
    </row>
    <row r="163" spans="1:3" ht="16">
      <c r="A163" s="133" t="s">
        <v>453</v>
      </c>
      <c r="B163" s="154">
        <v>5</v>
      </c>
      <c r="C163" s="134" t="s">
        <v>40</v>
      </c>
    </row>
    <row r="164" spans="1:3" ht="16">
      <c r="A164" s="133" t="s">
        <v>374</v>
      </c>
      <c r="B164" s="139">
        <f>Calculations!B176</f>
        <v>0.49735919716217303</v>
      </c>
      <c r="C164" s="134" t="s">
        <v>3</v>
      </c>
    </row>
    <row r="165" spans="1:3" ht="17" thickBot="1">
      <c r="A165" s="135" t="s">
        <v>373</v>
      </c>
      <c r="B165" s="143">
        <f>Calculations!B177</f>
        <v>1.9894367886486921</v>
      </c>
      <c r="C165" s="136" t="s">
        <v>3</v>
      </c>
    </row>
    <row r="168" spans="1:3" ht="17">
      <c r="A168" s="173" t="s">
        <v>483</v>
      </c>
      <c r="B168" s="173"/>
      <c r="C168" s="173"/>
    </row>
    <row r="169" spans="1:3" ht="15" thickBot="1"/>
    <row r="170" spans="1:3" ht="15" thickBot="1">
      <c r="A170" s="174" t="s">
        <v>461</v>
      </c>
      <c r="B170" s="175"/>
      <c r="C170" s="176"/>
    </row>
    <row r="171" spans="1:3" ht="16">
      <c r="A171" s="146" t="s">
        <v>484</v>
      </c>
      <c r="B171" s="158">
        <v>3.3</v>
      </c>
      <c r="C171" s="147" t="s">
        <v>1</v>
      </c>
    </row>
    <row r="172" spans="1:3" ht="16">
      <c r="A172" s="133" t="s">
        <v>485</v>
      </c>
      <c r="B172" s="154">
        <v>1</v>
      </c>
      <c r="C172" s="134" t="s">
        <v>104</v>
      </c>
    </row>
    <row r="173" spans="1:3" ht="16">
      <c r="A173" s="133" t="s">
        <v>487</v>
      </c>
      <c r="B173" s="128">
        <f>Calculations!B183/1000</f>
        <v>14.151515151515152</v>
      </c>
      <c r="C173" s="134" t="s">
        <v>104</v>
      </c>
    </row>
    <row r="174" spans="1:3" ht="16">
      <c r="A174" s="133" t="s">
        <v>486</v>
      </c>
      <c r="B174" s="154">
        <v>14</v>
      </c>
      <c r="C174" s="134" t="s">
        <v>104</v>
      </c>
    </row>
    <row r="175" spans="1:3">
      <c r="A175" s="133" t="s">
        <v>432</v>
      </c>
      <c r="B175" s="139">
        <f>Calculations!B188/1000</f>
        <v>7.1595536710031933</v>
      </c>
      <c r="C175" s="134" t="s">
        <v>3</v>
      </c>
    </row>
    <row r="176" spans="1:3">
      <c r="A176" s="133" t="s">
        <v>258</v>
      </c>
      <c r="B176" s="159">
        <v>5.5</v>
      </c>
      <c r="C176" s="134" t="s">
        <v>3</v>
      </c>
    </row>
    <row r="177" spans="1:3" ht="16">
      <c r="A177" s="133" t="s">
        <v>428</v>
      </c>
      <c r="B177" s="144">
        <f>Calculations!B194/1000</f>
        <v>31.769911327803388</v>
      </c>
      <c r="C177" s="134" t="s">
        <v>104</v>
      </c>
    </row>
    <row r="178" spans="1:3" ht="16">
      <c r="A178" s="133" t="s">
        <v>427</v>
      </c>
      <c r="B178" s="154">
        <v>20</v>
      </c>
      <c r="C178" s="134" t="s">
        <v>104</v>
      </c>
    </row>
    <row r="179" spans="1:3" ht="16">
      <c r="A179" s="133" t="s">
        <v>426</v>
      </c>
      <c r="B179" s="139">
        <f>Calculations!B196*(10^9)</f>
        <v>61.980404943362352</v>
      </c>
      <c r="C179" s="134" t="s">
        <v>40</v>
      </c>
    </row>
    <row r="180" spans="1:3" ht="16">
      <c r="A180" s="133" t="s">
        <v>429</v>
      </c>
      <c r="B180" s="154">
        <v>47</v>
      </c>
      <c r="C180" s="134" t="s">
        <v>40</v>
      </c>
    </row>
    <row r="181" spans="1:3" ht="16">
      <c r="A181" s="133" t="s">
        <v>430</v>
      </c>
      <c r="B181" s="153">
        <f>Calculations!B198*(10^9)</f>
        <v>2.5048062213603211E-2</v>
      </c>
      <c r="C181" s="134" t="s">
        <v>40</v>
      </c>
    </row>
    <row r="182" spans="1:3" ht="16">
      <c r="A182" s="133" t="s">
        <v>431</v>
      </c>
      <c r="B182" s="154">
        <v>0.03</v>
      </c>
      <c r="C182" s="134" t="s">
        <v>40</v>
      </c>
    </row>
    <row r="183" spans="1:3" ht="16">
      <c r="A183" s="133" t="s">
        <v>374</v>
      </c>
      <c r="B183" s="139">
        <f>Calculations!B200/1000</f>
        <v>0.16931376924669714</v>
      </c>
      <c r="C183" s="134" t="s">
        <v>3</v>
      </c>
    </row>
    <row r="184" spans="1:3" ht="17" thickBot="1">
      <c r="A184" s="135" t="s">
        <v>373</v>
      </c>
      <c r="B184" s="143">
        <f>Calculations!B201/1000</f>
        <v>265.25823848649225</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 ref="A90:C90"/>
    <mergeCell ref="A109:C109"/>
    <mergeCell ref="A107:C107"/>
    <mergeCell ref="A122:C122"/>
    <mergeCell ref="B123:C123"/>
    <mergeCell ref="B98:C98"/>
    <mergeCell ref="A52:C52"/>
    <mergeCell ref="A55:C55"/>
    <mergeCell ref="A59:C59"/>
    <mergeCell ref="A69:C69"/>
    <mergeCell ref="A84:C84"/>
    <mergeCell ref="A77:C77"/>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39:K39"/>
    <mergeCell ref="A1:L3"/>
    <mergeCell ref="A4:L4"/>
    <mergeCell ref="B36:K36"/>
    <mergeCell ref="B37:K37"/>
    <mergeCell ref="B38:K38"/>
    <mergeCell ref="B46:K46"/>
    <mergeCell ref="B47:K47"/>
    <mergeCell ref="B40:K40"/>
    <mergeCell ref="B41:K41"/>
    <mergeCell ref="B42:K42"/>
    <mergeCell ref="B43:K43"/>
    <mergeCell ref="B44:K44"/>
    <mergeCell ref="B45:K45"/>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203" t="s">
        <v>375</v>
      </c>
      <c r="Q4" s="204"/>
      <c r="R4" s="204"/>
      <c r="S4" s="205"/>
      <c r="T4" s="203" t="s">
        <v>24</v>
      </c>
      <c r="U4" s="204"/>
      <c r="V4" s="204"/>
      <c r="W4" s="205"/>
      <c r="X4" s="203" t="s">
        <v>75</v>
      </c>
      <c r="Y4" s="204"/>
      <c r="Z4" s="204"/>
      <c r="AA4" s="205"/>
      <c r="AB4" s="203" t="s">
        <v>376</v>
      </c>
      <c r="AC4" s="204"/>
      <c r="AD4" s="204"/>
      <c r="AE4" s="205"/>
      <c r="AF4" s="203" t="s">
        <v>377</v>
      </c>
      <c r="AG4" s="204"/>
      <c r="AH4" s="204"/>
      <c r="AI4" s="205"/>
      <c r="AJ4" s="203" t="s">
        <v>378</v>
      </c>
      <c r="AK4" s="204"/>
      <c r="AL4" s="204"/>
      <c r="AM4" s="205"/>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5" t="s">
        <v>118</v>
      </c>
      <c r="B6" s="195"/>
      <c r="C6" s="195"/>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40</v>
      </c>
      <c r="C7" s="31" t="s">
        <v>1</v>
      </c>
      <c r="E7" s="34" t="s">
        <v>119</v>
      </c>
      <c r="I7" s="36"/>
      <c r="J7" t="s">
        <v>127</v>
      </c>
      <c r="N7">
        <v>1E-3</v>
      </c>
      <c r="O7">
        <f t="shared" si="0"/>
        <v>1</v>
      </c>
      <c r="P7" s="5">
        <f t="shared" si="1"/>
        <v>0.39581140290126393</v>
      </c>
      <c r="Q7" s="1">
        <f t="shared" si="2"/>
        <v>0.23748684174075835</v>
      </c>
      <c r="R7" s="1">
        <f t="shared" si="3"/>
        <v>3.1580697039994465</v>
      </c>
      <c r="S7" s="6">
        <f t="shared" si="4"/>
        <v>3.1580697039994465</v>
      </c>
      <c r="T7" s="5">
        <f t="shared" si="5"/>
        <v>0.27422618401604176</v>
      </c>
      <c r="U7" s="1">
        <f t="shared" si="6"/>
        <v>0.27422618401604176</v>
      </c>
      <c r="V7" s="1">
        <f t="shared" si="7"/>
        <v>3.6466247874473638</v>
      </c>
      <c r="W7" s="6">
        <f t="shared" si="8"/>
        <v>3.6466247874473638</v>
      </c>
      <c r="X7" s="5">
        <f t="shared" si="9"/>
        <v>0.21157009420498152</v>
      </c>
      <c r="Y7" s="1">
        <f t="shared" si="10"/>
        <v>0.29619813188697408</v>
      </c>
      <c r="Z7" s="1">
        <f t="shared" si="11"/>
        <v>3.9388049453055074</v>
      </c>
      <c r="AA7" s="6">
        <f t="shared" si="12"/>
        <v>3.9388049453055074</v>
      </c>
      <c r="AB7" s="5">
        <f t="shared" si="13"/>
        <v>0.21015489374525487</v>
      </c>
      <c r="AC7" s="1">
        <f t="shared" si="14"/>
        <v>0.35783130556624476</v>
      </c>
      <c r="AD7" s="1">
        <f t="shared" si="15"/>
        <v>3.5212123154125154</v>
      </c>
      <c r="AE7" s="6">
        <f t="shared" si="16"/>
        <v>3.5212123154125154</v>
      </c>
      <c r="AF7" s="5">
        <f t="shared" si="17"/>
        <v>0.27422618401604176</v>
      </c>
      <c r="AG7" s="1">
        <f t="shared" si="18"/>
        <v>0.27422618401604176</v>
      </c>
      <c r="AH7" s="1">
        <f t="shared" ref="AH7:AH56" si="25">IF($O7&lt;((V48_Nom-V12_Nom)*V12_Nom)/((2*Lm*Fsw)*V48_Nom),(AF7/(Fsw*Lm))*(V48_Nom-V12_Nom),((AF7/(Fsw*Lm))*(V48_Nom-V12_Nom)))</f>
        <v>3.6466247874473638</v>
      </c>
      <c r="AI7" s="6">
        <f t="shared" ref="AI7:AI56" si="26">IF($O7&lt;((V48_Nom-V12_Nom)*V12_Nom)/((2*Lm*Fsw)*V48_Nom),(AF7/(Fsw*Lm))*(V48_Nom-V12_Nom),(AH7/2)+$O7)</f>
        <v>3.6466247874473638</v>
      </c>
      <c r="AJ7" s="5">
        <f t="shared" si="21"/>
        <v>0.28542366171476857</v>
      </c>
      <c r="AK7" s="1">
        <f t="shared" si="22"/>
        <v>0.26346799542901717</v>
      </c>
      <c r="AL7" s="1">
        <f t="shared" si="23"/>
        <v>3.6437063197630035</v>
      </c>
      <c r="AM7" s="6">
        <f t="shared" si="24"/>
        <v>3.6437063197630035</v>
      </c>
    </row>
    <row r="8" spans="1:39">
      <c r="A8" s="31" t="s">
        <v>109</v>
      </c>
      <c r="B8" s="49">
        <f>Design_Converter!B12</f>
        <v>50</v>
      </c>
      <c r="C8" s="31" t="s">
        <v>1</v>
      </c>
      <c r="E8" s="34" t="s">
        <v>120</v>
      </c>
      <c r="I8" s="37"/>
      <c r="J8" t="s">
        <v>128</v>
      </c>
      <c r="N8">
        <v>2E-3</v>
      </c>
      <c r="O8">
        <f t="shared" si="0"/>
        <v>2</v>
      </c>
      <c r="P8" s="5">
        <f t="shared" si="1"/>
        <v>0.55976185412488888</v>
      </c>
      <c r="Q8" s="1">
        <f t="shared" si="2"/>
        <v>0.33585711247493333</v>
      </c>
      <c r="R8" s="1">
        <f t="shared" si="3"/>
        <v>4.4661850063156034</v>
      </c>
      <c r="S8" s="6">
        <f t="shared" si="4"/>
        <v>4.4661850063156034</v>
      </c>
      <c r="T8" s="5">
        <f t="shared" si="5"/>
        <v>0.3878143885933063</v>
      </c>
      <c r="U8" s="1">
        <f t="shared" si="6"/>
        <v>0.3878143885933063</v>
      </c>
      <c r="V8" s="1">
        <f t="shared" si="7"/>
        <v>5.1571062312939668</v>
      </c>
      <c r="W8" s="6">
        <f t="shared" si="8"/>
        <v>5.1571062312939668</v>
      </c>
      <c r="X8" s="5">
        <f t="shared" si="9"/>
        <v>0.29920529661723827</v>
      </c>
      <c r="Y8" s="1">
        <f t="shared" si="10"/>
        <v>0.41888741526413353</v>
      </c>
      <c r="Z8" s="1">
        <f t="shared" si="11"/>
        <v>5.5703113731932659</v>
      </c>
      <c r="AA8" s="6">
        <f t="shared" si="12"/>
        <v>5.5703113731932659</v>
      </c>
      <c r="AB8" s="5">
        <f t="shared" si="13"/>
        <v>0.29720390093361615</v>
      </c>
      <c r="AC8" s="1">
        <f t="shared" si="14"/>
        <v>0.50604988537345452</v>
      </c>
      <c r="AD8" s="1">
        <f t="shared" si="15"/>
        <v>4.9797462124515475</v>
      </c>
      <c r="AE8" s="6">
        <f t="shared" si="16"/>
        <v>4.9797462124515475</v>
      </c>
      <c r="AF8" s="5">
        <f t="shared" si="17"/>
        <v>0.3878143885933063</v>
      </c>
      <c r="AG8" s="1">
        <f t="shared" si="18"/>
        <v>0.3878143885933063</v>
      </c>
      <c r="AH8" s="1">
        <f t="shared" si="25"/>
        <v>5.1571062312939668</v>
      </c>
      <c r="AI8" s="6">
        <f t="shared" si="26"/>
        <v>5.1571062312939668</v>
      </c>
      <c r="AJ8" s="5">
        <f t="shared" si="21"/>
        <v>0.40365001341921608</v>
      </c>
      <c r="AK8" s="1">
        <f t="shared" si="22"/>
        <v>0.37260001238696872</v>
      </c>
      <c r="AL8" s="1">
        <f t="shared" si="23"/>
        <v>5.1529788947133968</v>
      </c>
      <c r="AM8" s="6">
        <f t="shared" si="24"/>
        <v>5.1529788947133968</v>
      </c>
    </row>
    <row r="9" spans="1:39">
      <c r="A9" s="31" t="s">
        <v>110</v>
      </c>
      <c r="B9" s="49">
        <f>Design_Converter!B13</f>
        <v>60</v>
      </c>
      <c r="C9" s="31" t="s">
        <v>1</v>
      </c>
      <c r="E9" s="34" t="s">
        <v>125</v>
      </c>
      <c r="I9" s="38"/>
      <c r="J9" t="s">
        <v>138</v>
      </c>
      <c r="N9">
        <v>3.0000000000000001E-3</v>
      </c>
      <c r="O9">
        <f t="shared" si="0"/>
        <v>3</v>
      </c>
      <c r="P9" s="5">
        <f t="shared" si="1"/>
        <v>0.625</v>
      </c>
      <c r="Q9" s="1">
        <f t="shared" si="2"/>
        <v>0.375</v>
      </c>
      <c r="R9" s="1">
        <f t="shared" si="3"/>
        <v>4.9867021276595747</v>
      </c>
      <c r="S9" s="6">
        <f t="shared" si="4"/>
        <v>5.4933510638297873</v>
      </c>
      <c r="T9" s="5">
        <f t="shared" si="5"/>
        <v>0.4749736834815167</v>
      </c>
      <c r="U9" s="1">
        <f t="shared" si="6"/>
        <v>0.4749736834815167</v>
      </c>
      <c r="V9" s="1">
        <f t="shared" si="7"/>
        <v>6.3161394079988931</v>
      </c>
      <c r="W9" s="6">
        <f t="shared" si="8"/>
        <v>6.3161394079988931</v>
      </c>
      <c r="X9" s="5">
        <f t="shared" si="9"/>
        <v>0.36645015252516172</v>
      </c>
      <c r="Y9" s="1">
        <f t="shared" si="10"/>
        <v>0.51303021353522638</v>
      </c>
      <c r="Z9" s="1">
        <f t="shared" si="11"/>
        <v>6.8222102863726919</v>
      </c>
      <c r="AA9" s="6">
        <f t="shared" si="12"/>
        <v>6.8222102863726919</v>
      </c>
      <c r="AB9" s="5">
        <f t="shared" si="13"/>
        <v>0.36399895342602034</v>
      </c>
      <c r="AC9" s="1">
        <f t="shared" si="14"/>
        <v>0.61978200177943998</v>
      </c>
      <c r="AD9" s="1">
        <f t="shared" si="15"/>
        <v>6.0989186345317243</v>
      </c>
      <c r="AE9" s="6">
        <f t="shared" si="16"/>
        <v>6.0989186345317243</v>
      </c>
      <c r="AF9" s="5">
        <f t="shared" si="17"/>
        <v>0.4749736834815167</v>
      </c>
      <c r="AG9" s="1">
        <f t="shared" si="18"/>
        <v>0.4749736834815167</v>
      </c>
      <c r="AH9" s="1">
        <f t="shared" si="25"/>
        <v>6.3161394079988931</v>
      </c>
      <c r="AI9" s="6">
        <f t="shared" si="26"/>
        <v>6.3161394079988931</v>
      </c>
      <c r="AJ9" s="5">
        <f t="shared" si="21"/>
        <v>0.49436828377233105</v>
      </c>
      <c r="AK9" s="1">
        <f t="shared" si="22"/>
        <v>0.45633995425138252</v>
      </c>
      <c r="AL9" s="1">
        <f t="shared" si="23"/>
        <v>6.3110844736893332</v>
      </c>
      <c r="AM9" s="6">
        <f t="shared" si="24"/>
        <v>6.3110844736893332</v>
      </c>
    </row>
    <row r="10" spans="1:39">
      <c r="A10" s="195" t="s">
        <v>121</v>
      </c>
      <c r="B10" s="195"/>
      <c r="C10" s="195"/>
      <c r="I10" s="39"/>
      <c r="J10" t="s">
        <v>145</v>
      </c>
      <c r="N10">
        <v>4.0000000000000001E-3</v>
      </c>
      <c r="O10">
        <f t="shared" si="0"/>
        <v>4</v>
      </c>
      <c r="P10" s="5">
        <f t="shared" si="1"/>
        <v>0.625</v>
      </c>
      <c r="Q10" s="1">
        <f t="shared" si="2"/>
        <v>0.375</v>
      </c>
      <c r="R10" s="1">
        <f t="shared" si="3"/>
        <v>4.9867021276595747</v>
      </c>
      <c r="S10" s="6">
        <f t="shared" si="4"/>
        <v>6.4933510638297873</v>
      </c>
      <c r="T10" s="5">
        <f t="shared" si="5"/>
        <v>0.5</v>
      </c>
      <c r="U10" s="1">
        <f t="shared" si="6"/>
        <v>0.5</v>
      </c>
      <c r="V10" s="1">
        <f t="shared" si="7"/>
        <v>6.6489361702127656</v>
      </c>
      <c r="W10" s="6">
        <f t="shared" si="8"/>
        <v>7.3244680851063828</v>
      </c>
      <c r="X10" s="5">
        <f t="shared" si="9"/>
        <v>0.41666666666666669</v>
      </c>
      <c r="Y10" s="1">
        <f t="shared" si="10"/>
        <v>0.58333333333333326</v>
      </c>
      <c r="Z10" s="1">
        <f t="shared" si="11"/>
        <v>7.7570921985815611</v>
      </c>
      <c r="AA10" s="6">
        <f t="shared" si="12"/>
        <v>7.8785460992907801</v>
      </c>
      <c r="AB10" s="5">
        <f t="shared" si="13"/>
        <v>0.37</v>
      </c>
      <c r="AC10" s="1">
        <f t="shared" si="14"/>
        <v>0.63</v>
      </c>
      <c r="AD10" s="1">
        <f t="shared" si="15"/>
        <v>6.1994680851063828</v>
      </c>
      <c r="AE10" s="6">
        <f t="shared" si="16"/>
        <v>7.099734042553191</v>
      </c>
      <c r="AF10" s="5">
        <f t="shared" si="17"/>
        <v>0.5</v>
      </c>
      <c r="AG10" s="1">
        <f t="shared" si="18"/>
        <v>0.5</v>
      </c>
      <c r="AH10" s="1">
        <f t="shared" si="25"/>
        <v>6.6489361702127656</v>
      </c>
      <c r="AI10" s="6">
        <f t="shared" si="26"/>
        <v>7.3244680851063828</v>
      </c>
      <c r="AJ10" s="5">
        <f t="shared" si="21"/>
        <v>0.52</v>
      </c>
      <c r="AK10" s="1">
        <f t="shared" si="22"/>
        <v>0.48</v>
      </c>
      <c r="AL10" s="1">
        <f t="shared" si="23"/>
        <v>6.6382978723404253</v>
      </c>
      <c r="AM10" s="6">
        <f t="shared" si="24"/>
        <v>7.3191489361702127</v>
      </c>
    </row>
    <row r="11" spans="1:39">
      <c r="A11" s="31" t="s">
        <v>76</v>
      </c>
      <c r="B11" s="49">
        <f>Design_Converter!B16</f>
        <v>18.5</v>
      </c>
      <c r="C11" s="31" t="s">
        <v>1</v>
      </c>
      <c r="E11" s="34" t="s">
        <v>122</v>
      </c>
      <c r="N11">
        <v>5.0000000000000001E-3</v>
      </c>
      <c r="O11">
        <f t="shared" si="0"/>
        <v>5</v>
      </c>
      <c r="P11" s="5">
        <f t="shared" si="1"/>
        <v>0.625</v>
      </c>
      <c r="Q11" s="1">
        <f t="shared" si="2"/>
        <v>0.375</v>
      </c>
      <c r="R11" s="1">
        <f t="shared" si="3"/>
        <v>4.9867021276595747</v>
      </c>
      <c r="S11" s="6">
        <f t="shared" si="4"/>
        <v>7.4933510638297873</v>
      </c>
      <c r="T11" s="5">
        <f t="shared" si="5"/>
        <v>0.5</v>
      </c>
      <c r="U11" s="1">
        <f t="shared" si="6"/>
        <v>0.5</v>
      </c>
      <c r="V11" s="1">
        <f t="shared" si="7"/>
        <v>6.6489361702127656</v>
      </c>
      <c r="W11" s="6">
        <f t="shared" si="8"/>
        <v>8.3244680851063819</v>
      </c>
      <c r="X11" s="5">
        <f t="shared" si="9"/>
        <v>0.41666666666666669</v>
      </c>
      <c r="Y11" s="1">
        <f t="shared" si="10"/>
        <v>0.58333333333333326</v>
      </c>
      <c r="Z11" s="1">
        <f t="shared" si="11"/>
        <v>7.7570921985815611</v>
      </c>
      <c r="AA11" s="6">
        <f t="shared" si="12"/>
        <v>8.8785460992907801</v>
      </c>
      <c r="AB11" s="5">
        <f t="shared" si="13"/>
        <v>0.37</v>
      </c>
      <c r="AC11" s="1">
        <f t="shared" si="14"/>
        <v>0.63</v>
      </c>
      <c r="AD11" s="1">
        <f t="shared" si="15"/>
        <v>6.1994680851063828</v>
      </c>
      <c r="AE11" s="6">
        <f t="shared" si="16"/>
        <v>8.099734042553191</v>
      </c>
      <c r="AF11" s="5">
        <f t="shared" si="17"/>
        <v>0.5</v>
      </c>
      <c r="AG11" s="1">
        <f t="shared" si="18"/>
        <v>0.5</v>
      </c>
      <c r="AH11" s="1">
        <f t="shared" si="25"/>
        <v>6.6489361702127656</v>
      </c>
      <c r="AI11" s="6">
        <f t="shared" si="26"/>
        <v>8.3244680851063819</v>
      </c>
      <c r="AJ11" s="5">
        <f t="shared" si="21"/>
        <v>0.52</v>
      </c>
      <c r="AK11" s="1">
        <f t="shared" si="22"/>
        <v>0.48</v>
      </c>
      <c r="AL11" s="1">
        <f t="shared" si="23"/>
        <v>6.6382978723404253</v>
      </c>
      <c r="AM11" s="6">
        <f t="shared" si="24"/>
        <v>8.3191489361702118</v>
      </c>
    </row>
    <row r="12" spans="1:39">
      <c r="A12" s="31" t="s">
        <v>77</v>
      </c>
      <c r="B12" s="49">
        <f>Design_Converter!B17</f>
        <v>25</v>
      </c>
      <c r="C12" s="31" t="s">
        <v>1</v>
      </c>
      <c r="E12" s="34" t="s">
        <v>123</v>
      </c>
      <c r="N12">
        <v>6.0000000000000001E-3</v>
      </c>
      <c r="O12">
        <f t="shared" si="0"/>
        <v>6</v>
      </c>
      <c r="P12" s="5">
        <f t="shared" si="1"/>
        <v>0.625</v>
      </c>
      <c r="Q12" s="1">
        <f t="shared" si="2"/>
        <v>0.375</v>
      </c>
      <c r="R12" s="1">
        <f t="shared" si="3"/>
        <v>4.9867021276595747</v>
      </c>
      <c r="S12" s="6">
        <f t="shared" si="4"/>
        <v>8.4933510638297882</v>
      </c>
      <c r="T12" s="5">
        <f t="shared" si="5"/>
        <v>0.5</v>
      </c>
      <c r="U12" s="1">
        <f t="shared" si="6"/>
        <v>0.5</v>
      </c>
      <c r="V12" s="1">
        <f t="shared" si="7"/>
        <v>6.6489361702127656</v>
      </c>
      <c r="W12" s="6">
        <f t="shared" si="8"/>
        <v>9.3244680851063819</v>
      </c>
      <c r="X12" s="5">
        <f t="shared" si="9"/>
        <v>0.41666666666666669</v>
      </c>
      <c r="Y12" s="1">
        <f t="shared" si="10"/>
        <v>0.58333333333333326</v>
      </c>
      <c r="Z12" s="1">
        <f t="shared" si="11"/>
        <v>7.7570921985815611</v>
      </c>
      <c r="AA12" s="6">
        <f t="shared" si="12"/>
        <v>9.8785460992907801</v>
      </c>
      <c r="AB12" s="5">
        <f t="shared" si="13"/>
        <v>0.37</v>
      </c>
      <c r="AC12" s="1">
        <f t="shared" si="14"/>
        <v>0.63</v>
      </c>
      <c r="AD12" s="1">
        <f t="shared" si="15"/>
        <v>6.1994680851063828</v>
      </c>
      <c r="AE12" s="6">
        <f t="shared" si="16"/>
        <v>9.099734042553191</v>
      </c>
      <c r="AF12" s="5">
        <f t="shared" si="17"/>
        <v>0.5</v>
      </c>
      <c r="AG12" s="1">
        <f t="shared" si="18"/>
        <v>0.5</v>
      </c>
      <c r="AH12" s="1">
        <f t="shared" si="25"/>
        <v>6.6489361702127656</v>
      </c>
      <c r="AI12" s="6">
        <f t="shared" si="26"/>
        <v>9.3244680851063819</v>
      </c>
      <c r="AJ12" s="5">
        <f t="shared" si="21"/>
        <v>0.52</v>
      </c>
      <c r="AK12" s="1">
        <f t="shared" si="22"/>
        <v>0.48</v>
      </c>
      <c r="AL12" s="1">
        <f t="shared" si="23"/>
        <v>6.6382978723404253</v>
      </c>
      <c r="AM12" s="6">
        <f t="shared" si="24"/>
        <v>9.3191489361702118</v>
      </c>
    </row>
    <row r="13" spans="1:39">
      <c r="A13" s="31" t="s">
        <v>78</v>
      </c>
      <c r="B13" s="49">
        <f>Design_Converter!B18</f>
        <v>26</v>
      </c>
      <c r="C13" s="31" t="s">
        <v>1</v>
      </c>
      <c r="E13" s="34" t="s">
        <v>124</v>
      </c>
      <c r="N13">
        <v>7.0000000000000001E-3</v>
      </c>
      <c r="O13">
        <f t="shared" si="0"/>
        <v>7</v>
      </c>
      <c r="P13" s="5">
        <f t="shared" si="1"/>
        <v>0.625</v>
      </c>
      <c r="Q13" s="1">
        <f t="shared" si="2"/>
        <v>0.375</v>
      </c>
      <c r="R13" s="1">
        <f t="shared" si="3"/>
        <v>4.9867021276595747</v>
      </c>
      <c r="S13" s="6">
        <f t="shared" si="4"/>
        <v>9.4933510638297882</v>
      </c>
      <c r="T13" s="5">
        <f t="shared" si="5"/>
        <v>0.5</v>
      </c>
      <c r="U13" s="1">
        <f t="shared" si="6"/>
        <v>0.5</v>
      </c>
      <c r="V13" s="1">
        <f t="shared" si="7"/>
        <v>6.6489361702127656</v>
      </c>
      <c r="W13" s="6">
        <f t="shared" si="8"/>
        <v>10.324468085106382</v>
      </c>
      <c r="X13" s="5">
        <f t="shared" si="9"/>
        <v>0.41666666666666669</v>
      </c>
      <c r="Y13" s="1">
        <f t="shared" si="10"/>
        <v>0.58333333333333326</v>
      </c>
      <c r="Z13" s="1">
        <f t="shared" si="11"/>
        <v>7.7570921985815611</v>
      </c>
      <c r="AA13" s="6">
        <f t="shared" si="12"/>
        <v>10.87854609929078</v>
      </c>
      <c r="AB13" s="5">
        <f t="shared" si="13"/>
        <v>0.37</v>
      </c>
      <c r="AC13" s="1">
        <f t="shared" si="14"/>
        <v>0.63</v>
      </c>
      <c r="AD13" s="1">
        <f t="shared" si="15"/>
        <v>6.1994680851063828</v>
      </c>
      <c r="AE13" s="6">
        <f t="shared" si="16"/>
        <v>10.099734042553191</v>
      </c>
      <c r="AF13" s="5">
        <f t="shared" si="17"/>
        <v>0.5</v>
      </c>
      <c r="AG13" s="1">
        <f t="shared" si="18"/>
        <v>0.5</v>
      </c>
      <c r="AH13" s="1">
        <f t="shared" si="25"/>
        <v>6.6489361702127656</v>
      </c>
      <c r="AI13" s="6">
        <f t="shared" si="26"/>
        <v>10.324468085106382</v>
      </c>
      <c r="AJ13" s="5">
        <f t="shared" si="21"/>
        <v>0.52</v>
      </c>
      <c r="AK13" s="1">
        <f t="shared" si="22"/>
        <v>0.48</v>
      </c>
      <c r="AL13" s="1">
        <f t="shared" si="23"/>
        <v>6.6382978723404253</v>
      </c>
      <c r="AM13" s="6">
        <f t="shared" si="24"/>
        <v>10.319148936170212</v>
      </c>
    </row>
    <row r="14" spans="1:39">
      <c r="A14" s="195" t="s">
        <v>86</v>
      </c>
      <c r="B14" s="195"/>
      <c r="C14" s="195"/>
      <c r="N14">
        <v>8.0000000000000002E-3</v>
      </c>
      <c r="O14">
        <f t="shared" si="0"/>
        <v>8</v>
      </c>
      <c r="P14" s="5">
        <f t="shared" si="1"/>
        <v>0.625</v>
      </c>
      <c r="Q14" s="1">
        <f t="shared" si="2"/>
        <v>0.375</v>
      </c>
      <c r="R14" s="1">
        <f t="shared" si="3"/>
        <v>4.9867021276595747</v>
      </c>
      <c r="S14" s="6">
        <f t="shared" si="4"/>
        <v>10.493351063829788</v>
      </c>
      <c r="T14" s="5">
        <f t="shared" si="5"/>
        <v>0.5</v>
      </c>
      <c r="U14" s="1">
        <f t="shared" si="6"/>
        <v>0.5</v>
      </c>
      <c r="V14" s="1">
        <f t="shared" si="7"/>
        <v>6.6489361702127656</v>
      </c>
      <c r="W14" s="6">
        <f t="shared" si="8"/>
        <v>11.324468085106382</v>
      </c>
      <c r="X14" s="5">
        <f t="shared" si="9"/>
        <v>0.41666666666666669</v>
      </c>
      <c r="Y14" s="1">
        <f t="shared" si="10"/>
        <v>0.58333333333333326</v>
      </c>
      <c r="Z14" s="1">
        <f t="shared" si="11"/>
        <v>7.7570921985815611</v>
      </c>
      <c r="AA14" s="6">
        <f t="shared" si="12"/>
        <v>11.87854609929078</v>
      </c>
      <c r="AB14" s="5">
        <f t="shared" si="13"/>
        <v>0.37</v>
      </c>
      <c r="AC14" s="1">
        <f t="shared" si="14"/>
        <v>0.63</v>
      </c>
      <c r="AD14" s="1">
        <f t="shared" si="15"/>
        <v>6.1994680851063828</v>
      </c>
      <c r="AE14" s="6">
        <f t="shared" si="16"/>
        <v>11.099734042553191</v>
      </c>
      <c r="AF14" s="5">
        <f t="shared" si="17"/>
        <v>0.5</v>
      </c>
      <c r="AG14" s="1">
        <f t="shared" si="18"/>
        <v>0.5</v>
      </c>
      <c r="AH14" s="1">
        <f t="shared" si="25"/>
        <v>6.6489361702127656</v>
      </c>
      <c r="AI14" s="6">
        <f t="shared" si="26"/>
        <v>11.324468085106382</v>
      </c>
      <c r="AJ14" s="5">
        <f t="shared" si="21"/>
        <v>0.52</v>
      </c>
      <c r="AK14" s="1">
        <f t="shared" si="22"/>
        <v>0.48</v>
      </c>
      <c r="AL14" s="1">
        <f t="shared" si="23"/>
        <v>6.6382978723404253</v>
      </c>
      <c r="AM14" s="6">
        <f t="shared" si="24"/>
        <v>11.319148936170212</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0.625</v>
      </c>
      <c r="Q15" s="1">
        <f t="shared" si="2"/>
        <v>0.375</v>
      </c>
      <c r="R15" s="1">
        <f t="shared" si="3"/>
        <v>4.9867021276595747</v>
      </c>
      <c r="S15" s="6">
        <f t="shared" si="4"/>
        <v>11.493351063829788</v>
      </c>
      <c r="T15" s="5">
        <f t="shared" si="5"/>
        <v>0.5</v>
      </c>
      <c r="U15" s="1">
        <f t="shared" si="6"/>
        <v>0.5</v>
      </c>
      <c r="V15" s="1">
        <f t="shared" si="7"/>
        <v>6.6489361702127656</v>
      </c>
      <c r="W15" s="6">
        <f t="shared" si="8"/>
        <v>12.324468085106382</v>
      </c>
      <c r="X15" s="5">
        <f t="shared" si="9"/>
        <v>0.41666666666666669</v>
      </c>
      <c r="Y15" s="1">
        <f t="shared" si="10"/>
        <v>0.58333333333333326</v>
      </c>
      <c r="Z15" s="1">
        <f t="shared" si="11"/>
        <v>7.7570921985815611</v>
      </c>
      <c r="AA15" s="6">
        <f t="shared" si="12"/>
        <v>12.87854609929078</v>
      </c>
      <c r="AB15" s="5">
        <f t="shared" si="13"/>
        <v>0.37</v>
      </c>
      <c r="AC15" s="1">
        <f t="shared" si="14"/>
        <v>0.63</v>
      </c>
      <c r="AD15" s="1">
        <f t="shared" si="15"/>
        <v>6.1994680851063828</v>
      </c>
      <c r="AE15" s="6">
        <f t="shared" si="16"/>
        <v>12.099734042553191</v>
      </c>
      <c r="AF15" s="5">
        <f t="shared" si="17"/>
        <v>0.5</v>
      </c>
      <c r="AG15" s="1">
        <f t="shared" si="18"/>
        <v>0.5</v>
      </c>
      <c r="AH15" s="1">
        <f t="shared" si="25"/>
        <v>6.6489361702127656</v>
      </c>
      <c r="AI15" s="6">
        <f t="shared" si="26"/>
        <v>12.324468085106382</v>
      </c>
      <c r="AJ15" s="5">
        <f t="shared" si="21"/>
        <v>0.52</v>
      </c>
      <c r="AK15" s="1">
        <f t="shared" si="22"/>
        <v>0.48</v>
      </c>
      <c r="AL15" s="1">
        <f t="shared" si="23"/>
        <v>6.6382978723404253</v>
      </c>
      <c r="AM15" s="6">
        <f t="shared" si="24"/>
        <v>12.319148936170212</v>
      </c>
    </row>
    <row r="16" spans="1:39">
      <c r="A16" s="31" t="s">
        <v>149</v>
      </c>
      <c r="B16" s="50">
        <f>Constants!C17/(Fsw*1000)</f>
        <v>10</v>
      </c>
      <c r="C16" s="31" t="s">
        <v>39</v>
      </c>
      <c r="D16" s="34" t="s">
        <v>98</v>
      </c>
      <c r="E16" s="34" t="s">
        <v>150</v>
      </c>
      <c r="N16">
        <v>0.01</v>
      </c>
      <c r="O16">
        <f t="shared" si="0"/>
        <v>10</v>
      </c>
      <c r="P16" s="5">
        <f t="shared" si="1"/>
        <v>0.625</v>
      </c>
      <c r="Q16" s="1">
        <f t="shared" si="2"/>
        <v>0.375</v>
      </c>
      <c r="R16" s="1">
        <f t="shared" si="3"/>
        <v>4.9867021276595747</v>
      </c>
      <c r="S16" s="6">
        <f t="shared" si="4"/>
        <v>12.493351063829788</v>
      </c>
      <c r="T16" s="5">
        <f t="shared" si="5"/>
        <v>0.5</v>
      </c>
      <c r="U16" s="1">
        <f t="shared" si="6"/>
        <v>0.5</v>
      </c>
      <c r="V16" s="1">
        <f t="shared" si="7"/>
        <v>6.6489361702127656</v>
      </c>
      <c r="W16" s="6">
        <f t="shared" si="8"/>
        <v>13.324468085106382</v>
      </c>
      <c r="X16" s="5">
        <f t="shared" si="9"/>
        <v>0.41666666666666669</v>
      </c>
      <c r="Y16" s="1">
        <f t="shared" si="10"/>
        <v>0.58333333333333326</v>
      </c>
      <c r="Z16" s="1">
        <f t="shared" si="11"/>
        <v>7.7570921985815611</v>
      </c>
      <c r="AA16" s="6">
        <f t="shared" si="12"/>
        <v>13.87854609929078</v>
      </c>
      <c r="AB16" s="5">
        <f t="shared" si="13"/>
        <v>0.37</v>
      </c>
      <c r="AC16" s="1">
        <f t="shared" si="14"/>
        <v>0.63</v>
      </c>
      <c r="AD16" s="1">
        <f t="shared" si="15"/>
        <v>6.1994680851063828</v>
      </c>
      <c r="AE16" s="6">
        <f t="shared" si="16"/>
        <v>13.099734042553191</v>
      </c>
      <c r="AF16" s="5">
        <f t="shared" si="17"/>
        <v>0.5</v>
      </c>
      <c r="AG16" s="1">
        <f t="shared" si="18"/>
        <v>0.5</v>
      </c>
      <c r="AH16" s="1">
        <f t="shared" si="25"/>
        <v>6.6489361702127656</v>
      </c>
      <c r="AI16" s="6">
        <f t="shared" si="26"/>
        <v>13.324468085106382</v>
      </c>
      <c r="AJ16" s="5">
        <f t="shared" si="21"/>
        <v>0.52</v>
      </c>
      <c r="AK16" s="1">
        <f t="shared" si="22"/>
        <v>0.48</v>
      </c>
      <c r="AL16" s="1">
        <f t="shared" si="23"/>
        <v>6.6382978723404253</v>
      </c>
      <c r="AM16" s="6">
        <f t="shared" si="24"/>
        <v>13.319148936170212</v>
      </c>
    </row>
    <row r="17" spans="1:39">
      <c r="A17" s="31" t="s">
        <v>88</v>
      </c>
      <c r="B17" s="51">
        <f>(1-(V12_Max/V48_Min))/Fsw</f>
        <v>8.7499999999999999E-7</v>
      </c>
      <c r="C17" s="31" t="s">
        <v>23</v>
      </c>
      <c r="D17" s="34">
        <f>IF(B17&lt;Constants!C3,1,0)</f>
        <v>0</v>
      </c>
      <c r="N17">
        <v>1.0999999999999999E-2</v>
      </c>
      <c r="O17">
        <f t="shared" si="0"/>
        <v>11</v>
      </c>
      <c r="P17" s="5">
        <f t="shared" si="1"/>
        <v>0.625</v>
      </c>
      <c r="Q17" s="1">
        <f t="shared" si="2"/>
        <v>0.375</v>
      </c>
      <c r="R17" s="1">
        <f t="shared" si="3"/>
        <v>4.9867021276595747</v>
      </c>
      <c r="S17" s="6">
        <f t="shared" si="4"/>
        <v>13.493351063829788</v>
      </c>
      <c r="T17" s="5">
        <f t="shared" si="5"/>
        <v>0.5</v>
      </c>
      <c r="U17" s="1">
        <f t="shared" si="6"/>
        <v>0.5</v>
      </c>
      <c r="V17" s="1">
        <f t="shared" si="7"/>
        <v>6.6489361702127656</v>
      </c>
      <c r="W17" s="6">
        <f t="shared" si="8"/>
        <v>14.324468085106382</v>
      </c>
      <c r="X17" s="5">
        <f t="shared" si="9"/>
        <v>0.41666666666666669</v>
      </c>
      <c r="Y17" s="1">
        <f t="shared" si="10"/>
        <v>0.58333333333333326</v>
      </c>
      <c r="Z17" s="1">
        <f t="shared" si="11"/>
        <v>7.7570921985815611</v>
      </c>
      <c r="AA17" s="6">
        <f t="shared" si="12"/>
        <v>14.87854609929078</v>
      </c>
      <c r="AB17" s="5">
        <f t="shared" si="13"/>
        <v>0.37</v>
      </c>
      <c r="AC17" s="1">
        <f t="shared" si="14"/>
        <v>0.63</v>
      </c>
      <c r="AD17" s="1">
        <f t="shared" si="15"/>
        <v>6.1994680851063828</v>
      </c>
      <c r="AE17" s="6">
        <f t="shared" si="16"/>
        <v>14.099734042553191</v>
      </c>
      <c r="AF17" s="5">
        <f t="shared" si="17"/>
        <v>0.5</v>
      </c>
      <c r="AG17" s="1">
        <f t="shared" si="18"/>
        <v>0.5</v>
      </c>
      <c r="AH17" s="1">
        <f t="shared" si="25"/>
        <v>6.6489361702127656</v>
      </c>
      <c r="AI17" s="6">
        <f t="shared" si="26"/>
        <v>14.324468085106382</v>
      </c>
      <c r="AJ17" s="5">
        <f t="shared" si="21"/>
        <v>0.52</v>
      </c>
      <c r="AK17" s="1">
        <f t="shared" si="22"/>
        <v>0.48</v>
      </c>
      <c r="AL17" s="1">
        <f t="shared" si="23"/>
        <v>6.6382978723404253</v>
      </c>
      <c r="AM17" s="6">
        <f t="shared" si="24"/>
        <v>14.319148936170212</v>
      </c>
    </row>
    <row r="18" spans="1:39">
      <c r="A18" s="31" t="s">
        <v>89</v>
      </c>
      <c r="B18" s="51">
        <f>(V12_Min/V48_Max)/Fsw</f>
        <v>7.708333333333334E-7</v>
      </c>
      <c r="C18" s="31" t="s">
        <v>23</v>
      </c>
      <c r="D18" s="34">
        <f>IF(B18&lt;Constants!C3,1,0)</f>
        <v>0</v>
      </c>
      <c r="N18">
        <v>1.2E-2</v>
      </c>
      <c r="O18">
        <f t="shared" si="0"/>
        <v>12</v>
      </c>
      <c r="P18" s="5">
        <f t="shared" si="1"/>
        <v>0.625</v>
      </c>
      <c r="Q18" s="1">
        <f t="shared" si="2"/>
        <v>0.375</v>
      </c>
      <c r="R18" s="1">
        <f t="shared" si="3"/>
        <v>4.9867021276595747</v>
      </c>
      <c r="S18" s="6">
        <f t="shared" si="4"/>
        <v>14.493351063829788</v>
      </c>
      <c r="T18" s="5">
        <f t="shared" si="5"/>
        <v>0.5</v>
      </c>
      <c r="U18" s="1">
        <f t="shared" si="6"/>
        <v>0.5</v>
      </c>
      <c r="V18" s="1">
        <f t="shared" si="7"/>
        <v>6.6489361702127656</v>
      </c>
      <c r="W18" s="6">
        <f t="shared" si="8"/>
        <v>15.324468085106382</v>
      </c>
      <c r="X18" s="5">
        <f t="shared" si="9"/>
        <v>0.41666666666666669</v>
      </c>
      <c r="Y18" s="1">
        <f t="shared" si="10"/>
        <v>0.58333333333333326</v>
      </c>
      <c r="Z18" s="1">
        <f t="shared" si="11"/>
        <v>7.7570921985815611</v>
      </c>
      <c r="AA18" s="6">
        <f t="shared" si="12"/>
        <v>15.87854609929078</v>
      </c>
      <c r="AB18" s="5">
        <f t="shared" si="13"/>
        <v>0.37</v>
      </c>
      <c r="AC18" s="1">
        <f t="shared" si="14"/>
        <v>0.63</v>
      </c>
      <c r="AD18" s="1">
        <f t="shared" si="15"/>
        <v>6.1994680851063828</v>
      </c>
      <c r="AE18" s="6">
        <f t="shared" si="16"/>
        <v>15.099734042553191</v>
      </c>
      <c r="AF18" s="5">
        <f t="shared" si="17"/>
        <v>0.5</v>
      </c>
      <c r="AG18" s="1">
        <f t="shared" si="18"/>
        <v>0.5</v>
      </c>
      <c r="AH18" s="1">
        <f t="shared" si="25"/>
        <v>6.6489361702127656</v>
      </c>
      <c r="AI18" s="6">
        <f t="shared" si="26"/>
        <v>15.324468085106382</v>
      </c>
      <c r="AJ18" s="5">
        <f t="shared" si="21"/>
        <v>0.52</v>
      </c>
      <c r="AK18" s="1">
        <f t="shared" si="22"/>
        <v>0.48</v>
      </c>
      <c r="AL18" s="1">
        <f t="shared" si="23"/>
        <v>6.6382978723404253</v>
      </c>
      <c r="AM18" s="6">
        <f t="shared" si="24"/>
        <v>15.319148936170212</v>
      </c>
    </row>
    <row r="19" spans="1:39">
      <c r="N19">
        <v>1.2999999999999999E-2</v>
      </c>
      <c r="O19">
        <f t="shared" si="0"/>
        <v>13</v>
      </c>
      <c r="P19" s="5">
        <f t="shared" si="1"/>
        <v>0.625</v>
      </c>
      <c r="Q19" s="1">
        <f t="shared" si="2"/>
        <v>0.375</v>
      </c>
      <c r="R19" s="1">
        <f t="shared" si="3"/>
        <v>4.9867021276595747</v>
      </c>
      <c r="S19" s="6">
        <f t="shared" si="4"/>
        <v>15.493351063829788</v>
      </c>
      <c r="T19" s="5">
        <f t="shared" si="5"/>
        <v>0.5</v>
      </c>
      <c r="U19" s="1">
        <f t="shared" si="6"/>
        <v>0.5</v>
      </c>
      <c r="V19" s="1">
        <f t="shared" si="7"/>
        <v>6.6489361702127656</v>
      </c>
      <c r="W19" s="6">
        <f t="shared" si="8"/>
        <v>16.324468085106382</v>
      </c>
      <c r="X19" s="5">
        <f t="shared" si="9"/>
        <v>0.41666666666666669</v>
      </c>
      <c r="Y19" s="1">
        <f t="shared" si="10"/>
        <v>0.58333333333333326</v>
      </c>
      <c r="Z19" s="1">
        <f t="shared" si="11"/>
        <v>7.7570921985815611</v>
      </c>
      <c r="AA19" s="6">
        <f t="shared" si="12"/>
        <v>16.87854609929078</v>
      </c>
      <c r="AB19" s="5">
        <f t="shared" si="13"/>
        <v>0.37</v>
      </c>
      <c r="AC19" s="1">
        <f t="shared" si="14"/>
        <v>0.63</v>
      </c>
      <c r="AD19" s="1">
        <f t="shared" si="15"/>
        <v>6.1994680851063828</v>
      </c>
      <c r="AE19" s="6">
        <f t="shared" si="16"/>
        <v>16.099734042553191</v>
      </c>
      <c r="AF19" s="5">
        <f t="shared" si="17"/>
        <v>0.5</v>
      </c>
      <c r="AG19" s="1">
        <f t="shared" si="18"/>
        <v>0.5</v>
      </c>
      <c r="AH19" s="1">
        <f t="shared" si="25"/>
        <v>6.6489361702127656</v>
      </c>
      <c r="AI19" s="6">
        <f t="shared" si="26"/>
        <v>16.324468085106382</v>
      </c>
      <c r="AJ19" s="5">
        <f t="shared" si="21"/>
        <v>0.52</v>
      </c>
      <c r="AK19" s="1">
        <f t="shared" si="22"/>
        <v>0.48</v>
      </c>
      <c r="AL19" s="1">
        <f t="shared" si="23"/>
        <v>6.6382978723404253</v>
      </c>
      <c r="AM19" s="6">
        <f t="shared" si="24"/>
        <v>16.319148936170212</v>
      </c>
    </row>
    <row r="20" spans="1:39">
      <c r="N20">
        <v>1.4E-2</v>
      </c>
      <c r="O20">
        <f t="shared" si="0"/>
        <v>14</v>
      </c>
      <c r="P20" s="5">
        <f t="shared" si="1"/>
        <v>0.625</v>
      </c>
      <c r="Q20" s="1">
        <f t="shared" si="2"/>
        <v>0.375</v>
      </c>
      <c r="R20" s="1">
        <f t="shared" si="3"/>
        <v>4.9867021276595747</v>
      </c>
      <c r="S20" s="6">
        <f t="shared" si="4"/>
        <v>16.493351063829788</v>
      </c>
      <c r="T20" s="5">
        <f t="shared" si="5"/>
        <v>0.5</v>
      </c>
      <c r="U20" s="1">
        <f t="shared" si="6"/>
        <v>0.5</v>
      </c>
      <c r="V20" s="1">
        <f t="shared" si="7"/>
        <v>6.6489361702127656</v>
      </c>
      <c r="W20" s="6">
        <f t="shared" si="8"/>
        <v>17.324468085106382</v>
      </c>
      <c r="X20" s="5">
        <f t="shared" si="9"/>
        <v>0.41666666666666669</v>
      </c>
      <c r="Y20" s="1">
        <f t="shared" si="10"/>
        <v>0.58333333333333326</v>
      </c>
      <c r="Z20" s="1">
        <f t="shared" si="11"/>
        <v>7.7570921985815611</v>
      </c>
      <c r="AA20" s="6">
        <f t="shared" si="12"/>
        <v>17.87854609929078</v>
      </c>
      <c r="AB20" s="5">
        <f t="shared" si="13"/>
        <v>0.37</v>
      </c>
      <c r="AC20" s="1">
        <f t="shared" si="14"/>
        <v>0.63</v>
      </c>
      <c r="AD20" s="1">
        <f t="shared" si="15"/>
        <v>6.1994680851063828</v>
      </c>
      <c r="AE20" s="6">
        <f t="shared" si="16"/>
        <v>17.099734042553191</v>
      </c>
      <c r="AF20" s="5">
        <f t="shared" si="17"/>
        <v>0.5</v>
      </c>
      <c r="AG20" s="1">
        <f t="shared" si="18"/>
        <v>0.5</v>
      </c>
      <c r="AH20" s="1">
        <f t="shared" si="25"/>
        <v>6.6489361702127656</v>
      </c>
      <c r="AI20" s="6">
        <f t="shared" si="26"/>
        <v>17.324468085106382</v>
      </c>
      <c r="AJ20" s="5">
        <f t="shared" si="21"/>
        <v>0.52</v>
      </c>
      <c r="AK20" s="1">
        <f t="shared" si="22"/>
        <v>0.48</v>
      </c>
      <c r="AL20" s="1">
        <f t="shared" si="23"/>
        <v>6.6382978723404253</v>
      </c>
      <c r="AM20" s="6">
        <f t="shared" si="24"/>
        <v>17.319148936170212</v>
      </c>
    </row>
    <row r="21" spans="1:39">
      <c r="A21" s="196" t="s">
        <v>131</v>
      </c>
      <c r="B21" s="197"/>
      <c r="C21" s="198"/>
      <c r="N21">
        <v>1.4999999999999999E-2</v>
      </c>
      <c r="O21">
        <f t="shared" si="0"/>
        <v>15</v>
      </c>
      <c r="P21" s="5">
        <f t="shared" si="1"/>
        <v>0.625</v>
      </c>
      <c r="Q21" s="1">
        <f t="shared" si="2"/>
        <v>0.375</v>
      </c>
      <c r="R21" s="1">
        <f t="shared" si="3"/>
        <v>4.9867021276595747</v>
      </c>
      <c r="S21" s="6">
        <f t="shared" si="4"/>
        <v>17.493351063829788</v>
      </c>
      <c r="T21" s="5">
        <f t="shared" si="5"/>
        <v>0.5</v>
      </c>
      <c r="U21" s="1">
        <f t="shared" si="6"/>
        <v>0.5</v>
      </c>
      <c r="V21" s="1">
        <f t="shared" si="7"/>
        <v>6.6489361702127656</v>
      </c>
      <c r="W21" s="6">
        <f t="shared" si="8"/>
        <v>18.324468085106382</v>
      </c>
      <c r="X21" s="5">
        <f t="shared" si="9"/>
        <v>0.41666666666666669</v>
      </c>
      <c r="Y21" s="1">
        <f t="shared" si="10"/>
        <v>0.58333333333333326</v>
      </c>
      <c r="Z21" s="1">
        <f t="shared" si="11"/>
        <v>7.7570921985815611</v>
      </c>
      <c r="AA21" s="6">
        <f t="shared" si="12"/>
        <v>18.87854609929078</v>
      </c>
      <c r="AB21" s="5">
        <f t="shared" si="13"/>
        <v>0.37</v>
      </c>
      <c r="AC21" s="1">
        <f t="shared" si="14"/>
        <v>0.63</v>
      </c>
      <c r="AD21" s="1">
        <f t="shared" si="15"/>
        <v>6.1994680851063828</v>
      </c>
      <c r="AE21" s="6">
        <f t="shared" si="16"/>
        <v>18.099734042553191</v>
      </c>
      <c r="AF21" s="5">
        <f t="shared" si="17"/>
        <v>0.5</v>
      </c>
      <c r="AG21" s="1">
        <f t="shared" si="18"/>
        <v>0.5</v>
      </c>
      <c r="AH21" s="1">
        <f t="shared" si="25"/>
        <v>6.6489361702127656</v>
      </c>
      <c r="AI21" s="6">
        <f t="shared" si="26"/>
        <v>18.324468085106382</v>
      </c>
      <c r="AJ21" s="5">
        <f t="shared" si="21"/>
        <v>0.52</v>
      </c>
      <c r="AK21" s="1">
        <f t="shared" si="22"/>
        <v>0.48</v>
      </c>
      <c r="AL21" s="1">
        <f t="shared" si="23"/>
        <v>6.6382978723404253</v>
      </c>
      <c r="AM21" s="6">
        <f t="shared" si="24"/>
        <v>18.319148936170212</v>
      </c>
    </row>
    <row r="22" spans="1:39">
      <c r="A22" s="31" t="s">
        <v>44</v>
      </c>
      <c r="B22" s="49">
        <f>Design_Converter!B26</f>
        <v>35</v>
      </c>
      <c r="C22" s="31" t="s">
        <v>4</v>
      </c>
      <c r="N22">
        <v>1.6E-2</v>
      </c>
      <c r="O22">
        <f t="shared" si="0"/>
        <v>16</v>
      </c>
      <c r="P22" s="5">
        <f t="shared" si="1"/>
        <v>0.625</v>
      </c>
      <c r="Q22" s="1">
        <f t="shared" si="2"/>
        <v>0.375</v>
      </c>
      <c r="R22" s="1">
        <f t="shared" si="3"/>
        <v>4.9867021276595747</v>
      </c>
      <c r="S22" s="6">
        <f t="shared" si="4"/>
        <v>18.493351063829788</v>
      </c>
      <c r="T22" s="5">
        <f t="shared" si="5"/>
        <v>0.5</v>
      </c>
      <c r="U22" s="1">
        <f t="shared" si="6"/>
        <v>0.5</v>
      </c>
      <c r="V22" s="1">
        <f t="shared" si="7"/>
        <v>6.6489361702127656</v>
      </c>
      <c r="W22" s="6">
        <f t="shared" si="8"/>
        <v>19.324468085106382</v>
      </c>
      <c r="X22" s="5">
        <f t="shared" si="9"/>
        <v>0.41666666666666669</v>
      </c>
      <c r="Y22" s="1">
        <f t="shared" si="10"/>
        <v>0.58333333333333326</v>
      </c>
      <c r="Z22" s="1">
        <f t="shared" si="11"/>
        <v>7.7570921985815611</v>
      </c>
      <c r="AA22" s="6">
        <f t="shared" si="12"/>
        <v>19.87854609929078</v>
      </c>
      <c r="AB22" s="5">
        <f t="shared" si="13"/>
        <v>0.37</v>
      </c>
      <c r="AC22" s="1">
        <f t="shared" si="14"/>
        <v>0.63</v>
      </c>
      <c r="AD22" s="1">
        <f t="shared" si="15"/>
        <v>6.1994680851063828</v>
      </c>
      <c r="AE22" s="6">
        <f t="shared" si="16"/>
        <v>19.099734042553191</v>
      </c>
      <c r="AF22" s="5">
        <f t="shared" si="17"/>
        <v>0.5</v>
      </c>
      <c r="AG22" s="1">
        <f t="shared" si="18"/>
        <v>0.5</v>
      </c>
      <c r="AH22" s="1">
        <f t="shared" si="25"/>
        <v>6.6489361702127656</v>
      </c>
      <c r="AI22" s="6">
        <f t="shared" si="26"/>
        <v>19.324468085106382</v>
      </c>
      <c r="AJ22" s="5">
        <f t="shared" si="21"/>
        <v>0.52</v>
      </c>
      <c r="AK22" s="1">
        <f t="shared" si="22"/>
        <v>0.48</v>
      </c>
      <c r="AL22" s="1">
        <f t="shared" si="23"/>
        <v>6.6382978723404253</v>
      </c>
      <c r="AM22" s="6">
        <f t="shared" si="24"/>
        <v>19.319148936170212</v>
      </c>
    </row>
    <row r="23" spans="1:39">
      <c r="A23" s="31" t="s">
        <v>132</v>
      </c>
      <c r="B23" s="50">
        <f>(V12_Max/V48_Min)*B22</f>
        <v>22.75</v>
      </c>
      <c r="C23" s="31" t="s">
        <v>4</v>
      </c>
      <c r="E23" s="34" t="s">
        <v>133</v>
      </c>
      <c r="N23">
        <v>1.7000000000000001E-2</v>
      </c>
      <c r="O23">
        <f t="shared" si="0"/>
        <v>17</v>
      </c>
      <c r="P23" s="5">
        <f t="shared" si="1"/>
        <v>0.625</v>
      </c>
      <c r="Q23" s="1">
        <f t="shared" si="2"/>
        <v>0.375</v>
      </c>
      <c r="R23" s="1">
        <f t="shared" si="3"/>
        <v>4.9867021276595747</v>
      </c>
      <c r="S23" s="6">
        <f t="shared" si="4"/>
        <v>19.493351063829788</v>
      </c>
      <c r="T23" s="5">
        <f t="shared" si="5"/>
        <v>0.5</v>
      </c>
      <c r="U23" s="1">
        <f t="shared" si="6"/>
        <v>0.5</v>
      </c>
      <c r="V23" s="1">
        <f t="shared" si="7"/>
        <v>6.6489361702127656</v>
      </c>
      <c r="W23" s="6">
        <f t="shared" si="8"/>
        <v>20.324468085106382</v>
      </c>
      <c r="X23" s="5">
        <f t="shared" si="9"/>
        <v>0.41666666666666669</v>
      </c>
      <c r="Y23" s="1">
        <f t="shared" si="10"/>
        <v>0.58333333333333326</v>
      </c>
      <c r="Z23" s="1">
        <f t="shared" si="11"/>
        <v>7.7570921985815611</v>
      </c>
      <c r="AA23" s="6">
        <f t="shared" si="12"/>
        <v>20.87854609929078</v>
      </c>
      <c r="AB23" s="5">
        <f t="shared" si="13"/>
        <v>0.37</v>
      </c>
      <c r="AC23" s="1">
        <f t="shared" si="14"/>
        <v>0.63</v>
      </c>
      <c r="AD23" s="1">
        <f t="shared" si="15"/>
        <v>6.1994680851063828</v>
      </c>
      <c r="AE23" s="6">
        <f t="shared" si="16"/>
        <v>20.099734042553191</v>
      </c>
      <c r="AF23" s="5">
        <f t="shared" si="17"/>
        <v>0.5</v>
      </c>
      <c r="AG23" s="1">
        <f t="shared" si="18"/>
        <v>0.5</v>
      </c>
      <c r="AH23" s="1">
        <f t="shared" si="25"/>
        <v>6.6489361702127656</v>
      </c>
      <c r="AI23" s="6">
        <f t="shared" si="26"/>
        <v>20.324468085106382</v>
      </c>
      <c r="AJ23" s="5">
        <f t="shared" si="21"/>
        <v>0.52</v>
      </c>
      <c r="AK23" s="1">
        <f t="shared" si="22"/>
        <v>0.48</v>
      </c>
      <c r="AL23" s="1">
        <f t="shared" si="23"/>
        <v>6.6382978723404253</v>
      </c>
      <c r="AM23" s="6">
        <f t="shared" si="24"/>
        <v>20.319148936170212</v>
      </c>
    </row>
    <row r="24" spans="1:39">
      <c r="A24" s="31" t="s">
        <v>134</v>
      </c>
      <c r="B24" s="49">
        <f>Design_Converter!B25</f>
        <v>2</v>
      </c>
      <c r="C24" s="31"/>
      <c r="E24" s="34" t="s">
        <v>135</v>
      </c>
      <c r="N24">
        <v>1.7999999999999999E-2</v>
      </c>
      <c r="O24">
        <f t="shared" si="0"/>
        <v>18</v>
      </c>
      <c r="P24" s="5">
        <f t="shared" si="1"/>
        <v>0.625</v>
      </c>
      <c r="Q24" s="1">
        <f t="shared" si="2"/>
        <v>0.375</v>
      </c>
      <c r="R24" s="1">
        <f t="shared" si="3"/>
        <v>4.9867021276595747</v>
      </c>
      <c r="S24" s="6">
        <f t="shared" si="4"/>
        <v>20.493351063829788</v>
      </c>
      <c r="T24" s="5">
        <f t="shared" si="5"/>
        <v>0.5</v>
      </c>
      <c r="U24" s="1">
        <f t="shared" si="6"/>
        <v>0.5</v>
      </c>
      <c r="V24" s="1">
        <f t="shared" si="7"/>
        <v>6.6489361702127656</v>
      </c>
      <c r="W24" s="6">
        <f t="shared" si="8"/>
        <v>21.324468085106382</v>
      </c>
      <c r="X24" s="5">
        <f t="shared" si="9"/>
        <v>0.41666666666666669</v>
      </c>
      <c r="Y24" s="1">
        <f t="shared" si="10"/>
        <v>0.58333333333333326</v>
      </c>
      <c r="Z24" s="1">
        <f t="shared" si="11"/>
        <v>7.7570921985815611</v>
      </c>
      <c r="AA24" s="6">
        <f t="shared" si="12"/>
        <v>21.87854609929078</v>
      </c>
      <c r="AB24" s="5">
        <f t="shared" si="13"/>
        <v>0.37</v>
      </c>
      <c r="AC24" s="1">
        <f t="shared" si="14"/>
        <v>0.63</v>
      </c>
      <c r="AD24" s="1">
        <f t="shared" si="15"/>
        <v>6.1994680851063828</v>
      </c>
      <c r="AE24" s="6">
        <f t="shared" si="16"/>
        <v>21.099734042553191</v>
      </c>
      <c r="AF24" s="5">
        <f t="shared" si="17"/>
        <v>0.5</v>
      </c>
      <c r="AG24" s="1">
        <f t="shared" si="18"/>
        <v>0.5</v>
      </c>
      <c r="AH24" s="1">
        <f t="shared" si="25"/>
        <v>6.6489361702127656</v>
      </c>
      <c r="AI24" s="6">
        <f t="shared" si="26"/>
        <v>21.324468085106382</v>
      </c>
      <c r="AJ24" s="5">
        <f t="shared" si="21"/>
        <v>0.52</v>
      </c>
      <c r="AK24" s="1">
        <f t="shared" si="22"/>
        <v>0.48</v>
      </c>
      <c r="AL24" s="1">
        <f t="shared" si="23"/>
        <v>6.6382978723404253</v>
      </c>
      <c r="AM24" s="6">
        <f t="shared" si="24"/>
        <v>21.319148936170212</v>
      </c>
    </row>
    <row r="25" spans="1:39">
      <c r="A25" s="31" t="s">
        <v>143</v>
      </c>
      <c r="B25" s="50">
        <f>B22/B24</f>
        <v>17.5</v>
      </c>
      <c r="C25" s="31" t="s">
        <v>4</v>
      </c>
      <c r="E25" s="34" t="s">
        <v>196</v>
      </c>
      <c r="N25">
        <v>1.9E-2</v>
      </c>
      <c r="O25">
        <f t="shared" si="0"/>
        <v>19</v>
      </c>
      <c r="P25" s="5">
        <f t="shared" si="1"/>
        <v>0.625</v>
      </c>
      <c r="Q25" s="1">
        <f t="shared" si="2"/>
        <v>0.375</v>
      </c>
      <c r="R25" s="1">
        <f t="shared" si="3"/>
        <v>4.9867021276595747</v>
      </c>
      <c r="S25" s="6">
        <f t="shared" si="4"/>
        <v>21.493351063829788</v>
      </c>
      <c r="T25" s="5">
        <f t="shared" si="5"/>
        <v>0.5</v>
      </c>
      <c r="U25" s="1">
        <f t="shared" si="6"/>
        <v>0.5</v>
      </c>
      <c r="V25" s="1">
        <f t="shared" si="7"/>
        <v>6.6489361702127656</v>
      </c>
      <c r="W25" s="6">
        <f t="shared" si="8"/>
        <v>22.324468085106382</v>
      </c>
      <c r="X25" s="5">
        <f t="shared" si="9"/>
        <v>0.41666666666666669</v>
      </c>
      <c r="Y25" s="1">
        <f t="shared" si="10"/>
        <v>0.58333333333333326</v>
      </c>
      <c r="Z25" s="1">
        <f t="shared" si="11"/>
        <v>7.7570921985815611</v>
      </c>
      <c r="AA25" s="6">
        <f t="shared" si="12"/>
        <v>22.87854609929078</v>
      </c>
      <c r="AB25" s="5">
        <f t="shared" si="13"/>
        <v>0.37</v>
      </c>
      <c r="AC25" s="1">
        <f t="shared" si="14"/>
        <v>0.63</v>
      </c>
      <c r="AD25" s="1">
        <f t="shared" si="15"/>
        <v>6.1994680851063828</v>
      </c>
      <c r="AE25" s="6">
        <f t="shared" si="16"/>
        <v>22.099734042553191</v>
      </c>
      <c r="AF25" s="5">
        <f t="shared" si="17"/>
        <v>0.5</v>
      </c>
      <c r="AG25" s="1">
        <f t="shared" si="18"/>
        <v>0.5</v>
      </c>
      <c r="AH25" s="1">
        <f t="shared" si="25"/>
        <v>6.6489361702127656</v>
      </c>
      <c r="AI25" s="6">
        <f t="shared" si="26"/>
        <v>22.324468085106382</v>
      </c>
      <c r="AJ25" s="5">
        <f t="shared" si="21"/>
        <v>0.52</v>
      </c>
      <c r="AK25" s="1">
        <f t="shared" si="22"/>
        <v>0.48</v>
      </c>
      <c r="AL25" s="1">
        <f t="shared" si="23"/>
        <v>6.6382978723404253</v>
      </c>
      <c r="AM25" s="6">
        <f t="shared" si="24"/>
        <v>22.319148936170212</v>
      </c>
    </row>
    <row r="26" spans="1:39">
      <c r="A26" s="31" t="s">
        <v>197</v>
      </c>
      <c r="B26" s="50">
        <f>B25*V12_Nom</f>
        <v>437.5</v>
      </c>
      <c r="C26" s="31" t="s">
        <v>136</v>
      </c>
      <c r="E26" s="34" t="s">
        <v>198</v>
      </c>
      <c r="N26">
        <v>0.02</v>
      </c>
      <c r="O26">
        <f t="shared" si="0"/>
        <v>20</v>
      </c>
      <c r="P26" s="5">
        <f t="shared" si="1"/>
        <v>0.625</v>
      </c>
      <c r="Q26" s="1">
        <f t="shared" si="2"/>
        <v>0.375</v>
      </c>
      <c r="R26" s="1">
        <f t="shared" si="3"/>
        <v>4.9867021276595747</v>
      </c>
      <c r="S26" s="6">
        <f t="shared" si="4"/>
        <v>22.493351063829788</v>
      </c>
      <c r="T26" s="5">
        <f t="shared" si="5"/>
        <v>0.5</v>
      </c>
      <c r="U26" s="1">
        <f t="shared" si="6"/>
        <v>0.5</v>
      </c>
      <c r="V26" s="1">
        <f t="shared" si="7"/>
        <v>6.6489361702127656</v>
      </c>
      <c r="W26" s="6">
        <f t="shared" si="8"/>
        <v>23.324468085106382</v>
      </c>
      <c r="X26" s="5">
        <f t="shared" si="9"/>
        <v>0.41666666666666669</v>
      </c>
      <c r="Y26" s="1">
        <f t="shared" si="10"/>
        <v>0.58333333333333326</v>
      </c>
      <c r="Z26" s="1">
        <f t="shared" si="11"/>
        <v>7.7570921985815611</v>
      </c>
      <c r="AA26" s="6">
        <f t="shared" si="12"/>
        <v>23.87854609929078</v>
      </c>
      <c r="AB26" s="5">
        <f t="shared" si="13"/>
        <v>0.37</v>
      </c>
      <c r="AC26" s="1">
        <f t="shared" si="14"/>
        <v>0.63</v>
      </c>
      <c r="AD26" s="1">
        <f t="shared" si="15"/>
        <v>6.1994680851063828</v>
      </c>
      <c r="AE26" s="6">
        <f t="shared" si="16"/>
        <v>23.099734042553191</v>
      </c>
      <c r="AF26" s="5">
        <f t="shared" si="17"/>
        <v>0.5</v>
      </c>
      <c r="AG26" s="1">
        <f t="shared" si="18"/>
        <v>0.5</v>
      </c>
      <c r="AH26" s="1">
        <f t="shared" si="25"/>
        <v>6.6489361702127656</v>
      </c>
      <c r="AI26" s="6">
        <f t="shared" si="26"/>
        <v>23.324468085106382</v>
      </c>
      <c r="AJ26" s="5">
        <f t="shared" si="21"/>
        <v>0.52</v>
      </c>
      <c r="AK26" s="1">
        <f t="shared" si="22"/>
        <v>0.48</v>
      </c>
      <c r="AL26" s="1">
        <f t="shared" si="23"/>
        <v>6.6382978723404253</v>
      </c>
      <c r="AM26" s="6">
        <f t="shared" si="24"/>
        <v>23.319148936170212</v>
      </c>
    </row>
    <row r="27" spans="1:39">
      <c r="A27" s="31" t="s">
        <v>139</v>
      </c>
      <c r="B27" s="50">
        <f>(VCS_Max/B25)*1000</f>
        <v>2.8571428571428572</v>
      </c>
      <c r="C27" s="31" t="s">
        <v>137</v>
      </c>
      <c r="E27" s="34" t="s">
        <v>140</v>
      </c>
      <c r="N27">
        <v>2.1000000000000001E-2</v>
      </c>
      <c r="O27">
        <f t="shared" si="0"/>
        <v>21</v>
      </c>
      <c r="P27" s="5">
        <f t="shared" si="1"/>
        <v>0.625</v>
      </c>
      <c r="Q27" s="1">
        <f t="shared" si="2"/>
        <v>0.375</v>
      </c>
      <c r="R27" s="1">
        <f t="shared" si="3"/>
        <v>4.9867021276595747</v>
      </c>
      <c r="S27" s="6">
        <f t="shared" si="4"/>
        <v>23.493351063829788</v>
      </c>
      <c r="T27" s="5">
        <f t="shared" si="5"/>
        <v>0.5</v>
      </c>
      <c r="U27" s="1">
        <f t="shared" si="6"/>
        <v>0.5</v>
      </c>
      <c r="V27" s="1">
        <f t="shared" si="7"/>
        <v>6.6489361702127656</v>
      </c>
      <c r="W27" s="6">
        <f t="shared" si="8"/>
        <v>24.324468085106382</v>
      </c>
      <c r="X27" s="5">
        <f t="shared" si="9"/>
        <v>0.41666666666666669</v>
      </c>
      <c r="Y27" s="1">
        <f t="shared" si="10"/>
        <v>0.58333333333333326</v>
      </c>
      <c r="Z27" s="1">
        <f t="shared" si="11"/>
        <v>7.7570921985815611</v>
      </c>
      <c r="AA27" s="6">
        <f t="shared" si="12"/>
        <v>24.87854609929078</v>
      </c>
      <c r="AB27" s="5">
        <f t="shared" si="13"/>
        <v>0.37</v>
      </c>
      <c r="AC27" s="1">
        <f t="shared" si="14"/>
        <v>0.63</v>
      </c>
      <c r="AD27" s="1">
        <f t="shared" si="15"/>
        <v>6.1994680851063828</v>
      </c>
      <c r="AE27" s="6">
        <f t="shared" si="16"/>
        <v>24.099734042553191</v>
      </c>
      <c r="AF27" s="5">
        <f t="shared" si="17"/>
        <v>0.5</v>
      </c>
      <c r="AG27" s="1">
        <f t="shared" si="18"/>
        <v>0.5</v>
      </c>
      <c r="AH27" s="1">
        <f t="shared" si="25"/>
        <v>6.6489361702127656</v>
      </c>
      <c r="AI27" s="6">
        <f t="shared" si="26"/>
        <v>24.324468085106382</v>
      </c>
      <c r="AJ27" s="5">
        <f t="shared" si="21"/>
        <v>0.52</v>
      </c>
      <c r="AK27" s="1">
        <f t="shared" si="22"/>
        <v>0.48</v>
      </c>
      <c r="AL27" s="1">
        <f t="shared" si="23"/>
        <v>6.6382978723404253</v>
      </c>
      <c r="AM27" s="6">
        <f t="shared" si="24"/>
        <v>24.319148936170212</v>
      </c>
    </row>
    <row r="28" spans="1:39">
      <c r="A28" s="31" t="s">
        <v>141</v>
      </c>
      <c r="B28" s="49">
        <f>Design_Converter!B28</f>
        <v>1</v>
      </c>
      <c r="C28" s="31" t="s">
        <v>137</v>
      </c>
      <c r="E28" s="34" t="s">
        <v>8</v>
      </c>
      <c r="N28">
        <v>2.1999999999999999E-2</v>
      </c>
      <c r="O28">
        <f t="shared" si="0"/>
        <v>22</v>
      </c>
      <c r="P28" s="5">
        <f t="shared" si="1"/>
        <v>0.625</v>
      </c>
      <c r="Q28" s="1">
        <f t="shared" si="2"/>
        <v>0.375</v>
      </c>
      <c r="R28" s="1">
        <f t="shared" si="3"/>
        <v>4.9867021276595747</v>
      </c>
      <c r="S28" s="6">
        <f t="shared" si="4"/>
        <v>24.493351063829788</v>
      </c>
      <c r="T28" s="5">
        <f t="shared" si="5"/>
        <v>0.5</v>
      </c>
      <c r="U28" s="1">
        <f t="shared" si="6"/>
        <v>0.5</v>
      </c>
      <c r="V28" s="1">
        <f t="shared" si="7"/>
        <v>6.6489361702127656</v>
      </c>
      <c r="W28" s="6">
        <f t="shared" si="8"/>
        <v>25.324468085106382</v>
      </c>
      <c r="X28" s="5">
        <f t="shared" si="9"/>
        <v>0.41666666666666669</v>
      </c>
      <c r="Y28" s="1">
        <f t="shared" si="10"/>
        <v>0.58333333333333326</v>
      </c>
      <c r="Z28" s="1">
        <f t="shared" si="11"/>
        <v>7.7570921985815611</v>
      </c>
      <c r="AA28" s="6">
        <f t="shared" si="12"/>
        <v>25.87854609929078</v>
      </c>
      <c r="AB28" s="5">
        <f t="shared" si="13"/>
        <v>0.37</v>
      </c>
      <c r="AC28" s="1">
        <f t="shared" si="14"/>
        <v>0.63</v>
      </c>
      <c r="AD28" s="1">
        <f t="shared" si="15"/>
        <v>6.1994680851063828</v>
      </c>
      <c r="AE28" s="6">
        <f t="shared" si="16"/>
        <v>25.099734042553191</v>
      </c>
      <c r="AF28" s="5">
        <f t="shared" si="17"/>
        <v>0.5</v>
      </c>
      <c r="AG28" s="1">
        <f t="shared" si="18"/>
        <v>0.5</v>
      </c>
      <c r="AH28" s="1">
        <f t="shared" si="25"/>
        <v>6.6489361702127656</v>
      </c>
      <c r="AI28" s="6">
        <f t="shared" si="26"/>
        <v>25.324468085106382</v>
      </c>
      <c r="AJ28" s="5">
        <f t="shared" si="21"/>
        <v>0.52</v>
      </c>
      <c r="AK28" s="1">
        <f t="shared" si="22"/>
        <v>0.48</v>
      </c>
      <c r="AL28" s="1">
        <f t="shared" si="23"/>
        <v>6.6382978723404253</v>
      </c>
      <c r="AM28" s="6">
        <f t="shared" si="24"/>
        <v>25.319148936170212</v>
      </c>
    </row>
    <row r="29" spans="1:39">
      <c r="A29" s="31" t="s">
        <v>144</v>
      </c>
      <c r="B29" s="52">
        <f>VCS_Max/Rcs</f>
        <v>50</v>
      </c>
      <c r="C29" s="31" t="s">
        <v>4</v>
      </c>
      <c r="E29" s="34" t="s">
        <v>195</v>
      </c>
      <c r="N29">
        <v>2.3E-2</v>
      </c>
      <c r="O29">
        <f t="shared" si="0"/>
        <v>23</v>
      </c>
      <c r="P29" s="5">
        <f t="shared" si="1"/>
        <v>0.625</v>
      </c>
      <c r="Q29" s="1">
        <f t="shared" si="2"/>
        <v>0.375</v>
      </c>
      <c r="R29" s="1">
        <f t="shared" si="3"/>
        <v>4.9867021276595747</v>
      </c>
      <c r="S29" s="6">
        <f t="shared" si="4"/>
        <v>25.493351063829788</v>
      </c>
      <c r="T29" s="5">
        <f t="shared" si="5"/>
        <v>0.5</v>
      </c>
      <c r="U29" s="1">
        <f t="shared" si="6"/>
        <v>0.5</v>
      </c>
      <c r="V29" s="1">
        <f t="shared" si="7"/>
        <v>6.6489361702127656</v>
      </c>
      <c r="W29" s="6">
        <f t="shared" si="8"/>
        <v>26.324468085106382</v>
      </c>
      <c r="X29" s="5">
        <f t="shared" si="9"/>
        <v>0.41666666666666669</v>
      </c>
      <c r="Y29" s="1">
        <f t="shared" si="10"/>
        <v>0.58333333333333326</v>
      </c>
      <c r="Z29" s="1">
        <f t="shared" si="11"/>
        <v>7.7570921985815611</v>
      </c>
      <c r="AA29" s="6">
        <f t="shared" si="12"/>
        <v>26.87854609929078</v>
      </c>
      <c r="AB29" s="5">
        <f t="shared" si="13"/>
        <v>0.37</v>
      </c>
      <c r="AC29" s="1">
        <f t="shared" si="14"/>
        <v>0.63</v>
      </c>
      <c r="AD29" s="1">
        <f t="shared" si="15"/>
        <v>6.1994680851063828</v>
      </c>
      <c r="AE29" s="6">
        <f t="shared" si="16"/>
        <v>26.099734042553191</v>
      </c>
      <c r="AF29" s="5">
        <f t="shared" si="17"/>
        <v>0.5</v>
      </c>
      <c r="AG29" s="1">
        <f t="shared" si="18"/>
        <v>0.5</v>
      </c>
      <c r="AH29" s="1">
        <f t="shared" si="25"/>
        <v>6.6489361702127656</v>
      </c>
      <c r="AI29" s="6">
        <f t="shared" si="26"/>
        <v>26.324468085106382</v>
      </c>
      <c r="AJ29" s="5">
        <f t="shared" si="21"/>
        <v>0.52</v>
      </c>
      <c r="AK29" s="1">
        <f t="shared" si="22"/>
        <v>0.48</v>
      </c>
      <c r="AL29" s="1">
        <f t="shared" si="23"/>
        <v>6.6382978723404253</v>
      </c>
      <c r="AM29" s="6">
        <f t="shared" si="24"/>
        <v>26.319148936170212</v>
      </c>
    </row>
    <row r="30" spans="1:39">
      <c r="A30" s="31" t="s">
        <v>142</v>
      </c>
      <c r="B30" s="50">
        <f>V12_Nom*B29</f>
        <v>1250</v>
      </c>
      <c r="C30" s="31" t="s">
        <v>136</v>
      </c>
      <c r="E30" s="34" t="s">
        <v>199</v>
      </c>
      <c r="N30">
        <v>2.4E-2</v>
      </c>
      <c r="O30">
        <f t="shared" si="0"/>
        <v>24</v>
      </c>
      <c r="P30" s="5">
        <f t="shared" si="1"/>
        <v>0.625</v>
      </c>
      <c r="Q30" s="1">
        <f t="shared" si="2"/>
        <v>0.375</v>
      </c>
      <c r="R30" s="1">
        <f t="shared" si="3"/>
        <v>4.9867021276595747</v>
      </c>
      <c r="S30" s="6">
        <f t="shared" si="4"/>
        <v>26.493351063829788</v>
      </c>
      <c r="T30" s="5">
        <f t="shared" si="5"/>
        <v>0.5</v>
      </c>
      <c r="U30" s="1">
        <f t="shared" si="6"/>
        <v>0.5</v>
      </c>
      <c r="V30" s="1">
        <f t="shared" si="7"/>
        <v>6.6489361702127656</v>
      </c>
      <c r="W30" s="6">
        <f t="shared" si="8"/>
        <v>27.324468085106382</v>
      </c>
      <c r="X30" s="5">
        <f t="shared" si="9"/>
        <v>0.41666666666666669</v>
      </c>
      <c r="Y30" s="1">
        <f t="shared" si="10"/>
        <v>0.58333333333333326</v>
      </c>
      <c r="Z30" s="1">
        <f t="shared" si="11"/>
        <v>7.7570921985815611</v>
      </c>
      <c r="AA30" s="6">
        <f t="shared" si="12"/>
        <v>27.87854609929078</v>
      </c>
      <c r="AB30" s="5">
        <f t="shared" si="13"/>
        <v>0.37</v>
      </c>
      <c r="AC30" s="1">
        <f t="shared" si="14"/>
        <v>0.63</v>
      </c>
      <c r="AD30" s="1">
        <f t="shared" si="15"/>
        <v>6.1994680851063828</v>
      </c>
      <c r="AE30" s="6">
        <f t="shared" si="16"/>
        <v>27.099734042553191</v>
      </c>
      <c r="AF30" s="5">
        <f t="shared" si="17"/>
        <v>0.5</v>
      </c>
      <c r="AG30" s="1">
        <f t="shared" si="18"/>
        <v>0.5</v>
      </c>
      <c r="AH30" s="1">
        <f t="shared" si="25"/>
        <v>6.6489361702127656</v>
      </c>
      <c r="AI30" s="6">
        <f t="shared" si="26"/>
        <v>27.324468085106382</v>
      </c>
      <c r="AJ30" s="5">
        <f t="shared" si="21"/>
        <v>0.52</v>
      </c>
      <c r="AK30" s="1">
        <f t="shared" si="22"/>
        <v>0.48</v>
      </c>
      <c r="AL30" s="1">
        <f t="shared" si="23"/>
        <v>6.6382978723404253</v>
      </c>
      <c r="AM30" s="6">
        <f t="shared" si="24"/>
        <v>27.319148936170212</v>
      </c>
    </row>
    <row r="31" spans="1:39">
      <c r="A31" s="31" t="s">
        <v>146</v>
      </c>
      <c r="B31" s="50">
        <f>I_Channel*np</f>
        <v>100</v>
      </c>
      <c r="C31" s="31" t="s">
        <v>4</v>
      </c>
      <c r="E31" s="34" t="s">
        <v>200</v>
      </c>
      <c r="N31">
        <v>2.5000000000000001E-2</v>
      </c>
      <c r="O31">
        <f t="shared" si="0"/>
        <v>25</v>
      </c>
      <c r="P31" s="5">
        <f t="shared" si="1"/>
        <v>0.625</v>
      </c>
      <c r="Q31" s="1">
        <f t="shared" si="2"/>
        <v>0.375</v>
      </c>
      <c r="R31" s="1">
        <f t="shared" si="3"/>
        <v>4.9867021276595747</v>
      </c>
      <c r="S31" s="6">
        <f t="shared" si="4"/>
        <v>27.493351063829788</v>
      </c>
      <c r="T31" s="5">
        <f t="shared" si="5"/>
        <v>0.5</v>
      </c>
      <c r="U31" s="1">
        <f t="shared" si="6"/>
        <v>0.5</v>
      </c>
      <c r="V31" s="1">
        <f t="shared" si="7"/>
        <v>6.6489361702127656</v>
      </c>
      <c r="W31" s="6">
        <f t="shared" si="8"/>
        <v>28.324468085106382</v>
      </c>
      <c r="X31" s="5">
        <f t="shared" si="9"/>
        <v>0.41666666666666669</v>
      </c>
      <c r="Y31" s="1">
        <f t="shared" si="10"/>
        <v>0.58333333333333326</v>
      </c>
      <c r="Z31" s="1">
        <f t="shared" si="11"/>
        <v>7.7570921985815611</v>
      </c>
      <c r="AA31" s="6">
        <f t="shared" si="12"/>
        <v>28.87854609929078</v>
      </c>
      <c r="AB31" s="5">
        <f t="shared" si="13"/>
        <v>0.37</v>
      </c>
      <c r="AC31" s="1">
        <f t="shared" si="14"/>
        <v>0.63</v>
      </c>
      <c r="AD31" s="1">
        <f t="shared" si="15"/>
        <v>6.1994680851063828</v>
      </c>
      <c r="AE31" s="6">
        <f t="shared" si="16"/>
        <v>28.099734042553191</v>
      </c>
      <c r="AF31" s="5">
        <f t="shared" si="17"/>
        <v>0.5</v>
      </c>
      <c r="AG31" s="1">
        <f t="shared" si="18"/>
        <v>0.5</v>
      </c>
      <c r="AH31" s="1">
        <f t="shared" si="25"/>
        <v>6.6489361702127656</v>
      </c>
      <c r="AI31" s="6">
        <f t="shared" si="26"/>
        <v>28.324468085106382</v>
      </c>
      <c r="AJ31" s="5">
        <f t="shared" si="21"/>
        <v>0.52</v>
      </c>
      <c r="AK31" s="1">
        <f t="shared" si="22"/>
        <v>0.48</v>
      </c>
      <c r="AL31" s="1">
        <f t="shared" si="23"/>
        <v>6.6382978723404253</v>
      </c>
      <c r="AM31" s="6">
        <f t="shared" si="24"/>
        <v>28.319148936170212</v>
      </c>
    </row>
    <row r="32" spans="1:39">
      <c r="A32" s="31" t="s">
        <v>147</v>
      </c>
      <c r="B32" s="50">
        <f>B30*np</f>
        <v>2500</v>
      </c>
      <c r="C32" s="31" t="s">
        <v>136</v>
      </c>
      <c r="E32" s="34" t="s">
        <v>201</v>
      </c>
      <c r="N32">
        <v>2.5999999999999999E-2</v>
      </c>
      <c r="O32">
        <f t="shared" si="0"/>
        <v>26</v>
      </c>
      <c r="P32" s="5">
        <f t="shared" si="1"/>
        <v>0.625</v>
      </c>
      <c r="Q32" s="1">
        <f t="shared" si="2"/>
        <v>0.375</v>
      </c>
      <c r="R32" s="1">
        <f t="shared" si="3"/>
        <v>4.9867021276595747</v>
      </c>
      <c r="S32" s="6">
        <f t="shared" si="4"/>
        <v>28.493351063829788</v>
      </c>
      <c r="T32" s="5">
        <f t="shared" si="5"/>
        <v>0.5</v>
      </c>
      <c r="U32" s="1">
        <f t="shared" si="6"/>
        <v>0.5</v>
      </c>
      <c r="V32" s="1">
        <f t="shared" si="7"/>
        <v>6.6489361702127656</v>
      </c>
      <c r="W32" s="6">
        <f t="shared" si="8"/>
        <v>29.324468085106382</v>
      </c>
      <c r="X32" s="5">
        <f t="shared" si="9"/>
        <v>0.41666666666666669</v>
      </c>
      <c r="Y32" s="1">
        <f t="shared" si="10"/>
        <v>0.58333333333333326</v>
      </c>
      <c r="Z32" s="1">
        <f t="shared" si="11"/>
        <v>7.7570921985815611</v>
      </c>
      <c r="AA32" s="6">
        <f t="shared" si="12"/>
        <v>29.87854609929078</v>
      </c>
      <c r="AB32" s="5">
        <f t="shared" si="13"/>
        <v>0.37</v>
      </c>
      <c r="AC32" s="1">
        <f t="shared" si="14"/>
        <v>0.63</v>
      </c>
      <c r="AD32" s="1">
        <f t="shared" si="15"/>
        <v>6.1994680851063828</v>
      </c>
      <c r="AE32" s="6">
        <f t="shared" si="16"/>
        <v>29.099734042553191</v>
      </c>
      <c r="AF32" s="5">
        <f t="shared" si="17"/>
        <v>0.5</v>
      </c>
      <c r="AG32" s="1">
        <f t="shared" si="18"/>
        <v>0.5</v>
      </c>
      <c r="AH32" s="1">
        <f t="shared" si="25"/>
        <v>6.6489361702127656</v>
      </c>
      <c r="AI32" s="6">
        <f t="shared" si="26"/>
        <v>29.324468085106382</v>
      </c>
      <c r="AJ32" s="5">
        <f t="shared" si="21"/>
        <v>0.52</v>
      </c>
      <c r="AK32" s="1">
        <f t="shared" si="22"/>
        <v>0.48</v>
      </c>
      <c r="AL32" s="1">
        <f t="shared" si="23"/>
        <v>6.6382978723404253</v>
      </c>
      <c r="AM32" s="6">
        <f t="shared" si="24"/>
        <v>29.319148936170212</v>
      </c>
    </row>
    <row r="33" spans="1:39">
      <c r="N33">
        <v>2.7E-2</v>
      </c>
      <c r="O33">
        <f t="shared" si="0"/>
        <v>27</v>
      </c>
      <c r="P33" s="5">
        <f t="shared" si="1"/>
        <v>0.625</v>
      </c>
      <c r="Q33" s="1">
        <f t="shared" si="2"/>
        <v>0.375</v>
      </c>
      <c r="R33" s="1">
        <f t="shared" si="3"/>
        <v>4.9867021276595747</v>
      </c>
      <c r="S33" s="6">
        <f t="shared" si="4"/>
        <v>29.493351063829788</v>
      </c>
      <c r="T33" s="5">
        <f t="shared" si="5"/>
        <v>0.5</v>
      </c>
      <c r="U33" s="1">
        <f t="shared" si="6"/>
        <v>0.5</v>
      </c>
      <c r="V33" s="1">
        <f t="shared" si="7"/>
        <v>6.6489361702127656</v>
      </c>
      <c r="W33" s="6">
        <f t="shared" si="8"/>
        <v>30.324468085106382</v>
      </c>
      <c r="X33" s="5">
        <f t="shared" si="9"/>
        <v>0.41666666666666669</v>
      </c>
      <c r="Y33" s="1">
        <f t="shared" si="10"/>
        <v>0.58333333333333326</v>
      </c>
      <c r="Z33" s="1">
        <f t="shared" si="11"/>
        <v>7.7570921985815611</v>
      </c>
      <c r="AA33" s="6">
        <f t="shared" si="12"/>
        <v>30.87854609929078</v>
      </c>
      <c r="AB33" s="5">
        <f t="shared" si="13"/>
        <v>0.37</v>
      </c>
      <c r="AC33" s="1">
        <f t="shared" si="14"/>
        <v>0.63</v>
      </c>
      <c r="AD33" s="1">
        <f t="shared" si="15"/>
        <v>6.1994680851063828</v>
      </c>
      <c r="AE33" s="6">
        <f t="shared" si="16"/>
        <v>30.099734042553191</v>
      </c>
      <c r="AF33" s="5">
        <f t="shared" si="17"/>
        <v>0.5</v>
      </c>
      <c r="AG33" s="1">
        <f t="shared" si="18"/>
        <v>0.5</v>
      </c>
      <c r="AH33" s="1">
        <f t="shared" si="25"/>
        <v>6.6489361702127656</v>
      </c>
      <c r="AI33" s="6">
        <f t="shared" si="26"/>
        <v>30.324468085106382</v>
      </c>
      <c r="AJ33" s="5">
        <f t="shared" si="21"/>
        <v>0.52</v>
      </c>
      <c r="AK33" s="1">
        <f t="shared" si="22"/>
        <v>0.48</v>
      </c>
      <c r="AL33" s="1">
        <f t="shared" si="23"/>
        <v>6.6382978723404253</v>
      </c>
      <c r="AM33" s="6">
        <f t="shared" si="24"/>
        <v>30.319148936170212</v>
      </c>
    </row>
    <row r="34" spans="1:39">
      <c r="N34">
        <v>2.8000000000000001E-2</v>
      </c>
      <c r="O34">
        <f t="shared" si="0"/>
        <v>28</v>
      </c>
      <c r="P34" s="5">
        <f t="shared" si="1"/>
        <v>0.625</v>
      </c>
      <c r="Q34" s="1">
        <f t="shared" si="2"/>
        <v>0.375</v>
      </c>
      <c r="R34" s="1">
        <f t="shared" si="3"/>
        <v>4.9867021276595747</v>
      </c>
      <c r="S34" s="6">
        <f t="shared" si="4"/>
        <v>30.493351063829788</v>
      </c>
      <c r="T34" s="5">
        <f t="shared" si="5"/>
        <v>0.5</v>
      </c>
      <c r="U34" s="1">
        <f t="shared" si="6"/>
        <v>0.5</v>
      </c>
      <c r="V34" s="1">
        <f t="shared" si="7"/>
        <v>6.6489361702127656</v>
      </c>
      <c r="W34" s="6">
        <f t="shared" si="8"/>
        <v>31.324468085106382</v>
      </c>
      <c r="X34" s="5">
        <f t="shared" si="9"/>
        <v>0.41666666666666669</v>
      </c>
      <c r="Y34" s="1">
        <f t="shared" si="10"/>
        <v>0.58333333333333326</v>
      </c>
      <c r="Z34" s="1">
        <f t="shared" si="11"/>
        <v>7.7570921985815611</v>
      </c>
      <c r="AA34" s="6">
        <f t="shared" si="12"/>
        <v>31.87854609929078</v>
      </c>
      <c r="AB34" s="5">
        <f t="shared" si="13"/>
        <v>0.37</v>
      </c>
      <c r="AC34" s="1">
        <f t="shared" si="14"/>
        <v>0.63</v>
      </c>
      <c r="AD34" s="1">
        <f t="shared" si="15"/>
        <v>6.1994680851063828</v>
      </c>
      <c r="AE34" s="6">
        <f t="shared" si="16"/>
        <v>31.099734042553191</v>
      </c>
      <c r="AF34" s="5">
        <f t="shared" si="17"/>
        <v>0.5</v>
      </c>
      <c r="AG34" s="1">
        <f t="shared" si="18"/>
        <v>0.5</v>
      </c>
      <c r="AH34" s="1">
        <f t="shared" si="25"/>
        <v>6.6489361702127656</v>
      </c>
      <c r="AI34" s="6">
        <f t="shared" si="26"/>
        <v>31.324468085106382</v>
      </c>
      <c r="AJ34" s="5">
        <f t="shared" si="21"/>
        <v>0.52</v>
      </c>
      <c r="AK34" s="1">
        <f t="shared" si="22"/>
        <v>0.48</v>
      </c>
      <c r="AL34" s="1">
        <f t="shared" si="23"/>
        <v>6.6382978723404253</v>
      </c>
      <c r="AM34" s="6">
        <f t="shared" si="24"/>
        <v>31.319148936170212</v>
      </c>
    </row>
    <row r="35" spans="1:39">
      <c r="A35" s="32" t="s">
        <v>148</v>
      </c>
      <c r="B35" s="53"/>
      <c r="C35" s="31"/>
      <c r="N35">
        <v>2.9000000000000001E-2</v>
      </c>
      <c r="O35">
        <f t="shared" si="0"/>
        <v>29</v>
      </c>
      <c r="P35" s="5">
        <f t="shared" si="1"/>
        <v>0.625</v>
      </c>
      <c r="Q35" s="1">
        <f t="shared" si="2"/>
        <v>0.375</v>
      </c>
      <c r="R35" s="1">
        <f t="shared" si="3"/>
        <v>4.9867021276595747</v>
      </c>
      <c r="S35" s="6">
        <f t="shared" si="4"/>
        <v>31.493351063829788</v>
      </c>
      <c r="T35" s="5">
        <f t="shared" si="5"/>
        <v>0.5</v>
      </c>
      <c r="U35" s="1">
        <f t="shared" si="6"/>
        <v>0.5</v>
      </c>
      <c r="V35" s="1">
        <f t="shared" si="7"/>
        <v>6.6489361702127656</v>
      </c>
      <c r="W35" s="6">
        <f t="shared" si="8"/>
        <v>32.324468085106382</v>
      </c>
      <c r="X35" s="5">
        <f t="shared" si="9"/>
        <v>0.41666666666666669</v>
      </c>
      <c r="Y35" s="1">
        <f t="shared" si="10"/>
        <v>0.58333333333333326</v>
      </c>
      <c r="Z35" s="1">
        <f t="shared" si="11"/>
        <v>7.7570921985815611</v>
      </c>
      <c r="AA35" s="6">
        <f t="shared" si="12"/>
        <v>32.87854609929078</v>
      </c>
      <c r="AB35" s="5">
        <f t="shared" si="13"/>
        <v>0.37</v>
      </c>
      <c r="AC35" s="1">
        <f t="shared" si="14"/>
        <v>0.63</v>
      </c>
      <c r="AD35" s="1">
        <f t="shared" si="15"/>
        <v>6.1994680851063828</v>
      </c>
      <c r="AE35" s="6">
        <f t="shared" si="16"/>
        <v>32.099734042553195</v>
      </c>
      <c r="AF35" s="5">
        <f t="shared" si="17"/>
        <v>0.5</v>
      </c>
      <c r="AG35" s="1">
        <f t="shared" si="18"/>
        <v>0.5</v>
      </c>
      <c r="AH35" s="1">
        <f t="shared" si="25"/>
        <v>6.6489361702127656</v>
      </c>
      <c r="AI35" s="6">
        <f t="shared" si="26"/>
        <v>32.324468085106382</v>
      </c>
      <c r="AJ35" s="5">
        <f t="shared" si="21"/>
        <v>0.52</v>
      </c>
      <c r="AK35" s="1">
        <f t="shared" si="22"/>
        <v>0.48</v>
      </c>
      <c r="AL35" s="1">
        <f t="shared" si="23"/>
        <v>6.6382978723404253</v>
      </c>
      <c r="AM35" s="6">
        <f t="shared" si="24"/>
        <v>32.319148936170215</v>
      </c>
    </row>
    <row r="36" spans="1:39">
      <c r="A36" s="31" t="s">
        <v>151</v>
      </c>
      <c r="B36" s="49">
        <f>Design_Converter!B35/100</f>
        <v>0.3</v>
      </c>
      <c r="C36" s="31"/>
      <c r="E36" s="34" t="s">
        <v>202</v>
      </c>
      <c r="N36">
        <v>0.03</v>
      </c>
      <c r="O36">
        <f t="shared" si="0"/>
        <v>30</v>
      </c>
      <c r="P36" s="5">
        <f t="shared" si="1"/>
        <v>0.625</v>
      </c>
      <c r="Q36" s="1">
        <f t="shared" si="2"/>
        <v>0.375</v>
      </c>
      <c r="R36" s="1">
        <f t="shared" si="3"/>
        <v>4.9867021276595747</v>
      </c>
      <c r="S36" s="6">
        <f t="shared" si="4"/>
        <v>32.493351063829785</v>
      </c>
      <c r="T36" s="5">
        <f t="shared" si="5"/>
        <v>0.5</v>
      </c>
      <c r="U36" s="1">
        <f t="shared" si="6"/>
        <v>0.5</v>
      </c>
      <c r="V36" s="1">
        <f t="shared" si="7"/>
        <v>6.6489361702127656</v>
      </c>
      <c r="W36" s="6">
        <f t="shared" si="8"/>
        <v>33.324468085106382</v>
      </c>
      <c r="X36" s="5">
        <f t="shared" si="9"/>
        <v>0.41666666666666669</v>
      </c>
      <c r="Y36" s="1">
        <f t="shared" si="10"/>
        <v>0.58333333333333326</v>
      </c>
      <c r="Z36" s="1">
        <f t="shared" si="11"/>
        <v>7.7570921985815611</v>
      </c>
      <c r="AA36" s="6">
        <f t="shared" si="12"/>
        <v>33.87854609929078</v>
      </c>
      <c r="AB36" s="5">
        <f t="shared" si="13"/>
        <v>0.37</v>
      </c>
      <c r="AC36" s="1">
        <f t="shared" si="14"/>
        <v>0.63</v>
      </c>
      <c r="AD36" s="1">
        <f t="shared" si="15"/>
        <v>6.1994680851063828</v>
      </c>
      <c r="AE36" s="6">
        <f t="shared" si="16"/>
        <v>33.099734042553195</v>
      </c>
      <c r="AF36" s="5">
        <f t="shared" si="17"/>
        <v>0.5</v>
      </c>
      <c r="AG36" s="1">
        <f t="shared" si="18"/>
        <v>0.5</v>
      </c>
      <c r="AH36" s="1">
        <f t="shared" si="25"/>
        <v>6.6489361702127656</v>
      </c>
      <c r="AI36" s="6">
        <f t="shared" si="26"/>
        <v>33.324468085106382</v>
      </c>
      <c r="AJ36" s="5">
        <f t="shared" si="21"/>
        <v>0.52</v>
      </c>
      <c r="AK36" s="1">
        <f t="shared" si="22"/>
        <v>0.48</v>
      </c>
      <c r="AL36" s="1">
        <f t="shared" si="23"/>
        <v>6.6382978723404253</v>
      </c>
      <c r="AM36" s="6">
        <f t="shared" si="24"/>
        <v>33.319148936170215</v>
      </c>
    </row>
    <row r="37" spans="1:39">
      <c r="A37" s="31" t="s">
        <v>111</v>
      </c>
      <c r="B37" s="54">
        <f>(V48_Max-V12_Nom)*(V12_Nom/V48_Max)/((B25)*(B36)*Fsw)*(1000000)</f>
        <v>6.9444444444444446</v>
      </c>
      <c r="C37" s="31" t="s">
        <v>6</v>
      </c>
      <c r="E37" s="34" t="s">
        <v>193</v>
      </c>
      <c r="N37">
        <v>3.1E-2</v>
      </c>
      <c r="O37">
        <f t="shared" si="0"/>
        <v>31</v>
      </c>
      <c r="P37" s="5">
        <f t="shared" si="1"/>
        <v>0.625</v>
      </c>
      <c r="Q37" s="1">
        <f t="shared" si="2"/>
        <v>0.375</v>
      </c>
      <c r="R37" s="1">
        <f t="shared" si="3"/>
        <v>4.9867021276595747</v>
      </c>
      <c r="S37" s="6">
        <f t="shared" si="4"/>
        <v>33.493351063829785</v>
      </c>
      <c r="T37" s="5">
        <f t="shared" si="5"/>
        <v>0.5</v>
      </c>
      <c r="U37" s="1">
        <f t="shared" si="6"/>
        <v>0.5</v>
      </c>
      <c r="V37" s="1">
        <f t="shared" si="7"/>
        <v>6.6489361702127656</v>
      </c>
      <c r="W37" s="6">
        <f t="shared" si="8"/>
        <v>34.324468085106382</v>
      </c>
      <c r="X37" s="5">
        <f t="shared" si="9"/>
        <v>0.41666666666666669</v>
      </c>
      <c r="Y37" s="1">
        <f t="shared" si="10"/>
        <v>0.58333333333333326</v>
      </c>
      <c r="Z37" s="1">
        <f t="shared" si="11"/>
        <v>7.7570921985815611</v>
      </c>
      <c r="AA37" s="6">
        <f t="shared" si="12"/>
        <v>34.87854609929078</v>
      </c>
      <c r="AB37" s="5">
        <f t="shared" si="13"/>
        <v>0.37</v>
      </c>
      <c r="AC37" s="1">
        <f t="shared" si="14"/>
        <v>0.63</v>
      </c>
      <c r="AD37" s="1">
        <f t="shared" si="15"/>
        <v>6.1994680851063828</v>
      </c>
      <c r="AE37" s="6">
        <f t="shared" si="16"/>
        <v>34.099734042553195</v>
      </c>
      <c r="AF37" s="5">
        <f t="shared" si="17"/>
        <v>0.5</v>
      </c>
      <c r="AG37" s="1">
        <f t="shared" si="18"/>
        <v>0.5</v>
      </c>
      <c r="AH37" s="1">
        <f t="shared" si="25"/>
        <v>6.6489361702127656</v>
      </c>
      <c r="AI37" s="6">
        <f t="shared" si="26"/>
        <v>34.324468085106382</v>
      </c>
      <c r="AJ37" s="5">
        <f t="shared" si="21"/>
        <v>0.52</v>
      </c>
      <c r="AK37" s="1">
        <f t="shared" si="22"/>
        <v>0.48</v>
      </c>
      <c r="AL37" s="1">
        <f t="shared" si="23"/>
        <v>6.6382978723404253</v>
      </c>
      <c r="AM37" s="6">
        <f t="shared" si="24"/>
        <v>34.319148936170215</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0.625</v>
      </c>
      <c r="Q38" s="1">
        <f t="shared" ref="Q38:Q56" si="29">IF($O38&lt;((V48_Min-V12_Nom)*V12_Nom)/((2*Lm*Fsw)*V48_Min),SQRT((2*$O38*Lm*Fsw*V12_Nom)/(V48_Min*(V48_Min-V12_Nom)))*((V48_Min-V12_Nom)/(V12_Nom)),1-(V12_Nom/V48_Min))</f>
        <v>0.375</v>
      </c>
      <c r="R38" s="1">
        <f t="shared" ref="R38:R56" si="30">IF($O38&lt;((V48_Min-V12_Nom)*V12_Nom)/((2*Lm*Fsw)*V48_Min),(P38/(Fsw*Lm))*(V48_Min-V12_Nom),((P38/(Fsw*Lm))*(V48_Min-V12_Nom)))</f>
        <v>4.9867021276595747</v>
      </c>
      <c r="S38" s="6">
        <f t="shared" ref="S38:S56" si="31">IF($O38&lt;((V48_Min-V12_Nom)*V12_Nom)/((2*Lm*Fsw)*V48_Min),(P38/(Fsw*Lm))*(V48_Min-V12_Nom),(R38/2)+$O38)</f>
        <v>34.493351063829785</v>
      </c>
      <c r="T38" s="5">
        <f t="shared" ref="T38:T56" si="32">IF($O38&lt;((V48_Nom-V12_Nom)*V12_Nom)/((2*Lm*Fsw)*V48_Nom),SQRT((2*$O38*Lm*Fsw*V12_Nom)/(V48_Nom*(V48_Nom-V12_Nom))),(V12_Nom/V48_Nom))</f>
        <v>0.5</v>
      </c>
      <c r="U38" s="1">
        <f t="shared" ref="U38:U56" si="33">IF($O38&lt;((V48_Nom-V12_Nom)*V12_Nom)/((2*Lm*Fsw)*V48_Nom),SQRT((2*$O38*Lm*Fsw*V12_Nom)/(V48_Nom*(V48_Nom-V12_Nom)))*((V48_Nom-V12_Nom)/(V12_Nom)),1-(V12_Nom/V48_Nom))</f>
        <v>0.5</v>
      </c>
      <c r="V38" s="1">
        <f t="shared" ref="V38:V56" si="34">IF($O38&lt;((V48_Nom-V12_Nom)*V12_Nom)/((2*Lm*Fsw)*V48_Nom),(T38/(Fsw*Lm))*(V48_Nom-V12_Nom),((T38/(Fsw*Lm))*(V48_Nom-V12_Nom)))</f>
        <v>6.6489361702127656</v>
      </c>
      <c r="W38" s="6">
        <f t="shared" ref="W38:W56" si="35">IF($O38&lt;((V48_Nom-V12_Nom)*V12_Nom)/((2*Lm*Fsw)*V48_Nom),(T38/(Fsw*Lm))*(V48_Nom-V12_Nom),(V38/2)+$O38)</f>
        <v>35.324468085106382</v>
      </c>
      <c r="X38" s="5">
        <f t="shared" ref="X38:X56" si="36">IF($O38&lt;((V48_Max-V12_Nom)*V12_Nom)/((2*Lm*Fsw)*V48_Max),SQRT((2*$O38*Lm*Fsw*V12_Nom)/(V48_Max*(V48_Max-V12_Nom))),(V12_Nom/V48_Max))</f>
        <v>0.41666666666666669</v>
      </c>
      <c r="Y38" s="1">
        <f t="shared" ref="Y38:Y56" si="37">IF($O38&lt;((V48_Max-V12_Nom)*V12_Nom)/((2*Lm*Fsw)*V48_Max),SQRT((2*$O38*Lm*Fsw*V12_Nom)/(V48_Max*(V48_Max-V12_Nom)))*((V48_Max-V12_Nom)/(V12_Nom)),1-(V12_Nom/V48_Max))</f>
        <v>0.58333333333333326</v>
      </c>
      <c r="Z38" s="1">
        <f t="shared" ref="Z38:Z56" si="38">IF($O38&lt;((V48_Max-V12_Nom)*V12_Nom)/((2*Lm*Fsw)*V48_Max),(X38/(Fsw*Lm))*(V48_Max-V12_Nom),((X38/(Fsw*Lm))*(V48_Max-V12_Nom)))</f>
        <v>7.7570921985815611</v>
      </c>
      <c r="AA38" s="6">
        <f t="shared" ref="AA38:AA56" si="39">IF($O38&lt;((V48_Max-V12_Nom)*V12_Nom)/((2*Lm*Fsw)*V48_Max),(X38/(Fsw*Lm))*(V48_Max-V12_Nom),(Z38/2)+$O38)</f>
        <v>35.87854609929078</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0.5</v>
      </c>
      <c r="AG38" s="1">
        <f t="shared" si="18"/>
        <v>0.5</v>
      </c>
      <c r="AH38" s="1">
        <f t="shared" si="25"/>
        <v>6.6489361702127656</v>
      </c>
      <c r="AI38" s="6">
        <f t="shared" si="26"/>
        <v>35.324468085106382</v>
      </c>
      <c r="AJ38" s="5">
        <f t="shared" ref="AJ38:AJ56" si="44">IF($O38&lt;((V48_Nom-V12_Max)*V12_Max)/((2*Lm*Fsw)*V48_Nom),SQRT((2*$O38*Lm*Fsw*V12_Max)/(V48_Nom*(V48_Nom-V12_Max))),(V12_Max/V48_Nom))</f>
        <v>0.52</v>
      </c>
      <c r="AK38" s="1">
        <f t="shared" ref="AK38:AK56" si="45">IF($O38&lt;((V48_Nom-V12_Max)*V12_Max)/((2*Lm*Fsw)*V48_Nom),SQRT((2*$O38*Lm*Fsw*V12_Max)/(V48_Nom*(V48_Nom-V12_Max)))*((V48_Nom-V12_Max)/(V12_Max)),1-(V12_Max/V48_Nom))</f>
        <v>0.48</v>
      </c>
      <c r="AL38" s="1">
        <f t="shared" ref="AL38:AL56" si="46">IF($O38&lt;((V48_Nom-V12_Max)*V12_Max)/((2*Lm*Fsw)*V48_Nom),(AJ38/(Fsw*Lm))*(V48_Nom-V12_Max),((AJ38/(Fsw*Lm))*(V48_Nom-V12_Max)))</f>
        <v>6.6382978723404253</v>
      </c>
      <c r="AM38" s="6">
        <f t="shared" ref="AM38:AM56" si="47">IF($O38&lt;((V48_Nom-V12_Max)*V12_Max)/((2*Lm*Fsw)*V48_Nom),(AJ38/(Fsw*Lm))*(V48_Nom-V12_Max),(AL38/2)+$O38)</f>
        <v>35.319148936170215</v>
      </c>
    </row>
    <row r="39" spans="1:39" ht="15">
      <c r="A39" s="31" t="s">
        <v>29</v>
      </c>
      <c r="B39" s="49">
        <f>Lm_DCR</f>
        <v>2.2499999999999998E-3</v>
      </c>
      <c r="C39" s="67" t="s">
        <v>80</v>
      </c>
      <c r="N39">
        <v>3.3000000000000002E-2</v>
      </c>
      <c r="O39">
        <f t="shared" si="27"/>
        <v>33</v>
      </c>
      <c r="P39" s="5">
        <f t="shared" si="28"/>
        <v>0.625</v>
      </c>
      <c r="Q39" s="1">
        <f t="shared" si="29"/>
        <v>0.375</v>
      </c>
      <c r="R39" s="1">
        <f t="shared" si="30"/>
        <v>4.9867021276595747</v>
      </c>
      <c r="S39" s="6">
        <f t="shared" si="31"/>
        <v>35.493351063829785</v>
      </c>
      <c r="T39" s="5">
        <f t="shared" si="32"/>
        <v>0.5</v>
      </c>
      <c r="U39" s="1">
        <f t="shared" si="33"/>
        <v>0.5</v>
      </c>
      <c r="V39" s="1">
        <f t="shared" si="34"/>
        <v>6.6489361702127656</v>
      </c>
      <c r="W39" s="6">
        <f t="shared" si="35"/>
        <v>36.324468085106382</v>
      </c>
      <c r="X39" s="5">
        <f t="shared" si="36"/>
        <v>0.41666666666666669</v>
      </c>
      <c r="Y39" s="1">
        <f t="shared" si="37"/>
        <v>0.58333333333333326</v>
      </c>
      <c r="Z39" s="1">
        <f t="shared" si="38"/>
        <v>7.7570921985815611</v>
      </c>
      <c r="AA39" s="6">
        <f t="shared" si="39"/>
        <v>36.87854609929078</v>
      </c>
      <c r="AB39" s="5">
        <f t="shared" si="40"/>
        <v>0.37</v>
      </c>
      <c r="AC39" s="1">
        <f t="shared" si="41"/>
        <v>0.63</v>
      </c>
      <c r="AD39" s="1">
        <f t="shared" si="42"/>
        <v>6.1994680851063828</v>
      </c>
      <c r="AE39" s="6">
        <f t="shared" si="43"/>
        <v>36.099734042553195</v>
      </c>
      <c r="AF39" s="5">
        <f t="shared" si="17"/>
        <v>0.5</v>
      </c>
      <c r="AG39" s="1">
        <f t="shared" si="18"/>
        <v>0.5</v>
      </c>
      <c r="AH39" s="1">
        <f t="shared" si="25"/>
        <v>6.6489361702127656</v>
      </c>
      <c r="AI39" s="6">
        <f t="shared" si="26"/>
        <v>36.324468085106382</v>
      </c>
      <c r="AJ39" s="5">
        <f t="shared" si="44"/>
        <v>0.52</v>
      </c>
      <c r="AK39" s="1">
        <f t="shared" si="45"/>
        <v>0.48</v>
      </c>
      <c r="AL39" s="1">
        <f t="shared" si="46"/>
        <v>6.6382978723404253</v>
      </c>
      <c r="AM39" s="6">
        <f t="shared" si="47"/>
        <v>36.319148936170215</v>
      </c>
    </row>
    <row r="40" spans="1:39" ht="15" thickBot="1">
      <c r="A40" s="199" t="s">
        <v>10</v>
      </c>
      <c r="B40" s="200"/>
      <c r="C40" s="201"/>
      <c r="E40" s="34" t="s">
        <v>154</v>
      </c>
      <c r="N40">
        <v>3.4000000000000002E-2</v>
      </c>
      <c r="O40">
        <f t="shared" si="27"/>
        <v>34</v>
      </c>
      <c r="P40" s="5">
        <f t="shared" si="28"/>
        <v>0.625</v>
      </c>
      <c r="Q40" s="1">
        <f t="shared" si="29"/>
        <v>0.375</v>
      </c>
      <c r="R40" s="1">
        <f t="shared" si="30"/>
        <v>4.9867021276595747</v>
      </c>
      <c r="S40" s="6">
        <f t="shared" si="31"/>
        <v>36.493351063829785</v>
      </c>
      <c r="T40" s="5">
        <f t="shared" si="32"/>
        <v>0.5</v>
      </c>
      <c r="U40" s="1">
        <f t="shared" si="33"/>
        <v>0.5</v>
      </c>
      <c r="V40" s="1">
        <f t="shared" si="34"/>
        <v>6.6489361702127656</v>
      </c>
      <c r="W40" s="6">
        <f t="shared" si="35"/>
        <v>37.324468085106382</v>
      </c>
      <c r="X40" s="5">
        <f t="shared" si="36"/>
        <v>0.41666666666666669</v>
      </c>
      <c r="Y40" s="1">
        <f t="shared" si="37"/>
        <v>0.58333333333333326</v>
      </c>
      <c r="Z40" s="1">
        <f t="shared" si="38"/>
        <v>7.7570921985815611</v>
      </c>
      <c r="AA40" s="6">
        <f t="shared" si="39"/>
        <v>37.87854609929078</v>
      </c>
      <c r="AB40" s="5">
        <f t="shared" si="40"/>
        <v>0.37</v>
      </c>
      <c r="AC40" s="1">
        <f t="shared" si="41"/>
        <v>0.63</v>
      </c>
      <c r="AD40" s="1">
        <f t="shared" si="42"/>
        <v>6.1994680851063828</v>
      </c>
      <c r="AE40" s="6">
        <f t="shared" si="43"/>
        <v>37.099734042553195</v>
      </c>
      <c r="AF40" s="5">
        <f t="shared" si="17"/>
        <v>0.5</v>
      </c>
      <c r="AG40" s="1">
        <f t="shared" si="18"/>
        <v>0.5</v>
      </c>
      <c r="AH40" s="1">
        <f t="shared" si="25"/>
        <v>6.6489361702127656</v>
      </c>
      <c r="AI40" s="6">
        <f t="shared" si="26"/>
        <v>37.324468085106382</v>
      </c>
      <c r="AJ40" s="5">
        <f t="shared" si="44"/>
        <v>0.52</v>
      </c>
      <c r="AK40" s="1">
        <f t="shared" si="45"/>
        <v>0.48</v>
      </c>
      <c r="AL40" s="1">
        <f t="shared" si="46"/>
        <v>6.6382978723404253</v>
      </c>
      <c r="AM40" s="6">
        <f t="shared" si="47"/>
        <v>37.319148936170215</v>
      </c>
    </row>
    <row r="41" spans="1:39">
      <c r="A41" s="75" t="s">
        <v>82</v>
      </c>
      <c r="B41" s="76">
        <f>((V48_Min-V12_Nom)/(2*Lm*Fsw))*((V12_Nom*Rcs)/V48_Min)*1000</f>
        <v>2.4933510638297873</v>
      </c>
      <c r="C41" s="77" t="s">
        <v>72</v>
      </c>
      <c r="N41">
        <v>3.5000000000000003E-2</v>
      </c>
      <c r="O41">
        <f t="shared" si="27"/>
        <v>35</v>
      </c>
      <c r="P41" s="5">
        <f t="shared" si="28"/>
        <v>0.625</v>
      </c>
      <c r="Q41" s="1">
        <f t="shared" si="29"/>
        <v>0.375</v>
      </c>
      <c r="R41" s="1">
        <f t="shared" si="30"/>
        <v>4.9867021276595747</v>
      </c>
      <c r="S41" s="6">
        <f t="shared" si="31"/>
        <v>37.493351063829785</v>
      </c>
      <c r="T41" s="5">
        <f t="shared" si="32"/>
        <v>0.5</v>
      </c>
      <c r="U41" s="1">
        <f t="shared" si="33"/>
        <v>0.5</v>
      </c>
      <c r="V41" s="1">
        <f t="shared" si="34"/>
        <v>6.6489361702127656</v>
      </c>
      <c r="W41" s="6">
        <f t="shared" si="35"/>
        <v>38.324468085106382</v>
      </c>
      <c r="X41" s="5">
        <f t="shared" si="36"/>
        <v>0.41666666666666669</v>
      </c>
      <c r="Y41" s="1">
        <f t="shared" si="37"/>
        <v>0.58333333333333326</v>
      </c>
      <c r="Z41" s="1">
        <f t="shared" si="38"/>
        <v>7.7570921985815611</v>
      </c>
      <c r="AA41" s="6">
        <f t="shared" si="39"/>
        <v>38.87854609929078</v>
      </c>
      <c r="AB41" s="5">
        <f t="shared" si="40"/>
        <v>0.37</v>
      </c>
      <c r="AC41" s="1">
        <f t="shared" si="41"/>
        <v>0.63</v>
      </c>
      <c r="AD41" s="1">
        <f t="shared" si="42"/>
        <v>6.1994680851063828</v>
      </c>
      <c r="AE41" s="6">
        <f t="shared" si="43"/>
        <v>38.099734042553195</v>
      </c>
      <c r="AF41" s="5">
        <f t="shared" si="17"/>
        <v>0.5</v>
      </c>
      <c r="AG41" s="1">
        <f t="shared" si="18"/>
        <v>0.5</v>
      </c>
      <c r="AH41" s="1">
        <f t="shared" si="25"/>
        <v>6.6489361702127656</v>
      </c>
      <c r="AI41" s="6">
        <f t="shared" si="26"/>
        <v>38.324468085106382</v>
      </c>
      <c r="AJ41" s="5">
        <f t="shared" si="44"/>
        <v>0.52</v>
      </c>
      <c r="AK41" s="1">
        <f t="shared" si="45"/>
        <v>0.48</v>
      </c>
      <c r="AL41" s="1">
        <f t="shared" si="46"/>
        <v>6.6382978723404253</v>
      </c>
      <c r="AM41" s="6">
        <f t="shared" si="47"/>
        <v>38.319148936170215</v>
      </c>
    </row>
    <row r="42" spans="1:39">
      <c r="A42" s="78" t="s">
        <v>83</v>
      </c>
      <c r="B42" s="57">
        <f>(B41/1000)/Rcs</f>
        <v>2.4933510638297873</v>
      </c>
      <c r="C42" s="42" t="s">
        <v>4</v>
      </c>
      <c r="N42">
        <v>3.5999999999999997E-2</v>
      </c>
      <c r="O42">
        <f t="shared" si="27"/>
        <v>36</v>
      </c>
      <c r="P42" s="5">
        <f t="shared" si="28"/>
        <v>0.625</v>
      </c>
      <c r="Q42" s="1">
        <f t="shared" si="29"/>
        <v>0.375</v>
      </c>
      <c r="R42" s="1">
        <f t="shared" si="30"/>
        <v>4.9867021276595747</v>
      </c>
      <c r="S42" s="6">
        <f t="shared" si="31"/>
        <v>38.493351063829785</v>
      </c>
      <c r="T42" s="5">
        <f t="shared" si="32"/>
        <v>0.5</v>
      </c>
      <c r="U42" s="1">
        <f t="shared" si="33"/>
        <v>0.5</v>
      </c>
      <c r="V42" s="1">
        <f t="shared" si="34"/>
        <v>6.6489361702127656</v>
      </c>
      <c r="W42" s="6">
        <f t="shared" si="35"/>
        <v>39.324468085106382</v>
      </c>
      <c r="X42" s="5">
        <f t="shared" si="36"/>
        <v>0.41666666666666669</v>
      </c>
      <c r="Y42" s="1">
        <f t="shared" si="37"/>
        <v>0.58333333333333326</v>
      </c>
      <c r="Z42" s="1">
        <f t="shared" si="38"/>
        <v>7.7570921985815611</v>
      </c>
      <c r="AA42" s="6">
        <f t="shared" si="39"/>
        <v>39.87854609929078</v>
      </c>
      <c r="AB42" s="5">
        <f t="shared" si="40"/>
        <v>0.37</v>
      </c>
      <c r="AC42" s="1">
        <f t="shared" si="41"/>
        <v>0.63</v>
      </c>
      <c r="AD42" s="1">
        <f t="shared" si="42"/>
        <v>6.1994680851063828</v>
      </c>
      <c r="AE42" s="6">
        <f t="shared" si="43"/>
        <v>39.099734042553195</v>
      </c>
      <c r="AF42" s="5">
        <f t="shared" si="17"/>
        <v>0.5</v>
      </c>
      <c r="AG42" s="1">
        <f t="shared" si="18"/>
        <v>0.5</v>
      </c>
      <c r="AH42" s="1">
        <f t="shared" si="25"/>
        <v>6.6489361702127656</v>
      </c>
      <c r="AI42" s="6">
        <f t="shared" si="26"/>
        <v>39.324468085106382</v>
      </c>
      <c r="AJ42" s="5">
        <f t="shared" si="44"/>
        <v>0.52</v>
      </c>
      <c r="AK42" s="1">
        <f t="shared" si="45"/>
        <v>0.48</v>
      </c>
      <c r="AL42" s="1">
        <f t="shared" si="46"/>
        <v>6.6382978723404253</v>
      </c>
      <c r="AM42" s="6">
        <f t="shared" si="47"/>
        <v>39.319148936170215</v>
      </c>
    </row>
    <row r="43" spans="1:39">
      <c r="A43" s="78" t="s">
        <v>383</v>
      </c>
      <c r="B43" s="50">
        <f>(V12_Nom/V48_Min)</f>
        <v>0.625</v>
      </c>
      <c r="C43" s="42"/>
      <c r="N43">
        <v>3.6999999999999998E-2</v>
      </c>
      <c r="O43">
        <f t="shared" si="27"/>
        <v>37</v>
      </c>
      <c r="P43" s="5">
        <f t="shared" si="28"/>
        <v>0.625</v>
      </c>
      <c r="Q43" s="1">
        <f t="shared" si="29"/>
        <v>0.375</v>
      </c>
      <c r="R43" s="1">
        <f t="shared" si="30"/>
        <v>4.9867021276595747</v>
      </c>
      <c r="S43" s="6">
        <f t="shared" si="31"/>
        <v>39.493351063829785</v>
      </c>
      <c r="T43" s="5">
        <f t="shared" si="32"/>
        <v>0.5</v>
      </c>
      <c r="U43" s="1">
        <f t="shared" si="33"/>
        <v>0.5</v>
      </c>
      <c r="V43" s="1">
        <f t="shared" si="34"/>
        <v>6.6489361702127656</v>
      </c>
      <c r="W43" s="6">
        <f t="shared" si="35"/>
        <v>40.324468085106382</v>
      </c>
      <c r="X43" s="5">
        <f t="shared" si="36"/>
        <v>0.41666666666666669</v>
      </c>
      <c r="Y43" s="1">
        <f t="shared" si="37"/>
        <v>0.58333333333333326</v>
      </c>
      <c r="Z43" s="1">
        <f t="shared" si="38"/>
        <v>7.7570921985815611</v>
      </c>
      <c r="AA43" s="6">
        <f t="shared" si="39"/>
        <v>40.87854609929078</v>
      </c>
      <c r="AB43" s="5">
        <f t="shared" si="40"/>
        <v>0.37</v>
      </c>
      <c r="AC43" s="1">
        <f t="shared" si="41"/>
        <v>0.63</v>
      </c>
      <c r="AD43" s="1">
        <f t="shared" si="42"/>
        <v>6.1994680851063828</v>
      </c>
      <c r="AE43" s="6">
        <f t="shared" si="43"/>
        <v>40.099734042553195</v>
      </c>
      <c r="AF43" s="5">
        <f t="shared" si="17"/>
        <v>0.5</v>
      </c>
      <c r="AG43" s="1">
        <f t="shared" si="18"/>
        <v>0.5</v>
      </c>
      <c r="AH43" s="1">
        <f t="shared" si="25"/>
        <v>6.6489361702127656</v>
      </c>
      <c r="AI43" s="6">
        <f t="shared" si="26"/>
        <v>40.324468085106382</v>
      </c>
      <c r="AJ43" s="5">
        <f t="shared" si="44"/>
        <v>0.52</v>
      </c>
      <c r="AK43" s="1">
        <f t="shared" si="45"/>
        <v>0.48</v>
      </c>
      <c r="AL43" s="1">
        <f t="shared" si="46"/>
        <v>6.6382978723404253</v>
      </c>
      <c r="AM43" s="6">
        <f t="shared" si="47"/>
        <v>40.319148936170215</v>
      </c>
    </row>
    <row r="44" spans="1:39">
      <c r="A44" s="78" t="s">
        <v>74</v>
      </c>
      <c r="B44" s="56">
        <f>((V48_Nom-V12_Nom)/(2*Lm*Fsw))*((V12_Nom*Rcs)/V48_Nom)*1000</f>
        <v>3.3244680851063833</v>
      </c>
      <c r="C44" s="42" t="s">
        <v>72</v>
      </c>
      <c r="N44">
        <v>3.7999999999999999E-2</v>
      </c>
      <c r="O44">
        <f t="shared" si="27"/>
        <v>38</v>
      </c>
      <c r="P44" s="5">
        <f t="shared" si="28"/>
        <v>0.625</v>
      </c>
      <c r="Q44" s="1">
        <f t="shared" si="29"/>
        <v>0.375</v>
      </c>
      <c r="R44" s="1">
        <f t="shared" si="30"/>
        <v>4.9867021276595747</v>
      </c>
      <c r="S44" s="6">
        <f t="shared" si="31"/>
        <v>40.493351063829785</v>
      </c>
      <c r="T44" s="5">
        <f t="shared" si="32"/>
        <v>0.5</v>
      </c>
      <c r="U44" s="1">
        <f t="shared" si="33"/>
        <v>0.5</v>
      </c>
      <c r="V44" s="1">
        <f t="shared" si="34"/>
        <v>6.6489361702127656</v>
      </c>
      <c r="W44" s="6">
        <f t="shared" si="35"/>
        <v>41.324468085106382</v>
      </c>
      <c r="X44" s="5">
        <f t="shared" si="36"/>
        <v>0.41666666666666669</v>
      </c>
      <c r="Y44" s="1">
        <f t="shared" si="37"/>
        <v>0.58333333333333326</v>
      </c>
      <c r="Z44" s="1">
        <f t="shared" si="38"/>
        <v>7.7570921985815611</v>
      </c>
      <c r="AA44" s="6">
        <f t="shared" si="39"/>
        <v>41.87854609929078</v>
      </c>
      <c r="AB44" s="5">
        <f t="shared" si="40"/>
        <v>0.37</v>
      </c>
      <c r="AC44" s="1">
        <f t="shared" si="41"/>
        <v>0.63</v>
      </c>
      <c r="AD44" s="1">
        <f t="shared" si="42"/>
        <v>6.1994680851063828</v>
      </c>
      <c r="AE44" s="6">
        <f t="shared" si="43"/>
        <v>41.099734042553195</v>
      </c>
      <c r="AF44" s="5">
        <f t="shared" si="17"/>
        <v>0.5</v>
      </c>
      <c r="AG44" s="1">
        <f t="shared" si="18"/>
        <v>0.5</v>
      </c>
      <c r="AH44" s="1">
        <f t="shared" si="25"/>
        <v>6.6489361702127656</v>
      </c>
      <c r="AI44" s="6">
        <f t="shared" si="26"/>
        <v>41.324468085106382</v>
      </c>
      <c r="AJ44" s="5">
        <f t="shared" si="44"/>
        <v>0.52</v>
      </c>
      <c r="AK44" s="1">
        <f t="shared" si="45"/>
        <v>0.48</v>
      </c>
      <c r="AL44" s="1">
        <f t="shared" si="46"/>
        <v>6.6382978723404253</v>
      </c>
      <c r="AM44" s="6">
        <f t="shared" si="47"/>
        <v>41.319148936170215</v>
      </c>
    </row>
    <row r="45" spans="1:39">
      <c r="A45" s="78" t="s">
        <v>81</v>
      </c>
      <c r="B45" s="57">
        <f>(B44/1000)/Rcs</f>
        <v>3.3244680851063833</v>
      </c>
      <c r="C45" s="42" t="s">
        <v>4</v>
      </c>
      <c r="N45">
        <v>3.9E-2</v>
      </c>
      <c r="O45">
        <f t="shared" si="27"/>
        <v>39</v>
      </c>
      <c r="P45" s="5">
        <f t="shared" si="28"/>
        <v>0.625</v>
      </c>
      <c r="Q45" s="1">
        <f t="shared" si="29"/>
        <v>0.375</v>
      </c>
      <c r="R45" s="1">
        <f t="shared" si="30"/>
        <v>4.9867021276595747</v>
      </c>
      <c r="S45" s="6">
        <f t="shared" si="31"/>
        <v>41.493351063829785</v>
      </c>
      <c r="T45" s="5">
        <f t="shared" si="32"/>
        <v>0.5</v>
      </c>
      <c r="U45" s="1">
        <f t="shared" si="33"/>
        <v>0.5</v>
      </c>
      <c r="V45" s="1">
        <f t="shared" si="34"/>
        <v>6.6489361702127656</v>
      </c>
      <c r="W45" s="6">
        <f t="shared" si="35"/>
        <v>42.324468085106382</v>
      </c>
      <c r="X45" s="5">
        <f t="shared" si="36"/>
        <v>0.41666666666666669</v>
      </c>
      <c r="Y45" s="1">
        <f t="shared" si="37"/>
        <v>0.58333333333333326</v>
      </c>
      <c r="Z45" s="1">
        <f t="shared" si="38"/>
        <v>7.7570921985815611</v>
      </c>
      <c r="AA45" s="6">
        <f t="shared" si="39"/>
        <v>42.87854609929078</v>
      </c>
      <c r="AB45" s="5">
        <f t="shared" si="40"/>
        <v>0.37</v>
      </c>
      <c r="AC45" s="1">
        <f t="shared" si="41"/>
        <v>0.63</v>
      </c>
      <c r="AD45" s="1">
        <f t="shared" si="42"/>
        <v>6.1994680851063828</v>
      </c>
      <c r="AE45" s="6">
        <f t="shared" si="43"/>
        <v>42.099734042553195</v>
      </c>
      <c r="AF45" s="5">
        <f t="shared" si="17"/>
        <v>0.5</v>
      </c>
      <c r="AG45" s="1">
        <f t="shared" si="18"/>
        <v>0.5</v>
      </c>
      <c r="AH45" s="1">
        <f t="shared" si="25"/>
        <v>6.6489361702127656</v>
      </c>
      <c r="AI45" s="6">
        <f t="shared" si="26"/>
        <v>42.324468085106382</v>
      </c>
      <c r="AJ45" s="5">
        <f t="shared" si="44"/>
        <v>0.52</v>
      </c>
      <c r="AK45" s="1">
        <f t="shared" si="45"/>
        <v>0.48</v>
      </c>
      <c r="AL45" s="1">
        <f t="shared" si="46"/>
        <v>6.6382978723404253</v>
      </c>
      <c r="AM45" s="6">
        <f t="shared" si="47"/>
        <v>42.319148936170215</v>
      </c>
    </row>
    <row r="46" spans="1:39">
      <c r="A46" s="78" t="s">
        <v>383</v>
      </c>
      <c r="B46" s="61">
        <f>(V12_Nom/V48_Nom)</f>
        <v>0.5</v>
      </c>
      <c r="C46" s="42"/>
      <c r="N46">
        <v>0.04</v>
      </c>
      <c r="O46">
        <f t="shared" si="27"/>
        <v>40</v>
      </c>
      <c r="P46" s="5">
        <f t="shared" si="28"/>
        <v>0.625</v>
      </c>
      <c r="Q46" s="1">
        <f t="shared" si="29"/>
        <v>0.375</v>
      </c>
      <c r="R46" s="1">
        <f t="shared" si="30"/>
        <v>4.9867021276595747</v>
      </c>
      <c r="S46" s="6">
        <f t="shared" si="31"/>
        <v>42.493351063829785</v>
      </c>
      <c r="T46" s="5">
        <f t="shared" si="32"/>
        <v>0.5</v>
      </c>
      <c r="U46" s="1">
        <f t="shared" si="33"/>
        <v>0.5</v>
      </c>
      <c r="V46" s="1">
        <f t="shared" si="34"/>
        <v>6.6489361702127656</v>
      </c>
      <c r="W46" s="6">
        <f t="shared" si="35"/>
        <v>43.324468085106382</v>
      </c>
      <c r="X46" s="5">
        <f t="shared" si="36"/>
        <v>0.41666666666666669</v>
      </c>
      <c r="Y46" s="1">
        <f t="shared" si="37"/>
        <v>0.58333333333333326</v>
      </c>
      <c r="Z46" s="1">
        <f t="shared" si="38"/>
        <v>7.7570921985815611</v>
      </c>
      <c r="AA46" s="6">
        <f t="shared" si="39"/>
        <v>43.87854609929078</v>
      </c>
      <c r="AB46" s="5">
        <f t="shared" si="40"/>
        <v>0.37</v>
      </c>
      <c r="AC46" s="1">
        <f t="shared" si="41"/>
        <v>0.63</v>
      </c>
      <c r="AD46" s="1">
        <f t="shared" si="42"/>
        <v>6.1994680851063828</v>
      </c>
      <c r="AE46" s="6">
        <f t="shared" si="43"/>
        <v>43.099734042553195</v>
      </c>
      <c r="AF46" s="5">
        <f t="shared" si="17"/>
        <v>0.5</v>
      </c>
      <c r="AG46" s="1">
        <f t="shared" si="18"/>
        <v>0.5</v>
      </c>
      <c r="AH46" s="1">
        <f t="shared" si="25"/>
        <v>6.6489361702127656</v>
      </c>
      <c r="AI46" s="6">
        <f t="shared" si="26"/>
        <v>43.324468085106382</v>
      </c>
      <c r="AJ46" s="5">
        <f t="shared" si="44"/>
        <v>0.52</v>
      </c>
      <c r="AK46" s="1">
        <f t="shared" si="45"/>
        <v>0.48</v>
      </c>
      <c r="AL46" s="1">
        <f t="shared" si="46"/>
        <v>6.6382978723404253</v>
      </c>
      <c r="AM46" s="6">
        <f t="shared" si="47"/>
        <v>43.319148936170215</v>
      </c>
    </row>
    <row r="47" spans="1:39">
      <c r="A47" s="78" t="s">
        <v>84</v>
      </c>
      <c r="B47" s="56">
        <f>((V48_Max-V12_Nom)/(2*Lm*Fsw))*((V12_Nom*Rcs)/V48_Max)*1000</f>
        <v>3.878546099290781</v>
      </c>
      <c r="C47" s="42" t="s">
        <v>72</v>
      </c>
      <c r="N47">
        <v>4.1000000000000002E-2</v>
      </c>
      <c r="O47">
        <f t="shared" si="27"/>
        <v>41</v>
      </c>
      <c r="P47" s="5">
        <f t="shared" si="28"/>
        <v>0.625</v>
      </c>
      <c r="Q47" s="1">
        <f t="shared" si="29"/>
        <v>0.375</v>
      </c>
      <c r="R47" s="1">
        <f t="shared" si="30"/>
        <v>4.9867021276595747</v>
      </c>
      <c r="S47" s="6">
        <f t="shared" si="31"/>
        <v>43.493351063829785</v>
      </c>
      <c r="T47" s="5">
        <f t="shared" si="32"/>
        <v>0.5</v>
      </c>
      <c r="U47" s="1">
        <f t="shared" si="33"/>
        <v>0.5</v>
      </c>
      <c r="V47" s="1">
        <f t="shared" si="34"/>
        <v>6.6489361702127656</v>
      </c>
      <c r="W47" s="6">
        <f t="shared" si="35"/>
        <v>44.324468085106382</v>
      </c>
      <c r="X47" s="5">
        <f t="shared" si="36"/>
        <v>0.41666666666666669</v>
      </c>
      <c r="Y47" s="1">
        <f t="shared" si="37"/>
        <v>0.58333333333333326</v>
      </c>
      <c r="Z47" s="1">
        <f t="shared" si="38"/>
        <v>7.7570921985815611</v>
      </c>
      <c r="AA47" s="6">
        <f t="shared" si="39"/>
        <v>44.87854609929078</v>
      </c>
      <c r="AB47" s="5">
        <f t="shared" si="40"/>
        <v>0.37</v>
      </c>
      <c r="AC47" s="1">
        <f t="shared" si="41"/>
        <v>0.63</v>
      </c>
      <c r="AD47" s="1">
        <f t="shared" si="42"/>
        <v>6.1994680851063828</v>
      </c>
      <c r="AE47" s="6">
        <f t="shared" si="43"/>
        <v>44.099734042553195</v>
      </c>
      <c r="AF47" s="5">
        <f t="shared" si="17"/>
        <v>0.5</v>
      </c>
      <c r="AG47" s="1">
        <f t="shared" si="18"/>
        <v>0.5</v>
      </c>
      <c r="AH47" s="1">
        <f t="shared" si="25"/>
        <v>6.6489361702127656</v>
      </c>
      <c r="AI47" s="6">
        <f t="shared" si="26"/>
        <v>44.324468085106382</v>
      </c>
      <c r="AJ47" s="5">
        <f t="shared" si="44"/>
        <v>0.52</v>
      </c>
      <c r="AK47" s="1">
        <f t="shared" si="45"/>
        <v>0.48</v>
      </c>
      <c r="AL47" s="1">
        <f t="shared" si="46"/>
        <v>6.6382978723404253</v>
      </c>
      <c r="AM47" s="6">
        <f t="shared" si="47"/>
        <v>44.319148936170215</v>
      </c>
    </row>
    <row r="48" spans="1:39">
      <c r="A48" s="78" t="s">
        <v>85</v>
      </c>
      <c r="B48" s="57">
        <f>(B47/1000)/Rcs</f>
        <v>3.878546099290781</v>
      </c>
      <c r="C48" s="42" t="s">
        <v>4</v>
      </c>
      <c r="N48">
        <v>4.2000000000000003E-2</v>
      </c>
      <c r="O48">
        <f t="shared" si="27"/>
        <v>42</v>
      </c>
      <c r="P48" s="5">
        <f t="shared" si="28"/>
        <v>0.625</v>
      </c>
      <c r="Q48" s="1">
        <f t="shared" si="29"/>
        <v>0.375</v>
      </c>
      <c r="R48" s="1">
        <f t="shared" si="30"/>
        <v>4.9867021276595747</v>
      </c>
      <c r="S48" s="6">
        <f t="shared" si="31"/>
        <v>44.493351063829785</v>
      </c>
      <c r="T48" s="5">
        <f t="shared" si="32"/>
        <v>0.5</v>
      </c>
      <c r="U48" s="1">
        <f t="shared" si="33"/>
        <v>0.5</v>
      </c>
      <c r="V48" s="1">
        <f t="shared" si="34"/>
        <v>6.6489361702127656</v>
      </c>
      <c r="W48" s="6">
        <f t="shared" si="35"/>
        <v>45.324468085106382</v>
      </c>
      <c r="X48" s="5">
        <f t="shared" si="36"/>
        <v>0.41666666666666669</v>
      </c>
      <c r="Y48" s="1">
        <f t="shared" si="37"/>
        <v>0.58333333333333326</v>
      </c>
      <c r="Z48" s="1">
        <f t="shared" si="38"/>
        <v>7.7570921985815611</v>
      </c>
      <c r="AA48" s="6">
        <f t="shared" si="39"/>
        <v>45.87854609929078</v>
      </c>
      <c r="AB48" s="5">
        <f t="shared" si="40"/>
        <v>0.37</v>
      </c>
      <c r="AC48" s="1">
        <f t="shared" si="41"/>
        <v>0.63</v>
      </c>
      <c r="AD48" s="1">
        <f t="shared" si="42"/>
        <v>6.1994680851063828</v>
      </c>
      <c r="AE48" s="6">
        <f t="shared" si="43"/>
        <v>45.099734042553195</v>
      </c>
      <c r="AF48" s="5">
        <f t="shared" si="17"/>
        <v>0.5</v>
      </c>
      <c r="AG48" s="1">
        <f t="shared" si="18"/>
        <v>0.5</v>
      </c>
      <c r="AH48" s="1">
        <f t="shared" si="25"/>
        <v>6.6489361702127656</v>
      </c>
      <c r="AI48" s="6">
        <f t="shared" si="26"/>
        <v>45.324468085106382</v>
      </c>
      <c r="AJ48" s="5">
        <f t="shared" si="44"/>
        <v>0.52</v>
      </c>
      <c r="AK48" s="1">
        <f t="shared" si="45"/>
        <v>0.48</v>
      </c>
      <c r="AL48" s="1">
        <f t="shared" si="46"/>
        <v>6.6382978723404253</v>
      </c>
      <c r="AM48" s="6">
        <f t="shared" si="47"/>
        <v>45.319148936170215</v>
      </c>
    </row>
    <row r="49" spans="1:42" ht="15" thickBot="1">
      <c r="A49" s="79" t="s">
        <v>383</v>
      </c>
      <c r="B49" s="57">
        <f>(V12_Nom/V48_Max)</f>
        <v>0.41666666666666669</v>
      </c>
      <c r="C49" s="80"/>
      <c r="N49">
        <v>4.2999999999999997E-2</v>
      </c>
      <c r="O49">
        <f t="shared" si="27"/>
        <v>42.999999999999993</v>
      </c>
      <c r="P49" s="5">
        <f t="shared" si="28"/>
        <v>0.625</v>
      </c>
      <c r="Q49" s="1">
        <f t="shared" si="29"/>
        <v>0.375</v>
      </c>
      <c r="R49" s="1">
        <f t="shared" si="30"/>
        <v>4.9867021276595747</v>
      </c>
      <c r="S49" s="6">
        <f t="shared" si="31"/>
        <v>45.493351063829778</v>
      </c>
      <c r="T49" s="5">
        <f t="shared" si="32"/>
        <v>0.5</v>
      </c>
      <c r="U49" s="1">
        <f t="shared" si="33"/>
        <v>0.5</v>
      </c>
      <c r="V49" s="1">
        <f t="shared" si="34"/>
        <v>6.6489361702127656</v>
      </c>
      <c r="W49" s="6">
        <f t="shared" si="35"/>
        <v>46.324468085106375</v>
      </c>
      <c r="X49" s="5">
        <f t="shared" si="36"/>
        <v>0.41666666666666669</v>
      </c>
      <c r="Y49" s="1">
        <f t="shared" si="37"/>
        <v>0.58333333333333326</v>
      </c>
      <c r="Z49" s="1">
        <f t="shared" si="38"/>
        <v>7.7570921985815611</v>
      </c>
      <c r="AA49" s="6">
        <f t="shared" si="39"/>
        <v>46.878546099290773</v>
      </c>
      <c r="AB49" s="5">
        <f t="shared" si="40"/>
        <v>0.37</v>
      </c>
      <c r="AC49" s="1">
        <f t="shared" si="41"/>
        <v>0.63</v>
      </c>
      <c r="AD49" s="1">
        <f t="shared" si="42"/>
        <v>6.1994680851063828</v>
      </c>
      <c r="AE49" s="6">
        <f t="shared" si="43"/>
        <v>46.099734042553187</v>
      </c>
      <c r="AF49" s="5">
        <f t="shared" si="17"/>
        <v>0.5</v>
      </c>
      <c r="AG49" s="1">
        <f t="shared" si="18"/>
        <v>0.5</v>
      </c>
      <c r="AH49" s="1">
        <f t="shared" si="25"/>
        <v>6.6489361702127656</v>
      </c>
      <c r="AI49" s="6">
        <f t="shared" si="26"/>
        <v>46.324468085106375</v>
      </c>
      <c r="AJ49" s="5">
        <f t="shared" si="44"/>
        <v>0.52</v>
      </c>
      <c r="AK49" s="1">
        <f t="shared" si="45"/>
        <v>0.48</v>
      </c>
      <c r="AL49" s="1">
        <f t="shared" si="46"/>
        <v>6.6382978723404253</v>
      </c>
      <c r="AM49" s="6">
        <f t="shared" si="47"/>
        <v>46.319148936170208</v>
      </c>
    </row>
    <row r="50" spans="1:42">
      <c r="A50" s="75" t="s">
        <v>382</v>
      </c>
      <c r="B50" s="76">
        <f>((V48_Nom-V12_Min)/(2*Lm*Fsw))*((V12_Min*Rcs)/V48_Nom)*1000</f>
        <v>3.0997340425531914</v>
      </c>
      <c r="C50" s="77" t="s">
        <v>72</v>
      </c>
      <c r="N50">
        <v>4.3999999999999997E-2</v>
      </c>
      <c r="O50">
        <f t="shared" si="27"/>
        <v>44</v>
      </c>
      <c r="P50" s="5">
        <f t="shared" si="28"/>
        <v>0.625</v>
      </c>
      <c r="Q50" s="1">
        <f t="shared" si="29"/>
        <v>0.375</v>
      </c>
      <c r="R50" s="1">
        <f t="shared" si="30"/>
        <v>4.9867021276595747</v>
      </c>
      <c r="S50" s="6">
        <f t="shared" si="31"/>
        <v>46.493351063829785</v>
      </c>
      <c r="T50" s="5">
        <f t="shared" si="32"/>
        <v>0.5</v>
      </c>
      <c r="U50" s="1">
        <f t="shared" si="33"/>
        <v>0.5</v>
      </c>
      <c r="V50" s="1">
        <f t="shared" si="34"/>
        <v>6.6489361702127656</v>
      </c>
      <c r="W50" s="6">
        <f t="shared" si="35"/>
        <v>47.324468085106382</v>
      </c>
      <c r="X50" s="5">
        <f t="shared" si="36"/>
        <v>0.41666666666666669</v>
      </c>
      <c r="Y50" s="1">
        <f t="shared" si="37"/>
        <v>0.58333333333333326</v>
      </c>
      <c r="Z50" s="1">
        <f t="shared" si="38"/>
        <v>7.7570921985815611</v>
      </c>
      <c r="AA50" s="6">
        <f t="shared" si="39"/>
        <v>47.87854609929078</v>
      </c>
      <c r="AB50" s="5">
        <f t="shared" si="40"/>
        <v>0.37</v>
      </c>
      <c r="AC50" s="1">
        <f t="shared" si="41"/>
        <v>0.63</v>
      </c>
      <c r="AD50" s="1">
        <f t="shared" si="42"/>
        <v>6.1994680851063828</v>
      </c>
      <c r="AE50" s="6">
        <f t="shared" si="43"/>
        <v>47.099734042553195</v>
      </c>
      <c r="AF50" s="5">
        <f t="shared" si="17"/>
        <v>0.5</v>
      </c>
      <c r="AG50" s="1">
        <f t="shared" si="18"/>
        <v>0.5</v>
      </c>
      <c r="AH50" s="1">
        <f t="shared" si="25"/>
        <v>6.6489361702127656</v>
      </c>
      <c r="AI50" s="6">
        <f t="shared" si="26"/>
        <v>47.324468085106382</v>
      </c>
      <c r="AJ50" s="5">
        <f t="shared" si="44"/>
        <v>0.52</v>
      </c>
      <c r="AK50" s="1">
        <f t="shared" si="45"/>
        <v>0.48</v>
      </c>
      <c r="AL50" s="1">
        <f t="shared" si="46"/>
        <v>6.6382978723404253</v>
      </c>
      <c r="AM50" s="6">
        <f t="shared" si="47"/>
        <v>47.319148936170215</v>
      </c>
    </row>
    <row r="51" spans="1:42">
      <c r="A51" s="78" t="s">
        <v>381</v>
      </c>
      <c r="B51" s="57">
        <f>(B50/1000)/Rcs</f>
        <v>3.0997340425531914</v>
      </c>
      <c r="C51" s="42" t="s">
        <v>4</v>
      </c>
      <c r="N51">
        <v>4.4999999999999998E-2</v>
      </c>
      <c r="O51">
        <f t="shared" si="27"/>
        <v>45</v>
      </c>
      <c r="P51" s="5">
        <f t="shared" si="28"/>
        <v>0.625</v>
      </c>
      <c r="Q51" s="1">
        <f t="shared" si="29"/>
        <v>0.375</v>
      </c>
      <c r="R51" s="1">
        <f t="shared" si="30"/>
        <v>4.9867021276595747</v>
      </c>
      <c r="S51" s="6">
        <f t="shared" si="31"/>
        <v>47.493351063829785</v>
      </c>
      <c r="T51" s="5">
        <f t="shared" si="32"/>
        <v>0.5</v>
      </c>
      <c r="U51" s="1">
        <f t="shared" si="33"/>
        <v>0.5</v>
      </c>
      <c r="V51" s="1">
        <f t="shared" si="34"/>
        <v>6.6489361702127656</v>
      </c>
      <c r="W51" s="6">
        <f t="shared" si="35"/>
        <v>48.324468085106382</v>
      </c>
      <c r="X51" s="5">
        <f t="shared" si="36"/>
        <v>0.41666666666666669</v>
      </c>
      <c r="Y51" s="1">
        <f t="shared" si="37"/>
        <v>0.58333333333333326</v>
      </c>
      <c r="Z51" s="1">
        <f t="shared" si="38"/>
        <v>7.7570921985815611</v>
      </c>
      <c r="AA51" s="6">
        <f t="shared" si="39"/>
        <v>48.87854609929078</v>
      </c>
      <c r="AB51" s="5">
        <f t="shared" si="40"/>
        <v>0.37</v>
      </c>
      <c r="AC51" s="1">
        <f t="shared" si="41"/>
        <v>0.63</v>
      </c>
      <c r="AD51" s="1">
        <f t="shared" si="42"/>
        <v>6.1994680851063828</v>
      </c>
      <c r="AE51" s="6">
        <f t="shared" si="43"/>
        <v>48.099734042553195</v>
      </c>
      <c r="AF51" s="5">
        <f t="shared" si="17"/>
        <v>0.5</v>
      </c>
      <c r="AG51" s="1">
        <f t="shared" si="18"/>
        <v>0.5</v>
      </c>
      <c r="AH51" s="1">
        <f t="shared" si="25"/>
        <v>6.6489361702127656</v>
      </c>
      <c r="AI51" s="6">
        <f t="shared" si="26"/>
        <v>48.324468085106382</v>
      </c>
      <c r="AJ51" s="5">
        <f t="shared" si="44"/>
        <v>0.52</v>
      </c>
      <c r="AK51" s="1">
        <f t="shared" si="45"/>
        <v>0.48</v>
      </c>
      <c r="AL51" s="1">
        <f t="shared" si="46"/>
        <v>6.6382978723404253</v>
      </c>
      <c r="AM51" s="6">
        <f t="shared" si="47"/>
        <v>48.319148936170215</v>
      </c>
    </row>
    <row r="52" spans="1:42">
      <c r="A52" s="78" t="s">
        <v>383</v>
      </c>
      <c r="B52" s="50">
        <f>1-(V12_Min/V48_Nom)</f>
        <v>0.63</v>
      </c>
      <c r="C52" s="42"/>
      <c r="N52">
        <v>4.5999999999999999E-2</v>
      </c>
      <c r="O52">
        <f t="shared" si="27"/>
        <v>46</v>
      </c>
      <c r="P52" s="5">
        <f t="shared" si="28"/>
        <v>0.625</v>
      </c>
      <c r="Q52" s="1">
        <f t="shared" si="29"/>
        <v>0.375</v>
      </c>
      <c r="R52" s="1">
        <f t="shared" si="30"/>
        <v>4.9867021276595747</v>
      </c>
      <c r="S52" s="6">
        <f t="shared" si="31"/>
        <v>48.493351063829785</v>
      </c>
      <c r="T52" s="5">
        <f t="shared" si="32"/>
        <v>0.5</v>
      </c>
      <c r="U52" s="1">
        <f t="shared" si="33"/>
        <v>0.5</v>
      </c>
      <c r="V52" s="1">
        <f t="shared" si="34"/>
        <v>6.6489361702127656</v>
      </c>
      <c r="W52" s="6">
        <f t="shared" si="35"/>
        <v>49.324468085106382</v>
      </c>
      <c r="X52" s="5">
        <f t="shared" si="36"/>
        <v>0.41666666666666669</v>
      </c>
      <c r="Y52" s="1">
        <f t="shared" si="37"/>
        <v>0.58333333333333326</v>
      </c>
      <c r="Z52" s="1">
        <f t="shared" si="38"/>
        <v>7.7570921985815611</v>
      </c>
      <c r="AA52" s="6">
        <f t="shared" si="39"/>
        <v>49.87854609929078</v>
      </c>
      <c r="AB52" s="5">
        <f t="shared" si="40"/>
        <v>0.37</v>
      </c>
      <c r="AC52" s="1">
        <f t="shared" si="41"/>
        <v>0.63</v>
      </c>
      <c r="AD52" s="1">
        <f t="shared" si="42"/>
        <v>6.1994680851063828</v>
      </c>
      <c r="AE52" s="6">
        <f t="shared" si="43"/>
        <v>49.099734042553195</v>
      </c>
      <c r="AF52" s="5">
        <f t="shared" si="17"/>
        <v>0.5</v>
      </c>
      <c r="AG52" s="1">
        <f t="shared" si="18"/>
        <v>0.5</v>
      </c>
      <c r="AH52" s="1">
        <f t="shared" si="25"/>
        <v>6.6489361702127656</v>
      </c>
      <c r="AI52" s="6">
        <f t="shared" si="26"/>
        <v>49.324468085106382</v>
      </c>
      <c r="AJ52" s="5">
        <f t="shared" si="44"/>
        <v>0.52</v>
      </c>
      <c r="AK52" s="1">
        <f t="shared" si="45"/>
        <v>0.48</v>
      </c>
      <c r="AL52" s="1">
        <f t="shared" si="46"/>
        <v>6.6382978723404253</v>
      </c>
      <c r="AM52" s="6">
        <f t="shared" si="47"/>
        <v>49.319148936170215</v>
      </c>
    </row>
    <row r="53" spans="1:42">
      <c r="A53" s="78" t="s">
        <v>74</v>
      </c>
      <c r="B53" s="56">
        <f>((V48_Nom-V12_Nom)/(2*Lm*Fsw))*((V12_Nom*Rcs)/V48_Nom)*1000</f>
        <v>3.3244680851063833</v>
      </c>
      <c r="C53" s="42" t="s">
        <v>72</v>
      </c>
      <c r="N53">
        <v>4.7E-2</v>
      </c>
      <c r="O53">
        <f t="shared" si="27"/>
        <v>47</v>
      </c>
      <c r="P53" s="5">
        <f t="shared" si="28"/>
        <v>0.625</v>
      </c>
      <c r="Q53" s="1">
        <f t="shared" si="29"/>
        <v>0.375</v>
      </c>
      <c r="R53" s="1">
        <f t="shared" si="30"/>
        <v>4.9867021276595747</v>
      </c>
      <c r="S53" s="6">
        <f t="shared" si="31"/>
        <v>49.493351063829785</v>
      </c>
      <c r="T53" s="5">
        <f t="shared" si="32"/>
        <v>0.5</v>
      </c>
      <c r="U53" s="1">
        <f t="shared" si="33"/>
        <v>0.5</v>
      </c>
      <c r="V53" s="1">
        <f t="shared" si="34"/>
        <v>6.6489361702127656</v>
      </c>
      <c r="W53" s="6">
        <f t="shared" si="35"/>
        <v>50.324468085106382</v>
      </c>
      <c r="X53" s="5">
        <f t="shared" si="36"/>
        <v>0.41666666666666669</v>
      </c>
      <c r="Y53" s="1">
        <f t="shared" si="37"/>
        <v>0.58333333333333326</v>
      </c>
      <c r="Z53" s="1">
        <f t="shared" si="38"/>
        <v>7.7570921985815611</v>
      </c>
      <c r="AA53" s="6">
        <f t="shared" si="39"/>
        <v>50.87854609929078</v>
      </c>
      <c r="AB53" s="5">
        <f t="shared" si="40"/>
        <v>0.37</v>
      </c>
      <c r="AC53" s="1">
        <f t="shared" si="41"/>
        <v>0.63</v>
      </c>
      <c r="AD53" s="1">
        <f t="shared" si="42"/>
        <v>6.1994680851063828</v>
      </c>
      <c r="AE53" s="6">
        <f t="shared" si="43"/>
        <v>50.099734042553195</v>
      </c>
      <c r="AF53" s="5">
        <f t="shared" si="17"/>
        <v>0.5</v>
      </c>
      <c r="AG53" s="1">
        <f t="shared" si="18"/>
        <v>0.5</v>
      </c>
      <c r="AH53" s="1">
        <f t="shared" si="25"/>
        <v>6.6489361702127656</v>
      </c>
      <c r="AI53" s="6">
        <f t="shared" si="26"/>
        <v>50.324468085106382</v>
      </c>
      <c r="AJ53" s="5">
        <f t="shared" si="44"/>
        <v>0.52</v>
      </c>
      <c r="AK53" s="1">
        <f t="shared" si="45"/>
        <v>0.48</v>
      </c>
      <c r="AL53" s="1">
        <f t="shared" si="46"/>
        <v>6.6382978723404253</v>
      </c>
      <c r="AM53" s="6">
        <f t="shared" si="47"/>
        <v>50.319148936170215</v>
      </c>
    </row>
    <row r="54" spans="1:42">
      <c r="A54" s="78" t="s">
        <v>81</v>
      </c>
      <c r="B54" s="57">
        <f>(B53/1000)/Rcs</f>
        <v>3.3244680851063833</v>
      </c>
      <c r="C54" s="42" t="s">
        <v>4</v>
      </c>
      <c r="N54">
        <v>4.8000000000000001E-2</v>
      </c>
      <c r="O54">
        <f t="shared" si="27"/>
        <v>48</v>
      </c>
      <c r="P54" s="5">
        <f t="shared" si="28"/>
        <v>0.625</v>
      </c>
      <c r="Q54" s="1">
        <f t="shared" si="29"/>
        <v>0.375</v>
      </c>
      <c r="R54" s="1">
        <f t="shared" si="30"/>
        <v>4.9867021276595747</v>
      </c>
      <c r="S54" s="6">
        <f t="shared" si="31"/>
        <v>50.493351063829785</v>
      </c>
      <c r="T54" s="5">
        <f t="shared" si="32"/>
        <v>0.5</v>
      </c>
      <c r="U54" s="1">
        <f t="shared" si="33"/>
        <v>0.5</v>
      </c>
      <c r="V54" s="1">
        <f t="shared" si="34"/>
        <v>6.6489361702127656</v>
      </c>
      <c r="W54" s="6">
        <f t="shared" si="35"/>
        <v>51.324468085106382</v>
      </c>
      <c r="X54" s="5">
        <f t="shared" si="36"/>
        <v>0.41666666666666669</v>
      </c>
      <c r="Y54" s="1">
        <f t="shared" si="37"/>
        <v>0.58333333333333326</v>
      </c>
      <c r="Z54" s="1">
        <f t="shared" si="38"/>
        <v>7.7570921985815611</v>
      </c>
      <c r="AA54" s="6">
        <f t="shared" si="39"/>
        <v>51.87854609929078</v>
      </c>
      <c r="AB54" s="5">
        <f t="shared" si="40"/>
        <v>0.37</v>
      </c>
      <c r="AC54" s="1">
        <f t="shared" si="41"/>
        <v>0.63</v>
      </c>
      <c r="AD54" s="1">
        <f t="shared" si="42"/>
        <v>6.1994680851063828</v>
      </c>
      <c r="AE54" s="6">
        <f t="shared" si="43"/>
        <v>51.099734042553195</v>
      </c>
      <c r="AF54" s="5">
        <f t="shared" si="17"/>
        <v>0.5</v>
      </c>
      <c r="AG54" s="1">
        <f t="shared" si="18"/>
        <v>0.5</v>
      </c>
      <c r="AH54" s="1">
        <f t="shared" si="25"/>
        <v>6.6489361702127656</v>
      </c>
      <c r="AI54" s="6">
        <f t="shared" si="26"/>
        <v>51.324468085106382</v>
      </c>
      <c r="AJ54" s="5">
        <f t="shared" si="44"/>
        <v>0.52</v>
      </c>
      <c r="AK54" s="1">
        <f t="shared" si="45"/>
        <v>0.48</v>
      </c>
      <c r="AL54" s="1">
        <f t="shared" si="46"/>
        <v>6.6382978723404253</v>
      </c>
      <c r="AM54" s="6">
        <f t="shared" si="47"/>
        <v>51.319148936170215</v>
      </c>
    </row>
    <row r="55" spans="1:42">
      <c r="A55" s="78" t="s">
        <v>383</v>
      </c>
      <c r="B55" s="57">
        <f>1-(V12_Nom/V48_Nom)</f>
        <v>0.5</v>
      </c>
      <c r="C55" s="42"/>
      <c r="N55">
        <v>4.9000000000000002E-2</v>
      </c>
      <c r="O55">
        <f t="shared" si="27"/>
        <v>49</v>
      </c>
      <c r="P55" s="5">
        <f t="shared" si="28"/>
        <v>0.625</v>
      </c>
      <c r="Q55" s="1">
        <f t="shared" si="29"/>
        <v>0.375</v>
      </c>
      <c r="R55" s="1">
        <f t="shared" si="30"/>
        <v>4.9867021276595747</v>
      </c>
      <c r="S55" s="6">
        <f t="shared" si="31"/>
        <v>51.493351063829785</v>
      </c>
      <c r="T55" s="5">
        <f t="shared" si="32"/>
        <v>0.5</v>
      </c>
      <c r="U55" s="1">
        <f t="shared" si="33"/>
        <v>0.5</v>
      </c>
      <c r="V55" s="1">
        <f t="shared" si="34"/>
        <v>6.6489361702127656</v>
      </c>
      <c r="W55" s="6">
        <f t="shared" si="35"/>
        <v>52.324468085106382</v>
      </c>
      <c r="X55" s="5">
        <f t="shared" si="36"/>
        <v>0.41666666666666669</v>
      </c>
      <c r="Y55" s="1">
        <f t="shared" si="37"/>
        <v>0.58333333333333326</v>
      </c>
      <c r="Z55" s="1">
        <f t="shared" si="38"/>
        <v>7.7570921985815611</v>
      </c>
      <c r="AA55" s="6">
        <f t="shared" si="39"/>
        <v>52.87854609929078</v>
      </c>
      <c r="AB55" s="5">
        <f t="shared" si="40"/>
        <v>0.37</v>
      </c>
      <c r="AC55" s="1">
        <f t="shared" si="41"/>
        <v>0.63</v>
      </c>
      <c r="AD55" s="1">
        <f t="shared" si="42"/>
        <v>6.1994680851063828</v>
      </c>
      <c r="AE55" s="6">
        <f t="shared" si="43"/>
        <v>52.099734042553195</v>
      </c>
      <c r="AF55" s="5">
        <f t="shared" si="17"/>
        <v>0.5</v>
      </c>
      <c r="AG55" s="1">
        <f t="shared" si="18"/>
        <v>0.5</v>
      </c>
      <c r="AH55" s="1">
        <f t="shared" si="25"/>
        <v>6.6489361702127656</v>
      </c>
      <c r="AI55" s="6">
        <f t="shared" si="26"/>
        <v>52.324468085106382</v>
      </c>
      <c r="AJ55" s="5">
        <f t="shared" si="44"/>
        <v>0.52</v>
      </c>
      <c r="AK55" s="1">
        <f t="shared" si="45"/>
        <v>0.48</v>
      </c>
      <c r="AL55" s="1">
        <f t="shared" si="46"/>
        <v>6.6382978723404253</v>
      </c>
      <c r="AM55" s="6">
        <f t="shared" si="47"/>
        <v>52.319148936170215</v>
      </c>
    </row>
    <row r="56" spans="1:42">
      <c r="A56" s="78" t="s">
        <v>380</v>
      </c>
      <c r="B56" s="56">
        <f>((V48_Nom-V12_Max)/(2*Lm*Fsw))*((V12_Max*Rcs)/V48_Nom)*1000</f>
        <v>3.3191489361702136</v>
      </c>
      <c r="C56" s="42" t="s">
        <v>72</v>
      </c>
      <c r="N56">
        <v>0.05</v>
      </c>
      <c r="O56">
        <f t="shared" si="27"/>
        <v>50</v>
      </c>
      <c r="P56" s="5">
        <f t="shared" si="28"/>
        <v>0.625</v>
      </c>
      <c r="Q56" s="1">
        <f t="shared" si="29"/>
        <v>0.375</v>
      </c>
      <c r="R56" s="1">
        <f t="shared" si="30"/>
        <v>4.9867021276595747</v>
      </c>
      <c r="S56" s="6">
        <f t="shared" si="31"/>
        <v>52.493351063829785</v>
      </c>
      <c r="T56" s="5">
        <f t="shared" si="32"/>
        <v>0.5</v>
      </c>
      <c r="U56" s="1">
        <f t="shared" si="33"/>
        <v>0.5</v>
      </c>
      <c r="V56" s="1">
        <f t="shared" si="34"/>
        <v>6.6489361702127656</v>
      </c>
      <c r="W56" s="6">
        <f t="shared" si="35"/>
        <v>53.324468085106382</v>
      </c>
      <c r="X56" s="5">
        <f t="shared" si="36"/>
        <v>0.41666666666666669</v>
      </c>
      <c r="Y56" s="1">
        <f t="shared" si="37"/>
        <v>0.58333333333333326</v>
      </c>
      <c r="Z56" s="1">
        <f t="shared" si="38"/>
        <v>7.7570921985815611</v>
      </c>
      <c r="AA56" s="6">
        <f t="shared" si="39"/>
        <v>53.87854609929078</v>
      </c>
      <c r="AB56" s="5">
        <f t="shared" si="40"/>
        <v>0.37</v>
      </c>
      <c r="AC56" s="1">
        <f t="shared" si="41"/>
        <v>0.63</v>
      </c>
      <c r="AD56" s="1">
        <f t="shared" si="42"/>
        <v>6.1994680851063828</v>
      </c>
      <c r="AE56" s="6">
        <f t="shared" si="43"/>
        <v>53.099734042553195</v>
      </c>
      <c r="AF56" s="5">
        <f t="shared" si="17"/>
        <v>0.5</v>
      </c>
      <c r="AG56" s="1">
        <f t="shared" si="18"/>
        <v>0.5</v>
      </c>
      <c r="AH56" s="1">
        <f t="shared" si="25"/>
        <v>6.6489361702127656</v>
      </c>
      <c r="AI56" s="6">
        <f t="shared" si="26"/>
        <v>53.324468085106382</v>
      </c>
      <c r="AJ56" s="5">
        <f t="shared" si="44"/>
        <v>0.52</v>
      </c>
      <c r="AK56" s="1">
        <f t="shared" si="45"/>
        <v>0.48</v>
      </c>
      <c r="AL56" s="1">
        <f t="shared" si="46"/>
        <v>6.6382978723404253</v>
      </c>
      <c r="AM56" s="6">
        <f t="shared" si="47"/>
        <v>53.319148936170215</v>
      </c>
    </row>
    <row r="57" spans="1:42">
      <c r="A57" s="78" t="s">
        <v>379</v>
      </c>
      <c r="B57" s="57">
        <f>(B56/1000)/Rcs</f>
        <v>3.3191489361702136</v>
      </c>
      <c r="C57" s="42" t="s">
        <v>4</v>
      </c>
    </row>
    <row r="58" spans="1:42" ht="15" thickBot="1">
      <c r="A58" s="79" t="s">
        <v>383</v>
      </c>
      <c r="B58" s="50">
        <f>1-(V12_Max/V48_Nom)</f>
        <v>0.48</v>
      </c>
      <c r="C58" s="80"/>
      <c r="N58" s="40"/>
      <c r="O58" s="40"/>
      <c r="P58" s="40" t="s">
        <v>79</v>
      </c>
      <c r="Q58" s="40"/>
      <c r="R58" s="40"/>
      <c r="S58" s="40"/>
      <c r="T58" s="40"/>
      <c r="U58" s="40"/>
      <c r="V58" s="40"/>
      <c r="W58" s="40"/>
      <c r="X58" s="40"/>
      <c r="Y58" s="40"/>
      <c r="Z58" s="40"/>
      <c r="AA58" s="40"/>
      <c r="AD58" s="202" t="s">
        <v>79</v>
      </c>
      <c r="AE58" s="202"/>
      <c r="AF58" s="202"/>
      <c r="AG58" s="202"/>
      <c r="AH58" s="202"/>
      <c r="AI58" s="202"/>
      <c r="AJ58" s="202"/>
      <c r="AK58" s="202"/>
      <c r="AL58" s="202"/>
      <c r="AM58" s="202"/>
      <c r="AN58" s="202"/>
      <c r="AO58" s="202"/>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40</v>
      </c>
      <c r="P61" s="14">
        <f t="shared" ref="P61:P92" si="48">IF(I_Channel&lt;(($O61-V12_Min)*V12_Min)/((2*Lm*Fsw)*$O61),SQRT((2*I_Channel*Lm*Fsw*V12_Min)/($O61*($O61-V12_Min))),(V12_Min/$O61))</f>
        <v>0.46250000000000002</v>
      </c>
      <c r="Q61" s="15">
        <f t="shared" ref="Q61:Q92" si="49">IF(I_Channel&lt;(($O61-V12_Min)*V12_Min)/((2*Lm*Fsw)*$O61),SQRT((2*I_Channel*Lm*Fsw*V12_Min)/($O61*($O61-V12_Min)))*(($O61-V12_Min)/(V12_Min)),1-(V12_Min/$O61))</f>
        <v>0.53749999999999998</v>
      </c>
      <c r="R61" s="15">
        <f t="shared" ref="R61:R92" si="50">IF(I_Channel&lt;(($O61-V12_Min)*V12_Min)/((2*Lm*Fsw)*$O61),(P61/(Fsw*Lm))*($O61-V12_Min),((P61/(Fsw*Lm))*($O61-V12_Min)))</f>
        <v>5.2892287234042561</v>
      </c>
      <c r="S61" s="16">
        <f t="shared" ref="S61:S92" si="51">IF(I_Channel&lt;(($O61-V12_Min)*V12_Min)/((2*Lm*Fsw)*$O61),(P61/(Fsw*Lm))*($O61-V12_Min),(R61/2)+I_Channel)</f>
        <v>52.644614361702125</v>
      </c>
      <c r="T61" s="14">
        <f t="shared" ref="T61:T92" si="52">IF(I_Channel&lt;(($O61-V12_Nom)*V12_Nom)/((2*Lm*Fsw)*$O61),SQRT((2*I_Channel*Lm*Fsw*V12_Nom)/($O61*($O61-V12_Nom))),(V12_Nom/$O61))</f>
        <v>0.625</v>
      </c>
      <c r="U61" s="15">
        <f t="shared" ref="U61:U92" si="53">IF(I_Channel&lt;(($O61-V12_Nom)*V12_Nom)/((2*Lm*Fsw)*$O61),SQRT((2*I_Channel*Lm*Fsw*V12_Nom)/($O61*($O61-V12_Nom)))*(($O61-V12_Nom)/(V12_Nom)),1-(V12_Nom/$O61))</f>
        <v>0.375</v>
      </c>
      <c r="V61" s="15">
        <f t="shared" ref="V61:V92" si="54">IF(I_Channel&lt;(($O61-V12_Nom)*V12_Nom)/((2*Lm*Fsw)*$O61),(T61/(Fsw*Lm))*($O61-V12_Nom),((T61/(Fsw*Lm))*($O61-V12_Nom)))</f>
        <v>4.9867021276595747</v>
      </c>
      <c r="W61" s="16">
        <f t="shared" ref="W61:W92" si="55">IF(I_Channel&lt;(($O61-V12_Nom)*V12_Nom)/((2*Lm*Fsw)*$O61),(T61/(Fsw*Lm))*($O61-V12_Nom),(V61/2)+I_Channel)</f>
        <v>52.493351063829785</v>
      </c>
      <c r="X61" s="14">
        <f t="shared" ref="X61:X92" si="56">IF(I_Channel&lt;(($O61-V12_Max)*V12_Max)/((2*Lm*Fsw)*$O61),SQRT((2*I_Channel*Lm*Fsw*V12_Max)/($O61*($O61-V12_Max))),(V12_Max/$O61))</f>
        <v>0.65</v>
      </c>
      <c r="Y61" s="15">
        <f t="shared" ref="Y61:Y92" si="57">IF(I_Channel&lt;(($O61-V12_Max)*V12_Max)/((2*Lm*Fsw)*$O61),SQRT((2*I_Channel*Lm*Fsw*V12_Max)/($O61*($O61-V12_Max)))*(($O61-V12_Max)/(V12_Max)),1-(V12_Max/$O61))</f>
        <v>0.35</v>
      </c>
      <c r="Z61" s="15">
        <f t="shared" ref="Z61:Z92" si="58">IF(I_Channel&lt;(($O61-V12_Max)*V12_Max)/((2*Lm*Fsw)*$O61),(X61/(Fsw*Lm))*($O61-V12_Max),((X61/(Fsw*Lm))*($O61-V12_Max)))</f>
        <v>4.8404255319148941</v>
      </c>
      <c r="AA61" s="16">
        <f t="shared" ref="AA61:AA92" si="59">IF(I_Channel&lt;(($O61-V12_Max)*V12_Max)/((2*Lm*Fsw)*$O61),(X61/(Fsw*Lm))*($O61-V12_Max),(Z61/2)+I_Channel)</f>
        <v>52.420212765957444</v>
      </c>
      <c r="AC61">
        <v>0</v>
      </c>
      <c r="AD61">
        <f>V12_Min</f>
        <v>18.5</v>
      </c>
      <c r="AE61" s="14">
        <f t="shared" ref="AE61:AE92" si="60">IF(I_Channel&lt;((V48_Min-$AD61)*$AD61)/((2*Lm*Fsw)*V48_Min),SQRT((2*I_Channel*Lm*Fsw*$AD61)/(V48_Min*(V48_Min-$AD61))),($AD61/V48_Min))</f>
        <v>0.46250000000000002</v>
      </c>
      <c r="AF61" s="15">
        <f t="shared" ref="AF61:AF92" si="61">IF(I_Channel&lt;((V48_Min-$AD61)*$AD61)/((2*Lm*Fsw)*V48_Min),SQRT((2*I_Channel*Lm*Fsw*$AD61)/(V48_Min*(V48_Min-$AD61)))*((V48_Min-$AD61)/($AD61)),1-($AD61/V48_Min))</f>
        <v>0.53749999999999998</v>
      </c>
      <c r="AG61" s="15">
        <f t="shared" ref="AG61:AG92" si="62">IF(I_Channel&lt;((V48_Min-$AD61)*$AD61)/((2*Lm*Fsw)*V48_Min),(AE61/(Fsw*Lm))*(V48_Min-$AD61),((AE61/(Fsw*Lm))*(V48_Min-$AD61)))</f>
        <v>5.2892287234042561</v>
      </c>
      <c r="AH61" s="16">
        <f t="shared" ref="AH61:AH92" si="63">IF(I_Channel&lt;((V48_Min-$AD61)*$AD61)/((2*Lm*Fsw)*V48_Min),(AE61/(Fsw*Lm))*(V48_Min-$AD61),(AG61/2)+I_Channel)</f>
        <v>52.644614361702125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0.30833333333333335</v>
      </c>
      <c r="AN61" s="15">
        <f t="shared" ref="AN61:AN92" si="69">IF(I_Channel&lt;((V48_Max-$AD61)*$AD61)/((2*Lm*Fsw)*V48_Max),SQRT((2*I_Channel*Lm*Fsw*$AD61)/(V48_Max*(V48_Max-$AD61)))*((V48_Max-$AD61)/($AD61)),1-($AD61/V48_Max))</f>
        <v>0.69166666666666665</v>
      </c>
      <c r="AO61" s="15">
        <f t="shared" ref="AO61:AO92" si="70">IF(I_Channel&lt;((V48_Max-$AD61)*$AD61)/((2*Lm*Fsw)*V48_Max),(AM61/(Fsw*Lm))*(V48_Max-$AD61),((AM61/(Fsw*Lm))*(V48_Max-$AD61)))</f>
        <v>6.8062943262411357</v>
      </c>
      <c r="AP61" s="16">
        <f t="shared" ref="AP61:AP92" si="71">IF(I_Channel&lt;((V48_Max-$AD61)*$AD61)/((2*Lm*Fsw)*V48_Max),(AM61/(Fsw*Lm))*(V48_Max-$AD61),(AO61/2)+I_Channel)</f>
        <v>53.403147163120565</v>
      </c>
    </row>
    <row r="62" spans="1:42">
      <c r="N62">
        <v>1</v>
      </c>
      <c r="O62">
        <f t="shared" ref="O62:O93" si="72">((V48_Max-V48_Min)/50)*N62+V48_Min</f>
        <v>40.4</v>
      </c>
      <c r="P62" s="14">
        <f t="shared" si="48"/>
        <v>0.45792079207920794</v>
      </c>
      <c r="Q62" s="15">
        <f t="shared" si="49"/>
        <v>0.54207920792079212</v>
      </c>
      <c r="R62" s="15">
        <f t="shared" si="50"/>
        <v>5.3342900779439644</v>
      </c>
      <c r="S62" s="16">
        <f t="shared" si="51"/>
        <v>52.667145038971981</v>
      </c>
      <c r="T62" s="14">
        <f t="shared" si="52"/>
        <v>0.61881188118811881</v>
      </c>
      <c r="U62" s="15">
        <f t="shared" si="53"/>
        <v>0.38118811881188119</v>
      </c>
      <c r="V62" s="15">
        <f t="shared" si="54"/>
        <v>5.068990941647356</v>
      </c>
      <c r="W62" s="16">
        <f t="shared" si="55"/>
        <v>52.534495470823678</v>
      </c>
      <c r="X62" s="14">
        <f t="shared" si="56"/>
        <v>0.64356435643564358</v>
      </c>
      <c r="Y62" s="15">
        <f t="shared" si="57"/>
        <v>0.35643564356435642</v>
      </c>
      <c r="Z62" s="15">
        <f t="shared" si="58"/>
        <v>4.9294291131240779</v>
      </c>
      <c r="AA62" s="16">
        <f t="shared" si="59"/>
        <v>52.464714556562036</v>
      </c>
      <c r="AC62">
        <v>1</v>
      </c>
      <c r="AD62">
        <f t="shared" ref="AD62:AD93" si="73">((V12_Max-V12_Min)/50)*AC62+V12_Min</f>
        <v>18.649999999999999</v>
      </c>
      <c r="AE62" s="14">
        <f t="shared" si="60"/>
        <v>0.46624999999999994</v>
      </c>
      <c r="AF62" s="15">
        <f t="shared" si="61"/>
        <v>0.53375000000000006</v>
      </c>
      <c r="AG62" s="15">
        <f t="shared" si="62"/>
        <v>5.2949135638297866</v>
      </c>
      <c r="AH62" s="16">
        <f t="shared" si="63"/>
        <v>52.64745678191489</v>
      </c>
      <c r="AI62" s="14">
        <f t="shared" si="64"/>
        <v>0.373</v>
      </c>
      <c r="AJ62" s="15">
        <f t="shared" si="65"/>
        <v>0.627</v>
      </c>
      <c r="AK62" s="15">
        <f t="shared" si="66"/>
        <v>6.2199734042553203</v>
      </c>
      <c r="AL62" s="16">
        <f t="shared" si="67"/>
        <v>53.109986702127657</v>
      </c>
      <c r="AM62" s="14">
        <f t="shared" si="68"/>
        <v>0.31083333333333329</v>
      </c>
      <c r="AN62" s="15">
        <f t="shared" si="69"/>
        <v>0.68916666666666671</v>
      </c>
      <c r="AO62" s="15">
        <f t="shared" si="70"/>
        <v>6.8366799645390062</v>
      </c>
      <c r="AP62" s="16">
        <f t="shared" si="71"/>
        <v>53.418339982269501</v>
      </c>
    </row>
    <row r="63" spans="1:42">
      <c r="A63" s="196" t="s">
        <v>73</v>
      </c>
      <c r="B63" s="197"/>
      <c r="C63" s="198"/>
      <c r="E63" s="65" t="s">
        <v>152</v>
      </c>
      <c r="N63">
        <v>2</v>
      </c>
      <c r="O63">
        <f t="shared" si="72"/>
        <v>40.799999999999997</v>
      </c>
      <c r="P63" s="14">
        <f t="shared" si="48"/>
        <v>0.45343137254901966</v>
      </c>
      <c r="Q63" s="15">
        <f t="shared" si="49"/>
        <v>0.54656862745098034</v>
      </c>
      <c r="R63" s="15">
        <f t="shared" si="50"/>
        <v>5.3784678765123068</v>
      </c>
      <c r="S63" s="16">
        <f t="shared" si="51"/>
        <v>52.689233938256152</v>
      </c>
      <c r="T63" s="14">
        <f t="shared" si="52"/>
        <v>0.61274509803921573</v>
      </c>
      <c r="U63" s="15">
        <f t="shared" si="53"/>
        <v>0.38725490196078427</v>
      </c>
      <c r="V63" s="15">
        <f t="shared" si="54"/>
        <v>5.1496662494785141</v>
      </c>
      <c r="W63" s="16">
        <f t="shared" si="55"/>
        <v>52.574833124739257</v>
      </c>
      <c r="X63" s="14">
        <f t="shared" si="56"/>
        <v>0.63725490196078438</v>
      </c>
      <c r="Y63" s="15">
        <f t="shared" si="57"/>
        <v>0.36274509803921562</v>
      </c>
      <c r="Z63" s="15">
        <f t="shared" si="58"/>
        <v>5.0166875260742589</v>
      </c>
      <c r="AA63" s="16">
        <f t="shared" si="59"/>
        <v>52.508343763037132</v>
      </c>
      <c r="AC63">
        <v>2</v>
      </c>
      <c r="AD63">
        <f t="shared" si="73"/>
        <v>18.8</v>
      </c>
      <c r="AE63" s="14">
        <f t="shared" si="60"/>
        <v>0.47000000000000003</v>
      </c>
      <c r="AF63" s="15">
        <f t="shared" si="61"/>
        <v>0.53</v>
      </c>
      <c r="AG63" s="15">
        <f t="shared" si="62"/>
        <v>5.3000000000000007</v>
      </c>
      <c r="AH63" s="16">
        <f t="shared" si="63"/>
        <v>52.65</v>
      </c>
      <c r="AI63" s="14">
        <f t="shared" si="64"/>
        <v>0.376</v>
      </c>
      <c r="AJ63" s="15">
        <f t="shared" si="65"/>
        <v>0.624</v>
      </c>
      <c r="AK63" s="15">
        <f t="shared" si="66"/>
        <v>6.24</v>
      </c>
      <c r="AL63" s="16">
        <f t="shared" si="67"/>
        <v>53.12</v>
      </c>
      <c r="AM63" s="14">
        <f t="shared" si="68"/>
        <v>0.31333333333333335</v>
      </c>
      <c r="AN63" s="15">
        <f t="shared" si="69"/>
        <v>0.68666666666666665</v>
      </c>
      <c r="AO63" s="15">
        <f t="shared" si="70"/>
        <v>6.866666666666668</v>
      </c>
      <c r="AP63" s="16">
        <f t="shared" si="71"/>
        <v>53.433333333333337</v>
      </c>
    </row>
    <row r="64" spans="1:42">
      <c r="A64" s="31" t="s">
        <v>71</v>
      </c>
      <c r="B64" s="57">
        <f>IF(V48_Max/2&gt;V12_Nom,((V48_Max-V12_Nom)*(V12_Nom/V48_Max))/(Lm*Fsw),((V48_Max-(V48_Max/2))*(V12_Nom/V48_Max))/(Lm*Fsw))</f>
        <v>7.7570921985815611</v>
      </c>
      <c r="C64" s="31" t="s">
        <v>4</v>
      </c>
      <c r="E64" s="34" t="s">
        <v>194</v>
      </c>
      <c r="N64">
        <v>3</v>
      </c>
      <c r="O64">
        <f t="shared" si="72"/>
        <v>41.2</v>
      </c>
      <c r="P64" s="14">
        <f t="shared" si="48"/>
        <v>0.4490291262135922</v>
      </c>
      <c r="Q64" s="15">
        <f t="shared" si="49"/>
        <v>0.55097087378640786</v>
      </c>
      <c r="R64" s="15">
        <f t="shared" si="50"/>
        <v>5.4217878537492261</v>
      </c>
      <c r="S64" s="16">
        <f t="shared" si="51"/>
        <v>52.710893926874611</v>
      </c>
      <c r="T64" s="14">
        <f t="shared" si="52"/>
        <v>0.60679611650485432</v>
      </c>
      <c r="U64" s="15">
        <f t="shared" si="53"/>
        <v>0.39320388349514568</v>
      </c>
      <c r="V64" s="15">
        <f t="shared" si="54"/>
        <v>5.2287750464780016</v>
      </c>
      <c r="W64" s="16">
        <f t="shared" si="55"/>
        <v>52.614387523239003</v>
      </c>
      <c r="X64" s="14">
        <f t="shared" si="56"/>
        <v>0.63106796116504849</v>
      </c>
      <c r="Y64" s="15">
        <f t="shared" si="57"/>
        <v>0.36893203883495151</v>
      </c>
      <c r="Z64" s="15">
        <f t="shared" si="58"/>
        <v>5.1022516009089038</v>
      </c>
      <c r="AA64" s="16">
        <f t="shared" si="59"/>
        <v>52.55112580045445</v>
      </c>
      <c r="AC64">
        <v>3</v>
      </c>
      <c r="AD64">
        <f t="shared" si="73"/>
        <v>18.95</v>
      </c>
      <c r="AE64" s="14">
        <f t="shared" si="60"/>
        <v>0.47375</v>
      </c>
      <c r="AF64" s="15">
        <f t="shared" si="61"/>
        <v>0.52625</v>
      </c>
      <c r="AG64" s="15">
        <f t="shared" si="62"/>
        <v>5.3044880319148939</v>
      </c>
      <c r="AH64" s="16">
        <f t="shared" si="63"/>
        <v>52.65224401595745</v>
      </c>
      <c r="AI64" s="14">
        <f t="shared" si="64"/>
        <v>0.379</v>
      </c>
      <c r="AJ64" s="15">
        <f t="shared" si="65"/>
        <v>0.621</v>
      </c>
      <c r="AK64" s="15">
        <f t="shared" si="66"/>
        <v>6.2595478723404261</v>
      </c>
      <c r="AL64" s="16">
        <f t="shared" si="67"/>
        <v>53.12977393617021</v>
      </c>
      <c r="AM64" s="14">
        <f t="shared" si="68"/>
        <v>0.3158333333333333</v>
      </c>
      <c r="AN64" s="15">
        <f t="shared" si="69"/>
        <v>0.6841666666666667</v>
      </c>
      <c r="AO64" s="15">
        <f t="shared" si="70"/>
        <v>6.8962544326241133</v>
      </c>
      <c r="AP64" s="16">
        <f t="shared" si="71"/>
        <v>53.448127216312059</v>
      </c>
    </row>
    <row r="65" spans="1:42">
      <c r="A65" s="31" t="s">
        <v>204</v>
      </c>
      <c r="B65" s="58">
        <f>(B64/2)+B25</f>
        <v>21.37854609929078</v>
      </c>
      <c r="C65" s="31" t="s">
        <v>4</v>
      </c>
      <c r="E65" s="34" t="s">
        <v>203</v>
      </c>
      <c r="N65">
        <v>4</v>
      </c>
      <c r="O65">
        <f t="shared" si="72"/>
        <v>41.6</v>
      </c>
      <c r="P65" s="14">
        <f t="shared" si="48"/>
        <v>0.44471153846153844</v>
      </c>
      <c r="Q65" s="15">
        <f t="shared" si="49"/>
        <v>0.55528846153846156</v>
      </c>
      <c r="R65" s="15">
        <f t="shared" si="50"/>
        <v>5.4642747545008188</v>
      </c>
      <c r="S65" s="16">
        <f t="shared" si="51"/>
        <v>52.73213737725041</v>
      </c>
      <c r="T65" s="14">
        <f t="shared" si="52"/>
        <v>0.60096153846153844</v>
      </c>
      <c r="U65" s="15">
        <f t="shared" si="53"/>
        <v>0.39903846153846156</v>
      </c>
      <c r="V65" s="15">
        <f t="shared" si="54"/>
        <v>5.3063625204582658</v>
      </c>
      <c r="W65" s="16">
        <f t="shared" si="55"/>
        <v>52.653181260229132</v>
      </c>
      <c r="X65" s="14">
        <f t="shared" si="56"/>
        <v>0.625</v>
      </c>
      <c r="Y65" s="15">
        <f t="shared" si="57"/>
        <v>0.375</v>
      </c>
      <c r="Z65" s="15">
        <f t="shared" si="58"/>
        <v>5.1861702127659575</v>
      </c>
      <c r="AA65" s="16">
        <f t="shared" si="59"/>
        <v>52.593085106382979</v>
      </c>
      <c r="AC65">
        <v>4</v>
      </c>
      <c r="AD65">
        <f t="shared" si="73"/>
        <v>19.100000000000001</v>
      </c>
      <c r="AE65" s="14">
        <f t="shared" si="60"/>
        <v>0.47750000000000004</v>
      </c>
      <c r="AF65" s="15">
        <f t="shared" si="61"/>
        <v>0.52249999999999996</v>
      </c>
      <c r="AG65" s="15">
        <f t="shared" si="62"/>
        <v>5.3083776595744689</v>
      </c>
      <c r="AH65" s="16">
        <f t="shared" si="63"/>
        <v>52.654188829787238</v>
      </c>
      <c r="AI65" s="14">
        <f t="shared" si="64"/>
        <v>0.38200000000000001</v>
      </c>
      <c r="AJ65" s="15">
        <f t="shared" si="65"/>
        <v>0.61799999999999999</v>
      </c>
      <c r="AK65" s="15">
        <f t="shared" si="66"/>
        <v>6.2786170212765962</v>
      </c>
      <c r="AL65" s="16">
        <f t="shared" si="67"/>
        <v>53.139308510638301</v>
      </c>
      <c r="AM65" s="14">
        <f t="shared" si="68"/>
        <v>0.31833333333333336</v>
      </c>
      <c r="AN65" s="15">
        <f t="shared" si="69"/>
        <v>0.68166666666666664</v>
      </c>
      <c r="AO65" s="15">
        <f t="shared" si="70"/>
        <v>6.9254432624113473</v>
      </c>
      <c r="AP65" s="16">
        <f t="shared" si="71"/>
        <v>53.462721631205675</v>
      </c>
    </row>
    <row r="66" spans="1:42">
      <c r="A66" s="34" t="s">
        <v>288</v>
      </c>
      <c r="B66" s="64">
        <f>Design_Converter!B44</f>
        <v>10</v>
      </c>
      <c r="C66" s="34" t="s">
        <v>26</v>
      </c>
      <c r="N66">
        <v>5</v>
      </c>
      <c r="O66">
        <f t="shared" si="72"/>
        <v>42</v>
      </c>
      <c r="P66" s="14">
        <f t="shared" si="48"/>
        <v>0.44047619047619047</v>
      </c>
      <c r="Q66" s="15">
        <f t="shared" si="49"/>
        <v>0.55952380952380953</v>
      </c>
      <c r="R66" s="15">
        <f t="shared" si="50"/>
        <v>5.5059523809523814</v>
      </c>
      <c r="S66" s="16">
        <f t="shared" si="51"/>
        <v>52.75297619047619</v>
      </c>
      <c r="T66" s="14">
        <f t="shared" si="52"/>
        <v>0.59523809523809523</v>
      </c>
      <c r="U66" s="15">
        <f t="shared" si="53"/>
        <v>0.40476190476190477</v>
      </c>
      <c r="V66" s="15">
        <f t="shared" si="54"/>
        <v>5.3824721377912867</v>
      </c>
      <c r="W66" s="16">
        <f t="shared" si="55"/>
        <v>52.691236068895641</v>
      </c>
      <c r="X66" s="14">
        <f t="shared" si="56"/>
        <v>0.61904761904761907</v>
      </c>
      <c r="Y66" s="15">
        <f t="shared" si="57"/>
        <v>0.38095238095238093</v>
      </c>
      <c r="Z66" s="15">
        <f t="shared" si="58"/>
        <v>5.2684903748733545</v>
      </c>
      <c r="AA66" s="16">
        <f t="shared" si="59"/>
        <v>52.634245187436676</v>
      </c>
      <c r="AC66">
        <v>5</v>
      </c>
      <c r="AD66">
        <f t="shared" si="73"/>
        <v>19.25</v>
      </c>
      <c r="AE66" s="14">
        <f t="shared" si="60"/>
        <v>0.48125000000000001</v>
      </c>
      <c r="AF66" s="15">
        <f t="shared" si="61"/>
        <v>0.51875000000000004</v>
      </c>
      <c r="AG66" s="15">
        <f t="shared" si="62"/>
        <v>5.311668882978724</v>
      </c>
      <c r="AH66" s="16">
        <f t="shared" si="63"/>
        <v>52.655834441489361</v>
      </c>
      <c r="AI66" s="14">
        <f t="shared" si="64"/>
        <v>0.38500000000000001</v>
      </c>
      <c r="AJ66" s="15">
        <f t="shared" si="65"/>
        <v>0.61499999999999999</v>
      </c>
      <c r="AK66" s="15">
        <f t="shared" si="66"/>
        <v>6.2972074468085104</v>
      </c>
      <c r="AL66" s="16">
        <f t="shared" si="67"/>
        <v>53.148603723404257</v>
      </c>
      <c r="AM66" s="14">
        <f t="shared" si="68"/>
        <v>0.32083333333333336</v>
      </c>
      <c r="AN66" s="15">
        <f t="shared" si="69"/>
        <v>0.6791666666666667</v>
      </c>
      <c r="AO66" s="15">
        <f t="shared" si="70"/>
        <v>6.9542331560283692</v>
      </c>
      <c r="AP66" s="16">
        <f t="shared" si="71"/>
        <v>53.477116578014183</v>
      </c>
    </row>
    <row r="67" spans="1:42">
      <c r="A67" s="31" t="s">
        <v>205</v>
      </c>
      <c r="B67" s="54">
        <f>I_Channel_Peak_No_Ilimit*(1+(B66/100))</f>
        <v>23.516400709219859</v>
      </c>
      <c r="C67" s="31" t="s">
        <v>4</v>
      </c>
      <c r="E67" s="34" t="s">
        <v>153</v>
      </c>
      <c r="N67">
        <v>6</v>
      </c>
      <c r="O67">
        <f t="shared" si="72"/>
        <v>42.4</v>
      </c>
      <c r="P67" s="14">
        <f t="shared" si="48"/>
        <v>0.43632075471698117</v>
      </c>
      <c r="Q67" s="15">
        <f t="shared" si="49"/>
        <v>0.56367924528301883</v>
      </c>
      <c r="R67" s="15">
        <f t="shared" si="50"/>
        <v>5.546843637093537</v>
      </c>
      <c r="S67" s="16">
        <f t="shared" si="51"/>
        <v>52.773421818546765</v>
      </c>
      <c r="T67" s="14">
        <f t="shared" si="52"/>
        <v>0.589622641509434</v>
      </c>
      <c r="U67" s="15">
        <f t="shared" si="53"/>
        <v>0.410377358490566</v>
      </c>
      <c r="V67" s="15">
        <f t="shared" si="54"/>
        <v>5.4571457246085915</v>
      </c>
      <c r="W67" s="16">
        <f t="shared" si="55"/>
        <v>52.728572862304297</v>
      </c>
      <c r="X67" s="14">
        <f t="shared" si="56"/>
        <v>0.6132075471698113</v>
      </c>
      <c r="Y67" s="15">
        <f t="shared" si="57"/>
        <v>0.3867924528301887</v>
      </c>
      <c r="Z67" s="15">
        <f t="shared" si="58"/>
        <v>5.349257326374949</v>
      </c>
      <c r="AA67" s="16">
        <f t="shared" si="59"/>
        <v>52.674628663187477</v>
      </c>
      <c r="AC67">
        <v>6</v>
      </c>
      <c r="AD67">
        <f t="shared" si="73"/>
        <v>19.399999999999999</v>
      </c>
      <c r="AE67" s="14">
        <f t="shared" si="60"/>
        <v>0.48499999999999999</v>
      </c>
      <c r="AF67" s="15">
        <f t="shared" si="61"/>
        <v>0.51500000000000001</v>
      </c>
      <c r="AG67" s="15">
        <f t="shared" si="62"/>
        <v>5.3143617021276599</v>
      </c>
      <c r="AH67" s="16">
        <f t="shared" si="63"/>
        <v>52.657180851063828</v>
      </c>
      <c r="AI67" s="14">
        <f t="shared" si="64"/>
        <v>0.38799999999999996</v>
      </c>
      <c r="AJ67" s="15">
        <f t="shared" si="65"/>
        <v>0.6120000000000001</v>
      </c>
      <c r="AK67" s="15">
        <f t="shared" si="66"/>
        <v>6.3153191489361706</v>
      </c>
      <c r="AL67" s="16">
        <f t="shared" si="67"/>
        <v>53.157659574468084</v>
      </c>
      <c r="AM67" s="14">
        <f t="shared" si="68"/>
        <v>0.32333333333333331</v>
      </c>
      <c r="AN67" s="15">
        <f t="shared" si="69"/>
        <v>0.67666666666666675</v>
      </c>
      <c r="AO67" s="15">
        <f t="shared" si="70"/>
        <v>6.9826241134751772</v>
      </c>
      <c r="AP67" s="16">
        <f t="shared" si="71"/>
        <v>53.491312056737591</v>
      </c>
    </row>
    <row r="68" spans="1:42" ht="15">
      <c r="A68" s="31" t="s">
        <v>206</v>
      </c>
      <c r="B68" s="54">
        <f>((Rcs*I_Channel_Peak_Select))/(Constants!C22*1000)</f>
        <v>21.37854609929078</v>
      </c>
      <c r="C68" s="67" t="s">
        <v>104</v>
      </c>
      <c r="E68" s="34" t="s">
        <v>155</v>
      </c>
      <c r="N68">
        <v>7</v>
      </c>
      <c r="O68">
        <f t="shared" si="72"/>
        <v>42.8</v>
      </c>
      <c r="P68" s="14">
        <f t="shared" si="48"/>
        <v>0.43224299065420563</v>
      </c>
      <c r="Q68" s="15">
        <f t="shared" si="49"/>
        <v>0.56775700934579443</v>
      </c>
      <c r="R68" s="15">
        <f t="shared" si="50"/>
        <v>5.5869705706899975</v>
      </c>
      <c r="S68" s="16">
        <f t="shared" si="51"/>
        <v>52.793485285345</v>
      </c>
      <c r="T68" s="14">
        <f t="shared" si="52"/>
        <v>0.58411214953271029</v>
      </c>
      <c r="U68" s="15">
        <f t="shared" si="53"/>
        <v>0.41588785046728971</v>
      </c>
      <c r="V68" s="15">
        <f t="shared" si="54"/>
        <v>5.5304235434480002</v>
      </c>
      <c r="W68" s="16">
        <f t="shared" si="55"/>
        <v>52.765211771723997</v>
      </c>
      <c r="X68" s="14">
        <f t="shared" si="56"/>
        <v>0.60747663551401876</v>
      </c>
      <c r="Y68" s="15">
        <f t="shared" si="57"/>
        <v>0.39252336448598124</v>
      </c>
      <c r="Z68" s="15">
        <f t="shared" si="58"/>
        <v>5.4285146152316566</v>
      </c>
      <c r="AA68" s="16">
        <f t="shared" si="59"/>
        <v>52.714257307615831</v>
      </c>
      <c r="AC68">
        <v>7</v>
      </c>
      <c r="AD68">
        <f t="shared" si="73"/>
        <v>19.55</v>
      </c>
      <c r="AE68" s="14">
        <f t="shared" si="60"/>
        <v>0.48875000000000002</v>
      </c>
      <c r="AF68" s="15">
        <f t="shared" si="61"/>
        <v>0.51124999999999998</v>
      </c>
      <c r="AG68" s="15">
        <f t="shared" si="62"/>
        <v>5.3164561170212767</v>
      </c>
      <c r="AH68" s="16">
        <f t="shared" si="63"/>
        <v>52.658228058510637</v>
      </c>
      <c r="AI68" s="14">
        <f t="shared" si="64"/>
        <v>0.39100000000000001</v>
      </c>
      <c r="AJ68" s="15">
        <f t="shared" si="65"/>
        <v>0.60899999999999999</v>
      </c>
      <c r="AK68" s="15">
        <f t="shared" si="66"/>
        <v>6.3329521276595742</v>
      </c>
      <c r="AL68" s="16">
        <f t="shared" si="67"/>
        <v>53.166476063829791</v>
      </c>
      <c r="AM68" s="14">
        <f t="shared" si="68"/>
        <v>0.32583333333333336</v>
      </c>
      <c r="AN68" s="15">
        <f t="shared" si="69"/>
        <v>0.67416666666666658</v>
      </c>
      <c r="AO68" s="15">
        <f t="shared" si="70"/>
        <v>7.0106161347517748</v>
      </c>
      <c r="AP68" s="16">
        <f t="shared" si="71"/>
        <v>53.505308067375886</v>
      </c>
    </row>
    <row r="69" spans="1:42" ht="15">
      <c r="A69" s="31" t="s">
        <v>190</v>
      </c>
      <c r="B69" s="60">
        <f>Design_Converter!B47</f>
        <v>21</v>
      </c>
      <c r="C69" s="67" t="s">
        <v>104</v>
      </c>
      <c r="N69">
        <v>8</v>
      </c>
      <c r="O69">
        <f t="shared" si="72"/>
        <v>43.2</v>
      </c>
      <c r="P69" s="14">
        <f t="shared" si="48"/>
        <v>0.4282407407407407</v>
      </c>
      <c r="Q69" s="15">
        <f t="shared" si="49"/>
        <v>0.5717592592592593</v>
      </c>
      <c r="R69" s="15">
        <f t="shared" si="50"/>
        <v>5.6263544129235621</v>
      </c>
      <c r="S69" s="16">
        <f t="shared" si="51"/>
        <v>52.813177206461781</v>
      </c>
      <c r="T69" s="14">
        <f t="shared" si="52"/>
        <v>0.57870370370370372</v>
      </c>
      <c r="U69" s="15">
        <f t="shared" si="53"/>
        <v>0.42129629629629628</v>
      </c>
      <c r="V69" s="15">
        <f t="shared" si="54"/>
        <v>5.6023443656422396</v>
      </c>
      <c r="W69" s="16">
        <f t="shared" si="55"/>
        <v>52.801172182821119</v>
      </c>
      <c r="X69" s="14">
        <f t="shared" si="56"/>
        <v>0.60185185185185186</v>
      </c>
      <c r="Y69" s="15">
        <f t="shared" si="57"/>
        <v>0.39814814814814814</v>
      </c>
      <c r="Z69" s="15">
        <f t="shared" si="58"/>
        <v>5.5063041765169443</v>
      </c>
      <c r="AA69" s="16">
        <f t="shared" si="59"/>
        <v>52.753152088258474</v>
      </c>
      <c r="AC69">
        <v>8</v>
      </c>
      <c r="AD69">
        <f t="shared" si="73"/>
        <v>19.7</v>
      </c>
      <c r="AE69" s="14">
        <f t="shared" si="60"/>
        <v>0.49249999999999999</v>
      </c>
      <c r="AF69" s="15">
        <f t="shared" si="61"/>
        <v>0.50750000000000006</v>
      </c>
      <c r="AG69" s="15">
        <f t="shared" si="62"/>
        <v>5.3179521276595745</v>
      </c>
      <c r="AH69" s="16">
        <f t="shared" si="63"/>
        <v>52.65897606382979</v>
      </c>
      <c r="AI69" s="14">
        <f t="shared" si="64"/>
        <v>0.39399999999999996</v>
      </c>
      <c r="AJ69" s="15">
        <f t="shared" si="65"/>
        <v>0.60600000000000009</v>
      </c>
      <c r="AK69" s="15">
        <f t="shared" si="66"/>
        <v>6.3501063829787237</v>
      </c>
      <c r="AL69" s="16">
        <f t="shared" si="67"/>
        <v>53.175053191489361</v>
      </c>
      <c r="AM69" s="14">
        <f t="shared" si="68"/>
        <v>0.32833333333333331</v>
      </c>
      <c r="AN69" s="15">
        <f t="shared" si="69"/>
        <v>0.67166666666666663</v>
      </c>
      <c r="AO69" s="15">
        <f t="shared" si="70"/>
        <v>7.038209219858155</v>
      </c>
      <c r="AP69" s="16">
        <f t="shared" si="71"/>
        <v>53.51910460992908</v>
      </c>
    </row>
    <row r="70" spans="1:42" ht="15">
      <c r="A70" s="31" t="s">
        <v>191</v>
      </c>
      <c r="B70" s="60">
        <f>(B69*1000*Constants!C22)/(Calculations!B28*(10^-3))</f>
        <v>23.1</v>
      </c>
      <c r="C70" s="67" t="s">
        <v>4</v>
      </c>
      <c r="D70" s="31">
        <f>IF(B70&lt;I_Channel_Peak_No_Ilimit,1,0)</f>
        <v>0</v>
      </c>
      <c r="E70" s="34" t="s">
        <v>156</v>
      </c>
      <c r="N70">
        <v>9</v>
      </c>
      <c r="O70">
        <f t="shared" si="72"/>
        <v>43.6</v>
      </c>
      <c r="P70" s="14">
        <f t="shared" si="48"/>
        <v>0.4243119266055046</v>
      </c>
      <c r="Q70" s="15">
        <f t="shared" si="49"/>
        <v>0.57568807339449535</v>
      </c>
      <c r="R70" s="15">
        <f t="shared" si="50"/>
        <v>5.6650156158500886</v>
      </c>
      <c r="S70" s="16">
        <f t="shared" si="51"/>
        <v>52.832507807925047</v>
      </c>
      <c r="T70" s="14">
        <f t="shared" si="52"/>
        <v>0.57339449541284404</v>
      </c>
      <c r="U70" s="15">
        <f t="shared" si="53"/>
        <v>0.42660550458715596</v>
      </c>
      <c r="V70" s="15">
        <f t="shared" si="54"/>
        <v>5.6729455397228197</v>
      </c>
      <c r="W70" s="16">
        <f t="shared" si="55"/>
        <v>52.836472769861409</v>
      </c>
      <c r="X70" s="14">
        <f t="shared" si="56"/>
        <v>0.59633027522935778</v>
      </c>
      <c r="Y70" s="15">
        <f t="shared" si="57"/>
        <v>0.40366972477064222</v>
      </c>
      <c r="Z70" s="15">
        <f t="shared" si="58"/>
        <v>5.5826664064024989</v>
      </c>
      <c r="AA70" s="16">
        <f t="shared" si="59"/>
        <v>52.791333203201248</v>
      </c>
      <c r="AC70">
        <v>9</v>
      </c>
      <c r="AD70">
        <f t="shared" si="73"/>
        <v>19.850000000000001</v>
      </c>
      <c r="AE70" s="14">
        <f t="shared" si="60"/>
        <v>0.49625000000000002</v>
      </c>
      <c r="AF70" s="15">
        <f t="shared" si="61"/>
        <v>0.50374999999999992</v>
      </c>
      <c r="AG70" s="15">
        <f t="shared" si="62"/>
        <v>5.3188497340425531</v>
      </c>
      <c r="AH70" s="16">
        <f t="shared" si="63"/>
        <v>52.659424867021279</v>
      </c>
      <c r="AI70" s="14">
        <f t="shared" si="64"/>
        <v>0.39700000000000002</v>
      </c>
      <c r="AJ70" s="15">
        <f t="shared" si="65"/>
        <v>0.60299999999999998</v>
      </c>
      <c r="AK70" s="15">
        <f t="shared" si="66"/>
        <v>6.3667819148936173</v>
      </c>
      <c r="AL70" s="16">
        <f t="shared" si="67"/>
        <v>53.183390957446811</v>
      </c>
      <c r="AM70" s="14">
        <f t="shared" si="68"/>
        <v>0.33083333333333337</v>
      </c>
      <c r="AN70" s="15">
        <f t="shared" si="69"/>
        <v>0.66916666666666669</v>
      </c>
      <c r="AO70" s="15">
        <f t="shared" si="70"/>
        <v>7.0654033687943274</v>
      </c>
      <c r="AP70" s="16">
        <f t="shared" si="71"/>
        <v>53.532701684397161</v>
      </c>
    </row>
    <row r="71" spans="1:42">
      <c r="N71">
        <v>10</v>
      </c>
      <c r="O71">
        <f t="shared" si="72"/>
        <v>44</v>
      </c>
      <c r="P71" s="14">
        <f t="shared" si="48"/>
        <v>0.42045454545454547</v>
      </c>
      <c r="Q71" s="15">
        <f t="shared" si="49"/>
        <v>0.57954545454545459</v>
      </c>
      <c r="R71" s="15">
        <f t="shared" si="50"/>
        <v>5.7029738878143137</v>
      </c>
      <c r="S71" s="16">
        <f t="shared" si="51"/>
        <v>52.851486943907155</v>
      </c>
      <c r="T71" s="14">
        <f t="shared" si="52"/>
        <v>0.56818181818181823</v>
      </c>
      <c r="U71" s="15">
        <f t="shared" si="53"/>
        <v>0.43181818181818177</v>
      </c>
      <c r="V71" s="15">
        <f t="shared" si="54"/>
        <v>5.7422630560928445</v>
      </c>
      <c r="W71" s="16">
        <f t="shared" si="55"/>
        <v>52.871131528046419</v>
      </c>
      <c r="X71" s="14">
        <f t="shared" si="56"/>
        <v>0.59090909090909094</v>
      </c>
      <c r="Y71" s="15">
        <f t="shared" si="57"/>
        <v>0.40909090909090906</v>
      </c>
      <c r="Z71" s="15">
        <f t="shared" si="58"/>
        <v>5.6576402321083172</v>
      </c>
      <c r="AA71" s="16">
        <f t="shared" si="59"/>
        <v>52.82882011605416</v>
      </c>
      <c r="AC71">
        <v>10</v>
      </c>
      <c r="AD71">
        <f t="shared" si="73"/>
        <v>20</v>
      </c>
      <c r="AE71" s="14">
        <f t="shared" si="60"/>
        <v>0.5</v>
      </c>
      <c r="AF71" s="15">
        <f t="shared" si="61"/>
        <v>0.5</v>
      </c>
      <c r="AG71" s="15">
        <f t="shared" si="62"/>
        <v>5.3191489361702127</v>
      </c>
      <c r="AH71" s="16">
        <f t="shared" si="63"/>
        <v>52.659574468085104</v>
      </c>
      <c r="AI71" s="14">
        <f t="shared" si="64"/>
        <v>0.4</v>
      </c>
      <c r="AJ71" s="15">
        <f t="shared" si="65"/>
        <v>0.6</v>
      </c>
      <c r="AK71" s="15">
        <f t="shared" si="66"/>
        <v>6.3829787234042561</v>
      </c>
      <c r="AL71" s="16">
        <f t="shared" si="67"/>
        <v>53.191489361702125</v>
      </c>
      <c r="AM71" s="14">
        <f t="shared" si="68"/>
        <v>0.33333333333333331</v>
      </c>
      <c r="AN71" s="15">
        <f t="shared" si="69"/>
        <v>0.66666666666666674</v>
      </c>
      <c r="AO71" s="15">
        <f t="shared" si="70"/>
        <v>7.0921985815602842</v>
      </c>
      <c r="AP71" s="16">
        <f t="shared" si="71"/>
        <v>53.546099290780141</v>
      </c>
    </row>
    <row r="72" spans="1:42">
      <c r="N72">
        <v>11</v>
      </c>
      <c r="O72">
        <f t="shared" si="72"/>
        <v>44.4</v>
      </c>
      <c r="P72" s="14">
        <f t="shared" si="48"/>
        <v>0.41666666666666669</v>
      </c>
      <c r="Q72" s="15">
        <f t="shared" si="49"/>
        <v>0.58333333333333326</v>
      </c>
      <c r="R72" s="15">
        <f t="shared" si="50"/>
        <v>5.7402482269503547</v>
      </c>
      <c r="S72" s="16">
        <f t="shared" si="51"/>
        <v>52.870124113475178</v>
      </c>
      <c r="T72" s="14">
        <f t="shared" si="52"/>
        <v>0.56306306306306309</v>
      </c>
      <c r="U72" s="15">
        <f t="shared" si="53"/>
        <v>0.43693693693693691</v>
      </c>
      <c r="V72" s="15">
        <f t="shared" si="54"/>
        <v>5.8103316082039491</v>
      </c>
      <c r="W72" s="16">
        <f t="shared" si="55"/>
        <v>52.905165804101976</v>
      </c>
      <c r="X72" s="14">
        <f t="shared" si="56"/>
        <v>0.5855855855855856</v>
      </c>
      <c r="Y72" s="15">
        <f t="shared" si="57"/>
        <v>0.4144144144144144</v>
      </c>
      <c r="Z72" s="15">
        <f t="shared" si="58"/>
        <v>5.7312631780716892</v>
      </c>
      <c r="AA72" s="16">
        <f t="shared" si="59"/>
        <v>52.865631589035843</v>
      </c>
      <c r="AC72">
        <v>11</v>
      </c>
      <c r="AD72">
        <f t="shared" si="73"/>
        <v>20.149999999999999</v>
      </c>
      <c r="AE72" s="14">
        <f t="shared" si="60"/>
        <v>0.50374999999999992</v>
      </c>
      <c r="AF72" s="15">
        <f t="shared" si="61"/>
        <v>0.49625000000000008</v>
      </c>
      <c r="AG72" s="15">
        <f t="shared" si="62"/>
        <v>5.3188497340425531</v>
      </c>
      <c r="AH72" s="16">
        <f t="shared" si="63"/>
        <v>52.659424867021279</v>
      </c>
      <c r="AI72" s="14">
        <f t="shared" si="64"/>
        <v>0.40299999999999997</v>
      </c>
      <c r="AJ72" s="15">
        <f t="shared" si="65"/>
        <v>0.59699999999999998</v>
      </c>
      <c r="AK72" s="15">
        <f t="shared" si="66"/>
        <v>6.3986968085106382</v>
      </c>
      <c r="AL72" s="16">
        <f t="shared" si="67"/>
        <v>53.199348404255318</v>
      </c>
      <c r="AM72" s="14">
        <f t="shared" si="68"/>
        <v>0.33583333333333332</v>
      </c>
      <c r="AN72" s="15">
        <f t="shared" si="69"/>
        <v>0.66416666666666668</v>
      </c>
      <c r="AO72" s="15">
        <f t="shared" si="70"/>
        <v>7.1185948581560297</v>
      </c>
      <c r="AP72" s="16">
        <f t="shared" si="71"/>
        <v>53.559297429078015</v>
      </c>
    </row>
    <row r="73" spans="1:42">
      <c r="N73">
        <v>12</v>
      </c>
      <c r="O73">
        <f t="shared" si="72"/>
        <v>44.8</v>
      </c>
      <c r="P73" s="14">
        <f t="shared" si="48"/>
        <v>0.4129464285714286</v>
      </c>
      <c r="Q73" s="15">
        <f t="shared" si="49"/>
        <v>0.5870535714285714</v>
      </c>
      <c r="R73" s="15">
        <f t="shared" si="50"/>
        <v>5.7768569528875382</v>
      </c>
      <c r="S73" s="16">
        <f t="shared" si="51"/>
        <v>52.888428476443771</v>
      </c>
      <c r="T73" s="14">
        <f t="shared" si="52"/>
        <v>0.5580357142857143</v>
      </c>
      <c r="U73" s="15">
        <f t="shared" si="53"/>
        <v>0.4419642857142857</v>
      </c>
      <c r="V73" s="15">
        <f t="shared" si="54"/>
        <v>5.8771846504559271</v>
      </c>
      <c r="W73" s="16">
        <f t="shared" si="55"/>
        <v>52.938592325227965</v>
      </c>
      <c r="X73" s="14">
        <f t="shared" si="56"/>
        <v>0.5803571428571429</v>
      </c>
      <c r="Y73" s="15">
        <f t="shared" si="57"/>
        <v>0.4196428571428571</v>
      </c>
      <c r="Z73" s="15">
        <f t="shared" si="58"/>
        <v>5.8035714285714288</v>
      </c>
      <c r="AA73" s="16">
        <f t="shared" si="59"/>
        <v>52.901785714285715</v>
      </c>
      <c r="AC73">
        <v>12</v>
      </c>
      <c r="AD73">
        <f t="shared" si="73"/>
        <v>20.3</v>
      </c>
      <c r="AE73" s="14">
        <f t="shared" si="60"/>
        <v>0.50750000000000006</v>
      </c>
      <c r="AF73" s="15">
        <f t="shared" si="61"/>
        <v>0.49249999999999994</v>
      </c>
      <c r="AG73" s="15">
        <f t="shared" si="62"/>
        <v>5.3179521276595754</v>
      </c>
      <c r="AH73" s="16">
        <f t="shared" si="63"/>
        <v>52.65897606382979</v>
      </c>
      <c r="AI73" s="14">
        <f t="shared" si="64"/>
        <v>0.40600000000000003</v>
      </c>
      <c r="AJ73" s="15">
        <f t="shared" si="65"/>
        <v>0.59399999999999997</v>
      </c>
      <c r="AK73" s="15">
        <f t="shared" si="66"/>
        <v>6.4139361702127671</v>
      </c>
      <c r="AL73" s="16">
        <f t="shared" si="67"/>
        <v>53.206968085106382</v>
      </c>
      <c r="AM73" s="14">
        <f t="shared" si="68"/>
        <v>0.33833333333333332</v>
      </c>
      <c r="AN73" s="15">
        <f t="shared" si="69"/>
        <v>0.66166666666666663</v>
      </c>
      <c r="AO73" s="15">
        <f t="shared" si="70"/>
        <v>7.1445921985815604</v>
      </c>
      <c r="AP73" s="16">
        <f t="shared" si="71"/>
        <v>53.572296099290782</v>
      </c>
    </row>
    <row r="74" spans="1:42">
      <c r="A74" s="47" t="s">
        <v>99</v>
      </c>
      <c r="B74" s="47"/>
      <c r="C74" s="47"/>
      <c r="N74">
        <v>13</v>
      </c>
      <c r="O74">
        <f t="shared" si="72"/>
        <v>45.2</v>
      </c>
      <c r="P74" s="14">
        <f t="shared" si="48"/>
        <v>0.40929203539823006</v>
      </c>
      <c r="Q74" s="15">
        <f t="shared" si="49"/>
        <v>0.59070796460176989</v>
      </c>
      <c r="R74" s="15">
        <f t="shared" si="50"/>
        <v>5.8128177367727369</v>
      </c>
      <c r="S74" s="16">
        <f t="shared" si="51"/>
        <v>52.906408868386372</v>
      </c>
      <c r="T74" s="14">
        <f t="shared" si="52"/>
        <v>0.55309734513274333</v>
      </c>
      <c r="U74" s="15">
        <f t="shared" si="53"/>
        <v>0.44690265486725667</v>
      </c>
      <c r="V74" s="15">
        <f t="shared" si="54"/>
        <v>5.9428544530220302</v>
      </c>
      <c r="W74" s="16">
        <f t="shared" si="55"/>
        <v>52.971427226511018</v>
      </c>
      <c r="X74" s="14">
        <f t="shared" si="56"/>
        <v>0.5752212389380531</v>
      </c>
      <c r="Y74" s="15">
        <f t="shared" si="57"/>
        <v>0.4247787610619469</v>
      </c>
      <c r="Z74" s="15">
        <f t="shared" si="58"/>
        <v>5.8745998870269274</v>
      </c>
      <c r="AA74" s="16">
        <f t="shared" si="59"/>
        <v>52.937299943513466</v>
      </c>
      <c r="AC74">
        <v>13</v>
      </c>
      <c r="AD74">
        <f t="shared" si="73"/>
        <v>20.45</v>
      </c>
      <c r="AE74" s="14">
        <f t="shared" si="60"/>
        <v>0.51124999999999998</v>
      </c>
      <c r="AF74" s="15">
        <f t="shared" si="61"/>
        <v>0.48875000000000002</v>
      </c>
      <c r="AG74" s="15">
        <f t="shared" si="62"/>
        <v>5.3164561170212776</v>
      </c>
      <c r="AH74" s="16">
        <f t="shared" si="63"/>
        <v>52.658228058510637</v>
      </c>
      <c r="AI74" s="14">
        <f t="shared" si="64"/>
        <v>0.40899999999999997</v>
      </c>
      <c r="AJ74" s="15">
        <f t="shared" si="65"/>
        <v>0.59099999999999997</v>
      </c>
      <c r="AK74" s="15">
        <f t="shared" si="66"/>
        <v>6.4286968085106384</v>
      </c>
      <c r="AL74" s="16">
        <f t="shared" si="67"/>
        <v>53.214348404255318</v>
      </c>
      <c r="AM74" s="14">
        <f t="shared" si="68"/>
        <v>0.34083333333333332</v>
      </c>
      <c r="AN74" s="15">
        <f t="shared" si="69"/>
        <v>0.65916666666666668</v>
      </c>
      <c r="AO74" s="15">
        <f t="shared" si="70"/>
        <v>7.1701906028368789</v>
      </c>
      <c r="AP74" s="16">
        <f t="shared" si="71"/>
        <v>53.585095301418441</v>
      </c>
    </row>
    <row r="75" spans="1:42">
      <c r="A75" s="31" t="s">
        <v>207</v>
      </c>
      <c r="B75" s="49">
        <f>Design_Converter!B62</f>
        <v>1</v>
      </c>
      <c r="C75" s="31" t="s">
        <v>40</v>
      </c>
      <c r="N75">
        <v>14</v>
      </c>
      <c r="O75">
        <f t="shared" si="72"/>
        <v>45.6</v>
      </c>
      <c r="P75" s="14">
        <f t="shared" si="48"/>
        <v>0.4057017543859649</v>
      </c>
      <c r="Q75" s="15">
        <f t="shared" si="49"/>
        <v>0.5942982456140351</v>
      </c>
      <c r="R75" s="15">
        <f t="shared" si="50"/>
        <v>5.8481476297125798</v>
      </c>
      <c r="S75" s="16">
        <f t="shared" si="51"/>
        <v>52.924073814856293</v>
      </c>
      <c r="T75" s="14">
        <f t="shared" si="52"/>
        <v>0.54824561403508765</v>
      </c>
      <c r="U75" s="15">
        <f t="shared" si="53"/>
        <v>0.45175438596491235</v>
      </c>
      <c r="V75" s="15">
        <f t="shared" si="54"/>
        <v>6.0073721537887268</v>
      </c>
      <c r="W75" s="16">
        <f t="shared" si="55"/>
        <v>53.003686076894361</v>
      </c>
      <c r="X75" s="14">
        <f t="shared" si="56"/>
        <v>0.57017543859649122</v>
      </c>
      <c r="Y75" s="15">
        <f t="shared" si="57"/>
        <v>0.42982456140350878</v>
      </c>
      <c r="Z75" s="15">
        <f t="shared" si="58"/>
        <v>5.9443822321761859</v>
      </c>
      <c r="AA75" s="16">
        <f t="shared" si="59"/>
        <v>52.972191116088091</v>
      </c>
      <c r="AC75">
        <v>14</v>
      </c>
      <c r="AD75">
        <f t="shared" si="73"/>
        <v>20.6</v>
      </c>
      <c r="AE75" s="14">
        <f t="shared" si="60"/>
        <v>0.51500000000000001</v>
      </c>
      <c r="AF75" s="15">
        <f t="shared" si="61"/>
        <v>0.48499999999999999</v>
      </c>
      <c r="AG75" s="15">
        <f t="shared" si="62"/>
        <v>5.3143617021276599</v>
      </c>
      <c r="AH75" s="16">
        <f t="shared" si="63"/>
        <v>52.657180851063828</v>
      </c>
      <c r="AI75" s="14">
        <f t="shared" si="64"/>
        <v>0.41200000000000003</v>
      </c>
      <c r="AJ75" s="15">
        <f t="shared" si="65"/>
        <v>0.58799999999999997</v>
      </c>
      <c r="AK75" s="15">
        <f t="shared" si="66"/>
        <v>6.4429787234042557</v>
      </c>
      <c r="AL75" s="16">
        <f t="shared" si="67"/>
        <v>53.221489361702126</v>
      </c>
      <c r="AM75" s="14">
        <f t="shared" si="68"/>
        <v>0.34333333333333338</v>
      </c>
      <c r="AN75" s="15">
        <f t="shared" si="69"/>
        <v>0.65666666666666662</v>
      </c>
      <c r="AO75" s="15">
        <f t="shared" si="70"/>
        <v>7.1953900709219871</v>
      </c>
      <c r="AP75" s="16">
        <f t="shared" si="71"/>
        <v>53.597695035460994</v>
      </c>
    </row>
    <row r="76" spans="1:42" ht="15">
      <c r="A76" s="31" t="s">
        <v>157</v>
      </c>
      <c r="B76" s="56">
        <f>9.6/(((B75*10^-9)*Fsw)*1000)</f>
        <v>23.999999999999996</v>
      </c>
      <c r="C76" s="67" t="s">
        <v>104</v>
      </c>
      <c r="E76" s="34" t="s">
        <v>488</v>
      </c>
      <c r="N76">
        <v>15</v>
      </c>
      <c r="O76">
        <f t="shared" si="72"/>
        <v>46</v>
      </c>
      <c r="P76" s="14">
        <f t="shared" si="48"/>
        <v>0.40217391304347827</v>
      </c>
      <c r="Q76" s="15">
        <f t="shared" si="49"/>
        <v>0.59782608695652173</v>
      </c>
      <c r="R76" s="15">
        <f t="shared" si="50"/>
        <v>5.8828630897317309</v>
      </c>
      <c r="S76" s="16">
        <f t="shared" si="51"/>
        <v>52.941431544865864</v>
      </c>
      <c r="T76" s="14">
        <f t="shared" si="52"/>
        <v>0.54347826086956519</v>
      </c>
      <c r="U76" s="15">
        <f t="shared" si="53"/>
        <v>0.45652173913043481</v>
      </c>
      <c r="V76" s="15">
        <f t="shared" si="54"/>
        <v>6.0707678075855691</v>
      </c>
      <c r="W76" s="16">
        <f t="shared" si="55"/>
        <v>53.035383903792784</v>
      </c>
      <c r="X76" s="14">
        <f t="shared" si="56"/>
        <v>0.56521739130434778</v>
      </c>
      <c r="Y76" s="15">
        <f t="shared" si="57"/>
        <v>0.43478260869565222</v>
      </c>
      <c r="Z76" s="15">
        <f t="shared" si="58"/>
        <v>6.0129509713228488</v>
      </c>
      <c r="AA76" s="16">
        <f t="shared" si="59"/>
        <v>53.006475485661426</v>
      </c>
      <c r="AC76">
        <v>15</v>
      </c>
      <c r="AD76">
        <f t="shared" si="73"/>
        <v>20.75</v>
      </c>
      <c r="AE76" s="14">
        <f t="shared" si="60"/>
        <v>0.51875000000000004</v>
      </c>
      <c r="AF76" s="15">
        <f t="shared" si="61"/>
        <v>0.48124999999999996</v>
      </c>
      <c r="AG76" s="15">
        <f t="shared" si="62"/>
        <v>5.311668882978724</v>
      </c>
      <c r="AH76" s="16">
        <f t="shared" si="63"/>
        <v>52.655834441489361</v>
      </c>
      <c r="AI76" s="14">
        <f t="shared" si="64"/>
        <v>0.41499999999999998</v>
      </c>
      <c r="AJ76" s="15">
        <f t="shared" si="65"/>
        <v>0.58499999999999996</v>
      </c>
      <c r="AK76" s="15">
        <f t="shared" si="66"/>
        <v>6.4567819148936172</v>
      </c>
      <c r="AL76" s="16">
        <f t="shared" si="67"/>
        <v>53.228390957446805</v>
      </c>
      <c r="AM76" s="14">
        <f t="shared" si="68"/>
        <v>0.34583333333333333</v>
      </c>
      <c r="AN76" s="15">
        <f t="shared" si="69"/>
        <v>0.65416666666666667</v>
      </c>
      <c r="AO76" s="15">
        <f t="shared" si="70"/>
        <v>7.2201906028368796</v>
      </c>
      <c r="AP76" s="16">
        <f t="shared" si="71"/>
        <v>53.61009530141844</v>
      </c>
    </row>
    <row r="77" spans="1:42" ht="15">
      <c r="A77" s="34" t="s">
        <v>208</v>
      </c>
      <c r="B77" s="49">
        <v>96</v>
      </c>
      <c r="C77" s="67" t="s">
        <v>104</v>
      </c>
      <c r="E77" s="34" t="s">
        <v>100</v>
      </c>
      <c r="N77">
        <v>16</v>
      </c>
      <c r="O77">
        <f t="shared" si="72"/>
        <v>46.4</v>
      </c>
      <c r="P77" s="14">
        <f t="shared" si="48"/>
        <v>0.39870689655172414</v>
      </c>
      <c r="Q77" s="15">
        <f t="shared" si="49"/>
        <v>0.6012931034482758</v>
      </c>
      <c r="R77" s="15">
        <f t="shared" si="50"/>
        <v>5.9169800073367576</v>
      </c>
      <c r="S77" s="16">
        <f t="shared" si="51"/>
        <v>52.958490003668381</v>
      </c>
      <c r="T77" s="14">
        <f t="shared" si="52"/>
        <v>0.53879310344827591</v>
      </c>
      <c r="U77" s="15">
        <f t="shared" si="53"/>
        <v>0.46120689655172409</v>
      </c>
      <c r="V77" s="15">
        <f t="shared" si="54"/>
        <v>6.1330704328686734</v>
      </c>
      <c r="W77" s="16">
        <f t="shared" si="55"/>
        <v>53.066535216434339</v>
      </c>
      <c r="X77" s="14">
        <f t="shared" si="56"/>
        <v>0.56034482758620696</v>
      </c>
      <c r="Y77" s="15">
        <f t="shared" si="57"/>
        <v>0.43965517241379304</v>
      </c>
      <c r="Z77" s="15">
        <f t="shared" si="58"/>
        <v>6.0803374908290539</v>
      </c>
      <c r="AA77" s="16">
        <f t="shared" si="59"/>
        <v>53.040168745414526</v>
      </c>
      <c r="AC77">
        <v>16</v>
      </c>
      <c r="AD77">
        <f t="shared" si="73"/>
        <v>20.9</v>
      </c>
      <c r="AE77" s="14">
        <f t="shared" si="60"/>
        <v>0.52249999999999996</v>
      </c>
      <c r="AF77" s="15">
        <f t="shared" si="61"/>
        <v>0.47750000000000004</v>
      </c>
      <c r="AG77" s="15">
        <f t="shared" si="62"/>
        <v>5.3083776595744681</v>
      </c>
      <c r="AH77" s="16">
        <f t="shared" si="63"/>
        <v>52.65418882978723</v>
      </c>
      <c r="AI77" s="14">
        <f t="shared" si="64"/>
        <v>0.41799999999999998</v>
      </c>
      <c r="AJ77" s="15">
        <f t="shared" si="65"/>
        <v>0.58200000000000007</v>
      </c>
      <c r="AK77" s="15">
        <f t="shared" si="66"/>
        <v>6.4701063829787238</v>
      </c>
      <c r="AL77" s="16">
        <f t="shared" si="67"/>
        <v>53.235053191489364</v>
      </c>
      <c r="AM77" s="14">
        <f t="shared" si="68"/>
        <v>0.34833333333333333</v>
      </c>
      <c r="AN77" s="15">
        <f t="shared" si="69"/>
        <v>0.65166666666666662</v>
      </c>
      <c r="AO77" s="15">
        <f t="shared" si="70"/>
        <v>7.2445921985815609</v>
      </c>
      <c r="AP77" s="16">
        <f t="shared" si="71"/>
        <v>53.622296099290779</v>
      </c>
    </row>
    <row r="78" spans="1:42">
      <c r="A78" s="31" t="s">
        <v>101</v>
      </c>
      <c r="B78" s="61">
        <f>(V48_Min)/(Ramp_C*Ramp_R*Fsw)</f>
        <v>4.166666666666667</v>
      </c>
      <c r="C78" s="31" t="s">
        <v>1</v>
      </c>
      <c r="D78" s="34">
        <f>IF(B78&lt;Constants!$C$44,1,IF(B78&gt;Constants!$C$43,1,0))</f>
        <v>0</v>
      </c>
      <c r="E78" s="34" t="s">
        <v>209</v>
      </c>
      <c r="N78">
        <v>17</v>
      </c>
      <c r="O78">
        <f t="shared" si="72"/>
        <v>46.8</v>
      </c>
      <c r="P78" s="14">
        <f t="shared" si="48"/>
        <v>0.39529914529914534</v>
      </c>
      <c r="Q78" s="15">
        <f t="shared" si="49"/>
        <v>0.60470085470085466</v>
      </c>
      <c r="R78" s="15">
        <f t="shared" si="50"/>
        <v>5.9505137297690487</v>
      </c>
      <c r="S78" s="16">
        <f t="shared" si="51"/>
        <v>52.975256864884521</v>
      </c>
      <c r="T78" s="14">
        <f t="shared" si="52"/>
        <v>0.53418803418803418</v>
      </c>
      <c r="U78" s="15">
        <f t="shared" si="53"/>
        <v>0.46581196581196582</v>
      </c>
      <c r="V78" s="15">
        <f t="shared" si="54"/>
        <v>6.1943080560101826</v>
      </c>
      <c r="W78" s="16">
        <f t="shared" si="55"/>
        <v>53.097154028005093</v>
      </c>
      <c r="X78" s="14">
        <f t="shared" si="56"/>
        <v>0.55555555555555558</v>
      </c>
      <c r="Y78" s="15">
        <f t="shared" si="57"/>
        <v>0.44444444444444442</v>
      </c>
      <c r="Z78" s="15">
        <f t="shared" si="58"/>
        <v>6.1465721040189125</v>
      </c>
      <c r="AA78" s="16">
        <f t="shared" si="59"/>
        <v>53.073286052009458</v>
      </c>
      <c r="AC78">
        <v>17</v>
      </c>
      <c r="AD78">
        <f t="shared" si="73"/>
        <v>21.05</v>
      </c>
      <c r="AE78" s="14">
        <f t="shared" si="60"/>
        <v>0.52625</v>
      </c>
      <c r="AF78" s="15">
        <f t="shared" si="61"/>
        <v>0.47375</v>
      </c>
      <c r="AG78" s="15">
        <f t="shared" si="62"/>
        <v>5.3044880319148939</v>
      </c>
      <c r="AH78" s="16">
        <f t="shared" si="63"/>
        <v>52.65224401595745</v>
      </c>
      <c r="AI78" s="14">
        <f t="shared" si="64"/>
        <v>0.42100000000000004</v>
      </c>
      <c r="AJ78" s="15">
        <f t="shared" si="65"/>
        <v>0.57899999999999996</v>
      </c>
      <c r="AK78" s="15">
        <f t="shared" si="66"/>
        <v>6.4829521276595754</v>
      </c>
      <c r="AL78" s="16">
        <f t="shared" si="67"/>
        <v>53.241476063829786</v>
      </c>
      <c r="AM78" s="14">
        <f t="shared" si="68"/>
        <v>0.35083333333333333</v>
      </c>
      <c r="AN78" s="15">
        <f t="shared" si="69"/>
        <v>0.64916666666666667</v>
      </c>
      <c r="AO78" s="15">
        <f t="shared" si="70"/>
        <v>7.2685948581560291</v>
      </c>
      <c r="AP78" s="16">
        <f t="shared" si="71"/>
        <v>53.634297429078018</v>
      </c>
    </row>
    <row r="79" spans="1:42">
      <c r="A79" s="31" t="s">
        <v>102</v>
      </c>
      <c r="B79" s="50">
        <f>(V48_Nom)/(Ramp_C*Ramp_R*Fsw)</f>
        <v>5.2083333333333339</v>
      </c>
      <c r="C79" s="31" t="s">
        <v>1</v>
      </c>
      <c r="D79" s="34">
        <f>IF(B79&lt;Constants!$C$44,1,IF(B79&gt;Constants!$C$43,1,0))</f>
        <v>0</v>
      </c>
      <c r="E79" s="34" t="s">
        <v>209</v>
      </c>
      <c r="N79">
        <v>18</v>
      </c>
      <c r="O79">
        <f t="shared" si="72"/>
        <v>47.2</v>
      </c>
      <c r="P79" s="14">
        <f t="shared" si="48"/>
        <v>0.39194915254237284</v>
      </c>
      <c r="Q79" s="15">
        <f t="shared" si="49"/>
        <v>0.60805084745762716</v>
      </c>
      <c r="R79" s="15">
        <f t="shared" si="50"/>
        <v>5.9834790840245224</v>
      </c>
      <c r="S79" s="16">
        <f t="shared" si="51"/>
        <v>52.991739542012262</v>
      </c>
      <c r="T79" s="14">
        <f t="shared" si="52"/>
        <v>0.52966101694915246</v>
      </c>
      <c r="U79" s="15">
        <f t="shared" si="53"/>
        <v>0.47033898305084754</v>
      </c>
      <c r="V79" s="15">
        <f t="shared" si="54"/>
        <v>6.2545077533357381</v>
      </c>
      <c r="W79" s="16">
        <f t="shared" si="55"/>
        <v>53.127253876667872</v>
      </c>
      <c r="X79" s="14">
        <f t="shared" si="56"/>
        <v>0.55084745762711862</v>
      </c>
      <c r="Y79" s="15">
        <f t="shared" si="57"/>
        <v>0.44915254237288138</v>
      </c>
      <c r="Z79" s="15">
        <f t="shared" si="58"/>
        <v>6.2116840966462323</v>
      </c>
      <c r="AA79" s="16">
        <f t="shared" si="59"/>
        <v>53.105842048323119</v>
      </c>
      <c r="AC79">
        <v>18</v>
      </c>
      <c r="AD79">
        <f t="shared" si="73"/>
        <v>21.2</v>
      </c>
      <c r="AE79" s="14">
        <f t="shared" si="60"/>
        <v>0.53</v>
      </c>
      <c r="AF79" s="15">
        <f t="shared" si="61"/>
        <v>0.47</v>
      </c>
      <c r="AG79" s="15">
        <f t="shared" si="62"/>
        <v>5.3000000000000007</v>
      </c>
      <c r="AH79" s="16">
        <f t="shared" si="63"/>
        <v>52.65</v>
      </c>
      <c r="AI79" s="14">
        <f t="shared" si="64"/>
        <v>0.42399999999999999</v>
      </c>
      <c r="AJ79" s="15">
        <f t="shared" si="65"/>
        <v>0.57600000000000007</v>
      </c>
      <c r="AK79" s="15">
        <f t="shared" si="66"/>
        <v>6.4953191489361712</v>
      </c>
      <c r="AL79" s="16">
        <f t="shared" si="67"/>
        <v>53.247659574468088</v>
      </c>
      <c r="AM79" s="14">
        <f t="shared" si="68"/>
        <v>0.35333333333333333</v>
      </c>
      <c r="AN79" s="15">
        <f t="shared" si="69"/>
        <v>0.64666666666666672</v>
      </c>
      <c r="AO79" s="15">
        <f t="shared" si="70"/>
        <v>7.2921985815602843</v>
      </c>
      <c r="AP79" s="16">
        <f t="shared" si="71"/>
        <v>53.646099290780143</v>
      </c>
    </row>
    <row r="80" spans="1:42">
      <c r="A80" s="31" t="s">
        <v>103</v>
      </c>
      <c r="B80" s="61">
        <f>(V48_Max)/(Ramp_C*Ramp_R*Fsw)</f>
        <v>6.25</v>
      </c>
      <c r="C80" s="31" t="s">
        <v>1</v>
      </c>
      <c r="D80" s="34">
        <f>IF(B80&lt;Constants!$C$44,1,IF(B80&gt;Constants!$C$43,1,0))</f>
        <v>0</v>
      </c>
      <c r="E80" s="34" t="s">
        <v>209</v>
      </c>
      <c r="N80">
        <v>19</v>
      </c>
      <c r="O80">
        <f t="shared" si="72"/>
        <v>47.6</v>
      </c>
      <c r="P80" s="14">
        <f t="shared" si="48"/>
        <v>0.38865546218487396</v>
      </c>
      <c r="Q80" s="15">
        <f t="shared" si="49"/>
        <v>0.6113445378151261</v>
      </c>
      <c r="R80" s="15">
        <f t="shared" si="50"/>
        <v>6.0158903987126777</v>
      </c>
      <c r="S80" s="16">
        <f t="shared" si="51"/>
        <v>53.007945199356342</v>
      </c>
      <c r="T80" s="14">
        <f t="shared" si="52"/>
        <v>0.52521008403361347</v>
      </c>
      <c r="U80" s="15">
        <f t="shared" si="53"/>
        <v>0.47478991596638653</v>
      </c>
      <c r="V80" s="15">
        <f t="shared" si="54"/>
        <v>6.3136956910423754</v>
      </c>
      <c r="W80" s="16">
        <f t="shared" si="55"/>
        <v>53.156847845521185</v>
      </c>
      <c r="X80" s="14">
        <f t="shared" si="56"/>
        <v>0.54621848739495793</v>
      </c>
      <c r="Y80" s="15">
        <f t="shared" si="57"/>
        <v>0.45378151260504207</v>
      </c>
      <c r="Z80" s="15">
        <f t="shared" si="58"/>
        <v>6.2757017700697304</v>
      </c>
      <c r="AA80" s="16">
        <f t="shared" si="59"/>
        <v>53.137850885034865</v>
      </c>
      <c r="AC80">
        <v>19</v>
      </c>
      <c r="AD80">
        <f t="shared" si="73"/>
        <v>21.35</v>
      </c>
      <c r="AE80" s="14">
        <f t="shared" si="60"/>
        <v>0.53375000000000006</v>
      </c>
      <c r="AF80" s="15">
        <f t="shared" si="61"/>
        <v>0.46624999999999994</v>
      </c>
      <c r="AG80" s="15">
        <f t="shared" si="62"/>
        <v>5.2949135638297884</v>
      </c>
      <c r="AH80" s="16">
        <f t="shared" si="63"/>
        <v>52.647456781914897</v>
      </c>
      <c r="AI80" s="14">
        <f t="shared" si="64"/>
        <v>0.42700000000000005</v>
      </c>
      <c r="AJ80" s="15">
        <f t="shared" si="65"/>
        <v>0.57299999999999995</v>
      </c>
      <c r="AK80" s="15">
        <f t="shared" si="66"/>
        <v>6.5072074468085113</v>
      </c>
      <c r="AL80" s="16">
        <f t="shared" si="67"/>
        <v>53.253603723404254</v>
      </c>
      <c r="AM80" s="14">
        <f t="shared" si="68"/>
        <v>0.35583333333333333</v>
      </c>
      <c r="AN80" s="15">
        <f t="shared" si="69"/>
        <v>0.64416666666666667</v>
      </c>
      <c r="AO80" s="15">
        <f t="shared" si="70"/>
        <v>7.3154033687943265</v>
      </c>
      <c r="AP80" s="16">
        <f t="shared" si="71"/>
        <v>53.657701684397161</v>
      </c>
    </row>
    <row r="81" spans="1:42">
      <c r="N81">
        <v>20</v>
      </c>
      <c r="O81">
        <f t="shared" si="72"/>
        <v>48</v>
      </c>
      <c r="P81" s="14">
        <f t="shared" si="48"/>
        <v>0.38541666666666669</v>
      </c>
      <c r="Q81" s="15">
        <f t="shared" si="49"/>
        <v>0.61458333333333326</v>
      </c>
      <c r="R81" s="15">
        <f t="shared" si="50"/>
        <v>6.0477615248226959</v>
      </c>
      <c r="S81" s="16">
        <f t="shared" si="51"/>
        <v>53.023880762411345</v>
      </c>
      <c r="T81" s="14">
        <f t="shared" si="52"/>
        <v>0.52083333333333337</v>
      </c>
      <c r="U81" s="15">
        <f t="shared" si="53"/>
        <v>0.47916666666666663</v>
      </c>
      <c r="V81" s="15">
        <f t="shared" si="54"/>
        <v>6.3718971631205683</v>
      </c>
      <c r="W81" s="16">
        <f t="shared" si="55"/>
        <v>53.185948581560282</v>
      </c>
      <c r="X81" s="14">
        <f t="shared" si="56"/>
        <v>0.54166666666666663</v>
      </c>
      <c r="Y81" s="15">
        <f t="shared" si="57"/>
        <v>0.45833333333333337</v>
      </c>
      <c r="Z81" s="15">
        <f t="shared" si="58"/>
        <v>6.3386524822695041</v>
      </c>
      <c r="AA81" s="16">
        <f t="shared" si="59"/>
        <v>53.169326241134755</v>
      </c>
      <c r="AC81">
        <v>20</v>
      </c>
      <c r="AD81">
        <f t="shared" si="73"/>
        <v>21.5</v>
      </c>
      <c r="AE81" s="14">
        <f t="shared" si="60"/>
        <v>0.53749999999999998</v>
      </c>
      <c r="AF81" s="15">
        <f t="shared" si="61"/>
        <v>0.46250000000000002</v>
      </c>
      <c r="AG81" s="15">
        <f t="shared" si="62"/>
        <v>5.2892287234042552</v>
      </c>
      <c r="AH81" s="16">
        <f t="shared" si="63"/>
        <v>52.644614361702125</v>
      </c>
      <c r="AI81" s="14">
        <f t="shared" si="64"/>
        <v>0.43</v>
      </c>
      <c r="AJ81" s="15">
        <f t="shared" si="65"/>
        <v>0.57000000000000006</v>
      </c>
      <c r="AK81" s="15">
        <f t="shared" si="66"/>
        <v>6.5186170212765955</v>
      </c>
      <c r="AL81" s="16">
        <f t="shared" si="67"/>
        <v>53.259308510638299</v>
      </c>
      <c r="AM81" s="14">
        <f t="shared" si="68"/>
        <v>0.35833333333333334</v>
      </c>
      <c r="AN81" s="15">
        <f t="shared" si="69"/>
        <v>0.64166666666666661</v>
      </c>
      <c r="AO81" s="15">
        <f t="shared" si="70"/>
        <v>7.3382092198581566</v>
      </c>
      <c r="AP81" s="16">
        <f t="shared" si="71"/>
        <v>53.669104609929079</v>
      </c>
    </row>
    <row r="82" spans="1:42">
      <c r="A82" s="44" t="s">
        <v>112</v>
      </c>
      <c r="B82" s="45"/>
      <c r="C82" s="46"/>
      <c r="N82">
        <v>21</v>
      </c>
      <c r="O82">
        <f t="shared" si="72"/>
        <v>48.4</v>
      </c>
      <c r="P82" s="14">
        <f t="shared" si="48"/>
        <v>0.38223140495867769</v>
      </c>
      <c r="Q82" s="15">
        <f t="shared" si="49"/>
        <v>0.61776859504132231</v>
      </c>
      <c r="R82" s="15">
        <f t="shared" si="50"/>
        <v>6.0791058554598205</v>
      </c>
      <c r="S82" s="16">
        <f t="shared" si="51"/>
        <v>53.039552927729908</v>
      </c>
      <c r="T82" s="14">
        <f t="shared" si="52"/>
        <v>0.51652892561983477</v>
      </c>
      <c r="U82" s="15">
        <f t="shared" si="53"/>
        <v>0.48347107438016523</v>
      </c>
      <c r="V82" s="15">
        <f t="shared" si="54"/>
        <v>6.4291366273958159</v>
      </c>
      <c r="W82" s="16">
        <f t="shared" si="55"/>
        <v>53.21456831369791</v>
      </c>
      <c r="X82" s="14">
        <f t="shared" si="56"/>
        <v>0.53719008264462809</v>
      </c>
      <c r="Y82" s="15">
        <f t="shared" si="57"/>
        <v>0.46280991735537191</v>
      </c>
      <c r="Z82" s="15">
        <f t="shared" si="58"/>
        <v>6.4005626868296108</v>
      </c>
      <c r="AA82" s="16">
        <f t="shared" si="59"/>
        <v>53.200281343414808</v>
      </c>
      <c r="AC82">
        <v>21</v>
      </c>
      <c r="AD82">
        <f t="shared" si="73"/>
        <v>21.65</v>
      </c>
      <c r="AE82" s="14">
        <f t="shared" si="60"/>
        <v>0.54125000000000001</v>
      </c>
      <c r="AF82" s="15">
        <f t="shared" si="61"/>
        <v>0.45874999999999999</v>
      </c>
      <c r="AG82" s="15">
        <f t="shared" si="62"/>
        <v>5.2829454787234047</v>
      </c>
      <c r="AH82" s="16">
        <f t="shared" si="63"/>
        <v>52.641472739361703</v>
      </c>
      <c r="AI82" s="14">
        <f t="shared" si="64"/>
        <v>0.433</v>
      </c>
      <c r="AJ82" s="15">
        <f t="shared" si="65"/>
        <v>0.56699999999999995</v>
      </c>
      <c r="AK82" s="15">
        <f t="shared" si="66"/>
        <v>6.5295478723404266</v>
      </c>
      <c r="AL82" s="16">
        <f t="shared" si="67"/>
        <v>53.264773936170215</v>
      </c>
      <c r="AM82" s="14">
        <f t="shared" si="68"/>
        <v>0.36083333333333328</v>
      </c>
      <c r="AN82" s="15">
        <f t="shared" si="69"/>
        <v>0.63916666666666666</v>
      </c>
      <c r="AO82" s="15">
        <f t="shared" si="70"/>
        <v>7.3606161347517727</v>
      </c>
      <c r="AP82" s="16">
        <f t="shared" si="71"/>
        <v>53.68030806737589</v>
      </c>
    </row>
    <row r="83" spans="1:42">
      <c r="A83" s="31" t="s">
        <v>210</v>
      </c>
      <c r="B83" s="49">
        <f>Design_Converter!B72*(10^-3)</f>
        <v>2E-3</v>
      </c>
      <c r="C83" s="31" t="s">
        <v>23</v>
      </c>
      <c r="N83">
        <v>22</v>
      </c>
      <c r="O83">
        <f t="shared" si="72"/>
        <v>48.8</v>
      </c>
      <c r="P83" s="14">
        <f t="shared" si="48"/>
        <v>0.37909836065573771</v>
      </c>
      <c r="Q83" s="15">
        <f t="shared" si="49"/>
        <v>0.62090163934426235</v>
      </c>
      <c r="R83" s="15">
        <f t="shared" si="50"/>
        <v>6.109936344611091</v>
      </c>
      <c r="S83" s="16">
        <f t="shared" si="51"/>
        <v>53.054968172305543</v>
      </c>
      <c r="T83" s="14">
        <f t="shared" si="52"/>
        <v>0.51229508196721318</v>
      </c>
      <c r="U83" s="15">
        <f t="shared" si="53"/>
        <v>0.48770491803278682</v>
      </c>
      <c r="V83" s="15">
        <f t="shared" si="54"/>
        <v>6.4854377397976988</v>
      </c>
      <c r="W83" s="16">
        <f t="shared" si="55"/>
        <v>53.242718869898852</v>
      </c>
      <c r="X83" s="14">
        <f t="shared" si="56"/>
        <v>0.53278688524590168</v>
      </c>
      <c r="Y83" s="15">
        <f t="shared" si="57"/>
        <v>0.46721311475409832</v>
      </c>
      <c r="Z83" s="15">
        <f t="shared" si="58"/>
        <v>6.4614579700034875</v>
      </c>
      <c r="AA83" s="16">
        <f t="shared" si="59"/>
        <v>53.230728985001747</v>
      </c>
      <c r="AC83">
        <v>22</v>
      </c>
      <c r="AD83">
        <f t="shared" si="73"/>
        <v>21.8</v>
      </c>
      <c r="AE83" s="14">
        <f t="shared" si="60"/>
        <v>0.54500000000000004</v>
      </c>
      <c r="AF83" s="15">
        <f t="shared" si="61"/>
        <v>0.45499999999999996</v>
      </c>
      <c r="AG83" s="15">
        <f t="shared" si="62"/>
        <v>5.2760638297872342</v>
      </c>
      <c r="AH83" s="16">
        <f t="shared" si="63"/>
        <v>52.638031914893617</v>
      </c>
      <c r="AI83" s="14">
        <f t="shared" si="64"/>
        <v>0.436</v>
      </c>
      <c r="AJ83" s="15">
        <f t="shared" si="65"/>
        <v>0.56400000000000006</v>
      </c>
      <c r="AK83" s="15">
        <f t="shared" si="66"/>
        <v>6.54</v>
      </c>
      <c r="AL83" s="16">
        <f t="shared" si="67"/>
        <v>53.27</v>
      </c>
      <c r="AM83" s="14">
        <f t="shared" si="68"/>
        <v>0.36333333333333334</v>
      </c>
      <c r="AN83" s="15">
        <f t="shared" si="69"/>
        <v>0.63666666666666671</v>
      </c>
      <c r="AO83" s="15">
        <f t="shared" si="70"/>
        <v>7.3826241134751793</v>
      </c>
      <c r="AP83" s="16">
        <f t="shared" si="71"/>
        <v>53.691312056737587</v>
      </c>
    </row>
    <row r="84" spans="1:42">
      <c r="A84" s="31" t="s">
        <v>115</v>
      </c>
      <c r="B84" s="50">
        <f>(Constants!C33*Calculations!B83/(Constants!C34))*(10^6)</f>
        <v>0.01</v>
      </c>
      <c r="C84" s="31" t="s">
        <v>32</v>
      </c>
      <c r="N84">
        <v>23</v>
      </c>
      <c r="O84">
        <f t="shared" si="72"/>
        <v>49.2</v>
      </c>
      <c r="P84" s="14">
        <f t="shared" si="48"/>
        <v>0.37601626016260159</v>
      </c>
      <c r="Q84" s="15">
        <f t="shared" si="49"/>
        <v>0.62398373983739841</v>
      </c>
      <c r="R84" s="15">
        <f t="shared" si="50"/>
        <v>6.1402655249956757</v>
      </c>
      <c r="S84" s="16">
        <f t="shared" si="51"/>
        <v>53.070132762497835</v>
      </c>
      <c r="T84" s="14">
        <f t="shared" si="52"/>
        <v>0.50813008130081294</v>
      </c>
      <c r="U84" s="15">
        <f t="shared" si="53"/>
        <v>0.49186991869918706</v>
      </c>
      <c r="V84" s="15">
        <f t="shared" si="54"/>
        <v>6.5408233869572738</v>
      </c>
      <c r="W84" s="16">
        <f t="shared" si="55"/>
        <v>53.270411693478636</v>
      </c>
      <c r="X84" s="14">
        <f t="shared" si="56"/>
        <v>0.52845528455284552</v>
      </c>
      <c r="Y84" s="15">
        <f t="shared" si="57"/>
        <v>0.47154471544715448</v>
      </c>
      <c r="Z84" s="15">
        <f t="shared" si="58"/>
        <v>6.5213630859712861</v>
      </c>
      <c r="AA84" s="16">
        <f t="shared" si="59"/>
        <v>53.260681542985644</v>
      </c>
      <c r="AC84">
        <v>23</v>
      </c>
      <c r="AD84">
        <f t="shared" si="73"/>
        <v>21.95</v>
      </c>
      <c r="AE84" s="14">
        <f t="shared" si="60"/>
        <v>0.54874999999999996</v>
      </c>
      <c r="AF84" s="15">
        <f t="shared" si="61"/>
        <v>0.45125000000000004</v>
      </c>
      <c r="AG84" s="15">
        <f t="shared" si="62"/>
        <v>5.2685837765957455</v>
      </c>
      <c r="AH84" s="16">
        <f t="shared" si="63"/>
        <v>52.634291888297874</v>
      </c>
      <c r="AI84" s="14">
        <f t="shared" si="64"/>
        <v>0.439</v>
      </c>
      <c r="AJ84" s="15">
        <f t="shared" si="65"/>
        <v>0.56099999999999994</v>
      </c>
      <c r="AK84" s="15">
        <f t="shared" si="66"/>
        <v>6.5499734042553195</v>
      </c>
      <c r="AL84" s="16">
        <f t="shared" si="67"/>
        <v>53.274986702127663</v>
      </c>
      <c r="AM84" s="14">
        <f t="shared" si="68"/>
        <v>0.36583333333333334</v>
      </c>
      <c r="AN84" s="15">
        <f t="shared" si="69"/>
        <v>0.63416666666666666</v>
      </c>
      <c r="AO84" s="15">
        <f t="shared" si="70"/>
        <v>7.4042331560283685</v>
      </c>
      <c r="AP84" s="16">
        <f t="shared" si="71"/>
        <v>53.702116578014184</v>
      </c>
    </row>
    <row r="85" spans="1:42">
      <c r="A85" s="31" t="s">
        <v>181</v>
      </c>
      <c r="B85" s="49">
        <f>Design_Converter!B74</f>
        <v>0.01</v>
      </c>
      <c r="C85" s="31" t="s">
        <v>32</v>
      </c>
      <c r="N85">
        <v>24</v>
      </c>
      <c r="O85">
        <f t="shared" si="72"/>
        <v>49.6</v>
      </c>
      <c r="P85" s="14">
        <f t="shared" si="48"/>
        <v>0.37298387096774194</v>
      </c>
      <c r="Q85" s="15">
        <f t="shared" si="49"/>
        <v>0.62701612903225801</v>
      </c>
      <c r="R85" s="15">
        <f t="shared" si="50"/>
        <v>6.1701055250514756</v>
      </c>
      <c r="S85" s="16">
        <f t="shared" si="51"/>
        <v>53.085052762525734</v>
      </c>
      <c r="T85" s="14">
        <f t="shared" si="52"/>
        <v>0.50403225806451613</v>
      </c>
      <c r="U85" s="15">
        <f t="shared" si="53"/>
        <v>0.49596774193548387</v>
      </c>
      <c r="V85" s="15">
        <f t="shared" si="54"/>
        <v>6.5953157172271792</v>
      </c>
      <c r="W85" s="16">
        <f t="shared" si="55"/>
        <v>53.29765785861359</v>
      </c>
      <c r="X85" s="14">
        <f t="shared" si="56"/>
        <v>0.52419354838709675</v>
      </c>
      <c r="Y85" s="15">
        <f t="shared" si="57"/>
        <v>0.47580645161290325</v>
      </c>
      <c r="Z85" s="15">
        <f t="shared" si="58"/>
        <v>6.5803019903912148</v>
      </c>
      <c r="AA85" s="16">
        <f t="shared" si="59"/>
        <v>53.29015099519561</v>
      </c>
      <c r="AC85">
        <v>24</v>
      </c>
      <c r="AD85">
        <f t="shared" si="73"/>
        <v>22.1</v>
      </c>
      <c r="AE85" s="14">
        <f t="shared" si="60"/>
        <v>0.55249999999999999</v>
      </c>
      <c r="AF85" s="15">
        <f t="shared" si="61"/>
        <v>0.44750000000000001</v>
      </c>
      <c r="AG85" s="15">
        <f t="shared" si="62"/>
        <v>5.2605053191489359</v>
      </c>
      <c r="AH85" s="16">
        <f t="shared" si="63"/>
        <v>52.630252659574467</v>
      </c>
      <c r="AI85" s="14">
        <f t="shared" si="64"/>
        <v>0.442</v>
      </c>
      <c r="AJ85" s="15">
        <f t="shared" si="65"/>
        <v>0.55800000000000005</v>
      </c>
      <c r="AK85" s="15">
        <f t="shared" si="66"/>
        <v>6.5594680851063831</v>
      </c>
      <c r="AL85" s="16">
        <f t="shared" si="67"/>
        <v>53.279734042553194</v>
      </c>
      <c r="AM85" s="14">
        <f t="shared" si="68"/>
        <v>0.36833333333333335</v>
      </c>
      <c r="AN85" s="15">
        <f t="shared" si="69"/>
        <v>0.6316666666666666</v>
      </c>
      <c r="AO85" s="15">
        <f t="shared" si="70"/>
        <v>7.4254432624113482</v>
      </c>
      <c r="AP85" s="16">
        <f t="shared" si="71"/>
        <v>53.712721631205675</v>
      </c>
    </row>
    <row r="86" spans="1:42">
      <c r="A86" s="31" t="s">
        <v>183</v>
      </c>
      <c r="B86" s="50">
        <f>1000*(Constants!C34*(B85*10^-6)/(Constants!C33))</f>
        <v>2</v>
      </c>
      <c r="C86" s="31" t="s">
        <v>114</v>
      </c>
      <c r="N86">
        <v>25</v>
      </c>
      <c r="O86">
        <f t="shared" si="72"/>
        <v>50</v>
      </c>
      <c r="P86" s="14">
        <f t="shared" si="48"/>
        <v>0.37</v>
      </c>
      <c r="Q86" s="15">
        <f t="shared" si="49"/>
        <v>0.63</v>
      </c>
      <c r="R86" s="15">
        <f t="shared" si="50"/>
        <v>6.1994680851063828</v>
      </c>
      <c r="S86" s="16">
        <f t="shared" si="51"/>
        <v>53.099734042553195</v>
      </c>
      <c r="T86" s="14">
        <f t="shared" si="52"/>
        <v>0.5</v>
      </c>
      <c r="U86" s="15">
        <f t="shared" si="53"/>
        <v>0.5</v>
      </c>
      <c r="V86" s="15">
        <f t="shared" si="54"/>
        <v>6.6489361702127656</v>
      </c>
      <c r="W86" s="16">
        <f t="shared" si="55"/>
        <v>53.324468085106382</v>
      </c>
      <c r="X86" s="14">
        <f t="shared" si="56"/>
        <v>0.52</v>
      </c>
      <c r="Y86" s="15">
        <f t="shared" si="57"/>
        <v>0.48</v>
      </c>
      <c r="Z86" s="15">
        <f t="shared" si="58"/>
        <v>6.6382978723404253</v>
      </c>
      <c r="AA86" s="16">
        <f t="shared" si="59"/>
        <v>53.319148936170215</v>
      </c>
      <c r="AC86">
        <v>25</v>
      </c>
      <c r="AD86">
        <f t="shared" si="73"/>
        <v>22.25</v>
      </c>
      <c r="AE86" s="14">
        <f t="shared" si="60"/>
        <v>0.55625000000000002</v>
      </c>
      <c r="AF86" s="15">
        <f t="shared" si="61"/>
        <v>0.44374999999999998</v>
      </c>
      <c r="AG86" s="15">
        <f t="shared" si="62"/>
        <v>5.251828457446809</v>
      </c>
      <c r="AH86" s="16">
        <f t="shared" si="63"/>
        <v>52.625914228723403</v>
      </c>
      <c r="AI86" s="14">
        <f t="shared" si="64"/>
        <v>0.44500000000000001</v>
      </c>
      <c r="AJ86" s="15">
        <f t="shared" si="65"/>
        <v>0.55499999999999994</v>
      </c>
      <c r="AK86" s="15">
        <f t="shared" si="66"/>
        <v>6.5684840425531918</v>
      </c>
      <c r="AL86" s="16">
        <f t="shared" si="67"/>
        <v>53.284242021276597</v>
      </c>
      <c r="AM86" s="14">
        <f t="shared" si="68"/>
        <v>0.37083333333333335</v>
      </c>
      <c r="AN86" s="15">
        <f t="shared" si="69"/>
        <v>0.62916666666666665</v>
      </c>
      <c r="AO86" s="15">
        <f t="shared" si="70"/>
        <v>7.4462544326241149</v>
      </c>
      <c r="AP86" s="16">
        <f t="shared" si="71"/>
        <v>53.723127216312058</v>
      </c>
    </row>
    <row r="87" spans="1:42">
      <c r="N87">
        <v>26</v>
      </c>
      <c r="O87">
        <f t="shared" si="72"/>
        <v>50.4</v>
      </c>
      <c r="P87" s="14">
        <f t="shared" si="48"/>
        <v>0.36706349206349209</v>
      </c>
      <c r="Q87" s="15">
        <f t="shared" si="49"/>
        <v>0.63293650793650791</v>
      </c>
      <c r="R87" s="15">
        <f t="shared" si="50"/>
        <v>6.2283645727794665</v>
      </c>
      <c r="S87" s="16">
        <f t="shared" si="51"/>
        <v>53.114182286389735</v>
      </c>
      <c r="T87" s="14">
        <f t="shared" si="52"/>
        <v>0.49603174603174605</v>
      </c>
      <c r="U87" s="15">
        <f t="shared" si="53"/>
        <v>0.50396825396825395</v>
      </c>
      <c r="V87" s="15">
        <f t="shared" si="54"/>
        <v>6.7017055048969949</v>
      </c>
      <c r="W87" s="16">
        <f t="shared" si="55"/>
        <v>53.350852752448496</v>
      </c>
      <c r="X87" s="14">
        <f t="shared" si="56"/>
        <v>0.51587301587301593</v>
      </c>
      <c r="Y87" s="15">
        <f t="shared" si="57"/>
        <v>0.48412698412698407</v>
      </c>
      <c r="Z87" s="15">
        <f t="shared" si="58"/>
        <v>6.6953731847348879</v>
      </c>
      <c r="AA87" s="16">
        <f t="shared" si="59"/>
        <v>53.347686592367445</v>
      </c>
      <c r="AC87">
        <v>26</v>
      </c>
      <c r="AD87">
        <f t="shared" si="73"/>
        <v>22.4</v>
      </c>
      <c r="AE87" s="14">
        <f t="shared" si="60"/>
        <v>0.55999999999999994</v>
      </c>
      <c r="AF87" s="15">
        <f t="shared" si="61"/>
        <v>0.44000000000000006</v>
      </c>
      <c r="AG87" s="15">
        <f t="shared" si="62"/>
        <v>5.2425531914893622</v>
      </c>
      <c r="AH87" s="16">
        <f t="shared" si="63"/>
        <v>52.621276595744682</v>
      </c>
      <c r="AI87" s="14">
        <f t="shared" si="64"/>
        <v>0.44799999999999995</v>
      </c>
      <c r="AJ87" s="15">
        <f t="shared" si="65"/>
        <v>0.55200000000000005</v>
      </c>
      <c r="AK87" s="15">
        <f t="shared" si="66"/>
        <v>6.5770212765957448</v>
      </c>
      <c r="AL87" s="16">
        <f t="shared" si="67"/>
        <v>53.288510638297872</v>
      </c>
      <c r="AM87" s="14">
        <f t="shared" si="68"/>
        <v>0.37333333333333329</v>
      </c>
      <c r="AN87" s="15">
        <f t="shared" si="69"/>
        <v>0.62666666666666671</v>
      </c>
      <c r="AO87" s="15">
        <f t="shared" si="70"/>
        <v>7.4666666666666659</v>
      </c>
      <c r="AP87" s="16">
        <f t="shared" si="71"/>
        <v>53.733333333333334</v>
      </c>
    </row>
    <row r="88" spans="1:42">
      <c r="A88" s="31" t="s">
        <v>160</v>
      </c>
      <c r="B88" s="53"/>
      <c r="C88" s="31"/>
      <c r="N88">
        <v>27</v>
      </c>
      <c r="O88">
        <f t="shared" si="72"/>
        <v>50.8</v>
      </c>
      <c r="P88" s="14">
        <f t="shared" si="48"/>
        <v>0.36417322834645671</v>
      </c>
      <c r="Q88" s="15">
        <f t="shared" si="49"/>
        <v>0.63582677165354329</v>
      </c>
      <c r="R88" s="15">
        <f t="shared" si="50"/>
        <v>6.2568059976545483</v>
      </c>
      <c r="S88" s="16">
        <f t="shared" si="51"/>
        <v>53.128402998827276</v>
      </c>
      <c r="T88" s="14">
        <f t="shared" si="52"/>
        <v>0.49212598425196852</v>
      </c>
      <c r="U88" s="15">
        <f t="shared" si="53"/>
        <v>0.50787401574803148</v>
      </c>
      <c r="V88" s="15">
        <f t="shared" si="54"/>
        <v>6.7536438264365888</v>
      </c>
      <c r="W88" s="16">
        <f t="shared" si="55"/>
        <v>53.376821913218294</v>
      </c>
      <c r="X88" s="14">
        <f t="shared" si="56"/>
        <v>0.51181102362204722</v>
      </c>
      <c r="Y88" s="15">
        <f t="shared" si="57"/>
        <v>0.48818897637795278</v>
      </c>
      <c r="Z88" s="15">
        <f t="shared" si="58"/>
        <v>6.7515496733121125</v>
      </c>
      <c r="AA88" s="16">
        <f t="shared" si="59"/>
        <v>53.375774836656056</v>
      </c>
      <c r="AC88">
        <v>27</v>
      </c>
      <c r="AD88">
        <f t="shared" si="73"/>
        <v>22.55</v>
      </c>
      <c r="AE88" s="14">
        <f t="shared" si="60"/>
        <v>0.56374999999999997</v>
      </c>
      <c r="AF88" s="15">
        <f t="shared" si="61"/>
        <v>0.43625000000000003</v>
      </c>
      <c r="AG88" s="15">
        <f t="shared" si="62"/>
        <v>5.2326795212765962</v>
      </c>
      <c r="AH88" s="16">
        <f t="shared" si="63"/>
        <v>52.616339760638297</v>
      </c>
      <c r="AI88" s="14">
        <f t="shared" si="64"/>
        <v>0.45100000000000001</v>
      </c>
      <c r="AJ88" s="15">
        <f t="shared" si="65"/>
        <v>0.54899999999999993</v>
      </c>
      <c r="AK88" s="15">
        <f t="shared" si="66"/>
        <v>6.5850797872340427</v>
      </c>
      <c r="AL88" s="16">
        <f t="shared" si="67"/>
        <v>53.292539893617018</v>
      </c>
      <c r="AM88" s="14">
        <f t="shared" si="68"/>
        <v>0.37583333333333335</v>
      </c>
      <c r="AN88" s="15">
        <f t="shared" si="69"/>
        <v>0.62416666666666665</v>
      </c>
      <c r="AO88" s="15">
        <f t="shared" si="70"/>
        <v>7.4866799645390083</v>
      </c>
      <c r="AP88" s="16">
        <f t="shared" si="71"/>
        <v>53.743339982269504</v>
      </c>
    </row>
    <row r="89" spans="1:42">
      <c r="A89" s="31" t="s">
        <v>161</v>
      </c>
      <c r="B89" s="49">
        <f>Design_Converter!B80</f>
        <v>55</v>
      </c>
      <c r="C89" s="31" t="s">
        <v>1</v>
      </c>
      <c r="N89">
        <v>28</v>
      </c>
      <c r="O89">
        <f t="shared" si="72"/>
        <v>51.2</v>
      </c>
      <c r="P89" s="14">
        <f t="shared" si="48"/>
        <v>0.361328125</v>
      </c>
      <c r="Q89" s="15">
        <f t="shared" si="49"/>
        <v>0.638671875</v>
      </c>
      <c r="R89" s="15">
        <f t="shared" si="50"/>
        <v>6.2848030252659584</v>
      </c>
      <c r="S89" s="16">
        <f t="shared" si="51"/>
        <v>53.142401512632979</v>
      </c>
      <c r="T89" s="14">
        <f t="shared" si="52"/>
        <v>0.48828125</v>
      </c>
      <c r="U89" s="15">
        <f t="shared" si="53"/>
        <v>0.51171875</v>
      </c>
      <c r="V89" s="15">
        <f t="shared" si="54"/>
        <v>6.8047706117021294</v>
      </c>
      <c r="W89" s="16">
        <f t="shared" si="55"/>
        <v>53.402385305851062</v>
      </c>
      <c r="X89" s="14">
        <f t="shared" si="56"/>
        <v>0.5078125</v>
      </c>
      <c r="Y89" s="15">
        <f t="shared" si="57"/>
        <v>0.4921875</v>
      </c>
      <c r="Z89" s="15">
        <f t="shared" si="58"/>
        <v>6.8068484042553195</v>
      </c>
      <c r="AA89" s="16">
        <f t="shared" si="59"/>
        <v>53.40342420212766</v>
      </c>
      <c r="AC89">
        <v>28</v>
      </c>
      <c r="AD89">
        <f t="shared" si="73"/>
        <v>22.7</v>
      </c>
      <c r="AE89" s="14">
        <f t="shared" si="60"/>
        <v>0.5675</v>
      </c>
      <c r="AF89" s="15">
        <f t="shared" si="61"/>
        <v>0.4325</v>
      </c>
      <c r="AG89" s="15">
        <f t="shared" si="62"/>
        <v>5.2222074468085111</v>
      </c>
      <c r="AH89" s="16">
        <f t="shared" si="63"/>
        <v>52.611103723404256</v>
      </c>
      <c r="AI89" s="14">
        <f t="shared" si="64"/>
        <v>0.45399999999999996</v>
      </c>
      <c r="AJ89" s="15">
        <f t="shared" si="65"/>
        <v>0.54600000000000004</v>
      </c>
      <c r="AK89" s="15">
        <f t="shared" si="66"/>
        <v>6.5926595744680849</v>
      </c>
      <c r="AL89" s="16">
        <f t="shared" si="67"/>
        <v>53.296329787234043</v>
      </c>
      <c r="AM89" s="14">
        <f t="shared" si="68"/>
        <v>0.3783333333333333</v>
      </c>
      <c r="AN89" s="15">
        <f t="shared" si="69"/>
        <v>0.6216666666666667</v>
      </c>
      <c r="AO89" s="15">
        <f t="shared" si="70"/>
        <v>7.5062943262411341</v>
      </c>
      <c r="AP89" s="16">
        <f t="shared" si="71"/>
        <v>53.753147163120566</v>
      </c>
    </row>
    <row r="90" spans="1:42" ht="15">
      <c r="A90" s="31" t="s">
        <v>162</v>
      </c>
      <c r="B90" s="54">
        <f>Constants!C19*Constants!C18/(B89-Constants!C18)/1000-1</f>
        <v>65.05964879680387</v>
      </c>
      <c r="C90" s="67" t="s">
        <v>104</v>
      </c>
      <c r="N90">
        <v>29</v>
      </c>
      <c r="O90">
        <f t="shared" si="72"/>
        <v>51.6</v>
      </c>
      <c r="P90" s="14">
        <f t="shared" si="48"/>
        <v>0.35852713178294571</v>
      </c>
      <c r="Q90" s="15">
        <f t="shared" si="49"/>
        <v>0.64147286821705429</v>
      </c>
      <c r="R90" s="15">
        <f t="shared" si="50"/>
        <v>6.3123659904337792</v>
      </c>
      <c r="S90" s="16">
        <f t="shared" si="51"/>
        <v>53.156182995216888</v>
      </c>
      <c r="T90" s="14">
        <f t="shared" si="52"/>
        <v>0.48449612403100772</v>
      </c>
      <c r="U90" s="15">
        <f t="shared" si="53"/>
        <v>0.51550387596899228</v>
      </c>
      <c r="V90" s="15">
        <f t="shared" si="54"/>
        <v>6.8551047336302169</v>
      </c>
      <c r="W90" s="16">
        <f t="shared" si="55"/>
        <v>53.427552366815107</v>
      </c>
      <c r="X90" s="14">
        <f t="shared" si="56"/>
        <v>0.50387596899224807</v>
      </c>
      <c r="Y90" s="15">
        <f t="shared" si="57"/>
        <v>0.49612403100775193</v>
      </c>
      <c r="Z90" s="15">
        <f t="shared" si="58"/>
        <v>6.8612897905327408</v>
      </c>
      <c r="AA90" s="16">
        <f t="shared" si="59"/>
        <v>53.430644895266369</v>
      </c>
      <c r="AC90">
        <v>29</v>
      </c>
      <c r="AD90">
        <f t="shared" si="73"/>
        <v>22.85</v>
      </c>
      <c r="AE90" s="14">
        <f t="shared" si="60"/>
        <v>0.57125000000000004</v>
      </c>
      <c r="AF90" s="15">
        <f t="shared" si="61"/>
        <v>0.42874999999999996</v>
      </c>
      <c r="AG90" s="15">
        <f t="shared" si="62"/>
        <v>5.2111369680851061</v>
      </c>
      <c r="AH90" s="16">
        <f t="shared" si="63"/>
        <v>52.60556848404255</v>
      </c>
      <c r="AI90" s="14">
        <f t="shared" si="64"/>
        <v>0.45700000000000002</v>
      </c>
      <c r="AJ90" s="15">
        <f t="shared" si="65"/>
        <v>0.54299999999999993</v>
      </c>
      <c r="AK90" s="15">
        <f t="shared" si="66"/>
        <v>6.5997606382978731</v>
      </c>
      <c r="AL90" s="16">
        <f t="shared" si="67"/>
        <v>53.29988031914894</v>
      </c>
      <c r="AM90" s="14">
        <f t="shared" si="68"/>
        <v>0.38083333333333336</v>
      </c>
      <c r="AN90" s="15">
        <f t="shared" si="69"/>
        <v>0.61916666666666664</v>
      </c>
      <c r="AO90" s="15">
        <f t="shared" si="70"/>
        <v>7.5255097517730505</v>
      </c>
      <c r="AP90" s="16">
        <f t="shared" si="71"/>
        <v>53.762754875886529</v>
      </c>
    </row>
    <row r="91" spans="1:42" ht="15">
      <c r="A91" s="31" t="s">
        <v>164</v>
      </c>
      <c r="B91" s="49">
        <f>Design_Converter!B82</f>
        <v>64.900000000000006</v>
      </c>
      <c r="C91" s="67" t="s">
        <v>104</v>
      </c>
      <c r="N91">
        <v>30</v>
      </c>
      <c r="O91">
        <f t="shared" si="72"/>
        <v>52</v>
      </c>
      <c r="P91" s="14">
        <f t="shared" si="48"/>
        <v>0.35576923076923078</v>
      </c>
      <c r="Q91" s="15">
        <f t="shared" si="49"/>
        <v>0.64423076923076916</v>
      </c>
      <c r="R91" s="15">
        <f t="shared" si="50"/>
        <v>6.339504909983634</v>
      </c>
      <c r="S91" s="16">
        <f t="shared" si="51"/>
        <v>53.169752454991816</v>
      </c>
      <c r="T91" s="14">
        <f t="shared" si="52"/>
        <v>0.48076923076923078</v>
      </c>
      <c r="U91" s="15">
        <f t="shared" si="53"/>
        <v>0.51923076923076916</v>
      </c>
      <c r="V91" s="15">
        <f t="shared" si="54"/>
        <v>6.9046644844517182</v>
      </c>
      <c r="W91" s="16">
        <f t="shared" si="55"/>
        <v>53.452332242225857</v>
      </c>
      <c r="X91" s="14">
        <f t="shared" si="56"/>
        <v>0.5</v>
      </c>
      <c r="Y91" s="15">
        <f t="shared" si="57"/>
        <v>0.5</v>
      </c>
      <c r="Z91" s="15">
        <f t="shared" si="58"/>
        <v>6.914893617021276</v>
      </c>
      <c r="AA91" s="16">
        <f t="shared" si="59"/>
        <v>53.457446808510639</v>
      </c>
      <c r="AC91">
        <v>30</v>
      </c>
      <c r="AD91">
        <f t="shared" si="73"/>
        <v>23</v>
      </c>
      <c r="AE91" s="14">
        <f t="shared" si="60"/>
        <v>0.57499999999999996</v>
      </c>
      <c r="AF91" s="15">
        <f t="shared" si="61"/>
        <v>0.42500000000000004</v>
      </c>
      <c r="AG91" s="15">
        <f t="shared" si="62"/>
        <v>5.1994680851063828</v>
      </c>
      <c r="AH91" s="16">
        <f t="shared" si="63"/>
        <v>52.599734042553195</v>
      </c>
      <c r="AI91" s="14">
        <f t="shared" si="64"/>
        <v>0.46</v>
      </c>
      <c r="AJ91" s="15">
        <f t="shared" si="65"/>
        <v>0.54</v>
      </c>
      <c r="AK91" s="15">
        <f t="shared" si="66"/>
        <v>6.6063829787234045</v>
      </c>
      <c r="AL91" s="16">
        <f t="shared" si="67"/>
        <v>53.303191489361701</v>
      </c>
      <c r="AM91" s="14">
        <f t="shared" si="68"/>
        <v>0.38333333333333336</v>
      </c>
      <c r="AN91" s="15">
        <f t="shared" si="69"/>
        <v>0.6166666666666667</v>
      </c>
      <c r="AO91" s="15">
        <f t="shared" si="70"/>
        <v>7.544326241134752</v>
      </c>
      <c r="AP91" s="16">
        <f t="shared" si="71"/>
        <v>53.772163120567377</v>
      </c>
    </row>
    <row r="92" spans="1:42" ht="15">
      <c r="A92" s="31" t="s">
        <v>163</v>
      </c>
      <c r="B92" s="54">
        <f>((B91*1000+Constants!C19)/((B91+1)*1000))*Constants!C18</f>
        <v>55.112389984825498</v>
      </c>
      <c r="C92" s="67" t="s">
        <v>1</v>
      </c>
      <c r="N92">
        <v>31</v>
      </c>
      <c r="O92">
        <f t="shared" si="72"/>
        <v>52.4</v>
      </c>
      <c r="P92" s="14">
        <f t="shared" si="48"/>
        <v>0.35305343511450382</v>
      </c>
      <c r="Q92" s="15">
        <f t="shared" si="49"/>
        <v>0.64694656488549618</v>
      </c>
      <c r="R92" s="15">
        <f t="shared" si="50"/>
        <v>6.3662294948838722</v>
      </c>
      <c r="S92" s="16">
        <f t="shared" si="51"/>
        <v>53.183114747441934</v>
      </c>
      <c r="T92" s="14">
        <f t="shared" si="52"/>
        <v>0.47709923664122139</v>
      </c>
      <c r="U92" s="15">
        <f t="shared" si="53"/>
        <v>0.52290076335877855</v>
      </c>
      <c r="V92" s="15">
        <f t="shared" si="54"/>
        <v>6.9534675978560996</v>
      </c>
      <c r="W92" s="16">
        <f t="shared" si="55"/>
        <v>53.476733798928052</v>
      </c>
      <c r="X92" s="14">
        <f t="shared" si="56"/>
        <v>0.49618320610687022</v>
      </c>
      <c r="Y92" s="15">
        <f t="shared" si="57"/>
        <v>0.50381679389312972</v>
      </c>
      <c r="Z92" s="15">
        <f t="shared" si="58"/>
        <v>6.9676790644794533</v>
      </c>
      <c r="AA92" s="16">
        <f t="shared" si="59"/>
        <v>53.483839532239728</v>
      </c>
      <c r="AC92">
        <v>31</v>
      </c>
      <c r="AD92">
        <f t="shared" si="73"/>
        <v>23.15</v>
      </c>
      <c r="AE92" s="14">
        <f t="shared" si="60"/>
        <v>0.57874999999999999</v>
      </c>
      <c r="AF92" s="15">
        <f t="shared" si="61"/>
        <v>0.42125000000000001</v>
      </c>
      <c r="AG92" s="15">
        <f t="shared" si="62"/>
        <v>5.1872007978723413</v>
      </c>
      <c r="AH92" s="16">
        <f t="shared" si="63"/>
        <v>52.593600398936168</v>
      </c>
      <c r="AI92" s="14">
        <f t="shared" si="64"/>
        <v>0.46299999999999997</v>
      </c>
      <c r="AJ92" s="15">
        <f t="shared" si="65"/>
        <v>0.53700000000000003</v>
      </c>
      <c r="AK92" s="15">
        <f t="shared" si="66"/>
        <v>6.612526595744681</v>
      </c>
      <c r="AL92" s="16">
        <f t="shared" si="67"/>
        <v>53.306263297872341</v>
      </c>
      <c r="AM92" s="14">
        <f t="shared" si="68"/>
        <v>0.38583333333333331</v>
      </c>
      <c r="AN92" s="15">
        <f t="shared" si="69"/>
        <v>0.61416666666666675</v>
      </c>
      <c r="AO92" s="15">
        <f t="shared" si="70"/>
        <v>7.5627437943262414</v>
      </c>
      <c r="AP92" s="16">
        <f t="shared" si="71"/>
        <v>53.781371897163119</v>
      </c>
    </row>
    <row r="93" spans="1:42">
      <c r="A93" s="31" t="s">
        <v>165</v>
      </c>
      <c r="B93" s="49">
        <f>Design_Converter!B85</f>
        <v>28</v>
      </c>
      <c r="C93" s="31" t="s">
        <v>1</v>
      </c>
      <c r="N93">
        <v>32</v>
      </c>
      <c r="O93">
        <f t="shared" si="72"/>
        <v>52.8</v>
      </c>
      <c r="P93" s="14">
        <f t="shared" ref="P93:P111" si="74">IF(I_Channel&lt;(($O93-V12_Min)*V12_Min)/((2*Lm*Fsw)*$O93),SQRT((2*I_Channel*Lm*Fsw*V12_Min)/($O93*($O93-V12_Min))),(V12_Min/$O93))</f>
        <v>0.3503787878787879</v>
      </c>
      <c r="Q93" s="15">
        <f t="shared" ref="Q93:Q111" si="75">IF(I_Channel&lt;(($O93-V12_Min)*V12_Min)/((2*Lm*Fsw)*$O93),SQRT((2*I_Channel*Lm*Fsw*V12_Min)/($O93*($O93-V12_Min)))*(($O93-V12_Min)/(V12_Min)),1-(V12_Min/$O93))</f>
        <v>0.64962121212121215</v>
      </c>
      <c r="R93" s="15">
        <f t="shared" ref="R93:R111" si="76">IF(I_Channel&lt;(($O93-V12_Min)*V12_Min)/((2*Lm*Fsw)*$O93),(P93/(Fsw*Lm))*($O93-V12_Min),((P93/(Fsw*Lm))*($O93-V12_Min)))</f>
        <v>6.3925491618310772</v>
      </c>
      <c r="S93" s="16">
        <f t="shared" ref="S93:S111" si="77">IF(I_Channel&lt;(($O93-V12_Min)*V12_Min)/((2*Lm*Fsw)*$O93),(P93/(Fsw*Lm))*($O93-V12_Min),(R93/2)+I_Channel)</f>
        <v>53.196274580915542</v>
      </c>
      <c r="T93" s="14">
        <f t="shared" ref="T93:T111" si="78">IF(I_Channel&lt;(($O93-V12_Nom)*V12_Nom)/((2*Lm*Fsw)*$O93),SQRT((2*I_Channel*Lm*Fsw*V12_Nom)/($O93*($O93-V12_Nom))),(V12_Nom/$O93))</f>
        <v>0.47348484848484851</v>
      </c>
      <c r="U93" s="15">
        <f t="shared" ref="U93:U111" si="79">IF(I_Channel&lt;(($O93-V12_Nom)*V12_Nom)/((2*Lm*Fsw)*$O93),SQRT((2*I_Channel*Lm*Fsw*V12_Nom)/($O93*($O93-V12_Nom)))*(($O93-V12_Nom)/(V12_Nom)),1-(V12_Nom/$O93))</f>
        <v>0.52651515151515149</v>
      </c>
      <c r="V93" s="15">
        <f t="shared" ref="V93:V111" si="80">IF(I_Channel&lt;(($O93-V12_Nom)*V12_Nom)/((2*Lm*Fsw)*$O93),(T93/(Fsw*Lm))*($O93-V12_Nom),((T93/(Fsw*Lm))*($O93-V12_Nom)))</f>
        <v>7.0015312701482912</v>
      </c>
      <c r="W93" s="16">
        <f t="shared" ref="W93:W111" si="81">IF(I_Channel&lt;(($O93-V12_Nom)*V12_Nom)/((2*Lm*Fsw)*$O93),(T93/(Fsw*Lm))*($O93-V12_Nom),(V93/2)+I_Channel)</f>
        <v>53.500765635074146</v>
      </c>
      <c r="X93" s="14">
        <f t="shared" ref="X93:X111" si="82">IF(I_Channel&lt;(($O93-V12_Max)*V12_Max)/((2*Lm*Fsw)*$O93),SQRT((2*I_Channel*Lm*Fsw*V12_Max)/($O93*($O93-V12_Max))),(V12_Max/$O93))</f>
        <v>0.49242424242424243</v>
      </c>
      <c r="Y93" s="15">
        <f t="shared" ref="Y93:Y111" si="83">IF(I_Channel&lt;(($O93-V12_Max)*V12_Max)/((2*Lm*Fsw)*$O93),SQRT((2*I_Channel*Lm*Fsw*V12_Max)/($O93*($O93-V12_Max)))*(($O93-V12_Max)/(V12_Max)),1-(V12_Max/$O93))</f>
        <v>0.50757575757575757</v>
      </c>
      <c r="Z93" s="15">
        <f t="shared" ref="Z93:Z111" si="84">IF(I_Channel&lt;(($O93-V12_Max)*V12_Max)/((2*Lm*Fsw)*$O93),(X93/(Fsw*Lm))*($O93-V12_Max),((X93/(Fsw*Lm))*($O93-V12_Max)))</f>
        <v>7.0196647324306891</v>
      </c>
      <c r="AA93" s="16">
        <f t="shared" ref="AA93:AA111" si="85">IF(I_Channel&lt;(($O93-V12_Max)*V12_Max)/((2*Lm*Fsw)*$O93),(X93/(Fsw*Lm))*($O93-V12_Max),(Z93/2)+I_Channel)</f>
        <v>53.509832366215342</v>
      </c>
      <c r="AC93">
        <v>32</v>
      </c>
      <c r="AD93">
        <f t="shared" si="73"/>
        <v>23.3</v>
      </c>
      <c r="AE93" s="14">
        <f t="shared" ref="AE93:AE111" si="86">IF(I_Channel&lt;((V48_Min-$AD93)*$AD93)/((2*Lm*Fsw)*V48_Min),SQRT((2*I_Channel*Lm*Fsw*$AD93)/(V48_Min*(V48_Min-$AD93))),($AD93/V48_Min))</f>
        <v>0.58250000000000002</v>
      </c>
      <c r="AF93" s="15">
        <f t="shared" ref="AF93:AF111" si="87">IF(I_Channel&lt;((V48_Min-$AD93)*$AD93)/((2*Lm*Fsw)*V48_Min),SQRT((2*I_Channel*Lm*Fsw*$AD93)/(V48_Min*(V48_Min-$AD93)))*((V48_Min-$AD93)/($AD93)),1-($AD93/V48_Min))</f>
        <v>0.41749999999999998</v>
      </c>
      <c r="AG93" s="15">
        <f t="shared" ref="AG93:AG111" si="88">IF(I_Channel&lt;((V48_Min-$AD93)*$AD93)/((2*Lm*Fsw)*V48_Min),(AE93/(Fsw*Lm))*(V48_Min-$AD93),((AE93/(Fsw*Lm))*(V48_Min-$AD93)))</f>
        <v>5.174335106382979</v>
      </c>
      <c r="AH93" s="16">
        <f t="shared" ref="AH93:AH111" si="89">IF(I_Channel&lt;((V48_Min-$AD93)*$AD93)/((2*Lm*Fsw)*V48_Min),(AE93/(Fsw*Lm))*(V48_Min-$AD93),(AG93/2)+I_Channel)</f>
        <v>52.587167553191492</v>
      </c>
      <c r="AI93" s="14">
        <f t="shared" ref="AI93:AI111" si="90">IF(I_Channel&lt;((V48_Nom-$AD93)*$AD93)/((2*Lm*Fsw)*V48_Nom),SQRT((2*I_Channel*Lm*Fsw*$AD93)/(V48_Nom*(V48_Nom-$AD93))),($AD93/V48_Nom))</f>
        <v>0.46600000000000003</v>
      </c>
      <c r="AJ93" s="15">
        <f t="shared" ref="AJ93:AJ111" si="91">IF(I_Channel&lt;((V48_Nom-$AD93)*$AD93)/((2*Lm*Fsw)*V48_Nom),SQRT((2*I_Channel*Lm*Fsw*$AD93)/(V48_Nom*(V48_Nom-$AD93)))*((V48_Nom-$AD93)/($AD93)),1-($AD93/V48_Nom))</f>
        <v>0.53400000000000003</v>
      </c>
      <c r="AK93" s="15">
        <f t="shared" ref="AK93:AK111" si="92">IF(I_Channel&lt;((V48_Nom-$AD93)*$AD93)/((2*Lm*Fsw)*V48_Nom),(AI93/(Fsw*Lm))*(V48_Nom-$AD93),((AI93/(Fsw*Lm))*(V48_Nom-$AD93)))</f>
        <v>6.6181914893617027</v>
      </c>
      <c r="AL93" s="16">
        <f t="shared" ref="AL93:AL111" si="93">IF(I_Channel&lt;((V48_Nom-$AD93)*$AD93)/((2*Lm*Fsw)*V48_Nom),(AI93/(Fsw*Lm))*(V48_Nom-$AD93),(AK93/2)+I_Channel)</f>
        <v>53.309095744680853</v>
      </c>
      <c r="AM93" s="14">
        <f t="shared" ref="AM93:AM111" si="94">IF(I_Channel&lt;((V48_Max-$AD93)*$AD93)/((2*Lm*Fsw)*V48_Max),SQRT((2*I_Channel*Lm*Fsw*$AD93)/(V48_Max*(V48_Max-$AD93))),($AD93/V48_Max))</f>
        <v>0.38833333333333336</v>
      </c>
      <c r="AN93" s="15">
        <f t="shared" ref="AN93:AN111" si="95">IF(I_Channel&lt;((V48_Max-$AD93)*$AD93)/((2*Lm*Fsw)*V48_Max),SQRT((2*I_Channel*Lm*Fsw*$AD93)/(V48_Max*(V48_Max-$AD93)))*((V48_Max-$AD93)/($AD93)),1-($AD93/V48_Max))</f>
        <v>0.61166666666666658</v>
      </c>
      <c r="AO93" s="15">
        <f t="shared" ref="AO93:AO111" si="96">IF(I_Channel&lt;((V48_Max-$AD93)*$AD93)/((2*Lm*Fsw)*V48_Max),(AM93/(Fsw*Lm))*(V48_Max-$AD93),((AM93/(Fsw*Lm))*(V48_Max-$AD93)))</f>
        <v>7.5807624113475196</v>
      </c>
      <c r="AP93" s="16">
        <f t="shared" ref="AP93:AP111" si="97">IF(I_Channel&lt;((V48_Max-$AD93)*$AD93)/((2*Lm*Fsw)*V48_Max),(AM93/(Fsw*Lm))*(V48_Max-$AD93),(AO93/2)+I_Channel)</f>
        <v>53.790381205673761</v>
      </c>
    </row>
    <row r="94" spans="1:42" ht="15">
      <c r="A94" s="31" t="s">
        <v>166</v>
      </c>
      <c r="B94" s="54">
        <f>Constants!C20*Constants!C18/(B93-Constants!C18)/1000-1</f>
        <v>43.191683759090061</v>
      </c>
      <c r="C94" s="67" t="s">
        <v>104</v>
      </c>
      <c r="N94">
        <v>33</v>
      </c>
      <c r="O94">
        <f t="shared" ref="O94:O111" si="98">((V48_Max-V48_Min)/50)*N94+V48_Min</f>
        <v>53.2</v>
      </c>
      <c r="P94" s="14">
        <f t="shared" si="74"/>
        <v>0.34774436090225563</v>
      </c>
      <c r="Q94" s="15">
        <f t="shared" si="75"/>
        <v>0.65225563909774431</v>
      </c>
      <c r="R94" s="15">
        <f t="shared" si="76"/>
        <v>6.4184730443129112</v>
      </c>
      <c r="S94" s="16">
        <f t="shared" si="77"/>
        <v>53.209236522156459</v>
      </c>
      <c r="T94" s="14">
        <f t="shared" si="78"/>
        <v>0.46992481203007519</v>
      </c>
      <c r="U94" s="15">
        <f t="shared" si="79"/>
        <v>0.53007518796992481</v>
      </c>
      <c r="V94" s="15">
        <f t="shared" si="80"/>
        <v>7.048872180451129</v>
      </c>
      <c r="W94" s="16">
        <f t="shared" si="81"/>
        <v>53.524436090225564</v>
      </c>
      <c r="X94" s="14">
        <f t="shared" si="82"/>
        <v>0.48872180451127817</v>
      </c>
      <c r="Y94" s="15">
        <f t="shared" si="83"/>
        <v>0.51127819548872178</v>
      </c>
      <c r="Z94" s="15">
        <f t="shared" si="84"/>
        <v>7.0708686610142379</v>
      </c>
      <c r="AA94" s="16">
        <f t="shared" si="85"/>
        <v>53.535434330507115</v>
      </c>
      <c r="AC94">
        <v>33</v>
      </c>
      <c r="AD94">
        <f t="shared" ref="AD94:AD111" si="99">((V12_Max-V12_Min)/50)*AC94+V12_Min</f>
        <v>23.45</v>
      </c>
      <c r="AE94" s="14">
        <f t="shared" si="86"/>
        <v>0.58624999999999994</v>
      </c>
      <c r="AF94" s="15">
        <f t="shared" si="87"/>
        <v>0.41375000000000006</v>
      </c>
      <c r="AG94" s="15">
        <f t="shared" si="88"/>
        <v>5.1608710106382985</v>
      </c>
      <c r="AH94" s="16">
        <f t="shared" si="89"/>
        <v>52.580435505319151</v>
      </c>
      <c r="AI94" s="14">
        <f t="shared" si="90"/>
        <v>0.46899999999999997</v>
      </c>
      <c r="AJ94" s="15">
        <f t="shared" si="91"/>
        <v>0.53100000000000003</v>
      </c>
      <c r="AK94" s="15">
        <f t="shared" si="92"/>
        <v>6.6233776595744684</v>
      </c>
      <c r="AL94" s="16">
        <f t="shared" si="93"/>
        <v>53.311688829787236</v>
      </c>
      <c r="AM94" s="14">
        <f t="shared" si="94"/>
        <v>0.39083333333333331</v>
      </c>
      <c r="AN94" s="15">
        <f t="shared" si="95"/>
        <v>0.60916666666666663</v>
      </c>
      <c r="AO94" s="15">
        <f t="shared" si="96"/>
        <v>7.5983820921985803</v>
      </c>
      <c r="AP94" s="16">
        <f t="shared" si="97"/>
        <v>53.799191046099288</v>
      </c>
    </row>
    <row r="95" spans="1:42" ht="15">
      <c r="A95" s="31" t="s">
        <v>167</v>
      </c>
      <c r="B95" s="49">
        <f>Design_Converter!B87</f>
        <v>43</v>
      </c>
      <c r="C95" s="67" t="s">
        <v>104</v>
      </c>
      <c r="N95">
        <v>34</v>
      </c>
      <c r="O95">
        <f t="shared" si="98"/>
        <v>53.6</v>
      </c>
      <c r="P95" s="14">
        <f t="shared" si="74"/>
        <v>0.34514925373134325</v>
      </c>
      <c r="Q95" s="15">
        <f t="shared" si="75"/>
        <v>0.6548507462686568</v>
      </c>
      <c r="R95" s="15">
        <f t="shared" si="76"/>
        <v>6.4440100031756113</v>
      </c>
      <c r="S95" s="16">
        <f t="shared" si="77"/>
        <v>53.222005001587803</v>
      </c>
      <c r="T95" s="14">
        <f t="shared" si="78"/>
        <v>0.46641791044776121</v>
      </c>
      <c r="U95" s="15">
        <f t="shared" si="79"/>
        <v>0.53358208955223874</v>
      </c>
      <c r="V95" s="15">
        <f t="shared" si="80"/>
        <v>7.095506510003176</v>
      </c>
      <c r="W95" s="16">
        <f t="shared" si="81"/>
        <v>53.547753255001588</v>
      </c>
      <c r="X95" s="14">
        <f t="shared" si="82"/>
        <v>0.48507462686567165</v>
      </c>
      <c r="Y95" s="15">
        <f t="shared" si="83"/>
        <v>0.5149253731343284</v>
      </c>
      <c r="Z95" s="15">
        <f t="shared" si="84"/>
        <v>7.121308351857734</v>
      </c>
      <c r="AA95" s="16">
        <f t="shared" si="85"/>
        <v>53.560654175928867</v>
      </c>
      <c r="AC95">
        <v>34</v>
      </c>
      <c r="AD95">
        <f t="shared" si="99"/>
        <v>23.6</v>
      </c>
      <c r="AE95" s="14">
        <f t="shared" si="86"/>
        <v>0.59000000000000008</v>
      </c>
      <c r="AF95" s="15">
        <f t="shared" si="87"/>
        <v>0.40999999999999992</v>
      </c>
      <c r="AG95" s="15">
        <f t="shared" si="88"/>
        <v>5.1468085106382979</v>
      </c>
      <c r="AH95" s="16">
        <f t="shared" si="89"/>
        <v>52.573404255319147</v>
      </c>
      <c r="AI95" s="14">
        <f t="shared" si="90"/>
        <v>0.47200000000000003</v>
      </c>
      <c r="AJ95" s="15">
        <f t="shared" si="91"/>
        <v>0.52800000000000002</v>
      </c>
      <c r="AK95" s="15">
        <f t="shared" si="92"/>
        <v>6.6280851063829793</v>
      </c>
      <c r="AL95" s="16">
        <f t="shared" si="93"/>
        <v>53.314042553191491</v>
      </c>
      <c r="AM95" s="14">
        <f t="shared" si="94"/>
        <v>0.39333333333333337</v>
      </c>
      <c r="AN95" s="15">
        <f t="shared" si="95"/>
        <v>0.60666666666666669</v>
      </c>
      <c r="AO95" s="15">
        <f t="shared" si="96"/>
        <v>7.6156028368794333</v>
      </c>
      <c r="AP95" s="16">
        <f t="shared" si="97"/>
        <v>53.807801418439716</v>
      </c>
    </row>
    <row r="96" spans="1:42" ht="15">
      <c r="A96" s="31" t="s">
        <v>168</v>
      </c>
      <c r="B96" s="54">
        <f>(Constants!C18*(Constants!C20+(Calculations!B95*1000)))/(Calculations!B95*1000)</f>
        <v>28.743139534883721</v>
      </c>
      <c r="C96" s="67" t="s">
        <v>1</v>
      </c>
      <c r="N96">
        <v>35</v>
      </c>
      <c r="O96">
        <f t="shared" si="98"/>
        <v>54</v>
      </c>
      <c r="P96" s="14">
        <f t="shared" si="74"/>
        <v>0.34259259259259262</v>
      </c>
      <c r="Q96" s="15">
        <f t="shared" si="75"/>
        <v>0.65740740740740744</v>
      </c>
      <c r="R96" s="15">
        <f t="shared" si="76"/>
        <v>6.4691686367218288</v>
      </c>
      <c r="S96" s="16">
        <f t="shared" si="77"/>
        <v>53.234584318360916</v>
      </c>
      <c r="T96" s="14">
        <f t="shared" si="78"/>
        <v>0.46296296296296297</v>
      </c>
      <c r="U96" s="15">
        <f t="shared" si="79"/>
        <v>0.53703703703703698</v>
      </c>
      <c r="V96" s="15">
        <f t="shared" si="80"/>
        <v>7.141449960598897</v>
      </c>
      <c r="W96" s="16">
        <f t="shared" si="81"/>
        <v>53.570724980299445</v>
      </c>
      <c r="X96" s="14">
        <f t="shared" si="82"/>
        <v>0.48148148148148145</v>
      </c>
      <c r="Y96" s="15">
        <f t="shared" si="83"/>
        <v>0.5185185185185186</v>
      </c>
      <c r="Z96" s="15">
        <f t="shared" si="84"/>
        <v>7.1710007880220639</v>
      </c>
      <c r="AA96" s="16">
        <f t="shared" si="85"/>
        <v>53.585500394011035</v>
      </c>
      <c r="AC96">
        <v>35</v>
      </c>
      <c r="AD96">
        <f t="shared" si="99"/>
        <v>23.75</v>
      </c>
      <c r="AE96" s="14">
        <f t="shared" si="86"/>
        <v>0.59375</v>
      </c>
      <c r="AF96" s="15">
        <f t="shared" si="87"/>
        <v>0.40625</v>
      </c>
      <c r="AG96" s="15">
        <f t="shared" si="88"/>
        <v>5.1321476063829792</v>
      </c>
      <c r="AH96" s="16">
        <f t="shared" si="89"/>
        <v>52.566073803191486</v>
      </c>
      <c r="AI96" s="14">
        <f t="shared" si="90"/>
        <v>0.47499999999999998</v>
      </c>
      <c r="AJ96" s="15">
        <f t="shared" si="91"/>
        <v>0.52500000000000002</v>
      </c>
      <c r="AK96" s="15">
        <f t="shared" si="92"/>
        <v>6.6323138297872344</v>
      </c>
      <c r="AL96" s="16">
        <f t="shared" si="93"/>
        <v>53.316156914893618</v>
      </c>
      <c r="AM96" s="14">
        <f t="shared" si="94"/>
        <v>0.39583333333333331</v>
      </c>
      <c r="AN96" s="15">
        <f t="shared" si="95"/>
        <v>0.60416666666666674</v>
      </c>
      <c r="AO96" s="15">
        <f t="shared" si="96"/>
        <v>7.6324246453900715</v>
      </c>
      <c r="AP96" s="16">
        <f t="shared" si="97"/>
        <v>53.816212322695037</v>
      </c>
    </row>
    <row r="97" spans="1:42">
      <c r="N97">
        <v>36</v>
      </c>
      <c r="O97">
        <f t="shared" si="98"/>
        <v>54.4</v>
      </c>
      <c r="P97" s="14">
        <f t="shared" si="74"/>
        <v>0.34007352941176472</v>
      </c>
      <c r="Q97" s="15">
        <f t="shared" si="75"/>
        <v>0.65992647058823528</v>
      </c>
      <c r="R97" s="15">
        <f t="shared" si="76"/>
        <v>6.4939572903629532</v>
      </c>
      <c r="S97" s="16">
        <f t="shared" si="77"/>
        <v>53.246978645181478</v>
      </c>
      <c r="T97" s="14">
        <f t="shared" si="78"/>
        <v>0.4595588235294118</v>
      </c>
      <c r="U97" s="15">
        <f t="shared" si="79"/>
        <v>0.5404411764705882</v>
      </c>
      <c r="V97" s="15">
        <f t="shared" si="80"/>
        <v>7.1867177722152693</v>
      </c>
      <c r="W97" s="16">
        <f t="shared" si="81"/>
        <v>53.593358886107637</v>
      </c>
      <c r="X97" s="14">
        <f t="shared" si="82"/>
        <v>0.47794117647058826</v>
      </c>
      <c r="Y97" s="15">
        <f t="shared" si="83"/>
        <v>0.52205882352941169</v>
      </c>
      <c r="Z97" s="15">
        <f t="shared" si="84"/>
        <v>7.2199624530663336</v>
      </c>
      <c r="AA97" s="16">
        <f t="shared" si="85"/>
        <v>53.609981226533165</v>
      </c>
      <c r="AC97">
        <v>36</v>
      </c>
      <c r="AD97">
        <f t="shared" si="99"/>
        <v>23.9</v>
      </c>
      <c r="AE97" s="14">
        <f t="shared" si="86"/>
        <v>0.59749999999999992</v>
      </c>
      <c r="AF97" s="15">
        <f t="shared" si="87"/>
        <v>0.40250000000000008</v>
      </c>
      <c r="AG97" s="15">
        <f t="shared" si="88"/>
        <v>5.1168882978723405</v>
      </c>
      <c r="AH97" s="16">
        <f t="shared" si="89"/>
        <v>52.558444148936168</v>
      </c>
      <c r="AI97" s="14">
        <f t="shared" si="90"/>
        <v>0.47799999999999998</v>
      </c>
      <c r="AJ97" s="15">
        <f t="shared" si="91"/>
        <v>0.52200000000000002</v>
      </c>
      <c r="AK97" s="15">
        <f t="shared" si="92"/>
        <v>6.6360638297872345</v>
      </c>
      <c r="AL97" s="16">
        <f t="shared" si="93"/>
        <v>53.318031914893616</v>
      </c>
      <c r="AM97" s="14">
        <f t="shared" si="94"/>
        <v>0.39833333333333332</v>
      </c>
      <c r="AN97" s="15">
        <f t="shared" si="95"/>
        <v>0.60166666666666668</v>
      </c>
      <c r="AO97" s="15">
        <f t="shared" si="96"/>
        <v>7.6488475177304975</v>
      </c>
      <c r="AP97" s="16">
        <f t="shared" si="97"/>
        <v>53.824423758865251</v>
      </c>
    </row>
    <row r="98" spans="1:42">
      <c r="A98" s="32" t="s">
        <v>169</v>
      </c>
      <c r="B98" s="53"/>
      <c r="C98" s="31"/>
      <c r="N98">
        <v>37</v>
      </c>
      <c r="O98">
        <f t="shared" si="98"/>
        <v>54.8</v>
      </c>
      <c r="P98" s="14">
        <f t="shared" si="74"/>
        <v>0.33759124087591241</v>
      </c>
      <c r="Q98" s="15">
        <f t="shared" si="75"/>
        <v>0.66240875912408759</v>
      </c>
      <c r="R98" s="15">
        <f t="shared" si="76"/>
        <v>6.5183840658487346</v>
      </c>
      <c r="S98" s="16">
        <f t="shared" si="77"/>
        <v>53.259192032924368</v>
      </c>
      <c r="T98" s="14">
        <f t="shared" si="78"/>
        <v>0.45620437956204379</v>
      </c>
      <c r="U98" s="15">
        <f t="shared" si="79"/>
        <v>0.54379562043795615</v>
      </c>
      <c r="V98" s="15">
        <f t="shared" si="80"/>
        <v>7.2313247398664382</v>
      </c>
      <c r="W98" s="16">
        <f t="shared" si="81"/>
        <v>53.615662369933219</v>
      </c>
      <c r="X98" s="14">
        <f t="shared" si="82"/>
        <v>0.47445255474452558</v>
      </c>
      <c r="Y98" s="15">
        <f t="shared" si="83"/>
        <v>0.52554744525547448</v>
      </c>
      <c r="Z98" s="15">
        <f t="shared" si="84"/>
        <v>7.2682093492778383</v>
      </c>
      <c r="AA98" s="16">
        <f t="shared" si="85"/>
        <v>53.63410467463892</v>
      </c>
      <c r="AC98">
        <v>37</v>
      </c>
      <c r="AD98">
        <f t="shared" si="99"/>
        <v>24.05</v>
      </c>
      <c r="AE98" s="14">
        <f t="shared" si="86"/>
        <v>0.60125000000000006</v>
      </c>
      <c r="AF98" s="15">
        <f t="shared" si="87"/>
        <v>0.39874999999999994</v>
      </c>
      <c r="AG98" s="15">
        <f t="shared" si="88"/>
        <v>5.1010305851063835</v>
      </c>
      <c r="AH98" s="16">
        <f t="shared" si="89"/>
        <v>52.550515292553193</v>
      </c>
      <c r="AI98" s="14">
        <f t="shared" si="90"/>
        <v>0.48100000000000004</v>
      </c>
      <c r="AJ98" s="15">
        <f t="shared" si="91"/>
        <v>0.51899999999999991</v>
      </c>
      <c r="AK98" s="15">
        <f t="shared" si="92"/>
        <v>6.6393351063829797</v>
      </c>
      <c r="AL98" s="16">
        <f t="shared" si="93"/>
        <v>53.319667553191493</v>
      </c>
      <c r="AM98" s="14">
        <f t="shared" si="94"/>
        <v>0.40083333333333332</v>
      </c>
      <c r="AN98" s="15">
        <f t="shared" si="95"/>
        <v>0.59916666666666663</v>
      </c>
      <c r="AO98" s="15">
        <f t="shared" si="96"/>
        <v>7.6648714539007097</v>
      </c>
      <c r="AP98" s="16">
        <f t="shared" si="97"/>
        <v>53.832435726950358</v>
      </c>
    </row>
    <row r="99" spans="1:42">
      <c r="A99" s="31" t="s">
        <v>170</v>
      </c>
      <c r="B99" s="49">
        <f>IF(Design_Converter!B93=Lists!A2,0,1)</f>
        <v>0</v>
      </c>
      <c r="C99" s="31"/>
      <c r="E99" s="34" t="s">
        <v>220</v>
      </c>
      <c r="N99">
        <v>38</v>
      </c>
      <c r="O99">
        <f t="shared" si="98"/>
        <v>55.2</v>
      </c>
      <c r="P99" s="14">
        <f t="shared" si="74"/>
        <v>0.33514492753623187</v>
      </c>
      <c r="Q99" s="15">
        <f t="shared" si="75"/>
        <v>0.66485507246376807</v>
      </c>
      <c r="R99" s="15">
        <f t="shared" si="76"/>
        <v>6.542456830095591</v>
      </c>
      <c r="S99" s="16">
        <f t="shared" si="77"/>
        <v>53.271228415047794</v>
      </c>
      <c r="T99" s="14">
        <f t="shared" si="78"/>
        <v>0.45289855072463764</v>
      </c>
      <c r="U99" s="15">
        <f t="shared" si="79"/>
        <v>0.54710144927536231</v>
      </c>
      <c r="V99" s="15">
        <f t="shared" si="80"/>
        <v>7.2752852297255632</v>
      </c>
      <c r="W99" s="16">
        <f t="shared" si="81"/>
        <v>53.637642614862784</v>
      </c>
      <c r="X99" s="14">
        <f t="shared" si="82"/>
        <v>0.47101449275362317</v>
      </c>
      <c r="Y99" s="15">
        <f t="shared" si="83"/>
        <v>0.52898550724637683</v>
      </c>
      <c r="Z99" s="15">
        <f t="shared" si="84"/>
        <v>7.315757015109468</v>
      </c>
      <c r="AA99" s="16">
        <f t="shared" si="85"/>
        <v>53.657878507554734</v>
      </c>
      <c r="AC99">
        <v>38</v>
      </c>
      <c r="AD99">
        <f t="shared" si="99"/>
        <v>24.2</v>
      </c>
      <c r="AE99" s="14">
        <f t="shared" si="86"/>
        <v>0.60499999999999998</v>
      </c>
      <c r="AF99" s="15">
        <f t="shared" si="87"/>
        <v>0.39500000000000002</v>
      </c>
      <c r="AG99" s="15">
        <f t="shared" si="88"/>
        <v>5.0845744680851075</v>
      </c>
      <c r="AH99" s="16">
        <f t="shared" si="89"/>
        <v>52.542287234042554</v>
      </c>
      <c r="AI99" s="14">
        <f t="shared" si="90"/>
        <v>0.48399999999999999</v>
      </c>
      <c r="AJ99" s="15">
        <f t="shared" si="91"/>
        <v>0.51600000000000001</v>
      </c>
      <c r="AK99" s="15">
        <f t="shared" si="92"/>
        <v>6.6421276595744683</v>
      </c>
      <c r="AL99" s="16">
        <f t="shared" si="93"/>
        <v>53.321063829787235</v>
      </c>
      <c r="AM99" s="14">
        <f t="shared" si="94"/>
        <v>0.40333333333333332</v>
      </c>
      <c r="AN99" s="15">
        <f t="shared" si="95"/>
        <v>0.59666666666666668</v>
      </c>
      <c r="AO99" s="15">
        <f t="shared" si="96"/>
        <v>7.6804964539007088</v>
      </c>
      <c r="AP99" s="16">
        <f t="shared" si="97"/>
        <v>53.840248226950351</v>
      </c>
    </row>
    <row r="100" spans="1:42">
      <c r="A100" s="31" t="s">
        <v>174</v>
      </c>
      <c r="B100" s="49">
        <f>Design_Converter!B94</f>
        <v>24</v>
      </c>
      <c r="C100" s="31" t="s">
        <v>1</v>
      </c>
      <c r="N100">
        <v>39</v>
      </c>
      <c r="O100">
        <f t="shared" si="98"/>
        <v>55.6</v>
      </c>
      <c r="P100" s="14">
        <f t="shared" si="74"/>
        <v>0.33273381294964027</v>
      </c>
      <c r="Q100" s="15">
        <f t="shared" si="75"/>
        <v>0.66726618705035978</v>
      </c>
      <c r="R100" s="15">
        <f t="shared" si="76"/>
        <v>6.5661832236338586</v>
      </c>
      <c r="S100" s="16">
        <f t="shared" si="77"/>
        <v>53.283091611816928</v>
      </c>
      <c r="T100" s="14">
        <f t="shared" si="78"/>
        <v>0.44964028776978415</v>
      </c>
      <c r="U100" s="15">
        <f t="shared" si="79"/>
        <v>0.55035971223021585</v>
      </c>
      <c r="V100" s="15">
        <f t="shared" si="80"/>
        <v>7.3186131945507427</v>
      </c>
      <c r="W100" s="16">
        <f t="shared" si="81"/>
        <v>53.659306597275375</v>
      </c>
      <c r="X100" s="14">
        <f t="shared" si="82"/>
        <v>0.46762589928057552</v>
      </c>
      <c r="Y100" s="15">
        <f t="shared" si="83"/>
        <v>0.53237410071942448</v>
      </c>
      <c r="Z100" s="15">
        <f t="shared" si="84"/>
        <v>7.3626205418643815</v>
      </c>
      <c r="AA100" s="16">
        <f t="shared" si="85"/>
        <v>53.681310270932194</v>
      </c>
      <c r="AC100">
        <v>39</v>
      </c>
      <c r="AD100">
        <f t="shared" si="99"/>
        <v>24.35</v>
      </c>
      <c r="AE100" s="14">
        <f t="shared" si="86"/>
        <v>0.60875000000000001</v>
      </c>
      <c r="AF100" s="15">
        <f t="shared" si="87"/>
        <v>0.39124999999999999</v>
      </c>
      <c r="AG100" s="15">
        <f t="shared" si="88"/>
        <v>5.0675199468085106</v>
      </c>
      <c r="AH100" s="16">
        <f t="shared" si="89"/>
        <v>52.533759973404258</v>
      </c>
      <c r="AI100" s="14">
        <f t="shared" si="90"/>
        <v>0.48700000000000004</v>
      </c>
      <c r="AJ100" s="15">
        <f t="shared" si="91"/>
        <v>0.5129999999999999</v>
      </c>
      <c r="AK100" s="15">
        <f t="shared" si="92"/>
        <v>6.6444414893617028</v>
      </c>
      <c r="AL100" s="16">
        <f t="shared" si="93"/>
        <v>53.322220744680848</v>
      </c>
      <c r="AM100" s="14">
        <f t="shared" si="94"/>
        <v>0.40583333333333338</v>
      </c>
      <c r="AN100" s="15">
        <f t="shared" si="95"/>
        <v>0.59416666666666662</v>
      </c>
      <c r="AO100" s="15">
        <f t="shared" si="96"/>
        <v>7.6957225177304975</v>
      </c>
      <c r="AP100" s="16">
        <f t="shared" si="97"/>
        <v>53.847861258865251</v>
      </c>
    </row>
    <row r="101" spans="1:42" ht="15">
      <c r="A101" s="31" t="s">
        <v>175</v>
      </c>
      <c r="B101" s="49">
        <f>Design_Converter!B95</f>
        <v>10</v>
      </c>
      <c r="C101" s="67" t="s">
        <v>104</v>
      </c>
      <c r="N101">
        <v>40</v>
      </c>
      <c r="O101">
        <f t="shared" si="98"/>
        <v>56</v>
      </c>
      <c r="P101" s="14">
        <f t="shared" si="74"/>
        <v>0.33035714285714285</v>
      </c>
      <c r="Q101" s="15">
        <f t="shared" si="75"/>
        <v>0.66964285714285721</v>
      </c>
      <c r="R101" s="15">
        <f t="shared" si="76"/>
        <v>6.5895706686930096</v>
      </c>
      <c r="S101" s="16">
        <f t="shared" si="77"/>
        <v>53.294785334346507</v>
      </c>
      <c r="T101" s="14">
        <f t="shared" si="78"/>
        <v>0.44642857142857145</v>
      </c>
      <c r="U101" s="15">
        <f t="shared" si="79"/>
        <v>0.5535714285714286</v>
      </c>
      <c r="V101" s="15">
        <f t="shared" si="80"/>
        <v>7.3613221884498481</v>
      </c>
      <c r="W101" s="16">
        <f t="shared" si="81"/>
        <v>53.680661094224924</v>
      </c>
      <c r="X101" s="14">
        <f t="shared" si="82"/>
        <v>0.4642857142857143</v>
      </c>
      <c r="Y101" s="15">
        <f t="shared" si="83"/>
        <v>0.5357142857142857</v>
      </c>
      <c r="Z101" s="15">
        <f t="shared" si="84"/>
        <v>7.4088145896656545</v>
      </c>
      <c r="AA101" s="16">
        <f t="shared" si="85"/>
        <v>53.704407294832826</v>
      </c>
      <c r="AC101">
        <v>40</v>
      </c>
      <c r="AD101">
        <f t="shared" si="99"/>
        <v>24.5</v>
      </c>
      <c r="AE101" s="14">
        <f t="shared" si="86"/>
        <v>0.61250000000000004</v>
      </c>
      <c r="AF101" s="15">
        <f t="shared" si="87"/>
        <v>0.38749999999999996</v>
      </c>
      <c r="AG101" s="15">
        <f t="shared" si="88"/>
        <v>5.0498670212765964</v>
      </c>
      <c r="AH101" s="16">
        <f t="shared" si="89"/>
        <v>52.524933510638299</v>
      </c>
      <c r="AI101" s="14">
        <f t="shared" si="90"/>
        <v>0.49</v>
      </c>
      <c r="AJ101" s="15">
        <f t="shared" si="91"/>
        <v>0.51</v>
      </c>
      <c r="AK101" s="15">
        <f t="shared" si="92"/>
        <v>6.6462765957446814</v>
      </c>
      <c r="AL101" s="16">
        <f t="shared" si="93"/>
        <v>53.32313829787234</v>
      </c>
      <c r="AM101" s="14">
        <f t="shared" si="94"/>
        <v>0.40833333333333333</v>
      </c>
      <c r="AN101" s="15">
        <f t="shared" si="95"/>
        <v>0.59166666666666667</v>
      </c>
      <c r="AO101" s="15">
        <f t="shared" si="96"/>
        <v>7.7105496453900715</v>
      </c>
      <c r="AP101" s="16">
        <f t="shared" si="97"/>
        <v>53.855274822695037</v>
      </c>
    </row>
    <row r="102" spans="1:42" ht="15">
      <c r="A102" s="31" t="s">
        <v>176</v>
      </c>
      <c r="B102" s="53">
        <f>((B100-Constants!C11)/(Constants!C11))*B101</f>
        <v>86</v>
      </c>
      <c r="C102" s="67" t="s">
        <v>104</v>
      </c>
      <c r="N102">
        <v>41</v>
      </c>
      <c r="O102">
        <f t="shared" si="98"/>
        <v>56.400000000000006</v>
      </c>
      <c r="P102" s="14">
        <f t="shared" si="74"/>
        <v>0.32801418439716307</v>
      </c>
      <c r="Q102" s="15">
        <f t="shared" si="75"/>
        <v>0.67198581560283688</v>
      </c>
      <c r="R102" s="15">
        <f t="shared" si="76"/>
        <v>6.61262637694281</v>
      </c>
      <c r="S102" s="16">
        <f t="shared" si="77"/>
        <v>53.306313188471407</v>
      </c>
      <c r="T102" s="14">
        <f t="shared" si="78"/>
        <v>0.4432624113475177</v>
      </c>
      <c r="U102" s="15">
        <f t="shared" si="79"/>
        <v>0.55673758865248235</v>
      </c>
      <c r="V102" s="15">
        <f t="shared" si="80"/>
        <v>7.4034253810170521</v>
      </c>
      <c r="W102" s="16">
        <f t="shared" si="81"/>
        <v>53.701712690508529</v>
      </c>
      <c r="X102" s="14">
        <f t="shared" si="82"/>
        <v>0.46099290780141838</v>
      </c>
      <c r="Y102" s="15">
        <f t="shared" si="83"/>
        <v>0.53900709219858167</v>
      </c>
      <c r="Z102" s="15">
        <f t="shared" si="84"/>
        <v>7.4543534027463414</v>
      </c>
      <c r="AA102" s="16">
        <f t="shared" si="85"/>
        <v>53.727176701373168</v>
      </c>
      <c r="AC102">
        <v>41</v>
      </c>
      <c r="AD102">
        <f t="shared" si="99"/>
        <v>24.65</v>
      </c>
      <c r="AE102" s="14">
        <f t="shared" si="86"/>
        <v>0.61624999999999996</v>
      </c>
      <c r="AF102" s="15">
        <f t="shared" si="87"/>
        <v>0.38375000000000004</v>
      </c>
      <c r="AG102" s="15">
        <f t="shared" si="88"/>
        <v>5.0316156914893622</v>
      </c>
      <c r="AH102" s="16">
        <f t="shared" si="89"/>
        <v>52.515807845744682</v>
      </c>
      <c r="AI102" s="14">
        <f t="shared" si="90"/>
        <v>0.49299999999999999</v>
      </c>
      <c r="AJ102" s="15">
        <f t="shared" si="91"/>
        <v>0.50700000000000001</v>
      </c>
      <c r="AK102" s="15">
        <f t="shared" si="92"/>
        <v>6.6476329787234043</v>
      </c>
      <c r="AL102" s="16">
        <f t="shared" si="93"/>
        <v>53.323816489361704</v>
      </c>
      <c r="AM102" s="14">
        <f t="shared" si="94"/>
        <v>0.41083333333333333</v>
      </c>
      <c r="AN102" s="15">
        <f t="shared" si="95"/>
        <v>0.58916666666666662</v>
      </c>
      <c r="AO102" s="15">
        <f t="shared" si="96"/>
        <v>7.7249778368794333</v>
      </c>
      <c r="AP102" s="16">
        <f t="shared" si="97"/>
        <v>53.862488918439716</v>
      </c>
    </row>
    <row r="103" spans="1:42" ht="15">
      <c r="A103" s="31" t="s">
        <v>177</v>
      </c>
      <c r="B103" s="49">
        <f>Design_Converter!B97</f>
        <v>86.6</v>
      </c>
      <c r="C103" s="67" t="s">
        <v>104</v>
      </c>
      <c r="N103">
        <v>42</v>
      </c>
      <c r="O103">
        <f t="shared" si="98"/>
        <v>56.8</v>
      </c>
      <c r="P103" s="14">
        <f t="shared" si="74"/>
        <v>0.32570422535211269</v>
      </c>
      <c r="Q103" s="15">
        <f t="shared" si="75"/>
        <v>0.67429577464788726</v>
      </c>
      <c r="R103" s="15">
        <f t="shared" si="76"/>
        <v>6.6353573569074022</v>
      </c>
      <c r="S103" s="16">
        <f t="shared" si="77"/>
        <v>53.317678678453703</v>
      </c>
      <c r="T103" s="14">
        <f t="shared" si="78"/>
        <v>0.44014084507042256</v>
      </c>
      <c r="U103" s="15">
        <f t="shared" si="79"/>
        <v>0.5598591549295775</v>
      </c>
      <c r="V103" s="15">
        <f t="shared" si="80"/>
        <v>7.4449355708720413</v>
      </c>
      <c r="W103" s="16">
        <f t="shared" si="81"/>
        <v>53.722467785436024</v>
      </c>
      <c r="X103" s="14">
        <f t="shared" si="82"/>
        <v>0.45774647887323944</v>
      </c>
      <c r="Y103" s="15">
        <f t="shared" si="83"/>
        <v>0.54225352112676051</v>
      </c>
      <c r="Z103" s="15">
        <f t="shared" si="84"/>
        <v>7.4992508240934974</v>
      </c>
      <c r="AA103" s="16">
        <f t="shared" si="85"/>
        <v>53.749625412046747</v>
      </c>
      <c r="AC103">
        <v>42</v>
      </c>
      <c r="AD103">
        <f t="shared" si="99"/>
        <v>24.8</v>
      </c>
      <c r="AE103" s="14">
        <f t="shared" si="86"/>
        <v>0.62</v>
      </c>
      <c r="AF103" s="15">
        <f t="shared" si="87"/>
        <v>0.38</v>
      </c>
      <c r="AG103" s="15">
        <f t="shared" si="88"/>
        <v>5.0127659574468089</v>
      </c>
      <c r="AH103" s="16">
        <f t="shared" si="89"/>
        <v>52.506382978723401</v>
      </c>
      <c r="AI103" s="14">
        <f t="shared" si="90"/>
        <v>0.496</v>
      </c>
      <c r="AJ103" s="15">
        <f t="shared" si="91"/>
        <v>0.504</v>
      </c>
      <c r="AK103" s="15">
        <f t="shared" si="92"/>
        <v>6.6485106382978723</v>
      </c>
      <c r="AL103" s="16">
        <f t="shared" si="93"/>
        <v>53.324255319148939</v>
      </c>
      <c r="AM103" s="14">
        <f t="shared" si="94"/>
        <v>0.41333333333333333</v>
      </c>
      <c r="AN103" s="15">
        <f t="shared" si="95"/>
        <v>0.58666666666666667</v>
      </c>
      <c r="AO103" s="15">
        <f t="shared" si="96"/>
        <v>7.739007092198583</v>
      </c>
      <c r="AP103" s="16">
        <f t="shared" si="97"/>
        <v>53.869503546099288</v>
      </c>
    </row>
    <row r="104" spans="1:42">
      <c r="A104" s="31" t="s">
        <v>240</v>
      </c>
      <c r="B104" s="49">
        <f>IF(Design_Converter!B98=Lists!C2,0,1)</f>
        <v>0</v>
      </c>
      <c r="C104" s="31"/>
      <c r="E104" s="34" t="s">
        <v>239</v>
      </c>
      <c r="N104">
        <v>43</v>
      </c>
      <c r="O104">
        <f t="shared" si="98"/>
        <v>57.2</v>
      </c>
      <c r="P104" s="14">
        <f t="shared" si="74"/>
        <v>0.32342657342657344</v>
      </c>
      <c r="Q104" s="15">
        <f t="shared" si="75"/>
        <v>0.67657342657342656</v>
      </c>
      <c r="R104" s="15">
        <f t="shared" si="76"/>
        <v>6.6577704210682942</v>
      </c>
      <c r="S104" s="16">
        <f t="shared" si="77"/>
        <v>53.328885210534146</v>
      </c>
      <c r="T104" s="14">
        <f t="shared" si="78"/>
        <v>0.43706293706293703</v>
      </c>
      <c r="U104" s="15">
        <f t="shared" si="79"/>
        <v>0.56293706293706292</v>
      </c>
      <c r="V104" s="15">
        <f t="shared" si="80"/>
        <v>7.4858651986311564</v>
      </c>
      <c r="W104" s="16">
        <f t="shared" si="81"/>
        <v>53.74293259931558</v>
      </c>
      <c r="X104" s="14">
        <f t="shared" si="82"/>
        <v>0.45454545454545453</v>
      </c>
      <c r="Y104" s="15">
        <f t="shared" si="83"/>
        <v>0.54545454545454541</v>
      </c>
      <c r="Z104" s="15">
        <f t="shared" si="84"/>
        <v>7.5435203094777572</v>
      </c>
      <c r="AA104" s="16">
        <f t="shared" si="85"/>
        <v>53.771760154738878</v>
      </c>
      <c r="AC104">
        <v>43</v>
      </c>
      <c r="AD104">
        <f t="shared" si="99"/>
        <v>24.95</v>
      </c>
      <c r="AE104" s="14">
        <f t="shared" si="86"/>
        <v>0.62375000000000003</v>
      </c>
      <c r="AF104" s="15">
        <f t="shared" si="87"/>
        <v>0.37624999999999997</v>
      </c>
      <c r="AG104" s="15">
        <f t="shared" si="88"/>
        <v>4.9933178191489374</v>
      </c>
      <c r="AH104" s="16">
        <f t="shared" si="89"/>
        <v>52.496658909574471</v>
      </c>
      <c r="AI104" s="14">
        <f t="shared" si="90"/>
        <v>0.499</v>
      </c>
      <c r="AJ104" s="15">
        <f t="shared" si="91"/>
        <v>0.501</v>
      </c>
      <c r="AK104" s="15">
        <f t="shared" si="92"/>
        <v>6.6489095744680862</v>
      </c>
      <c r="AL104" s="16">
        <f t="shared" si="93"/>
        <v>53.324454787234046</v>
      </c>
      <c r="AM104" s="14">
        <f t="shared" si="94"/>
        <v>0.41583333333333333</v>
      </c>
      <c r="AN104" s="15">
        <f t="shared" si="95"/>
        <v>0.58416666666666672</v>
      </c>
      <c r="AO104" s="15">
        <f t="shared" si="96"/>
        <v>7.7526374113475178</v>
      </c>
      <c r="AP104" s="16">
        <f t="shared" si="97"/>
        <v>53.876318705673761</v>
      </c>
    </row>
    <row r="105" spans="1:42">
      <c r="A105" s="31" t="s">
        <v>242</v>
      </c>
      <c r="B105" s="49">
        <f>Design_Converter!B99</f>
        <v>2.4</v>
      </c>
      <c r="C105" s="31" t="s">
        <v>1</v>
      </c>
      <c r="N105">
        <v>44</v>
      </c>
      <c r="O105">
        <f t="shared" si="98"/>
        <v>57.6</v>
      </c>
      <c r="P105" s="14">
        <f t="shared" si="74"/>
        <v>0.32118055555555552</v>
      </c>
      <c r="Q105" s="15">
        <f t="shared" si="75"/>
        <v>0.67881944444444442</v>
      </c>
      <c r="R105" s="15">
        <f t="shared" si="76"/>
        <v>6.6798721926713949</v>
      </c>
      <c r="S105" s="16">
        <f t="shared" si="77"/>
        <v>53.339936096335698</v>
      </c>
      <c r="T105" s="14">
        <f t="shared" si="78"/>
        <v>0.43402777777777779</v>
      </c>
      <c r="U105" s="15">
        <f t="shared" si="79"/>
        <v>0.56597222222222221</v>
      </c>
      <c r="V105" s="15">
        <f t="shared" si="80"/>
        <v>7.5262263593380627</v>
      </c>
      <c r="W105" s="16">
        <f t="shared" si="81"/>
        <v>53.763113179669034</v>
      </c>
      <c r="X105" s="14">
        <f t="shared" si="82"/>
        <v>0.4513888888888889</v>
      </c>
      <c r="Y105" s="15">
        <f t="shared" si="83"/>
        <v>0.54861111111111116</v>
      </c>
      <c r="Z105" s="15">
        <f t="shared" si="84"/>
        <v>7.587174940898346</v>
      </c>
      <c r="AA105" s="16">
        <f t="shared" si="85"/>
        <v>53.793587470449175</v>
      </c>
      <c r="AC105">
        <v>44</v>
      </c>
      <c r="AD105">
        <f t="shared" si="99"/>
        <v>25.1</v>
      </c>
      <c r="AE105" s="14">
        <f t="shared" si="86"/>
        <v>0.62750000000000006</v>
      </c>
      <c r="AF105" s="15">
        <f t="shared" si="87"/>
        <v>0.37249999999999994</v>
      </c>
      <c r="AG105" s="15">
        <f t="shared" si="88"/>
        <v>4.973271276595745</v>
      </c>
      <c r="AH105" s="16">
        <f t="shared" si="89"/>
        <v>52.486635638297869</v>
      </c>
      <c r="AI105" s="14">
        <f t="shared" si="90"/>
        <v>0.502</v>
      </c>
      <c r="AJ105" s="15">
        <f t="shared" si="91"/>
        <v>0.498</v>
      </c>
      <c r="AK105" s="15">
        <f t="shared" si="92"/>
        <v>6.6488297872340425</v>
      </c>
      <c r="AL105" s="16">
        <f t="shared" si="93"/>
        <v>53.324414893617018</v>
      </c>
      <c r="AM105" s="14">
        <f t="shared" si="94"/>
        <v>0.41833333333333333</v>
      </c>
      <c r="AN105" s="15">
        <f t="shared" si="95"/>
        <v>0.58166666666666667</v>
      </c>
      <c r="AO105" s="15">
        <f t="shared" si="96"/>
        <v>7.7658687943262406</v>
      </c>
      <c r="AP105" s="16">
        <f t="shared" si="97"/>
        <v>53.882934397163119</v>
      </c>
    </row>
    <row r="106" spans="1:42" ht="15">
      <c r="A106" s="31" t="s">
        <v>243</v>
      </c>
      <c r="B106" s="63">
        <f>((B105/Constants!C13)-(B103*1000))/(1+(B103/B101))/1000</f>
        <v>0.97308488612836441</v>
      </c>
      <c r="C106" s="67" t="s">
        <v>104</v>
      </c>
      <c r="N106">
        <v>45</v>
      </c>
      <c r="O106">
        <f t="shared" si="98"/>
        <v>58</v>
      </c>
      <c r="P106" s="14">
        <f t="shared" si="74"/>
        <v>0.31896551724137934</v>
      </c>
      <c r="Q106" s="15">
        <f t="shared" si="75"/>
        <v>0.68103448275862066</v>
      </c>
      <c r="R106" s="15">
        <f t="shared" si="76"/>
        <v>6.7016691122523859</v>
      </c>
      <c r="S106" s="16">
        <f t="shared" si="77"/>
        <v>53.350834556126195</v>
      </c>
      <c r="T106" s="14">
        <f t="shared" si="78"/>
        <v>0.43103448275862066</v>
      </c>
      <c r="U106" s="15">
        <f t="shared" si="79"/>
        <v>0.56896551724137934</v>
      </c>
      <c r="V106" s="15">
        <f t="shared" si="80"/>
        <v>7.5660308143800439</v>
      </c>
      <c r="W106" s="16">
        <f t="shared" si="81"/>
        <v>53.783015407190021</v>
      </c>
      <c r="X106" s="14">
        <f t="shared" si="82"/>
        <v>0.44827586206896552</v>
      </c>
      <c r="Y106" s="15">
        <f t="shared" si="83"/>
        <v>0.55172413793103448</v>
      </c>
      <c r="Z106" s="15">
        <f t="shared" si="84"/>
        <v>7.6302274394717537</v>
      </c>
      <c r="AA106" s="16">
        <f t="shared" si="85"/>
        <v>53.815113719735876</v>
      </c>
      <c r="AC106">
        <v>45</v>
      </c>
      <c r="AD106">
        <f t="shared" si="99"/>
        <v>25.25</v>
      </c>
      <c r="AE106" s="14">
        <f t="shared" si="86"/>
        <v>0.63124999999999998</v>
      </c>
      <c r="AF106" s="15">
        <f t="shared" si="87"/>
        <v>0.36875000000000002</v>
      </c>
      <c r="AG106" s="15">
        <f t="shared" si="88"/>
        <v>4.9526263297872344</v>
      </c>
      <c r="AH106" s="16">
        <f t="shared" si="89"/>
        <v>52.476313164893618</v>
      </c>
      <c r="AI106" s="14">
        <f t="shared" si="90"/>
        <v>0.505</v>
      </c>
      <c r="AJ106" s="15">
        <f t="shared" si="91"/>
        <v>0.495</v>
      </c>
      <c r="AK106" s="15">
        <f t="shared" si="92"/>
        <v>6.6482712765957448</v>
      </c>
      <c r="AL106" s="16">
        <f t="shared" si="93"/>
        <v>53.324135638297875</v>
      </c>
      <c r="AM106" s="14">
        <f t="shared" si="94"/>
        <v>0.42083333333333334</v>
      </c>
      <c r="AN106" s="15">
        <f t="shared" si="95"/>
        <v>0.57916666666666661</v>
      </c>
      <c r="AO106" s="15">
        <f t="shared" si="96"/>
        <v>7.778701241134752</v>
      </c>
      <c r="AP106" s="16">
        <f t="shared" si="97"/>
        <v>53.889350620567377</v>
      </c>
    </row>
    <row r="107" spans="1:42" ht="15">
      <c r="A107" s="31" t="s">
        <v>244</v>
      </c>
      <c r="B107" s="49">
        <f>Design_Converter!B101</f>
        <v>0.97299999999999998</v>
      </c>
      <c r="C107" s="67" t="s">
        <v>104</v>
      </c>
      <c r="N107">
        <v>46</v>
      </c>
      <c r="O107">
        <f t="shared" si="98"/>
        <v>58.400000000000006</v>
      </c>
      <c r="P107" s="14">
        <f t="shared" si="74"/>
        <v>0.31678082191780821</v>
      </c>
      <c r="Q107" s="15">
        <f t="shared" si="75"/>
        <v>0.68321917808219179</v>
      </c>
      <c r="R107" s="15">
        <f t="shared" si="76"/>
        <v>6.7231674438939102</v>
      </c>
      <c r="S107" s="16">
        <f t="shared" si="77"/>
        <v>53.361583721946957</v>
      </c>
      <c r="T107" s="14">
        <f t="shared" si="78"/>
        <v>0.42808219178082185</v>
      </c>
      <c r="U107" s="15">
        <f t="shared" si="79"/>
        <v>0.57191780821917815</v>
      </c>
      <c r="V107" s="15">
        <f t="shared" si="80"/>
        <v>7.6052900029146029</v>
      </c>
      <c r="W107" s="16">
        <f t="shared" si="81"/>
        <v>53.8026450014573</v>
      </c>
      <c r="X107" s="14">
        <f t="shared" si="82"/>
        <v>0.44520547945205474</v>
      </c>
      <c r="Y107" s="15">
        <f t="shared" si="83"/>
        <v>0.5547945205479452</v>
      </c>
      <c r="Z107" s="15">
        <f t="shared" si="84"/>
        <v>7.6726901777907326</v>
      </c>
      <c r="AA107" s="16">
        <f t="shared" si="85"/>
        <v>53.836345088895364</v>
      </c>
      <c r="AC107">
        <v>46</v>
      </c>
      <c r="AD107">
        <f t="shared" si="99"/>
        <v>25.4</v>
      </c>
      <c r="AE107" s="14">
        <f t="shared" si="86"/>
        <v>0.63500000000000001</v>
      </c>
      <c r="AF107" s="15">
        <f t="shared" si="87"/>
        <v>0.36499999999999999</v>
      </c>
      <c r="AG107" s="15">
        <f t="shared" si="88"/>
        <v>4.9313829787234056</v>
      </c>
      <c r="AH107" s="16">
        <f t="shared" si="89"/>
        <v>52.465691489361703</v>
      </c>
      <c r="AI107" s="14">
        <f t="shared" si="90"/>
        <v>0.50800000000000001</v>
      </c>
      <c r="AJ107" s="15">
        <f t="shared" si="91"/>
        <v>0.49199999999999999</v>
      </c>
      <c r="AK107" s="15">
        <f t="shared" si="92"/>
        <v>6.6472340425531922</v>
      </c>
      <c r="AL107" s="16">
        <f t="shared" si="93"/>
        <v>53.323617021276597</v>
      </c>
      <c r="AM107" s="14">
        <f t="shared" si="94"/>
        <v>0.42333333333333328</v>
      </c>
      <c r="AN107" s="15">
        <f t="shared" si="95"/>
        <v>0.57666666666666666</v>
      </c>
      <c r="AO107" s="15">
        <f t="shared" si="96"/>
        <v>7.7911347517730496</v>
      </c>
      <c r="AP107" s="16">
        <f t="shared" si="97"/>
        <v>53.895567375886522</v>
      </c>
    </row>
    <row r="108" spans="1:42" ht="15">
      <c r="A108" s="1" t="s">
        <v>179</v>
      </c>
      <c r="B108" s="63">
        <f>IF(B104=0,Constants!C13*Calculations!B103*1000,((B103*1000)+(B107*1000)*(1+(B103/B101)))*Constants!C13)</f>
        <v>2.165</v>
      </c>
      <c r="C108" s="67" t="s">
        <v>1</v>
      </c>
      <c r="N108">
        <v>47</v>
      </c>
      <c r="O108">
        <f t="shared" si="98"/>
        <v>58.8</v>
      </c>
      <c r="P108" s="14">
        <f t="shared" si="74"/>
        <v>0.31462585034013607</v>
      </c>
      <c r="Q108" s="15">
        <f t="shared" si="75"/>
        <v>0.68537414965986398</v>
      </c>
      <c r="R108" s="15">
        <f t="shared" si="76"/>
        <v>6.7443732812273849</v>
      </c>
      <c r="S108" s="16">
        <f t="shared" si="77"/>
        <v>53.372186640613691</v>
      </c>
      <c r="T108" s="14">
        <f t="shared" si="78"/>
        <v>0.42517006802721091</v>
      </c>
      <c r="U108" s="15">
        <f t="shared" si="79"/>
        <v>0.57482993197278909</v>
      </c>
      <c r="V108" s="15">
        <f t="shared" si="80"/>
        <v>7.6440150528296424</v>
      </c>
      <c r="W108" s="16">
        <f t="shared" si="81"/>
        <v>53.822007526414822</v>
      </c>
      <c r="X108" s="14">
        <f t="shared" si="82"/>
        <v>0.44217687074829937</v>
      </c>
      <c r="Y108" s="15">
        <f t="shared" si="83"/>
        <v>0.55782312925170063</v>
      </c>
      <c r="Z108" s="15">
        <f t="shared" si="84"/>
        <v>7.7145751917788399</v>
      </c>
      <c r="AA108" s="16">
        <f t="shared" si="85"/>
        <v>53.857287595889417</v>
      </c>
      <c r="AC108">
        <v>47</v>
      </c>
      <c r="AD108">
        <f t="shared" si="99"/>
        <v>25.55</v>
      </c>
      <c r="AE108" s="14">
        <f t="shared" si="86"/>
        <v>0.63875000000000004</v>
      </c>
      <c r="AF108" s="15">
        <f t="shared" si="87"/>
        <v>0.36124999999999996</v>
      </c>
      <c r="AG108" s="15">
        <f t="shared" si="88"/>
        <v>4.9095412234042559</v>
      </c>
      <c r="AH108" s="16">
        <f t="shared" si="89"/>
        <v>52.454770611702131</v>
      </c>
      <c r="AI108" s="14">
        <f t="shared" si="90"/>
        <v>0.51100000000000001</v>
      </c>
      <c r="AJ108" s="15">
        <f t="shared" si="91"/>
        <v>0.48899999999999999</v>
      </c>
      <c r="AK108" s="15">
        <f t="shared" si="92"/>
        <v>6.6457180851063837</v>
      </c>
      <c r="AL108" s="16">
        <f t="shared" si="93"/>
        <v>53.322859042553191</v>
      </c>
      <c r="AM108" s="14">
        <f t="shared" si="94"/>
        <v>0.42583333333333334</v>
      </c>
      <c r="AN108" s="15">
        <f t="shared" si="95"/>
        <v>0.57416666666666671</v>
      </c>
      <c r="AO108" s="15">
        <f t="shared" si="96"/>
        <v>7.8031693262411368</v>
      </c>
      <c r="AP108" s="16">
        <f t="shared" si="97"/>
        <v>53.901584663120566</v>
      </c>
    </row>
    <row r="109" spans="1:42" ht="15">
      <c r="A109" s="1" t="s">
        <v>245</v>
      </c>
      <c r="B109" s="53">
        <f>Constants!C11*((Calculations!B101+Calculations!B103)/Calculations!B101)</f>
        <v>24.15</v>
      </c>
      <c r="C109" s="67" t="s">
        <v>1</v>
      </c>
      <c r="N109">
        <v>48</v>
      </c>
      <c r="O109">
        <f t="shared" si="98"/>
        <v>59.2</v>
      </c>
      <c r="P109" s="14">
        <f t="shared" si="74"/>
        <v>0.3125</v>
      </c>
      <c r="Q109" s="15">
        <f t="shared" si="75"/>
        <v>0.6875</v>
      </c>
      <c r="R109" s="15">
        <f t="shared" si="76"/>
        <v>6.7652925531914896</v>
      </c>
      <c r="S109" s="16">
        <f t="shared" si="77"/>
        <v>53.382646276595743</v>
      </c>
      <c r="T109" s="14">
        <f t="shared" si="78"/>
        <v>0.42229729729729726</v>
      </c>
      <c r="U109" s="15">
        <f t="shared" si="79"/>
        <v>0.57770270270270274</v>
      </c>
      <c r="V109" s="15">
        <f t="shared" si="80"/>
        <v>7.6822167912593455</v>
      </c>
      <c r="W109" s="16">
        <f t="shared" si="81"/>
        <v>53.841108395629675</v>
      </c>
      <c r="X109" s="14">
        <f t="shared" si="82"/>
        <v>0.43918918918918914</v>
      </c>
      <c r="Y109" s="15">
        <f t="shared" si="83"/>
        <v>0.56081081081081086</v>
      </c>
      <c r="Z109" s="15">
        <f t="shared" si="84"/>
        <v>7.7558941920644049</v>
      </c>
      <c r="AA109" s="16">
        <f t="shared" si="85"/>
        <v>53.877947096032202</v>
      </c>
      <c r="AC109">
        <v>48</v>
      </c>
      <c r="AD109">
        <f t="shared" si="99"/>
        <v>25.7</v>
      </c>
      <c r="AE109" s="14">
        <f t="shared" si="86"/>
        <v>0.64249999999999996</v>
      </c>
      <c r="AF109" s="15">
        <f t="shared" si="87"/>
        <v>0.35750000000000004</v>
      </c>
      <c r="AG109" s="15">
        <f t="shared" si="88"/>
        <v>4.8871010638297872</v>
      </c>
      <c r="AH109" s="16">
        <f t="shared" si="89"/>
        <v>52.443550531914894</v>
      </c>
      <c r="AI109" s="14">
        <f t="shared" si="90"/>
        <v>0.51400000000000001</v>
      </c>
      <c r="AJ109" s="15">
        <f t="shared" si="91"/>
        <v>0.48599999999999999</v>
      </c>
      <c r="AK109" s="15">
        <f t="shared" si="92"/>
        <v>6.6437234042553204</v>
      </c>
      <c r="AL109" s="16">
        <f t="shared" si="93"/>
        <v>53.321861702127663</v>
      </c>
      <c r="AM109" s="14">
        <f t="shared" si="94"/>
        <v>0.42833333333333334</v>
      </c>
      <c r="AN109" s="15">
        <f t="shared" si="95"/>
        <v>0.57166666666666666</v>
      </c>
      <c r="AO109" s="15">
        <f t="shared" si="96"/>
        <v>7.8148049645390065</v>
      </c>
      <c r="AP109" s="16">
        <f t="shared" si="97"/>
        <v>53.907402482269504</v>
      </c>
    </row>
    <row r="110" spans="1:42" ht="15">
      <c r="A110" s="1" t="s">
        <v>246</v>
      </c>
      <c r="B110" s="62">
        <f>B109-B108</f>
        <v>21.984999999999999</v>
      </c>
      <c r="C110" s="68" t="s">
        <v>1</v>
      </c>
      <c r="N110">
        <v>49</v>
      </c>
      <c r="O110">
        <f t="shared" si="98"/>
        <v>59.6</v>
      </c>
      <c r="P110" s="14">
        <f t="shared" si="74"/>
        <v>0.31040268456375836</v>
      </c>
      <c r="Q110" s="15">
        <f t="shared" si="75"/>
        <v>0.68959731543624159</v>
      </c>
      <c r="R110" s="15">
        <f t="shared" si="76"/>
        <v>6.7859310295587605</v>
      </c>
      <c r="S110" s="16">
        <f t="shared" si="77"/>
        <v>53.392965514779377</v>
      </c>
      <c r="T110" s="14">
        <f t="shared" si="78"/>
        <v>0.41946308724832215</v>
      </c>
      <c r="U110" s="15">
        <f t="shared" si="79"/>
        <v>0.58053691275167785</v>
      </c>
      <c r="V110" s="15">
        <f t="shared" si="80"/>
        <v>7.7199057546765673</v>
      </c>
      <c r="W110" s="16">
        <f t="shared" si="81"/>
        <v>53.859952877338287</v>
      </c>
      <c r="X110" s="14">
        <f t="shared" si="82"/>
        <v>0.43624161073825501</v>
      </c>
      <c r="Y110" s="15">
        <f t="shared" si="83"/>
        <v>0.56375838926174504</v>
      </c>
      <c r="Z110" s="15">
        <f t="shared" si="84"/>
        <v>7.7966585748964734</v>
      </c>
      <c r="AA110" s="16">
        <f t="shared" si="85"/>
        <v>53.898329287448234</v>
      </c>
      <c r="AC110">
        <v>49</v>
      </c>
      <c r="AD110">
        <f t="shared" si="99"/>
        <v>25.85</v>
      </c>
      <c r="AE110" s="14">
        <f t="shared" si="86"/>
        <v>0.64624999999999999</v>
      </c>
      <c r="AF110" s="15">
        <f t="shared" si="87"/>
        <v>0.35375000000000001</v>
      </c>
      <c r="AG110" s="15">
        <f t="shared" si="88"/>
        <v>4.8640624999999993</v>
      </c>
      <c r="AH110" s="16">
        <f t="shared" si="89"/>
        <v>52.432031250000001</v>
      </c>
      <c r="AI110" s="14">
        <f t="shared" si="90"/>
        <v>0.51700000000000002</v>
      </c>
      <c r="AJ110" s="15">
        <f t="shared" si="91"/>
        <v>0.48299999999999998</v>
      </c>
      <c r="AK110" s="15">
        <f t="shared" si="92"/>
        <v>6.6412500000000003</v>
      </c>
      <c r="AL110" s="16">
        <f t="shared" si="93"/>
        <v>53.320625</v>
      </c>
      <c r="AM110" s="14">
        <f t="shared" si="94"/>
        <v>0.43083333333333335</v>
      </c>
      <c r="AN110" s="15">
        <f t="shared" si="95"/>
        <v>0.5691666666666666</v>
      </c>
      <c r="AO110" s="15">
        <f t="shared" si="96"/>
        <v>7.8260416666666668</v>
      </c>
      <c r="AP110" s="16">
        <f t="shared" si="97"/>
        <v>53.913020833333334</v>
      </c>
    </row>
    <row r="111" spans="1:42" ht="15">
      <c r="A111" s="1" t="s">
        <v>178</v>
      </c>
      <c r="B111" s="53">
        <f>Constants!C12*(Calculations!B101+Calculations!B103)/Calculations!B101</f>
        <v>12.074999999999999</v>
      </c>
      <c r="C111" s="67" t="s">
        <v>1</v>
      </c>
      <c r="N111">
        <v>50</v>
      </c>
      <c r="O111">
        <f t="shared" si="98"/>
        <v>60</v>
      </c>
      <c r="P111" s="14">
        <f t="shared" si="74"/>
        <v>0.30833333333333335</v>
      </c>
      <c r="Q111" s="15">
        <f t="shared" si="75"/>
        <v>0.69166666666666665</v>
      </c>
      <c r="R111" s="15">
        <f t="shared" si="76"/>
        <v>6.8062943262411357</v>
      </c>
      <c r="S111" s="16">
        <f t="shared" si="77"/>
        <v>53.403147163120565</v>
      </c>
      <c r="T111" s="14">
        <f t="shared" si="78"/>
        <v>0.41666666666666669</v>
      </c>
      <c r="U111" s="15">
        <f t="shared" si="79"/>
        <v>0.58333333333333326</v>
      </c>
      <c r="V111" s="15">
        <f t="shared" si="80"/>
        <v>7.7570921985815611</v>
      </c>
      <c r="W111" s="16">
        <f t="shared" si="81"/>
        <v>53.87854609929078</v>
      </c>
      <c r="X111" s="14">
        <f t="shared" si="82"/>
        <v>0.43333333333333335</v>
      </c>
      <c r="Y111" s="15">
        <f t="shared" si="83"/>
        <v>0.56666666666666665</v>
      </c>
      <c r="Z111" s="15">
        <f t="shared" si="84"/>
        <v>7.836879432624114</v>
      </c>
      <c r="AA111" s="16">
        <f t="shared" si="85"/>
        <v>53.918439716312058</v>
      </c>
      <c r="AC111">
        <v>50</v>
      </c>
      <c r="AD111">
        <f t="shared" si="99"/>
        <v>26</v>
      </c>
      <c r="AE111" s="14">
        <f t="shared" si="86"/>
        <v>0.65</v>
      </c>
      <c r="AF111" s="15">
        <f t="shared" si="87"/>
        <v>0.35</v>
      </c>
      <c r="AG111" s="15">
        <f t="shared" si="88"/>
        <v>4.8404255319148941</v>
      </c>
      <c r="AH111" s="16">
        <f t="shared" si="89"/>
        <v>52.420212765957444</v>
      </c>
      <c r="AI111" s="14">
        <f t="shared" si="90"/>
        <v>0.52</v>
      </c>
      <c r="AJ111" s="15">
        <f t="shared" si="91"/>
        <v>0.48</v>
      </c>
      <c r="AK111" s="15">
        <f t="shared" si="92"/>
        <v>6.6382978723404253</v>
      </c>
      <c r="AL111" s="16">
        <f t="shared" si="93"/>
        <v>53.319148936170215</v>
      </c>
      <c r="AM111" s="14">
        <f t="shared" si="94"/>
        <v>0.43333333333333335</v>
      </c>
      <c r="AN111" s="15">
        <f t="shared" si="95"/>
        <v>0.56666666666666665</v>
      </c>
      <c r="AO111" s="15">
        <f t="shared" si="96"/>
        <v>7.836879432624114</v>
      </c>
      <c r="AP111" s="16">
        <f t="shared" si="97"/>
        <v>53.918439716312058</v>
      </c>
    </row>
    <row r="114" spans="1:28" ht="15.75" customHeight="1">
      <c r="A114" s="40" t="s">
        <v>184</v>
      </c>
    </row>
    <row r="115" spans="1:28">
      <c r="A115" s="31" t="s">
        <v>211</v>
      </c>
      <c r="B115" s="49">
        <f>Design_Converter!B110</f>
        <v>3</v>
      </c>
      <c r="C115" s="31" t="s">
        <v>1</v>
      </c>
      <c r="D115" s="34">
        <f>IF(B115&gt;Constants!C48,1,0)</f>
        <v>0</v>
      </c>
      <c r="E115" s="34" t="s">
        <v>188</v>
      </c>
    </row>
    <row r="116" spans="1:28" ht="15">
      <c r="A116" s="31" t="s">
        <v>212</v>
      </c>
      <c r="B116" s="54">
        <f>(B115/((Constants!C6/Constants!C16)+(Constants!C15)))/1000</f>
        <v>10.909090909090908</v>
      </c>
      <c r="C116" s="67" t="s">
        <v>104</v>
      </c>
    </row>
    <row r="117" spans="1:28" s="21" customFormat="1" ht="15">
      <c r="A117" s="31" t="s">
        <v>186</v>
      </c>
      <c r="B117" s="59">
        <f>Design_Converter!B112</f>
        <v>11</v>
      </c>
      <c r="C117" s="67" t="s">
        <v>104</v>
      </c>
      <c r="D117" s="34"/>
      <c r="E117" s="34"/>
      <c r="F117"/>
      <c r="G117"/>
      <c r="H117"/>
      <c r="AB117"/>
    </row>
    <row r="118" spans="1:28">
      <c r="A118" s="31" t="s">
        <v>213</v>
      </c>
      <c r="B118" s="50">
        <f>((Constants!C6/Constants!C16)+(Constants!C15))*B117*1000</f>
        <v>3.0250000000000004</v>
      </c>
      <c r="C118" s="31" t="s">
        <v>1</v>
      </c>
      <c r="D118" s="34">
        <f>IF(B118&gt;Constants!C48,1,0)</f>
        <v>0</v>
      </c>
      <c r="E118" s="34" t="s">
        <v>188</v>
      </c>
    </row>
    <row r="119" spans="1:28">
      <c r="A119" s="31" t="s">
        <v>214</v>
      </c>
      <c r="B119" s="50">
        <f>(Constants!C15)*B117*1000</f>
        <v>0.27499999999999997</v>
      </c>
      <c r="C119" s="31" t="s">
        <v>1</v>
      </c>
    </row>
    <row r="120" spans="1:28">
      <c r="A120" s="31" t="s">
        <v>215</v>
      </c>
      <c r="B120" s="54">
        <f>((100*10^-6)/(B117*1000))*(10^9)</f>
        <v>9.0909090909090899</v>
      </c>
      <c r="C120" s="31" t="s">
        <v>40</v>
      </c>
      <c r="E120" s="34" t="s">
        <v>217</v>
      </c>
    </row>
    <row r="121" spans="1:28">
      <c r="A121" s="31" t="s">
        <v>216</v>
      </c>
      <c r="B121" s="49">
        <f>Design_Converter!B116</f>
        <v>9.1</v>
      </c>
      <c r="C121" s="31" t="s">
        <v>40</v>
      </c>
    </row>
    <row r="122" spans="1:28">
      <c r="A122" s="31" t="s">
        <v>218</v>
      </c>
      <c r="B122" s="57">
        <f>(1/(2*PI()*B117*1000*(B121*10^-9)))*(1/1000)</f>
        <v>1.589959471447506</v>
      </c>
      <c r="C122" s="31" t="s">
        <v>3</v>
      </c>
    </row>
    <row r="123" spans="1:28">
      <c r="A123" s="31" t="s">
        <v>219</v>
      </c>
      <c r="B123" s="54">
        <f>((B64*Rcs/(Constants!C16))*(B117*1000)*(10^(-(LOG10(Fsw/(B122*1000))))))*1000</f>
        <v>1.6958510541536154</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10</v>
      </c>
      <c r="C130" s="67" t="s">
        <v>104</v>
      </c>
    </row>
    <row r="131" spans="1:8">
      <c r="A131" s="31" t="s">
        <v>233</v>
      </c>
      <c r="B131" s="53">
        <f>IF(B127=1,(((B130*1000)*Constants!C26)+Constants!C27)*(10^9),(Constants!C29*(10^9)))</f>
        <v>56</v>
      </c>
      <c r="C131" s="31" t="s">
        <v>97</v>
      </c>
    </row>
    <row r="132" spans="1:8">
      <c r="A132" s="31" t="s">
        <v>234</v>
      </c>
      <c r="B132" s="53">
        <f>IF(B127=1,(((B130*1000)*Constants!C26)+Constants!C27)*(10^9),(Constants!C30*(10^9)))</f>
        <v>56</v>
      </c>
      <c r="C132" s="31" t="s">
        <v>97</v>
      </c>
    </row>
    <row r="133" spans="1:8">
      <c r="H133" s="21"/>
    </row>
    <row r="134" spans="1:8">
      <c r="A134" s="47" t="s">
        <v>252</v>
      </c>
      <c r="B134" s="47"/>
      <c r="C134" s="47"/>
    </row>
    <row r="135" spans="1:8">
      <c r="A135" s="31" t="s">
        <v>250</v>
      </c>
      <c r="B135" s="49">
        <f>Design_Converter!B134</f>
        <v>40</v>
      </c>
      <c r="C135" s="31" t="s">
        <v>251</v>
      </c>
    </row>
    <row r="136" spans="1:8">
      <c r="A136" s="31" t="s">
        <v>254</v>
      </c>
      <c r="B136" s="63">
        <f>1/(Ramp_C*Ramp_R*Fsw)</f>
        <v>0.10416666666666667</v>
      </c>
      <c r="C136" s="31" t="s">
        <v>255</v>
      </c>
    </row>
    <row r="137" spans="1:8">
      <c r="A137" s="31" t="s">
        <v>253</v>
      </c>
      <c r="B137" s="63">
        <f>(Rcs+(B135/1000))/(2*PI()*Lm*1000)</f>
        <v>1.3883729078229168</v>
      </c>
      <c r="C137" s="31" t="s">
        <v>3</v>
      </c>
    </row>
    <row r="138" spans="1:8">
      <c r="A138" s="31" t="s">
        <v>256</v>
      </c>
      <c r="B138" s="60">
        <f>1/(B136*(Rcs+(B135/1000)))</f>
        <v>234.14634146341461</v>
      </c>
      <c r="C138" s="31" t="s">
        <v>42</v>
      </c>
    </row>
    <row r="139" spans="1:8">
      <c r="A139" s="31" t="s">
        <v>257</v>
      </c>
      <c r="B139" s="53">
        <f>Fsw/10</f>
        <v>40000</v>
      </c>
      <c r="C139" s="31" t="s">
        <v>87</v>
      </c>
    </row>
    <row r="140" spans="1:8">
      <c r="A140" s="31" t="s">
        <v>258</v>
      </c>
      <c r="B140" s="49">
        <f>Design_Converter!B137*1000</f>
        <v>40000</v>
      </c>
      <c r="C140" s="31" t="s">
        <v>87</v>
      </c>
    </row>
    <row r="141" spans="1:8">
      <c r="A141" s="31" t="s">
        <v>265</v>
      </c>
      <c r="B141" s="60">
        <f>B137*1000</f>
        <v>1388.3729078229169</v>
      </c>
      <c r="C141" s="31" t="s">
        <v>87</v>
      </c>
    </row>
    <row r="142" spans="1:8">
      <c r="A142" s="31" t="s">
        <v>266</v>
      </c>
      <c r="B142" s="53">
        <f>IF(B140*100&gt;=Fsw/2,Fsw/2,B140*100)</f>
        <v>200000</v>
      </c>
      <c r="C142" s="31" t="s">
        <v>87</v>
      </c>
    </row>
    <row r="143" spans="1:8" ht="15">
      <c r="A143" s="31" t="s">
        <v>259</v>
      </c>
      <c r="B143" s="63">
        <f>((B136/(Rcs*gm*Acs))*IMABS(COMPLEX(Rcs+(B135/1000),2*PI()*B140*Lm)))/1000</f>
        <v>2.4623961764354605</v>
      </c>
      <c r="C143" s="67" t="s">
        <v>104</v>
      </c>
    </row>
    <row r="144" spans="1:8" ht="15">
      <c r="A144" s="31" t="s">
        <v>260</v>
      </c>
      <c r="B144" s="49">
        <f>Design_Converter!B139</f>
        <v>2.4</v>
      </c>
      <c r="C144" s="67" t="s">
        <v>104</v>
      </c>
    </row>
    <row r="145" spans="1:7">
      <c r="A145" s="31" t="s">
        <v>261</v>
      </c>
      <c r="B145" s="60">
        <f>(Lm/((Rcs+(B135/1000))*(B143*1000)))*(10^9)</f>
        <v>46.553900399328356</v>
      </c>
      <c r="C145" s="31" t="s">
        <v>40</v>
      </c>
    </row>
    <row r="146" spans="1:7">
      <c r="A146" s="31" t="s">
        <v>262</v>
      </c>
      <c r="B146" s="49">
        <f>Design_Converter!B141</f>
        <v>47</v>
      </c>
      <c r="C146" s="31" t="s">
        <v>40</v>
      </c>
    </row>
    <row r="147" spans="1:7" ht="15">
      <c r="A147" s="31" t="s">
        <v>263</v>
      </c>
      <c r="B147" s="70">
        <f>B145/100</f>
        <v>0.46553900399328357</v>
      </c>
      <c r="C147" s="69" t="s">
        <v>40</v>
      </c>
      <c r="D147" s="35"/>
      <c r="E147" s="66" t="s">
        <v>267</v>
      </c>
      <c r="F147" s="21"/>
      <c r="G147" s="21"/>
    </row>
    <row r="148" spans="1:7">
      <c r="A148" s="31" t="s">
        <v>264</v>
      </c>
      <c r="B148" s="49">
        <f>Design_Converter!B143</f>
        <v>0.5</v>
      </c>
      <c r="C148" s="31" t="s">
        <v>40</v>
      </c>
    </row>
    <row r="149" spans="1:7">
      <c r="A149" s="31" t="s">
        <v>268</v>
      </c>
      <c r="B149" s="63">
        <f>(1/(2*PI()*B144*1000*B146*(10^-9)))/1000</f>
        <v>1.4109480770558096</v>
      </c>
      <c r="C149" s="31" t="s">
        <v>3</v>
      </c>
    </row>
    <row r="150" spans="1:7">
      <c r="A150" s="31" t="s">
        <v>269</v>
      </c>
      <c r="B150" s="60">
        <f>(1/(2*PI()*B144*1000*B148*(10^-9)))/1000</f>
        <v>132.62911924324609</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3.3</v>
      </c>
      <c r="C157" s="31" t="s">
        <v>1</v>
      </c>
    </row>
    <row r="158" spans="1:7">
      <c r="A158" s="31" t="s">
        <v>419</v>
      </c>
      <c r="B158" s="49">
        <f>Design_Converter!B153*1000</f>
        <v>5000</v>
      </c>
      <c r="C158" s="31" t="s">
        <v>56</v>
      </c>
    </row>
    <row r="159" spans="1:7">
      <c r="A159" s="31" t="s">
        <v>434</v>
      </c>
      <c r="B159" s="53">
        <f>(B158*V12_Nom/B157)-B158</f>
        <v>32878.78787878788</v>
      </c>
      <c r="C159" s="31" t="s">
        <v>56</v>
      </c>
    </row>
    <row r="160" spans="1:7">
      <c r="A160" s="31" t="s">
        <v>418</v>
      </c>
      <c r="B160" s="49">
        <f>Design_Converter!B155*1000</f>
        <v>25000</v>
      </c>
      <c r="C160" s="31" t="s">
        <v>56</v>
      </c>
    </row>
    <row r="161" spans="1:5">
      <c r="A161" s="31" t="s">
        <v>410</v>
      </c>
      <c r="B161" s="63">
        <f>V12_Nom/(I_Channel_Design*np)</f>
        <v>0.7142857142857143</v>
      </c>
      <c r="C161" s="31" t="s">
        <v>56</v>
      </c>
    </row>
    <row r="162" spans="1:5">
      <c r="A162" s="31" t="s">
        <v>411</v>
      </c>
      <c r="B162" s="60">
        <f>1/(2*PI()*Zo_Buck_Cout*B161)</f>
        <v>218.44796110652297</v>
      </c>
      <c r="C162" s="31" t="s">
        <v>87</v>
      </c>
      <c r="E162" s="34" t="s">
        <v>437</v>
      </c>
    </row>
    <row r="163" spans="1:5">
      <c r="A163" s="31" t="s">
        <v>438</v>
      </c>
      <c r="B163" s="103">
        <f>1/(2*PI()*Zo_Buck_Resr*Zo_Buck_Cout)</f>
        <v>26005.709655538452</v>
      </c>
      <c r="C163" s="31" t="s">
        <v>87</v>
      </c>
      <c r="E163" s="34" t="s">
        <v>441</v>
      </c>
    </row>
    <row r="164" spans="1:5">
      <c r="A164" s="31" t="s">
        <v>439</v>
      </c>
      <c r="B164" s="53">
        <f>B140/10</f>
        <v>4000</v>
      </c>
      <c r="C164" s="31" t="s">
        <v>87</v>
      </c>
      <c r="E164" s="34" t="s">
        <v>442</v>
      </c>
    </row>
    <row r="165" spans="1:5">
      <c r="A165" s="31" t="s">
        <v>440</v>
      </c>
      <c r="B165" s="53">
        <f>Design_Converter!B157*1000</f>
        <v>4000</v>
      </c>
      <c r="C165" s="31" t="s">
        <v>87</v>
      </c>
    </row>
    <row r="166" spans="1:5">
      <c r="A166" s="32" t="s">
        <v>404</v>
      </c>
      <c r="B166" s="53"/>
      <c r="C166" s="31"/>
    </row>
    <row r="167" spans="1:5">
      <c r="A167" s="31" t="s">
        <v>408</v>
      </c>
      <c r="B167" s="63">
        <f>10^(Compensation!S134/20)</f>
        <v>1.5610458387566788</v>
      </c>
      <c r="C167" s="31" t="s">
        <v>42</v>
      </c>
    </row>
    <row r="168" spans="1:5">
      <c r="A168" s="31" t="s">
        <v>414</v>
      </c>
      <c r="B168" s="60">
        <f>B162</f>
        <v>218.44796110652297</v>
      </c>
      <c r="C168" s="31" t="s">
        <v>87</v>
      </c>
    </row>
    <row r="169" spans="1:5">
      <c r="A169" s="31" t="s">
        <v>417</v>
      </c>
      <c r="B169" s="103">
        <f>IF(B163&gt;(Fsw/2),Fsw/2,B163)</f>
        <v>26005.709655538452</v>
      </c>
      <c r="C169" s="31" t="s">
        <v>87</v>
      </c>
    </row>
    <row r="170" spans="1:5">
      <c r="A170" s="31" t="s">
        <v>413</v>
      </c>
      <c r="B170" s="63">
        <f>((B160*B165)/(B168*B167))*SQRT(((1+((B165^2)/(B169^2)))/(1+((B165^2)/(B168^2)))))</f>
        <v>16179.130440544637</v>
      </c>
      <c r="C170" s="104" t="s">
        <v>56</v>
      </c>
    </row>
    <row r="171" spans="1:5">
      <c r="A171" s="31" t="s">
        <v>420</v>
      </c>
      <c r="B171" s="105">
        <f>Design_Converter!B159*1000</f>
        <v>16000</v>
      </c>
      <c r="C171" s="31" t="s">
        <v>56</v>
      </c>
    </row>
    <row r="172" spans="1:5">
      <c r="A172" s="31" t="s">
        <v>422</v>
      </c>
      <c r="B172" s="53">
        <f>1/(2*PI()*B168*B170)</f>
        <v>4.5031556624677468E-8</v>
      </c>
      <c r="C172" s="31" t="s">
        <v>425</v>
      </c>
    </row>
    <row r="173" spans="1:5">
      <c r="A173" s="31" t="s">
        <v>421</v>
      </c>
      <c r="B173" s="49">
        <f>Design_Converter!B161*(10^-9)</f>
        <v>2E-8</v>
      </c>
      <c r="C173" s="31" t="s">
        <v>425</v>
      </c>
    </row>
    <row r="174" spans="1:5">
      <c r="A174" s="31" t="s">
        <v>423</v>
      </c>
      <c r="B174" s="53">
        <f>1/(2*PI()*B169*B170)</f>
        <v>3.7826507564729066E-10</v>
      </c>
      <c r="C174" s="31"/>
    </row>
    <row r="175" spans="1:5">
      <c r="A175" s="31" t="s">
        <v>424</v>
      </c>
      <c r="B175" s="49">
        <f>Design_Converter!B163*(10^-9)</f>
        <v>5.0000000000000001E-9</v>
      </c>
      <c r="C175" s="31"/>
    </row>
    <row r="176" spans="1:5">
      <c r="A176" s="31" t="s">
        <v>435</v>
      </c>
      <c r="B176" s="63">
        <f>1/(2*PI()*B171*B173)/1000</f>
        <v>0.49735919716217303</v>
      </c>
      <c r="C176" s="31" t="s">
        <v>3</v>
      </c>
    </row>
    <row r="177" spans="1:5">
      <c r="A177" s="31" t="s">
        <v>436</v>
      </c>
      <c r="B177" s="63">
        <f>1/(2*PI()*B171*B175)/1000</f>
        <v>1.9894367886486921</v>
      </c>
      <c r="C177" s="31" t="s">
        <v>3</v>
      </c>
    </row>
    <row r="180" spans="1:5">
      <c r="A180" s="34" t="s">
        <v>396</v>
      </c>
    </row>
    <row r="181" spans="1:5">
      <c r="A181" s="31" t="s">
        <v>433</v>
      </c>
      <c r="B181" s="49">
        <f>Design_Converter!B171</f>
        <v>3.3</v>
      </c>
      <c r="C181" s="31" t="s">
        <v>1</v>
      </c>
    </row>
    <row r="182" spans="1:5">
      <c r="A182" s="31" t="s">
        <v>419</v>
      </c>
      <c r="B182" s="49">
        <f>Design_Converter!B172*1000</f>
        <v>1000</v>
      </c>
      <c r="C182" s="31" t="s">
        <v>56</v>
      </c>
    </row>
    <row r="183" spans="1:5">
      <c r="A183" s="31" t="s">
        <v>434</v>
      </c>
      <c r="B183" s="53">
        <f>(B182*V48_Nom/B181)-B182</f>
        <v>14151.515151515152</v>
      </c>
      <c r="C183" s="31" t="s">
        <v>56</v>
      </c>
    </row>
    <row r="184" spans="1:5">
      <c r="A184" s="31" t="s">
        <v>418</v>
      </c>
      <c r="B184" s="49">
        <f>Design_Converter!B174*1000</f>
        <v>14000</v>
      </c>
      <c r="C184" s="31" t="s">
        <v>56</v>
      </c>
    </row>
    <row r="185" spans="1:5">
      <c r="A185" s="31" t="s">
        <v>410</v>
      </c>
      <c r="B185" s="53">
        <f>(V48_Nom^2)/(V12_Min*I_Channel_Design*np)</f>
        <v>3.8610038610038608</v>
      </c>
      <c r="C185" s="31" t="s">
        <v>56</v>
      </c>
      <c r="E185" s="34" t="s">
        <v>406</v>
      </c>
    </row>
    <row r="186" spans="1:5">
      <c r="A186" s="31" t="s">
        <v>400</v>
      </c>
      <c r="B186" s="103">
        <f>2/(((V48_Nom^2)/(V12_Min*I_Channel_Design*np))*(2*PI()*Zo_Boost_Cout))</f>
        <v>80.825745609413531</v>
      </c>
      <c r="C186" s="31" t="s">
        <v>87</v>
      </c>
      <c r="E186" s="34" t="s">
        <v>405</v>
      </c>
    </row>
    <row r="187" spans="1:5">
      <c r="A187" s="31" t="s">
        <v>397</v>
      </c>
      <c r="B187" s="103">
        <f>(((V12_Min/V48_Nom)^2)*B185)/(2*PI()*(Lm/np))</f>
        <v>35797.768355015964</v>
      </c>
      <c r="C187" s="31" t="s">
        <v>87</v>
      </c>
      <c r="E187" s="34" t="s">
        <v>405</v>
      </c>
    </row>
    <row r="188" spans="1:5">
      <c r="A188" s="31" t="s">
        <v>402</v>
      </c>
      <c r="B188" s="63">
        <f>B187/5</f>
        <v>7159.5536710031929</v>
      </c>
      <c r="C188" s="31" t="s">
        <v>87</v>
      </c>
      <c r="E188" s="34" t="s">
        <v>412</v>
      </c>
    </row>
    <row r="189" spans="1:5">
      <c r="A189" s="31" t="s">
        <v>401</v>
      </c>
      <c r="B189" s="49">
        <f>Design_Converter!B176*1000</f>
        <v>5500</v>
      </c>
      <c r="C189" s="31" t="s">
        <v>87</v>
      </c>
    </row>
    <row r="190" spans="1:5">
      <c r="A190" s="32" t="s">
        <v>404</v>
      </c>
      <c r="B190" s="32"/>
      <c r="C190" s="32"/>
    </row>
    <row r="191" spans="1:5">
      <c r="A191" s="31" t="s">
        <v>408</v>
      </c>
      <c r="B191" s="63">
        <f>10^(Compensation!S224/20)</f>
        <v>0.44078752867285742</v>
      </c>
      <c r="C191" s="31" t="s">
        <v>409</v>
      </c>
    </row>
    <row r="192" spans="1:5">
      <c r="A192" s="31" t="s">
        <v>414</v>
      </c>
      <c r="B192" s="63">
        <f>2/(2*PI()*B185*Zo_Boost_Cout)</f>
        <v>80.825745609413531</v>
      </c>
      <c r="C192" s="31" t="s">
        <v>416</v>
      </c>
    </row>
    <row r="193" spans="1:5">
      <c r="A193" s="31" t="s">
        <v>417</v>
      </c>
      <c r="B193" s="53">
        <f>Fsw/2</f>
        <v>200000</v>
      </c>
      <c r="C193" s="31" t="s">
        <v>403</v>
      </c>
      <c r="E193" s="34" t="s">
        <v>415</v>
      </c>
    </row>
    <row r="194" spans="1:5">
      <c r="A194" s="31" t="s">
        <v>413</v>
      </c>
      <c r="B194" s="63">
        <f>((B184*B189)/(B191*B192))*SQRT((1+((B189/B193)^2))/(1+((B189/B192)^2)))</f>
        <v>31769.911327803387</v>
      </c>
      <c r="C194" s="31" t="s">
        <v>56</v>
      </c>
    </row>
    <row r="195" spans="1:5">
      <c r="A195" s="31" t="s">
        <v>420</v>
      </c>
      <c r="B195" s="49">
        <f>Design_Converter!B178*1000</f>
        <v>20000</v>
      </c>
      <c r="C195" s="31" t="s">
        <v>56</v>
      </c>
    </row>
    <row r="196" spans="1:5">
      <c r="A196" s="31" t="s">
        <v>422</v>
      </c>
      <c r="B196" s="53">
        <f>1/(2*PI()*B194*B192)</f>
        <v>6.1980404943362351E-8</v>
      </c>
      <c r="C196" s="31" t="s">
        <v>425</v>
      </c>
    </row>
    <row r="197" spans="1:5">
      <c r="A197" s="31" t="s">
        <v>421</v>
      </c>
      <c r="B197" s="49">
        <f>Design_Converter!B180*(10^-9)</f>
        <v>4.7000000000000004E-8</v>
      </c>
      <c r="C197" s="31" t="s">
        <v>425</v>
      </c>
    </row>
    <row r="198" spans="1:5">
      <c r="A198" s="31" t="s">
        <v>423</v>
      </c>
      <c r="B198" s="53">
        <f>1/(2*PI()*B194*B193)</f>
        <v>2.5048062213603211E-11</v>
      </c>
      <c r="C198" s="31" t="s">
        <v>425</v>
      </c>
    </row>
    <row r="199" spans="1:5">
      <c r="A199" s="31" t="s">
        <v>424</v>
      </c>
      <c r="B199" s="49">
        <f>Design_Converter!B182*(10^-9)</f>
        <v>3E-11</v>
      </c>
      <c r="C199" s="31" t="s">
        <v>425</v>
      </c>
    </row>
    <row r="200" spans="1:5">
      <c r="A200" s="31" t="s">
        <v>435</v>
      </c>
      <c r="B200" s="60">
        <f>1/(2*PI()*B195*B197)</f>
        <v>169.31376924669715</v>
      </c>
      <c r="C200" s="31" t="s">
        <v>87</v>
      </c>
    </row>
    <row r="201" spans="1:5">
      <c r="A201" s="31" t="s">
        <v>436</v>
      </c>
      <c r="B201" s="103">
        <f>1/(2*PI()*B195*B199)</f>
        <v>265258.23848649225</v>
      </c>
      <c r="C201" s="31" t="s">
        <v>87</v>
      </c>
    </row>
  </sheetData>
  <mergeCells count="13">
    <mergeCell ref="AD58:AO58"/>
    <mergeCell ref="AB4:AE4"/>
    <mergeCell ref="AF4:AI4"/>
    <mergeCell ref="AJ4:AM4"/>
    <mergeCell ref="P4:S4"/>
    <mergeCell ref="T4:W4"/>
    <mergeCell ref="X4:AA4"/>
    <mergeCell ref="A14:C14"/>
    <mergeCell ref="A6:C6"/>
    <mergeCell ref="A10:C10"/>
    <mergeCell ref="A63:C63"/>
    <mergeCell ref="A40:C40"/>
    <mergeCell ref="A21:C21"/>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13" t="s">
        <v>33</v>
      </c>
      <c r="C5" s="213"/>
      <c r="D5" s="202" t="s">
        <v>272</v>
      </c>
      <c r="E5" s="202"/>
      <c r="F5" s="202"/>
      <c r="G5" s="202" t="s">
        <v>276</v>
      </c>
      <c r="H5" s="202"/>
      <c r="I5" s="202"/>
      <c r="J5" s="202" t="s">
        <v>277</v>
      </c>
      <c r="K5" s="202"/>
      <c r="L5" s="202"/>
    </row>
    <row r="6" spans="2:30">
      <c r="B6" s="213"/>
      <c r="C6" s="213"/>
      <c r="D6" s="202"/>
      <c r="E6" s="202"/>
      <c r="F6" s="202"/>
      <c r="G6" s="202"/>
      <c r="H6" s="202"/>
      <c r="I6" s="202"/>
      <c r="J6" s="202"/>
      <c r="K6" s="202"/>
      <c r="L6" s="202"/>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234.146219991776-0.168647932174748i</v>
      </c>
      <c r="E8" s="1">
        <f>20*LOG10(IMABS(D8))</f>
        <v>47.389745273340907</v>
      </c>
      <c r="F8" s="1">
        <f>IMARGUMENT(D8)*(180/PI())</f>
        <v>-4.1268285546466742E-2</v>
      </c>
      <c r="G8" s="1" t="str">
        <f t="shared" ref="G8:G39" si="0">IMPRODUCT(COMPLEX(-(gm*Acs*Rcs)/(IL_Comp_Ccomp+IL_Comp_Chf),0),IMDIV(COMPLEX(1,C8*IL_Comp_Rcomp*IL_Comp_Ccomp),IMPRODUCT(COMPLEX(0,C8),COMPLEX(1,C8*IL_Comp_Rcomp*((IL_Comp_Ccomp*IL_Comp_Chf)/(IL_Comp_Ccomp+IL_Comp_Chf))))))</f>
        <v>-0.117486980602879+167.531519920607i</v>
      </c>
      <c r="H8" s="1">
        <f>20*LOG(IMABS(G8))</f>
        <v>44.481932708353796</v>
      </c>
      <c r="I8" s="1">
        <f>IMARGUMENT(G8)*(180/PI())</f>
        <v>90.040180540569068</v>
      </c>
      <c r="J8" s="1" t="str">
        <f>IMPRODUCT(D8,G8)</f>
        <v>0.744712002291745+39226.8919328234i</v>
      </c>
      <c r="K8" s="1">
        <f>20*LOG(IMABS(J8))</f>
        <v>91.871677981694702</v>
      </c>
      <c r="L8" s="1">
        <f>IMARGUMENT(J8)*(180/PI())</f>
        <v>89.998912255022603</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234.145855577617-0.337295339398081i</v>
      </c>
      <c r="E9" s="1">
        <f t="shared" ref="E9:E62" si="2">20*LOG10(IMABS(D9))</f>
        <v>47.389738514180706</v>
      </c>
      <c r="F9" s="1">
        <f t="shared" ref="F9:F62" si="3">IMARGUMENT(D9)*(180/PI())</f>
        <v>-8.2536528274224488E-2</v>
      </c>
      <c r="G9" s="1" t="str">
        <f t="shared" si="0"/>
        <v>-0.117486980583261+83.765761275063i</v>
      </c>
      <c r="H9" s="1">
        <f t="shared" ref="H9:H62" si="4">20*LOG(IMABS(G9))</f>
        <v>38.461339338946715</v>
      </c>
      <c r="I9" s="1">
        <f t="shared" ref="I9:I62" si="5">IMARGUMENT(G9)*(180/PI())</f>
        <v>90.080361040342055</v>
      </c>
      <c r="J9" s="1" t="str">
        <f t="shared" ref="J9:J62" si="6">IMPRODUCT(D9,G9)</f>
        <v>0.74471129131248+19613.445469671i</v>
      </c>
      <c r="K9" s="1">
        <f t="shared" ref="K9:K62" si="7">20*LOG(IMABS(J9))</f>
        <v>85.851077853127407</v>
      </c>
      <c r="L9" s="1">
        <f t="shared" ref="L9:L62" si="8">IMARGUMENT(J9)*(180/PI())</f>
        <v>89.997824512067837</v>
      </c>
      <c r="Y9" t="s">
        <v>290</v>
      </c>
      <c r="AA9">
        <f>Calculations!B137*1000</f>
        <v>1388.3729078229169</v>
      </c>
      <c r="AB9">
        <f>2*PI()*AA9</f>
        <v>8723.4042553191503</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0.51628477384414+28.0224804238735i</v>
      </c>
      <c r="AD9">
        <f>20*LOG10(IMABS(AC9))</f>
        <v>28.951605416310429</v>
      </c>
    </row>
    <row r="10" spans="2:30">
      <c r="B10" s="1">
        <v>3</v>
      </c>
      <c r="C10" s="1">
        <f t="shared" si="1"/>
        <v>18.849555921538759</v>
      </c>
      <c r="D10" s="73" t="str">
        <f>IMPRODUCT(COMPLEX(1/(Calculations!$B$136*(Rcs+(Calculations!$B$135/1000))),0),IMDIV(COMPLEX(1,0),COMPLEX(1,(C10*Lm)/(Rcs+(Calculations!$B$135/1000)))))</f>
        <v>234.145248223204-0.505941696724037i</v>
      </c>
      <c r="E10" s="1">
        <f t="shared" si="2"/>
        <v>47.389727248937</v>
      </c>
      <c r="F10" s="1">
        <f t="shared" si="3"/>
        <v>-0.12380468536483343</v>
      </c>
      <c r="G10" s="1" t="str">
        <f t="shared" si="0"/>
        <v>-0.117486980550565+55.8438423108861i</v>
      </c>
      <c r="H10" s="1">
        <f t="shared" si="4"/>
        <v>34.939525064265439</v>
      </c>
      <c r="I10" s="1">
        <f t="shared" si="5"/>
        <v>90.120541458523149</v>
      </c>
      <c r="J10" s="1" t="str">
        <f t="shared" si="6"/>
        <v>0.744710106352503+13075.6297611822i</v>
      </c>
      <c r="K10" s="1">
        <f t="shared" si="7"/>
        <v>82.32925231320246</v>
      </c>
      <c r="L10" s="1">
        <f t="shared" si="8"/>
        <v>89.996736773158318</v>
      </c>
      <c r="Y10" t="s">
        <v>291</v>
      </c>
      <c r="AA10">
        <f>Calculations!B149*1000</f>
        <v>1410.9480770558096</v>
      </c>
      <c r="AB10">
        <f t="shared" ref="AB10:AB11" si="9">2*PI()*AA10</f>
        <v>8865.2482269503525</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0.512600185130809+27.570399911661i</v>
      </c>
      <c r="AD10">
        <f t="shared" ref="AD10:AD11" si="10">20*LOG10(IMABS(AC10))</f>
        <v>28.810362312644429</v>
      </c>
    </row>
    <row r="11" spans="2:30">
      <c r="B11" s="1">
        <v>4</v>
      </c>
      <c r="C11" s="1">
        <f t="shared" si="1"/>
        <v>25.132741228718345</v>
      </c>
      <c r="D11" s="73" t="str">
        <f>IMPRODUCT(COMPLEX(1/(Calculations!$B$136*(Rcs+(Calculations!$B$135/1000))),0),IMDIV(COMPLEX(1,0),COMPLEX(1,(C11*Lm)/(Rcs+(Calculations!$B$135/1000)))))</f>
        <v>234.144397932321-0.674586479217543i</v>
      </c>
      <c r="E11" s="1">
        <f t="shared" si="2"/>
        <v>47.389711477644965</v>
      </c>
      <c r="F11" s="1">
        <f t="shared" si="3"/>
        <v>-0.16507271400038367</v>
      </c>
      <c r="G11" s="1" t="str">
        <f t="shared" si="0"/>
        <v>-0.117486980504793+41.8828832670509i</v>
      </c>
      <c r="H11" s="1">
        <f t="shared" si="4"/>
        <v>32.440765601058715</v>
      </c>
      <c r="I11" s="1">
        <f t="shared" si="5"/>
        <v>90.160721754317009</v>
      </c>
      <c r="J11" s="1" t="str">
        <f t="shared" si="6"/>
        <v>0.74470844741812+9806.72174136185i</v>
      </c>
      <c r="K11" s="1">
        <f t="shared" si="7"/>
        <v>79.83047707870368</v>
      </c>
      <c r="L11" s="1">
        <f t="shared" si="8"/>
        <v>89.995649040316621</v>
      </c>
      <c r="Y11" t="s">
        <v>292</v>
      </c>
      <c r="AA11">
        <f>Calculations!B150*1000</f>
        <v>132629.1192432461</v>
      </c>
      <c r="AB11">
        <f t="shared" si="9"/>
        <v>833333.33333333314</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0.145532929583768+0.147031093441917i</v>
      </c>
      <c r="AD11">
        <f t="shared" si="10"/>
        <v>-13.685767688124251</v>
      </c>
    </row>
    <row r="12" spans="2:30">
      <c r="B12" s="1">
        <v>5</v>
      </c>
      <c r="C12" s="1">
        <f t="shared" si="1"/>
        <v>31.415926535897931</v>
      </c>
      <c r="D12" s="73" t="str">
        <f>IMPRODUCT(COMPLEX(1/(Calculations!$B$136*(Rcs+(Calculations!$B$135/1000))),0),IMDIV(COMPLEX(1,0),COMPLEX(1,(C12*Lm)/(Rcs+(Calculations!$B$135/1000)))))</f>
        <v>234.143304710259-0.843229161959861i</v>
      </c>
      <c r="E12" s="1">
        <f t="shared" si="2"/>
        <v>47.389691200353624</v>
      </c>
      <c r="F12" s="1">
        <f t="shared" si="3"/>
        <v>-0.20634057136376646</v>
      </c>
      <c r="G12" s="1" t="str">
        <f t="shared" si="0"/>
        <v>-0.11748698044594+33.5063081913523i</v>
      </c>
      <c r="H12" s="1">
        <f t="shared" si="4"/>
        <v>30.502584972337733</v>
      </c>
      <c r="I12" s="1">
        <f t="shared" si="5"/>
        <v>90.200901886929017</v>
      </c>
      <c r="J12" s="1" t="str">
        <f t="shared" si="6"/>
        <v>0.744706314520858+7845.37679701171i</v>
      </c>
      <c r="K12" s="1">
        <f t="shared" si="7"/>
        <v>77.892276172691354</v>
      </c>
      <c r="L12" s="1">
        <f t="shared" si="8"/>
        <v>89.99456131556525</v>
      </c>
    </row>
    <row r="13" spans="2:30">
      <c r="B13" s="1">
        <v>6</v>
      </c>
      <c r="C13" s="1">
        <f t="shared" si="1"/>
        <v>37.699111843077517</v>
      </c>
      <c r="D13" s="73" t="str">
        <f>IMPRODUCT(COMPLEX(1/(Calculations!$B$136*(Rcs+(Calculations!$B$135/1000))),0),IMDIV(COMPLEX(1,0),COMPLEX(1,(C13*Lm)/(Rcs+(Calculations!$B$135/1000)))))</f>
        <v>234.141968563824-1.01186922005405i</v>
      </c>
      <c r="E13" s="1">
        <f t="shared" si="2"/>
        <v>47.389666417126087</v>
      </c>
      <c r="F13" s="1">
        <f t="shared" si="3"/>
        <v>-0.24760821463894067</v>
      </c>
      <c r="G13" s="1" t="str">
        <f t="shared" si="0"/>
        <v>-0.11748698037401+27.921925099722i</v>
      </c>
      <c r="H13" s="1">
        <f t="shared" si="4"/>
        <v>28.918984045247086</v>
      </c>
      <c r="I13" s="1">
        <f t="shared" si="5"/>
        <v>90.241081815565579</v>
      </c>
      <c r="J13" s="1" t="str">
        <f t="shared" si="6"/>
        <v>0.744703707673246+6537.81339039976i</v>
      </c>
      <c r="K13" s="1">
        <f t="shared" si="7"/>
        <v>76.30865046237318</v>
      </c>
      <c r="L13" s="1">
        <f t="shared" si="8"/>
        <v>89.993473600926635</v>
      </c>
    </row>
    <row r="14" spans="2:30">
      <c r="B14" s="1">
        <v>7</v>
      </c>
      <c r="C14" s="1">
        <f t="shared" si="1"/>
        <v>43.982297150257104</v>
      </c>
      <c r="D14" s="73" t="str">
        <f>IMPRODUCT(COMPLEX(1/(Calculations!$B$136*(Rcs+(Calculations!$B$135/1000))),0),IMDIV(COMPLEX(1,0),COMPLEX(1,(C14*Lm)/(Rcs+(Calculations!$B$135/1000)))))</f>
        <v>234.140389501335-1.18050612863039i</v>
      </c>
      <c r="E14" s="1">
        <f t="shared" si="2"/>
        <v>47.389637128039553</v>
      </c>
      <c r="F14" s="1">
        <f t="shared" si="3"/>
        <v>-0.28887560101119419</v>
      </c>
      <c r="G14" s="1" t="str">
        <f t="shared" si="0"/>
        <v>-0.117486980289+23.9330802847022i</v>
      </c>
      <c r="H14" s="1">
        <f t="shared" si="4"/>
        <v>27.58007660884607</v>
      </c>
      <c r="I14" s="1">
        <f t="shared" si="5"/>
        <v>90.281261499434308</v>
      </c>
      <c r="J14" s="1" t="str">
        <f t="shared" si="6"/>
        <v>0.744700626891976+5603.83943392716i</v>
      </c>
      <c r="K14" s="1">
        <f t="shared" si="7"/>
        <v>74.969713736885623</v>
      </c>
      <c r="L14" s="1">
        <f t="shared" si="8"/>
        <v>89.992385898423109</v>
      </c>
    </row>
    <row r="15" spans="2:30">
      <c r="B15" s="1">
        <v>8</v>
      </c>
      <c r="C15" s="1">
        <f t="shared" si="1"/>
        <v>50.26548245743669</v>
      </c>
      <c r="D15" s="73" t="str">
        <f>IMPRODUCT(COMPLEX(1/(Calculations!$B$136*(Rcs+(Calculations!$B$135/1000))),0),IMDIV(COMPLEX(1,0),COMPLEX(1,(C15*Lm)/(Rcs+(Calculations!$B$135/1000)))))</f>
        <v>234.13856753262-1.34913936285184i</v>
      </c>
      <c r="E15" s="1">
        <f t="shared" si="2"/>
        <v>47.389603333185121</v>
      </c>
      <c r="F15" s="1">
        <f t="shared" si="3"/>
        <v>-0.33014268766741783</v>
      </c>
      <c r="G15" s="1" t="str">
        <f t="shared" si="0"/>
        <v>-0.117486980190914+20.9414468925639i</v>
      </c>
      <c r="H15" s="1">
        <f t="shared" si="4"/>
        <v>26.420270387767495</v>
      </c>
      <c r="I15" s="1">
        <f t="shared" si="5"/>
        <v>90.321440897744296</v>
      </c>
      <c r="J15" s="1" t="str">
        <f t="shared" si="6"/>
        <v>0.7446970721954+4903.35888379495i</v>
      </c>
      <c r="K15" s="1">
        <f t="shared" si="7"/>
        <v>73.809873720952623</v>
      </c>
      <c r="L15" s="1">
        <f t="shared" si="8"/>
        <v>89.991298210076877</v>
      </c>
    </row>
    <row r="16" spans="2:30">
      <c r="B16" s="1">
        <v>9</v>
      </c>
      <c r="C16" s="1">
        <f t="shared" si="1"/>
        <v>56.548667764616276</v>
      </c>
      <c r="D16" s="73" t="str">
        <f>IMPRODUCT(COMPLEX(1/(Calculations!$B$136*(Rcs+(Calculations!$B$135/1000))),0),IMDIV(COMPLEX(1,0),COMPLEX(1,(C16*Lm)/(Rcs+(Calculations!$B$135/1000)))))</f>
        <v>234.136502669022-1.51776839791948i</v>
      </c>
      <c r="E16" s="1">
        <f t="shared" si="2"/>
        <v>47.389565032668045</v>
      </c>
      <c r="F16" s="1">
        <f t="shared" si="3"/>
        <v>-0.37140943179636465</v>
      </c>
      <c r="G16" s="1" t="str">
        <f t="shared" si="0"/>
        <v>-0.117486980079749+18.6146211156801i</v>
      </c>
      <c r="H16" s="1">
        <f t="shared" si="4"/>
        <v>25.397257019460397</v>
      </c>
      <c r="I16" s="1">
        <f t="shared" si="5"/>
        <v>90.361619969706339</v>
      </c>
      <c r="J16" s="1" t="str">
        <f t="shared" si="6"/>
        <v>0.744693043606425+4358.5406045598i</v>
      </c>
      <c r="K16" s="1">
        <f t="shared" si="7"/>
        <v>72.786822052128443</v>
      </c>
      <c r="L16" s="1">
        <f t="shared" si="8"/>
        <v>89.990210537909959</v>
      </c>
    </row>
    <row r="17" spans="2:12">
      <c r="B17" s="1">
        <v>10</v>
      </c>
      <c r="C17" s="1">
        <f t="shared" si="1"/>
        <v>62.831853071795862</v>
      </c>
      <c r="D17" s="73" t="str">
        <f>IMPRODUCT(COMPLEX(1/(Calculations!$B$136*(Rcs+(Calculations!$B$135/1000))),0),IMDIV(COMPLEX(1,0),COMPLEX(1,(C17*Lm)/(Rcs+(Calculations!$B$135/1000)))))</f>
        <v>234.134194923393-1.68639270907795i</v>
      </c>
      <c r="E17" s="1">
        <f t="shared" si="2"/>
        <v>47.389522226607468</v>
      </c>
      <c r="F17" s="1">
        <f t="shared" si="3"/>
        <v>-0.41267579058892262</v>
      </c>
      <c r="G17" s="1" t="str">
        <f t="shared" si="0"/>
        <v>-0.117486979955504+16.7531606694742i</v>
      </c>
      <c r="H17" s="1">
        <f t="shared" si="4"/>
        <v>24.482148650940903</v>
      </c>
      <c r="I17" s="1">
        <f t="shared" si="5"/>
        <v>90.401798674533211</v>
      </c>
      <c r="J17" s="1" t="str">
        <f t="shared" si="6"/>
        <v>0.744688541150019+3922.685914956i</v>
      </c>
      <c r="K17" s="1">
        <f t="shared" si="7"/>
        <v>71.871670877548354</v>
      </c>
      <c r="L17" s="1">
        <f t="shared" si="8"/>
        <v>89.98912288394429</v>
      </c>
    </row>
    <row r="18" spans="2:12">
      <c r="B18" s="1">
        <v>20</v>
      </c>
      <c r="C18" s="1">
        <f t="shared" si="1"/>
        <v>125.66370614359172</v>
      </c>
      <c r="D18" s="73" t="str">
        <f>IMPRODUCT(COMPLEX(1/(Calculations!$B$136*(Rcs+(Calculations!$B$135/1000))),0),IMDIV(COMPLEX(1,0),COMPLEX(1,(C18*Lm)/(Rcs+(Calculations!$B$135/1000)))))</f>
        <v>234.097762863494-3.37226060152063i</v>
      </c>
      <c r="E18" s="1">
        <f t="shared" si="2"/>
        <v>47.388846397358854</v>
      </c>
      <c r="F18" s="1">
        <f t="shared" si="3"/>
        <v>-0.82530876906609507</v>
      </c>
      <c r="G18" s="1" t="str">
        <f t="shared" si="0"/>
        <v>-0.117486977993763+8.37659348233318i</v>
      </c>
      <c r="H18" s="1">
        <f t="shared" si="4"/>
        <v>18.462203043563534</v>
      </c>
      <c r="I18" s="1">
        <f t="shared" si="5"/>
        <v>90.803556559077776</v>
      </c>
      <c r="J18" s="1" t="str">
        <f t="shared" si="6"/>
        <v>0.744617461494208+1961.3379913382i</v>
      </c>
      <c r="K18" s="1">
        <f t="shared" si="7"/>
        <v>65.851049440922381</v>
      </c>
      <c r="L18" s="1">
        <f t="shared" si="8"/>
        <v>89.978247790011693</v>
      </c>
    </row>
    <row r="19" spans="2:12">
      <c r="B19" s="1">
        <v>30</v>
      </c>
      <c r="C19" s="1">
        <f t="shared" si="1"/>
        <v>188.49555921538757</v>
      </c>
      <c r="D19" s="73" t="str">
        <f>IMPRODUCT(COMPLEX(1/(Calculations!$B$136*(Rcs+(Calculations!$B$135/1000))),0),IMDIV(COMPLEX(1,0),COMPLEX(1,(C19*Lm)/(Rcs+(Calculations!$B$135/1000)))))</f>
        <v>234.037067952463-5.05707940497308i</v>
      </c>
      <c r="E19" s="1">
        <f t="shared" si="2"/>
        <v>47.387720248935246</v>
      </c>
      <c r="F19" s="1">
        <f t="shared" si="3"/>
        <v>-1.2378561499624532</v>
      </c>
      <c r="G19" s="1" t="str">
        <f t="shared" si="0"/>
        <v>-0.117486974724195+5.5844102633282i</v>
      </c>
      <c r="H19" s="1">
        <f t="shared" si="4"/>
        <v>14.941468153225198</v>
      </c>
      <c r="I19" s="1">
        <f t="shared" si="5"/>
        <v>91.205232888223875</v>
      </c>
      <c r="J19" s="1" t="str">
        <f t="shared" si="6"/>
        <v>0.744499044541605+1307.5531452332i</v>
      </c>
      <c r="K19" s="1">
        <f t="shared" si="7"/>
        <v>62.329188402160412</v>
      </c>
      <c r="L19" s="1">
        <f t="shared" si="8"/>
        <v>89.967376738261436</v>
      </c>
    </row>
    <row r="20" spans="2:12">
      <c r="B20" s="1">
        <v>40</v>
      </c>
      <c r="C20" s="1">
        <f t="shared" si="1"/>
        <v>251.32741228718345</v>
      </c>
      <c r="D20" s="73" t="str">
        <f>IMPRODUCT(COMPLEX(1/(Calculations!$B$136*(Rcs+(Calculations!$B$135/1000))),0),IMDIV(COMPLEX(1,0),COMPLEX(1,(C20*Lm)/(Rcs+(Calculations!$B$135/1000)))))</f>
        <v>233.952147932369-6.74032593445591i</v>
      </c>
      <c r="E20" s="1">
        <f t="shared" si="2"/>
        <v>47.386144131568287</v>
      </c>
      <c r="F20" s="1">
        <f t="shared" si="3"/>
        <v>-1.6502752010528647</v>
      </c>
      <c r="G20" s="1" t="str">
        <f t="shared" si="0"/>
        <v>-0.1174869701468+4.18832303635652i</v>
      </c>
      <c r="H20" s="1">
        <f t="shared" si="4"/>
        <v>12.444219368345831</v>
      </c>
      <c r="I20" s="1">
        <f t="shared" si="5"/>
        <v>91.606786945682231</v>
      </c>
      <c r="J20" s="1" t="str">
        <f t="shared" si="6"/>
        <v>0.744333363923001+980.659071062071i</v>
      </c>
      <c r="K20" s="1">
        <f t="shared" si="7"/>
        <v>59.830363499914121</v>
      </c>
      <c r="L20" s="1">
        <f t="shared" si="8"/>
        <v>89.956511744629367</v>
      </c>
    </row>
    <row r="21" spans="2:12">
      <c r="B21" s="1">
        <v>50</v>
      </c>
      <c r="C21" s="1">
        <f t="shared" si="1"/>
        <v>314.15926535897933</v>
      </c>
      <c r="D21" s="73" t="str">
        <f>IMPRODUCT(COMPLEX(1/(Calculations!$B$136*(Rcs+(Calculations!$B$135/1000))),0),IMDIV(COMPLEX(1,0),COMPLEX(1,(C21*Lm)/(Rcs+(Calculations!$B$135/1000)))))</f>
        <v>233.843055559979-8.42147863309523i</v>
      </c>
      <c r="E21" s="1">
        <f t="shared" si="2"/>
        <v>47.384118535074279</v>
      </c>
      <c r="F21" s="1">
        <f t="shared" si="3"/>
        <v>-2.0625232698746028</v>
      </c>
      <c r="G21" s="1" t="str">
        <f t="shared" si="0"/>
        <v>-0.117486964261577+3.35067420619731i</v>
      </c>
      <c r="H21" s="1">
        <f t="shared" si="4"/>
        <v>10.507980252737532</v>
      </c>
      <c r="I21" s="1">
        <f t="shared" si="5"/>
        <v>92.008178088752004</v>
      </c>
      <c r="J21" s="1" t="str">
        <f t="shared" si="6"/>
        <v>0.744120522560749+784.521308522382i</v>
      </c>
      <c r="K21" s="1">
        <f t="shared" si="7"/>
        <v>57.892098787811804</v>
      </c>
      <c r="L21" s="1">
        <f t="shared" si="8"/>
        <v>89.945654818877415</v>
      </c>
    </row>
    <row r="22" spans="2:12">
      <c r="B22" s="1">
        <v>60</v>
      </c>
      <c r="C22" s="1">
        <f t="shared" si="1"/>
        <v>376.99111843077515</v>
      </c>
      <c r="D22" s="73" t="str">
        <f>IMPRODUCT(COMPLEX(1/(Calculations!$B$136*(Rcs+(Calculations!$B$135/1000))),0),IMDIV(COMPLEX(1,0),COMPLEX(1,(C22*Lm)/(Rcs+(Calculations!$B$135/1000)))))</f>
        <v>233.709858524902-10.1000181093152i</v>
      </c>
      <c r="E22" s="1">
        <f t="shared" si="2"/>
        <v>47.381644088346995</v>
      </c>
      <c r="F22" s="1">
        <f t="shared" si="3"/>
        <v>-2.4745578101220151</v>
      </c>
      <c r="G22" s="1" t="str">
        <f t="shared" si="0"/>
        <v>-0.117486957068529+2.79224457444349i</v>
      </c>
      <c r="H22" s="1">
        <f t="shared" si="4"/>
        <v>8.9267510839359492</v>
      </c>
      <c r="I22" s="1">
        <f t="shared" si="5"/>
        <v>92.409365772678029</v>
      </c>
      <c r="J22" s="1" t="str">
        <f t="shared" si="6"/>
        <v>0.743860652509216+653.761704854114i</v>
      </c>
      <c r="K22" s="1">
        <f t="shared" si="7"/>
        <v>56.30839517228295</v>
      </c>
      <c r="L22" s="1">
        <f t="shared" si="8"/>
        <v>89.934807962556022</v>
      </c>
    </row>
    <row r="23" spans="2:12">
      <c r="B23" s="1">
        <v>70</v>
      </c>
      <c r="C23" s="1">
        <f t="shared" si="1"/>
        <v>439.82297150257102</v>
      </c>
      <c r="D23" s="73" t="str">
        <f>IMPRODUCT(COMPLEX(1/(Calculations!$B$136*(Rcs+(Calculations!$B$135/1000))),0),IMDIV(COMPLEX(1,0),COMPLEX(1,(C23*Lm)/(Rcs+(Calculations!$B$135/1000)))))</f>
        <v>233.552639344763-11.7754276693352i</v>
      </c>
      <c r="E23" s="1">
        <f t="shared" si="2"/>
        <v>47.378721558708008</v>
      </c>
      <c r="F23" s="1">
        <f t="shared" si="3"/>
        <v>-2.8863364078767004</v>
      </c>
      <c r="G23" s="1" t="str">
        <f t="shared" si="0"/>
        <v>-0.117486948567654+2.39336877034895i</v>
      </c>
      <c r="H23" s="1">
        <f t="shared" si="4"/>
        <v>7.5906449315712576</v>
      </c>
      <c r="I23" s="1">
        <f t="shared" si="5"/>
        <v>92.810309574860995</v>
      </c>
      <c r="J23" s="1" t="str">
        <f t="shared" si="6"/>
        <v>0.743553914751772+560.361052305277i</v>
      </c>
      <c r="K23" s="1">
        <f t="shared" si="7"/>
        <v>54.96936649027927</v>
      </c>
      <c r="L23" s="1">
        <f t="shared" si="8"/>
        <v>89.923973166984297</v>
      </c>
    </row>
    <row r="24" spans="2:12">
      <c r="B24" s="1">
        <v>80</v>
      </c>
      <c r="C24" s="1">
        <f t="shared" si="1"/>
        <v>502.6548245743669</v>
      </c>
      <c r="D24" s="73" t="str">
        <f>IMPRODUCT(COMPLEX(1/(Calculations!$B$136*(Rcs+(Calculations!$B$135/1000))),0),IMDIV(COMPLEX(1,0),COMPLEX(1,(C24*Lm)/(Rcs+(Calculations!$B$135/1000)))))</f>
        <v>233.371495237704-13.4471938438297i</v>
      </c>
      <c r="E24" s="1">
        <f t="shared" si="2"/>
        <v>47.375351851115482</v>
      </c>
      <c r="F24" s="1">
        <f t="shared" si="3"/>
        <v>-3.297816807632735</v>
      </c>
      <c r="G24" s="1" t="str">
        <f t="shared" si="0"/>
        <v>-0.117486938758954+2.09421410854052i</v>
      </c>
      <c r="H24" s="1">
        <f t="shared" si="4"/>
        <v>6.4340686717459041</v>
      </c>
      <c r="I24" s="1">
        <f t="shared" si="5"/>
        <v>93.210969218884713</v>
      </c>
      <c r="J24" s="1" t="str">
        <f t="shared" si="6"/>
        <v>0.743200498949733+490.309747497606i</v>
      </c>
      <c r="K24" s="1">
        <f t="shared" si="7"/>
        <v>53.809420522861387</v>
      </c>
      <c r="L24" s="1">
        <f t="shared" si="8"/>
        <v>89.913152411251986</v>
      </c>
    </row>
    <row r="25" spans="2:12">
      <c r="B25" s="1">
        <v>90</v>
      </c>
      <c r="C25" s="1">
        <f t="shared" si="1"/>
        <v>565.48667764616278</v>
      </c>
      <c r="D25" s="73" t="str">
        <f>IMPRODUCT(COMPLEX(1/(Calculations!$B$136*(Rcs+(Calculations!$B$135/1000))),0),IMDIV(COMPLEX(1,0),COMPLEX(1,(C25*Lm)/(Rcs+(Calculations!$B$135/1000)))))</f>
        <v>233.166537972565-15.1148069076319i</v>
      </c>
      <c r="E25" s="1">
        <f t="shared" si="2"/>
        <v>47.371536007232848</v>
      </c>
      <c r="F25" s="1">
        <f t="shared" si="3"/>
        <v>-3.7089569380775989</v>
      </c>
      <c r="G25" s="1" t="str">
        <f t="shared" si="0"/>
        <v>-0.117486927642429+1.86154020825518i</v>
      </c>
      <c r="H25" s="1">
        <f t="shared" si="4"/>
        <v>5.4147129651226749</v>
      </c>
      <c r="I25" s="1">
        <f t="shared" si="5"/>
        <v>93.611304598324764</v>
      </c>
      <c r="J25" s="1" t="str">
        <f t="shared" si="6"/>
        <v>0.742800623151503+435.824677881074i</v>
      </c>
      <c r="K25" s="1">
        <f t="shared" si="7"/>
        <v>52.786248972355523</v>
      </c>
      <c r="L25" s="1">
        <f t="shared" si="8"/>
        <v>89.902347660247173</v>
      </c>
    </row>
    <row r="26" spans="2:12">
      <c r="B26" s="1">
        <v>100</v>
      </c>
      <c r="C26" s="1">
        <f t="shared" si="1"/>
        <v>628.31853071795865</v>
      </c>
      <c r="D26" s="73" t="str">
        <f>IMPRODUCT(COMPLEX(1/(Calculations!$B$136*(Rcs+(Calculations!$B$135/1000))),0),IMDIV(COMPLEX(1,0),COMPLEX(1,(C26*Lm)/(Rcs+(Calculations!$B$135/1000)))))</f>
        <v>232.937893697195-16.7777613913873i</v>
      </c>
      <c r="E26" s="1">
        <f t="shared" si="2"/>
        <v>47.367275204359927</v>
      </c>
      <c r="F26" s="1">
        <f t="shared" si="3"/>
        <v>-4.1197149375896593</v>
      </c>
      <c r="G26" s="1" t="str">
        <f t="shared" si="0"/>
        <v>-0.11748691521808+1.67540284103501i</v>
      </c>
      <c r="H26" s="1">
        <f t="shared" si="4"/>
        <v>4.5036888546469616</v>
      </c>
      <c r="I26" s="1">
        <f t="shared" si="5"/>
        <v>94.011275800304006</v>
      </c>
      <c r="J26" s="1" t="str">
        <f t="shared" si="6"/>
        <v>0.742354533457306+392.235976315131i</v>
      </c>
      <c r="K26" s="1">
        <f t="shared" si="7"/>
        <v>51.870964059006894</v>
      </c>
      <c r="L26" s="1">
        <f t="shared" si="8"/>
        <v>89.891560862714343</v>
      </c>
    </row>
    <row r="27" spans="2:12">
      <c r="B27" s="1">
        <v>200</v>
      </c>
      <c r="C27" s="1">
        <f t="shared" si="1"/>
        <v>1256.6370614359173</v>
      </c>
      <c r="D27" s="73" t="str">
        <f>IMPRODUCT(COMPLEX(1/(Calculations!$B$136*(Rcs+(Calculations!$B$135/1000))),0),IMDIV(COMPLEX(1,0),COMPLEX(1,(C27*Lm)/(Rcs+(Calculations!$B$135/1000)))))</f>
        <v>229.386251991985-33.04389630473i</v>
      </c>
      <c r="E27" s="1">
        <f t="shared" si="2"/>
        <v>47.300547617118568</v>
      </c>
      <c r="F27" s="1">
        <f t="shared" si="3"/>
        <v>-8.1972673077915488</v>
      </c>
      <c r="G27" s="1" t="str">
        <f t="shared" si="0"/>
        <v>-0.117486719044501+0.837832896115813i</v>
      </c>
      <c r="H27" s="1">
        <f t="shared" si="4"/>
        <v>-1.4522827317230056</v>
      </c>
      <c r="I27" s="1">
        <f t="shared" si="5"/>
        <v>97.982361123400111</v>
      </c>
      <c r="J27" s="1" t="str">
        <f t="shared" si="6"/>
        <v>0.735425199489093+196.069566796886i</v>
      </c>
      <c r="K27" s="1">
        <f t="shared" si="7"/>
        <v>45.848264885395579</v>
      </c>
      <c r="L27" s="1">
        <f t="shared" si="8"/>
        <v>89.785093815608562</v>
      </c>
    </row>
    <row r="28" spans="2:12">
      <c r="B28" s="1">
        <v>300</v>
      </c>
      <c r="C28" s="1">
        <f t="shared" si="1"/>
        <v>1884.9555921538758</v>
      </c>
      <c r="D28" s="73" t="str">
        <f>IMPRODUCT(COMPLEX(1/(Calculations!$B$136*(Rcs+(Calculations!$B$135/1000))),0),IMDIV(COMPLEX(1,0),COMPLEX(1,(C28*Lm)/(Rcs+(Calculations!$B$135/1000)))))</f>
        <v>223.701562214305-48.3374951255179i</v>
      </c>
      <c r="E28" s="1">
        <f t="shared" si="2"/>
        <v>47.191563933117841</v>
      </c>
      <c r="F28" s="1">
        <f t="shared" si="3"/>
        <v>-12.193027533830765</v>
      </c>
      <c r="G28" s="1" t="str">
        <f t="shared" si="0"/>
        <v>-0.117486392089993+0.558701347424866i</v>
      </c>
      <c r="H28" s="1">
        <f t="shared" si="4"/>
        <v>-4.8684868426873953</v>
      </c>
      <c r="I28" s="1">
        <f t="shared" si="5"/>
        <v>101.87540595625862</v>
      </c>
      <c r="J28" s="1" t="str">
        <f t="shared" si="6"/>
        <v>0.724334208315941+130.661362135144i</v>
      </c>
      <c r="K28" s="1">
        <f t="shared" si="7"/>
        <v>42.323077090430417</v>
      </c>
      <c r="L28" s="1">
        <f t="shared" si="8"/>
        <v>89.682378422427874</v>
      </c>
    </row>
    <row r="29" spans="2:12">
      <c r="B29" s="1">
        <v>400</v>
      </c>
      <c r="C29" s="1">
        <f t="shared" si="1"/>
        <v>2513.2741228718346</v>
      </c>
      <c r="D29" s="73" t="str">
        <f>IMPRODUCT(COMPLEX(1/(Calculations!$B$136*(Rcs+(Calculations!$B$135/1000))),0),IMDIV(COMPLEX(1,0),COMPLEX(1,(C29*Lm)/(Rcs+(Calculations!$B$135/1000)))))</f>
        <v>216.200477526819-62.2888782426154i</v>
      </c>
      <c r="E29" s="1">
        <f t="shared" si="2"/>
        <v>47.043440251740975</v>
      </c>
      <c r="F29" s="1">
        <f t="shared" si="3"/>
        <v>-16.072063246127378</v>
      </c>
      <c r="G29" s="1" t="str">
        <f t="shared" si="0"/>
        <v>-0.117485934356739+0.419179397059225i</v>
      </c>
      <c r="H29" s="1">
        <f t="shared" si="4"/>
        <v>-7.223579875240695</v>
      </c>
      <c r="I29" s="1">
        <f t="shared" si="5"/>
        <v>105.65691061034325</v>
      </c>
      <c r="J29" s="1" t="str">
        <f t="shared" si="6"/>
        <v>0.709699314623521+97.9448528739753i</v>
      </c>
      <c r="K29" s="1">
        <f t="shared" si="7"/>
        <v>39.819860376500273</v>
      </c>
      <c r="L29" s="1">
        <f t="shared" si="8"/>
        <v>89.584847364215875</v>
      </c>
    </row>
    <row r="30" spans="2:12">
      <c r="B30" s="1">
        <v>500</v>
      </c>
      <c r="C30" s="1">
        <f t="shared" si="1"/>
        <v>3141.5926535897929</v>
      </c>
      <c r="D30" s="73" t="str">
        <f>IMPRODUCT(COMPLEX(1/(Calculations!$B$136*(Rcs+(Calculations!$B$135/1000))),0),IMDIV(COMPLEX(1,0),COMPLEX(1,(C30*Lm)/(Rcs+(Calculations!$B$135/1000)))))</f>
        <v>207.264847628596-74.6430755241418i</v>
      </c>
      <c r="E30" s="1">
        <f t="shared" si="2"/>
        <v>46.860130277843631</v>
      </c>
      <c r="F30" s="1">
        <f t="shared" si="3"/>
        <v>-19.805662287485923</v>
      </c>
      <c r="G30" s="1" t="str">
        <f t="shared" si="0"/>
        <v>-0.117485345847796+0.335501285204145i</v>
      </c>
      <c r="H30" s="1">
        <f t="shared" si="4"/>
        <v>-8.9837691399500237</v>
      </c>
      <c r="I30" s="1">
        <f t="shared" si="5"/>
        <v>109.29915826569301</v>
      </c>
      <c r="J30" s="1" t="str">
        <f t="shared" si="6"/>
        <v>0.692265464203295+78.3070903001322i</v>
      </c>
      <c r="K30" s="1">
        <f t="shared" si="7"/>
        <v>37.876361137893603</v>
      </c>
      <c r="L30" s="1">
        <f t="shared" si="8"/>
        <v>89.493495978207093</v>
      </c>
    </row>
    <row r="31" spans="2:12">
      <c r="B31" s="1">
        <v>600</v>
      </c>
      <c r="C31" s="1">
        <f t="shared" si="1"/>
        <v>3769.9111843077517</v>
      </c>
      <c r="D31" s="73" t="str">
        <f>IMPRODUCT(COMPLEX(1/(Calculations!$B$136*(Rcs+(Calculations!$B$135/1000))),0),IMDIV(COMPLEX(1,0),COMPLEX(1,(C31*Lm)/(Rcs+(Calculations!$B$135/1000)))))</f>
        <v>197.298359066463-85.2645674464403i</v>
      </c>
      <c r="E31" s="1">
        <f t="shared" si="2"/>
        <v>46.646108495530498</v>
      </c>
      <c r="F31" s="1">
        <f t="shared" si="3"/>
        <v>-23.372096150060418</v>
      </c>
      <c r="G31" s="1" t="str">
        <f t="shared" si="0"/>
        <v>-0.117484626567094+0.279745091726269i</v>
      </c>
      <c r="H31" s="1">
        <f t="shared" si="4"/>
        <v>-10.359292472755113</v>
      </c>
      <c r="I31" s="1">
        <f t="shared" si="5"/>
        <v>112.78095858202741</v>
      </c>
      <c r="J31" s="1" t="str">
        <f t="shared" si="6"/>
        <v>0.672820204081258+65.2105234203399i</v>
      </c>
      <c r="K31" s="1">
        <f t="shared" si="7"/>
        <v>36.286816022775383</v>
      </c>
      <c r="L31" s="1">
        <f t="shared" si="8"/>
        <v>89.408862431966995</v>
      </c>
    </row>
    <row r="32" spans="2:12">
      <c r="B32" s="1">
        <v>700</v>
      </c>
      <c r="C32" s="1">
        <f t="shared" si="1"/>
        <v>4398.22971502571</v>
      </c>
      <c r="D32" s="73" t="str">
        <f>IMPRODUCT(COMPLEX(1/(Calculations!$B$136*(Rcs+(Calculations!$B$135/1000))),0),IMDIV(COMPLEX(1,0),COMPLEX(1,(C32*Lm)/(Rcs+(Calculations!$B$135/1000)))))</f>
        <v>186.689074668686-94.1262621387511i</v>
      </c>
      <c r="E32" s="1">
        <f t="shared" si="2"/>
        <v>46.406062794326139</v>
      </c>
      <c r="F32" s="1">
        <f t="shared" si="3"/>
        <v>-26.756661625920213</v>
      </c>
      <c r="G32" s="1" t="str">
        <f t="shared" si="0"/>
        <v>-0.117483776519437+0.239944279258359i</v>
      </c>
      <c r="H32" s="1">
        <f t="shared" si="4"/>
        <v>-11.464496505542016</v>
      </c>
      <c r="I32" s="1">
        <f t="shared" si="5"/>
        <v>116.08772942181484</v>
      </c>
      <c r="J32" s="1" t="str">
        <f t="shared" si="6"/>
        <v>0.652120601169607+55.8532842125068i</v>
      </c>
      <c r="K32" s="1">
        <f t="shared" si="7"/>
        <v>34.941566288784124</v>
      </c>
      <c r="L32" s="1">
        <f t="shared" si="8"/>
        <v>89.33106779589464</v>
      </c>
    </row>
    <row r="33" spans="2:12">
      <c r="B33" s="1">
        <v>800</v>
      </c>
      <c r="C33" s="1">
        <f t="shared" si="1"/>
        <v>5026.5482457436692</v>
      </c>
      <c r="D33" s="73" t="str">
        <f>IMPRODUCT(COMPLEX(1/(Calculations!$B$136*(Rcs+(Calculations!$B$135/1000))),0),IMDIV(COMPLEX(1,0),COMPLEX(1,(C33*Lm)/(Rcs+(Calculations!$B$135/1000)))))</f>
        <v>175.782552381225-101.288379449505i</v>
      </c>
      <c r="E33" s="1">
        <f t="shared" si="2"/>
        <v>46.144631425035584</v>
      </c>
      <c r="F33" s="1">
        <f t="shared" si="3"/>
        <v>-29.951151294535844</v>
      </c>
      <c r="G33" s="1" t="str">
        <f t="shared" si="0"/>
        <v>-0.117482795710503+0.210115578970485i</v>
      </c>
      <c r="H33" s="1">
        <f t="shared" si="4"/>
        <v>-12.369408354890922</v>
      </c>
      <c r="I33" s="1">
        <f t="shared" si="5"/>
        <v>119.21104630802388</v>
      </c>
      <c r="J33" s="1" t="str">
        <f t="shared" si="6"/>
        <v>0.630840800140668+48.8342947572048i</v>
      </c>
      <c r="K33" s="1">
        <f t="shared" si="7"/>
        <v>33.775223070144655</v>
      </c>
      <c r="L33" s="1">
        <f t="shared" si="8"/>
        <v>89.259895013488062</v>
      </c>
    </row>
    <row r="34" spans="2:12">
      <c r="B34" s="1">
        <v>900</v>
      </c>
      <c r="C34" s="1">
        <f t="shared" si="1"/>
        <v>5654.8667764616275</v>
      </c>
      <c r="D34" s="73" t="str">
        <f>IMPRODUCT(COMPLEX(1/(Calculations!$B$136*(Rcs+(Calculations!$B$135/1000))),0),IMDIV(COMPLEX(1,0),COMPLEX(1,(C34*Lm)/(Rcs+(Calculations!$B$135/1000)))))</f>
        <v>164.866691947707-106.873320501196i</v>
      </c>
      <c r="E34" s="1">
        <f t="shared" si="2"/>
        <v>45.866203002211769</v>
      </c>
      <c r="F34" s="1">
        <f t="shared" si="3"/>
        <v>-32.952954160877582</v>
      </c>
      <c r="G34" s="1" t="str">
        <f t="shared" si="0"/>
        <v>-0.117481684146842+0.186934952493757i</v>
      </c>
      <c r="H34" s="1">
        <f t="shared" si="4"/>
        <v>-13.12055469162674</v>
      </c>
      <c r="I34" s="1">
        <f t="shared" si="5"/>
        <v>122.14783813103858</v>
      </c>
      <c r="J34" s="1" t="str">
        <f t="shared" si="6"/>
        <v>0.609542461005926+43.3750049098932i</v>
      </c>
      <c r="K34" s="1">
        <f t="shared" si="7"/>
        <v>32.745648310585025</v>
      </c>
      <c r="L34" s="1">
        <f t="shared" si="8"/>
        <v>89.194883970161001</v>
      </c>
    </row>
    <row r="35" spans="2:12">
      <c r="B35" s="1">
        <v>1000</v>
      </c>
      <c r="C35" s="1">
        <f t="shared" si="1"/>
        <v>6283.1853071795858</v>
      </c>
      <c r="D35" s="73" t="str">
        <f>IMPRODUCT(COMPLEX(1/(Calculations!$B$136*(Rcs+(Calculations!$B$135/1000))),0),IMDIV(COMPLEX(1,0),COMPLEX(1,(C35*Lm)/(Rcs+(Calculations!$B$135/1000)))))</f>
        <v>154.166837929584-111.041375887498i</v>
      </c>
      <c r="E35" s="1">
        <f t="shared" si="2"/>
        <v>45.574783411303478</v>
      </c>
      <c r="F35" s="1">
        <f t="shared" si="3"/>
        <v>-35.763983071272747</v>
      </c>
      <c r="G35" s="1" t="str">
        <f t="shared" si="0"/>
        <v>-0.117480441835877+0.168407976689821i</v>
      </c>
      <c r="H35" s="1">
        <f t="shared" si="4"/>
        <v>-13.750695171101396</v>
      </c>
      <c r="I35" s="1">
        <f t="shared" si="5"/>
        <v>124.89940728448286</v>
      </c>
      <c r="J35" s="1" t="str">
        <f t="shared" si="6"/>
        <v>0.588665205659844+39.0081151497158i</v>
      </c>
      <c r="K35" s="1">
        <f t="shared" si="7"/>
        <v>31.824088240202091</v>
      </c>
      <c r="L35" s="1">
        <f t="shared" si="8"/>
        <v>89.135424213210143</v>
      </c>
    </row>
    <row r="36" spans="2:12">
      <c r="B36" s="1">
        <v>2000</v>
      </c>
      <c r="C36" s="1">
        <f t="shared" si="1"/>
        <v>12566.370614359172</v>
      </c>
      <c r="D36" s="73" t="str">
        <f>IMPRODUCT(COMPLEX(1/(Calculations!$B$136*(Rcs+(Calculations!$B$135/1000))),0),IMDIV(COMPLEX(1,0),COMPLEX(1,(C36*Lm)/(Rcs+(Calculations!$B$135/1000)))))</f>
        <v>76.1416462031425-109.684719104089i</v>
      </c>
      <c r="E36" s="1">
        <f t="shared" si="2"/>
        <v>42.511096384647445</v>
      </c>
      <c r="F36" s="1">
        <f t="shared" si="3"/>
        <v>-55.232142338916439</v>
      </c>
      <c r="G36" s="1" t="str">
        <f t="shared" si="0"/>
        <v>-0.117460829881531+0.085518382185255i</v>
      </c>
      <c r="H36" s="1">
        <f t="shared" si="4"/>
        <v>-16.755027095961175</v>
      </c>
      <c r="I36" s="1">
        <f t="shared" si="5"/>
        <v>143.94318267916788</v>
      </c>
      <c r="J36" s="1" t="str">
        <f t="shared" si="6"/>
        <v>0.43639877665878+19.3951685315037i</v>
      </c>
      <c r="K36" s="1">
        <f t="shared" si="7"/>
        <v>25.756069288686255</v>
      </c>
      <c r="L36" s="1">
        <f t="shared" si="8"/>
        <v>88.711040340251444</v>
      </c>
    </row>
    <row r="37" spans="2:12">
      <c r="B37" s="1">
        <v>3000</v>
      </c>
      <c r="C37" s="1">
        <f t="shared" si="1"/>
        <v>18849.555921538758</v>
      </c>
      <c r="D37" s="73" t="str">
        <f>IMPRODUCT(COMPLEX(1/(Calculations!$B$136*(Rcs+(Calculations!$B$135/1000))),0),IMDIV(COMPLEX(1,0),COMPLEX(1,(C37*Lm)/(Rcs+(Calculations!$B$135/1000)))))</f>
        <v>41.3024362118188-89.2464178300286i</v>
      </c>
      <c r="E37" s="1">
        <f t="shared" si="2"/>
        <v>39.854630454615879</v>
      </c>
      <c r="F37" s="1">
        <f t="shared" si="3"/>
        <v>-65.165726580097612</v>
      </c>
      <c r="G37" s="1" t="str">
        <f t="shared" si="0"/>
        <v>-0.117428157837936+0.0584720424311609i</v>
      </c>
      <c r="H37" s="1">
        <f t="shared" si="4"/>
        <v>-17.642607189744645</v>
      </c>
      <c r="I37" s="1">
        <f t="shared" si="5"/>
        <v>153.5295026310836</v>
      </c>
      <c r="J37" s="1" t="str">
        <f t="shared" si="6"/>
        <v>0.368351331613805+12.8950802421028i</v>
      </c>
      <c r="K37" s="1">
        <f t="shared" si="7"/>
        <v>22.212023264871252</v>
      </c>
      <c r="L37" s="1">
        <f t="shared" si="8"/>
        <v>88.363776050986004</v>
      </c>
    </row>
    <row r="38" spans="2:12">
      <c r="B38" s="1">
        <v>4000</v>
      </c>
      <c r="C38" s="1">
        <f t="shared" si="1"/>
        <v>25132.741228718343</v>
      </c>
      <c r="D38" s="73" t="str">
        <f>IMPRODUCT(COMPLEX(1/(Calculations!$B$136*(Rcs+(Calculations!$B$135/1000))),0),IMDIV(COMPLEX(1,0),COMPLEX(1,(C38*Lm)/(Rcs+(Calculations!$B$135/1000)))))</f>
        <v>25.1754930176561-72.5323661267151i</v>
      </c>
      <c r="E38" s="1">
        <f t="shared" si="2"/>
        <v>37.704653605207</v>
      </c>
      <c r="F38" s="1">
        <f t="shared" si="3"/>
        <v>-70.858458492449401</v>
      </c>
      <c r="G38" s="1" t="str">
        <f t="shared" si="0"/>
        <v>-0.11738244750008+0.0453857860142602i</v>
      </c>
      <c r="H38" s="1">
        <f t="shared" si="4"/>
        <v>-18.002857165339815</v>
      </c>
      <c r="I38" s="1">
        <f t="shared" si="5"/>
        <v>158.86106422950832</v>
      </c>
      <c r="J38" s="1" t="str">
        <f t="shared" si="6"/>
        <v>0.336777460701419+9.65663619782856i</v>
      </c>
      <c r="K38" s="1">
        <f t="shared" si="7"/>
        <v>19.701796439867184</v>
      </c>
      <c r="L38" s="1">
        <f t="shared" si="8"/>
        <v>88.002605737058929</v>
      </c>
    </row>
    <row r="39" spans="2:12">
      <c r="B39" s="1">
        <v>5000</v>
      </c>
      <c r="C39" s="1">
        <f t="shared" si="1"/>
        <v>31415.926535897932</v>
      </c>
      <c r="D39" s="73" t="str">
        <f>IMPRODUCT(COMPLEX(1/(Calculations!$B$136*(Rcs+(Calculations!$B$135/1000))),0),IMDIV(COMPLEX(1,0),COMPLEX(1,(C39*Lm)/(Rcs+(Calculations!$B$135/1000)))))</f>
        <v>16.7610925113107-60.3623580410883i</v>
      </c>
      <c r="E39" s="1">
        <f t="shared" si="2"/>
        <v>35.93789699454782</v>
      </c>
      <c r="F39" s="1">
        <f t="shared" si="3"/>
        <v>-74.481378310408402</v>
      </c>
      <c r="G39" s="1" t="str">
        <f t="shared" si="0"/>
        <v>-0.117323729330063+0.0378827463037985i</v>
      </c>
      <c r="H39" s="1">
        <f t="shared" si="4"/>
        <v>-18.181575568960817</v>
      </c>
      <c r="I39" s="1">
        <f t="shared" si="5"/>
        <v>162.10521207076246</v>
      </c>
      <c r="J39" s="1" t="str">
        <f t="shared" si="6"/>
        <v>0.320218014896437+7.71689317191748i</v>
      </c>
      <c r="K39" s="1">
        <f t="shared" si="7"/>
        <v>17.756321425587007</v>
      </c>
      <c r="L39" s="1">
        <f t="shared" si="8"/>
        <v>87.623833760354088</v>
      </c>
    </row>
    <row r="40" spans="2:12">
      <c r="B40" s="1">
        <v>6000</v>
      </c>
      <c r="C40" s="1">
        <f t="shared" si="1"/>
        <v>37699.111843077517</v>
      </c>
      <c r="D40" s="73" t="str">
        <f>IMPRODUCT(COMPLEX(1/(Calculations!$B$136*(Rcs+(Calculations!$B$135/1000))),0),IMDIV(COMPLEX(1,0),COMPLEX(1,(C40*Lm)/(Rcs+(Calculations!$B$135/1000)))))</f>
        <v>11.8999328782502-51.4268154234309i</v>
      </c>
      <c r="E40" s="1">
        <f t="shared" si="2"/>
        <v>34.450318880747368</v>
      </c>
      <c r="F40" s="1">
        <f t="shared" si="3"/>
        <v>-76.971320425852639</v>
      </c>
      <c r="G40" s="1" t="str">
        <f t="shared" ref="G40:G62" si="11">IMPRODUCT(COMPLEX(-(gm*Acs*Rcs)/(IL_Comp_Ccomp+IL_Comp_Chf),0),IMDIV(COMPLEX(1,C40*IL_Comp_Rcomp*IL_Comp_Ccomp),IMPRODUCT(COMPLEX(0,C40),COMPLEX(1,C40*IL_Comp_Rcomp*((IL_Comp_Ccomp*IL_Comp_Chf)/(IL_Comp_Ccomp+IL_Comp_Chf))))))</f>
        <v>-0.117252042406411+0.0331704419318978i</v>
      </c>
      <c r="H40" s="1">
        <f t="shared" si="4"/>
        <v>-18.283226911876369</v>
      </c>
      <c r="I40" s="1">
        <f t="shared" si="5"/>
        <v>164.20386458219537</v>
      </c>
      <c r="J40" s="1" t="str">
        <f t="shared" si="6"/>
        <v>0.310558760271304+6.42462517538627i</v>
      </c>
      <c r="K40" s="1">
        <f t="shared" si="7"/>
        <v>16.167091968870999</v>
      </c>
      <c r="L40" s="1">
        <f t="shared" si="8"/>
        <v>87.232544156342726</v>
      </c>
    </row>
    <row r="41" spans="2:12">
      <c r="B41" s="1">
        <v>7000</v>
      </c>
      <c r="C41" s="1">
        <f t="shared" si="1"/>
        <v>43982.297150257102</v>
      </c>
      <c r="D41" s="73" t="str">
        <f>IMPRODUCT(COMPLEX(1/(Calculations!$B$136*(Rcs+(Calculations!$B$135/1000))),0),IMDIV(COMPLEX(1,0),COMPLEX(1,(C41*Lm)/(Rcs+(Calculations!$B$135/1000)))))</f>
        <v>8.86230318037549-44.6826079024447i</v>
      </c>
      <c r="E41" s="1">
        <f t="shared" si="2"/>
        <v>33.170339795319975</v>
      </c>
      <c r="F41" s="1">
        <f t="shared" si="3"/>
        <v>-78.781605384054032</v>
      </c>
      <c r="G41" s="1" t="str">
        <f t="shared" si="11"/>
        <v>-0.117167434359162+0.0300519314200526i</v>
      </c>
      <c r="H41" s="1">
        <f t="shared" si="4"/>
        <v>-18.347163054725502</v>
      </c>
      <c r="I41" s="1">
        <f t="shared" si="5"/>
        <v>165.61447613337373</v>
      </c>
      <c r="J41" s="1" t="str">
        <f t="shared" si="6"/>
        <v>0.304425342195731+5.50167585580622i</v>
      </c>
      <c r="K41" s="1">
        <f t="shared" si="7"/>
        <v>14.823176740594475</v>
      </c>
      <c r="L41" s="1">
        <f t="shared" si="8"/>
        <v>86.83287074931971</v>
      </c>
    </row>
    <row r="42" spans="2:12">
      <c r="B42" s="1">
        <v>8000</v>
      </c>
      <c r="C42" s="1">
        <f t="shared" si="1"/>
        <v>50265.482457436687</v>
      </c>
      <c r="D42" s="73" t="str">
        <f>IMPRODUCT(COMPLEX(1/(Calculations!$B$136*(Rcs+(Calculations!$B$135/1000))),0),IMDIV(COMPLEX(1,0),COMPLEX(1,(C42*Lm)/(Rcs+(Calculations!$B$135/1000)))))</f>
        <v>6.84593083583882-39.4472165065438i</v>
      </c>
      <c r="E42" s="1">
        <f t="shared" si="2"/>
        <v>32.049198834843423</v>
      </c>
      <c r="F42" s="1">
        <f t="shared" si="3"/>
        <v>-80.154572845362765</v>
      </c>
      <c r="G42" s="1" t="str">
        <f t="shared" si="11"/>
        <v>-0.117069961290959+0.027928602070529i</v>
      </c>
      <c r="H42" s="1">
        <f t="shared" si="4"/>
        <v>-18.39070027853359</v>
      </c>
      <c r="I42" s="1">
        <f t="shared" si="5"/>
        <v>166.58212301117695</v>
      </c>
      <c r="J42" s="1" t="str">
        <f t="shared" si="6"/>
        <v>0.300252754649032+4.80928138757367i</v>
      </c>
      <c r="K42" s="1">
        <f t="shared" si="7"/>
        <v>13.658498556309837</v>
      </c>
      <c r="L42" s="1">
        <f t="shared" si="8"/>
        <v>86.427550165814196</v>
      </c>
    </row>
    <row r="43" spans="2:12">
      <c r="B43" s="1">
        <v>9000</v>
      </c>
      <c r="C43" s="1">
        <f t="shared" si="1"/>
        <v>56548.667764616279</v>
      </c>
      <c r="D43" s="73" t="str">
        <f>IMPRODUCT(COMPLEX(1/(Calculations!$B$136*(Rcs+(Calculations!$B$135/1000))),0),IMDIV(COMPLEX(1,0),COMPLEX(1,(C43*Lm)/(Rcs+(Calculations!$B$135/1000)))))</f>
        <v>5.44252770809906-35.2806865481843i</v>
      </c>
      <c r="E43" s="1">
        <f t="shared" si="2"/>
        <v>31.052880250470018</v>
      </c>
      <c r="F43" s="1">
        <f t="shared" si="3"/>
        <v>-81.230471159052968</v>
      </c>
      <c r="G43" s="1" t="str">
        <f t="shared" si="11"/>
        <v>-0.116959687684356+0.0264677664685618i</v>
      </c>
      <c r="H43" s="1">
        <f t="shared" si="4"/>
        <v>-18.422377554304923</v>
      </c>
      <c r="I43" s="1">
        <f t="shared" si="5"/>
        <v>167.2488391049454</v>
      </c>
      <c r="J43" s="1" t="str">
        <f t="shared" si="6"/>
        <v>0.297244631455152+4.27046963234194i</v>
      </c>
      <c r="K43" s="1">
        <f t="shared" si="7"/>
        <v>12.630502696165101</v>
      </c>
      <c r="L43" s="1">
        <f t="shared" si="8"/>
        <v>86.018367945892436</v>
      </c>
    </row>
    <row r="44" spans="2:12">
      <c r="B44" s="1">
        <v>10000</v>
      </c>
      <c r="C44" s="1">
        <f t="shared" si="1"/>
        <v>62831.853071795864</v>
      </c>
      <c r="D44" s="73" t="str">
        <f>IMPRODUCT(COMPLEX(1/(Calculations!$B$136*(Rcs+(Calculations!$B$135/1000))),0),IMDIV(COMPLEX(1,0),COMPLEX(1,(C44*Lm)/(Rcs+(Calculations!$B$135/1000)))))</f>
        <v>4.42800320813133-31.8934717263738i</v>
      </c>
      <c r="E44" s="1">
        <f t="shared" si="2"/>
        <v>30.156953031772073</v>
      </c>
      <c r="F44" s="1">
        <f t="shared" si="3"/>
        <v>-82.095737722007897</v>
      </c>
      <c r="G44" s="1" t="str">
        <f t="shared" si="11"/>
        <v>-0.11683668629565+0.0254697012639726i</v>
      </c>
      <c r="H44" s="1">
        <f t="shared" si="4"/>
        <v>-18.446786332192222</v>
      </c>
      <c r="I44" s="1">
        <f t="shared" si="5"/>
        <v>167.70225459581118</v>
      </c>
      <c r="J44" s="1" t="str">
        <f t="shared" si="6"/>
        <v>0.294963975397125+3.83910746988054i</v>
      </c>
      <c r="K44" s="1">
        <f t="shared" si="7"/>
        <v>11.71016669957986</v>
      </c>
      <c r="L44" s="1">
        <f t="shared" si="8"/>
        <v>85.606516873803301</v>
      </c>
    </row>
    <row r="45" spans="2:12">
      <c r="B45" s="1">
        <v>20000</v>
      </c>
      <c r="C45" s="1">
        <f t="shared" si="1"/>
        <v>125663.70614359173</v>
      </c>
      <c r="D45" s="73" t="str">
        <f>IMPRODUCT(COMPLEX(1/(Calculations!$B$136*(Rcs+(Calculations!$B$135/1000))),0),IMDIV(COMPLEX(1,0),COMPLEX(1,(C45*Lm)/(Rcs+(Calculations!$B$135/1000)))))</f>
        <v>1.12292778969424-16.1761697216504i</v>
      </c>
      <c r="E45" s="1">
        <f t="shared" si="2"/>
        <v>24.198392060045954</v>
      </c>
      <c r="F45" s="1">
        <f t="shared" si="3"/>
        <v>-86.028975144400519</v>
      </c>
      <c r="G45" s="1" t="str">
        <f t="shared" si="11"/>
        <v>-0.114928290654293+0.025524924644042i</v>
      </c>
      <c r="H45" s="1">
        <f t="shared" si="4"/>
        <v>-18.582357115384294</v>
      </c>
      <c r="I45" s="1">
        <f t="shared" si="5"/>
        <v>167.47817393875542</v>
      </c>
      <c r="J45" s="1" t="str">
        <f t="shared" si="6"/>
        <v>0.283839341776598+1.88776218265566i</v>
      </c>
      <c r="K45" s="1">
        <f t="shared" si="7"/>
        <v>5.6160349446616751</v>
      </c>
      <c r="L45" s="1">
        <f t="shared" si="8"/>
        <v>81.449198794354928</v>
      </c>
    </row>
    <row r="46" spans="2:12">
      <c r="B46" s="1">
        <v>30000</v>
      </c>
      <c r="C46" s="1">
        <f t="shared" si="1"/>
        <v>188495.55921538759</v>
      </c>
      <c r="D46" s="73" t="str">
        <f>IMPRODUCT(COMPLEX(1/(Calculations!$B$136*(Rcs+(Calculations!$B$135/1000))),0),IMDIV(COMPLEX(1,0),COMPLEX(1,(C46*Lm)/(Rcs+(Calculations!$B$135/1000)))))</f>
        <v>0.500412293202299-10.8129226027679i</v>
      </c>
      <c r="E46" s="1">
        <f t="shared" si="2"/>
        <v>20.688153464146506</v>
      </c>
      <c r="F46" s="1">
        <f t="shared" si="3"/>
        <v>-87.35029366095911</v>
      </c>
      <c r="G46" s="1" t="str">
        <f t="shared" si="11"/>
        <v>-0.111882499680251+0.030625217336169i</v>
      </c>
      <c r="H46" s="1">
        <f t="shared" si="4"/>
        <v>-18.710970069520073</v>
      </c>
      <c r="I46" s="1">
        <f t="shared" si="5"/>
        <v>164.69160103174394</v>
      </c>
      <c r="J46" s="1" t="str">
        <f t="shared" si="6"/>
        <v>0.275160726514741+1.22510204488377i</v>
      </c>
      <c r="K46" s="1">
        <f t="shared" si="7"/>
        <v>1.9771833946264343</v>
      </c>
      <c r="L46" s="1">
        <f t="shared" si="8"/>
        <v>77.341307370784861</v>
      </c>
    </row>
    <row r="47" spans="2:12">
      <c r="B47" s="1">
        <v>40000</v>
      </c>
      <c r="C47" s="1">
        <f t="shared" si="1"/>
        <v>251327.41228718346</v>
      </c>
      <c r="D47" s="73" t="str">
        <f>IMPRODUCT(COMPLEX(1/(Calculations!$B$136*(Rcs+(Calculations!$B$135/1000))),0),IMDIV(COMPLEX(1,0),COMPLEX(1,(C47*Lm)/(Rcs+(Calculations!$B$135/1000)))))</f>
        <v>0.281745351100047-8.11728173353216i</v>
      </c>
      <c r="E47" s="1">
        <f t="shared" si="2"/>
        <v>18.193441350814435</v>
      </c>
      <c r="F47" s="1">
        <f t="shared" si="3"/>
        <v>-88.012100342294673</v>
      </c>
      <c r="G47" s="1" t="str">
        <f t="shared" si="11"/>
        <v>-0.107879903888199+0.0363816182376906i</v>
      </c>
      <c r="H47" s="1">
        <f t="shared" si="4"/>
        <v>-18.873381750006999</v>
      </c>
      <c r="I47" s="1">
        <f t="shared" si="5"/>
        <v>161.36374075655729</v>
      </c>
      <c r="J47" s="1" t="str">
        <f t="shared" si="6"/>
        <v>0.264925183759526+0.885941925050849i</v>
      </c>
      <c r="K47" s="1">
        <f t="shared" si="7"/>
        <v>-0.67994039919256144</v>
      </c>
      <c r="L47" s="1">
        <f t="shared" si="8"/>
        <v>73.351640414262661</v>
      </c>
    </row>
    <row r="48" spans="2:12">
      <c r="B48" s="1">
        <v>50000</v>
      </c>
      <c r="C48" s="1">
        <f t="shared" si="1"/>
        <v>314159.26535897929</v>
      </c>
      <c r="D48" s="73" t="str">
        <f>IMPRODUCT(COMPLEX(1/(Calculations!$B$136*(Rcs+(Calculations!$B$135/1000))),0),IMDIV(COMPLEX(1,0),COMPLEX(1,(C48*Lm)/(Rcs+(Calculations!$B$135/1000)))))</f>
        <v>0.18039516891059-6.49663962376883i</v>
      </c>
      <c r="E48" s="1">
        <f t="shared" si="2"/>
        <v>16.257122790181825</v>
      </c>
      <c r="F48" s="1">
        <f t="shared" si="3"/>
        <v>-88.409450543846731</v>
      </c>
      <c r="G48" s="1" t="str">
        <f t="shared" si="11"/>
        <v>-0.103136016235702+0.0418227149961667i</v>
      </c>
      <c r="H48" s="1">
        <f t="shared" si="4"/>
        <v>-19.070627064275069</v>
      </c>
      <c r="I48" s="1">
        <f t="shared" si="5"/>
        <v>157.92693984946047</v>
      </c>
      <c r="J48" s="1" t="str">
        <f t="shared" si="6"/>
        <v>0.253101868348083+0.67758214545056i</v>
      </c>
      <c r="K48" s="1">
        <f t="shared" si="7"/>
        <v>-2.8135042740932459</v>
      </c>
      <c r="L48" s="1">
        <f t="shared" si="8"/>
        <v>69.517489305613722</v>
      </c>
    </row>
    <row r="49" spans="2:12">
      <c r="B49" s="1">
        <v>60000</v>
      </c>
      <c r="C49" s="1">
        <f t="shared" si="1"/>
        <v>376991.11843077518</v>
      </c>
      <c r="D49" s="73" t="str">
        <f>IMPRODUCT(COMPLEX(1/(Calculations!$B$136*(Rcs+(Calculations!$B$135/1000))),0),IMDIV(COMPLEX(1,0),COMPLEX(1,(C49*Lm)/(Rcs+(Calculations!$B$135/1000)))))</f>
        <v>0.125303920840995-5.41514113974534i</v>
      </c>
      <c r="E49" s="1">
        <f t="shared" si="2"/>
        <v>14.674520368827617</v>
      </c>
      <c r="F49" s="1">
        <f t="shared" si="3"/>
        <v>-88.674438085137126</v>
      </c>
      <c r="G49" s="1" t="str">
        <f t="shared" si="11"/>
        <v>-0.097875618989063+0.0466039958479889i</v>
      </c>
      <c r="H49" s="1">
        <f t="shared" si="4"/>
        <v>-19.299041369044978</v>
      </c>
      <c r="I49" s="1">
        <f t="shared" si="5"/>
        <v>154.53829732961157</v>
      </c>
      <c r="J49" s="1" t="str">
        <f t="shared" si="6"/>
        <v>0.240103016378897+0.535849954372326i</v>
      </c>
      <c r="K49" s="1">
        <f t="shared" si="7"/>
        <v>-4.6245210002173565</v>
      </c>
      <c r="L49" s="1">
        <f t="shared" si="8"/>
        <v>65.86385924447444</v>
      </c>
    </row>
    <row r="50" spans="2:12">
      <c r="B50" s="1">
        <v>70000</v>
      </c>
      <c r="C50" s="1">
        <f t="shared" si="1"/>
        <v>439822.97150257102</v>
      </c>
      <c r="D50" s="73" t="str">
        <f>IMPRODUCT(COMPLEX(1/(Calculations!$B$136*(Rcs+(Calculations!$B$135/1000))),0),IMDIV(COMPLEX(1,0),COMPLEX(1,(C50*Lm)/(Rcs+(Calculations!$B$135/1000)))))</f>
        <v>0.0920730959344553-4.6422086451675i</v>
      </c>
      <c r="E50" s="1">
        <f t="shared" si="2"/>
        <v>13.33620122758439</v>
      </c>
      <c r="F50" s="1">
        <f t="shared" si="3"/>
        <v>-88.863750292513132</v>
      </c>
      <c r="G50" s="1" t="str">
        <f t="shared" si="11"/>
        <v>-0.0923112794002669+0.0506012029136369i</v>
      </c>
      <c r="H50" s="1">
        <f t="shared" si="4"/>
        <v>-19.553875742341717</v>
      </c>
      <c r="I50" s="1">
        <f t="shared" si="5"/>
        <v>151.27027968800357</v>
      </c>
      <c r="J50" s="1" t="str">
        <f t="shared" si="6"/>
        <v>0.226401956337507+0.433187228688658i</v>
      </c>
      <c r="K50" s="1">
        <f t="shared" si="7"/>
        <v>-6.2176745147573254</v>
      </c>
      <c r="L50" s="1">
        <f t="shared" si="8"/>
        <v>62.406529395490473</v>
      </c>
    </row>
    <row r="51" spans="2:12">
      <c r="B51" s="1">
        <v>80000</v>
      </c>
      <c r="C51" s="1">
        <f t="shared" si="1"/>
        <v>502654.82457436691</v>
      </c>
      <c r="D51" s="73" t="str">
        <f>IMPRODUCT(COMPLEX(1/(Calculations!$B$136*(Rcs+(Calculations!$B$135/1000))),0),IMDIV(COMPLEX(1,0),COMPLEX(1,(C51*Lm)/(Rcs+(Calculations!$B$135/1000)))))</f>
        <v>0.0704999615635552-4.06230695896276i</v>
      </c>
      <c r="E51" s="1">
        <f t="shared" si="2"/>
        <v>12.176762565347696</v>
      </c>
      <c r="F51" s="1">
        <f t="shared" si="3"/>
        <v>-89.005750959268042</v>
      </c>
      <c r="G51" s="1" t="str">
        <f t="shared" si="11"/>
        <v>-0.0866286595214873+0.0537972869382735i</v>
      </c>
      <c r="H51" s="1">
        <f t="shared" si="4"/>
        <v>-19.830220897181675</v>
      </c>
      <c r="I51" s="1">
        <f t="shared" si="5"/>
        <v>148.15929447100388</v>
      </c>
      <c r="J51" s="1" t="str">
        <f t="shared" si="6"/>
        <v>0.212433775936098+0.355704913081125i</v>
      </c>
      <c r="K51" s="1">
        <f t="shared" si="7"/>
        <v>-7.6534583318339813</v>
      </c>
      <c r="L51" s="1">
        <f t="shared" si="8"/>
        <v>59.153543511735791</v>
      </c>
    </row>
    <row r="52" spans="2:12">
      <c r="B52" s="1">
        <v>90000</v>
      </c>
      <c r="C52" s="1">
        <f t="shared" si="1"/>
        <v>565486.6776461628</v>
      </c>
      <c r="D52" s="73" t="str">
        <f>IMPRODUCT(COMPLEX(1/(Calculations!$B$136*(Rcs+(Calculations!$B$135/1000))),0),IMDIV(COMPLEX(1,0),COMPLEX(1,(C52*Lm)/(Rcs+(Calculations!$B$135/1000)))))</f>
        <v>0.0557071936099395-3.61116771772534i</v>
      </c>
      <c r="E52" s="1">
        <f t="shared" si="2"/>
        <v>11.153986566529664</v>
      </c>
      <c r="F52" s="1">
        <f t="shared" si="3"/>
        <v>-89.11620445743273</v>
      </c>
      <c r="G52" s="1" t="str">
        <f t="shared" si="11"/>
        <v>-0.080978980153083+0.056234070643788i</v>
      </c>
      <c r="H52" s="1">
        <f t="shared" si="4"/>
        <v>-20.123397255280977</v>
      </c>
      <c r="I52" s="1">
        <f t="shared" si="5"/>
        <v>145.22280457032238</v>
      </c>
      <c r="J52" s="1" t="str">
        <f t="shared" si="6"/>
        <v>0.19855954881941+0.295561321203963i</v>
      </c>
      <c r="K52" s="1">
        <f t="shared" si="7"/>
        <v>-8.9694106887513154</v>
      </c>
      <c r="L52" s="1">
        <f t="shared" si="8"/>
        <v>56.106600112889701</v>
      </c>
    </row>
    <row r="53" spans="2:12">
      <c r="B53" s="1">
        <v>100000</v>
      </c>
      <c r="C53" s="1">
        <f t="shared" si="1"/>
        <v>628318.53071795858</v>
      </c>
      <c r="D53" s="73" t="str">
        <f>IMPRODUCT(COMPLEX(1/(Calculations!$B$136*(Rcs+(Calculations!$B$135/1000))),0),IMDIV(COMPLEX(1,0),COMPLEX(1,(C53*Lm)/(Rcs+(Calculations!$B$135/1000)))))</f>
        <v>0.0451248666515233-3.2501978681133i</v>
      </c>
      <c r="E53" s="1">
        <f t="shared" si="2"/>
        <v>10.239033078519784</v>
      </c>
      <c r="F53" s="1">
        <f t="shared" si="3"/>
        <v>-89.204572025638356</v>
      </c>
      <c r="G53" s="1" t="str">
        <f t="shared" si="11"/>
        <v>-0.0754774428186768+0.0579849279260986i</v>
      </c>
      <c r="H53" s="1">
        <f t="shared" si="4"/>
        <v>-20.429151265071045</v>
      </c>
      <c r="I53" s="1">
        <f t="shared" si="5"/>
        <v>142.46702348983288</v>
      </c>
      <c r="J53" s="1" t="str">
        <f t="shared" si="6"/>
        <v>0.185056579585718+0.24793318588037i</v>
      </c>
      <c r="K53" s="1">
        <f t="shared" si="7"/>
        <v>-10.19011818655127</v>
      </c>
      <c r="L53" s="1">
        <f t="shared" si="8"/>
        <v>53.262451464194534</v>
      </c>
    </row>
    <row r="54" spans="2:12">
      <c r="B54" s="1">
        <v>200000</v>
      </c>
      <c r="C54" s="1">
        <f t="shared" si="1"/>
        <v>1256637.0614359172</v>
      </c>
      <c r="D54" s="73" t="str">
        <f>IMPRODUCT(COMPLEX(1/(Calculations!$B$136*(Rcs+(Calculations!$B$135/1000))),0),IMDIV(COMPLEX(1,0),COMPLEX(1,(C54*Lm)/(Rcs+(Calculations!$B$135/1000)))))</f>
        <v>0.0112828474922973-1.6253338607694i</v>
      </c>
      <c r="E54" s="1">
        <f t="shared" si="2"/>
        <v>4.2190609424109171</v>
      </c>
      <c r="F54" s="1">
        <f t="shared" si="3"/>
        <v>-89.602266848726799</v>
      </c>
      <c r="G54" s="1" t="str">
        <f t="shared" si="11"/>
        <v>-0.036414985652027+0.0551721359046199i</v>
      </c>
      <c r="H54" s="1">
        <f t="shared" si="4"/>
        <v>-23.595169967582798</v>
      </c>
      <c r="I54" s="1">
        <f t="shared" si="5"/>
        <v>123.42580651612288</v>
      </c>
      <c r="J54" s="1" t="str">
        <f t="shared" si="6"/>
        <v>0.0892622759272039+0.0598090080149075i</v>
      </c>
      <c r="K54" s="1">
        <f t="shared" si="7"/>
        <v>-19.376109025171878</v>
      </c>
      <c r="L54" s="1">
        <f t="shared" si="8"/>
        <v>33.823539667396091</v>
      </c>
    </row>
    <row r="55" spans="2:12">
      <c r="B55" s="1">
        <v>300000</v>
      </c>
      <c r="C55" s="1">
        <f t="shared" si="1"/>
        <v>1884955.5921538759</v>
      </c>
      <c r="D55" s="73" t="str">
        <f>IMPRODUCT(COMPLEX(1/(Calculations!$B$136*(Rcs+(Calculations!$B$135/1000))),0),IMDIV(COMPLEX(1,0),COMPLEX(1,(C55*Lm)/(Rcs+(Calculations!$B$135/1000)))))</f>
        <v>0.00501473313310638-1.08358491544679i</v>
      </c>
      <c r="E55" s="1">
        <f t="shared" si="2"/>
        <v>0.6973520262878834</v>
      </c>
      <c r="F55" s="1">
        <f t="shared" si="3"/>
        <v>-89.734842199637313</v>
      </c>
      <c r="G55" s="1" t="str">
        <f t="shared" si="11"/>
        <v>-0.0195510024609957+0.0443162554104608i</v>
      </c>
      <c r="H55" s="1">
        <f t="shared" si="4"/>
        <v>-26.296401172054683</v>
      </c>
      <c r="I55" s="1">
        <f t="shared" si="5"/>
        <v>113.80563324949001</v>
      </c>
      <c r="J55" s="1" t="str">
        <f t="shared" si="6"/>
        <v>0.0479223828120359+0.0214074055429401i</v>
      </c>
      <c r="K55" s="1">
        <f t="shared" si="7"/>
        <v>-25.599049145766799</v>
      </c>
      <c r="L55" s="1">
        <f t="shared" si="8"/>
        <v>24.070791049852758</v>
      </c>
    </row>
    <row r="56" spans="2:12">
      <c r="B56" s="1">
        <v>400000</v>
      </c>
      <c r="C56" s="1">
        <f t="shared" si="1"/>
        <v>2513274.1228718343</v>
      </c>
      <c r="D56" s="73" t="str">
        <f>IMPRODUCT(COMPLEX(1/(Calculations!$B$136*(Rcs+(Calculations!$B$135/1000))),0),IMDIV(COMPLEX(1,0),COMPLEX(1,(C56*Lm)/(Rcs+(Calculations!$B$135/1000)))))</f>
        <v>0.00282081381833187-0.812696301530439i</v>
      </c>
      <c r="E56" s="1">
        <f t="shared" si="2"/>
        <v>-1.8013820123960405</v>
      </c>
      <c r="F56" s="1">
        <f t="shared" si="3"/>
        <v>-89.801131028592124</v>
      </c>
      <c r="G56" s="1" t="str">
        <f t="shared" si="11"/>
        <v>-0.0118609690593472+0.0358141230449767i</v>
      </c>
      <c r="H56" s="1">
        <f t="shared" si="4"/>
        <v>-28.466931773437082</v>
      </c>
      <c r="I56" s="1">
        <f t="shared" si="5"/>
        <v>108.32390686092744</v>
      </c>
      <c r="J56" s="1" t="str">
        <f t="shared" si="6"/>
        <v>0.0290725477557872+0.00974039066027515i</v>
      </c>
      <c r="K56" s="1">
        <f t="shared" si="7"/>
        <v>-30.268313785833129</v>
      </c>
      <c r="L56" s="1">
        <f t="shared" si="8"/>
        <v>18.522775832335345</v>
      </c>
    </row>
    <row r="57" spans="2:12">
      <c r="B57" s="1">
        <v>500000</v>
      </c>
      <c r="C57" s="1">
        <f t="shared" si="1"/>
        <v>3141592.653589793</v>
      </c>
      <c r="D57" s="73" t="str">
        <f>IMPRODUCT(COMPLEX(1/(Calculations!$B$136*(Rcs+(Calculations!$B$135/1000))),0),IMDIV(COMPLEX(1,0),COMPLEX(1,(C57*Lm)/(Rcs+(Calculations!$B$135/1000)))))</f>
        <v>0.0018053286734451-0.650159860968479i</v>
      </c>
      <c r="E57" s="1">
        <f t="shared" si="2"/>
        <v>-3.7395634371592235</v>
      </c>
      <c r="F57" s="1">
        <f t="shared" si="3"/>
        <v>-89.840904592874068</v>
      </c>
      <c r="G57" s="1" t="str">
        <f t="shared" si="11"/>
        <v>-0.00787731341332723+0.029719237377928i</v>
      </c>
      <c r="H57" s="1">
        <f t="shared" si="4"/>
        <v>-30.244371706230101</v>
      </c>
      <c r="I57" s="1">
        <f t="shared" si="5"/>
        <v>104.84531732818542</v>
      </c>
      <c r="J57" s="1" t="str">
        <f t="shared" si="6"/>
        <v>0.0193080341019481+0.00517516598500526i</v>
      </c>
      <c r="K57" s="1">
        <f t="shared" si="7"/>
        <v>-33.983935143389317</v>
      </c>
      <c r="L57" s="1">
        <f t="shared" si="8"/>
        <v>15.004412735311352</v>
      </c>
    </row>
    <row r="58" spans="2:12">
      <c r="B58" s="1">
        <v>600000</v>
      </c>
      <c r="C58" s="1">
        <f t="shared" si="1"/>
        <v>3769911.1843077517</v>
      </c>
      <c r="D58" s="73" t="str">
        <f>IMPRODUCT(COMPLEX(1/(Calculations!$B$136*(Rcs+(Calculations!$B$135/1000))),0),IMDIV(COMPLEX(1,0),COMPLEX(1,(C58*Lm)/(Rcs+(Calculations!$B$135/1000)))))</f>
        <v>0.00125370342128531-0.541801160576325i</v>
      </c>
      <c r="E58" s="1">
        <f t="shared" si="2"/>
        <v>-5.3231781265032883</v>
      </c>
      <c r="F58" s="1">
        <f t="shared" si="3"/>
        <v>-89.867420389946247</v>
      </c>
      <c r="G58" s="1" t="str">
        <f t="shared" si="11"/>
        <v>-0.00558477180960114+0.0252781851997701i</v>
      </c>
      <c r="H58" s="1">
        <f t="shared" si="4"/>
        <v>-31.738109195370804</v>
      </c>
      <c r="I58" s="1">
        <f t="shared" si="5"/>
        <v>102.45836848897099</v>
      </c>
      <c r="J58" s="1" t="str">
        <f t="shared" si="6"/>
        <v>0.0136887484309739+0.00305752719526468i</v>
      </c>
      <c r="K58" s="1">
        <f t="shared" si="7"/>
        <v>-37.061287321874104</v>
      </c>
      <c r="L58" s="1">
        <f t="shared" si="8"/>
        <v>12.590948099024798</v>
      </c>
    </row>
    <row r="59" spans="2:12">
      <c r="B59" s="1">
        <v>700000</v>
      </c>
      <c r="C59" s="1">
        <f t="shared" si="1"/>
        <v>4398229.7150257099</v>
      </c>
      <c r="D59" s="73" t="str">
        <f>IMPRODUCT(COMPLEX(1/(Calculations!$B$136*(Rcs+(Calculations!$B$135/1000))),0),IMDIV(COMPLEX(1,0),COMPLEX(1,(C59*Lm)/(Rcs+(Calculations!$B$135/1000)))))</f>
        <v>0.000921089536331346-0.464401654482716i</v>
      </c>
      <c r="E59" s="1">
        <f t="shared" si="2"/>
        <v>-6.6621077497667383</v>
      </c>
      <c r="F59" s="1">
        <f t="shared" si="3"/>
        <v>-89.886360280429514</v>
      </c>
      <c r="G59" s="1" t="str">
        <f t="shared" si="11"/>
        <v>-0.00415550434269504+0.0219407003247785i</v>
      </c>
      <c r="H59" s="1">
        <f t="shared" si="4"/>
        <v>-33.021932489976166</v>
      </c>
      <c r="I59" s="1">
        <f t="shared" si="5"/>
        <v>100.72462166497358</v>
      </c>
      <c r="J59" s="1" t="str">
        <f t="shared" si="6"/>
        <v>0.0101854699397684+0.00195003244144662i</v>
      </c>
      <c r="K59" s="1">
        <f t="shared" si="7"/>
        <v>-39.684040239742878</v>
      </c>
      <c r="L59" s="1">
        <f t="shared" si="8"/>
        <v>10.838261384544037</v>
      </c>
    </row>
    <row r="60" spans="2:12">
      <c r="B60" s="1">
        <v>800000</v>
      </c>
      <c r="C60" s="1">
        <f t="shared" si="1"/>
        <v>5026548.2457436686</v>
      </c>
      <c r="D60" s="73" t="str">
        <f>IMPRODUCT(COMPLEX(1/(Calculations!$B$136*(Rcs+(Calculations!$B$135/1000))),0),IMDIV(COMPLEX(1,0),COMPLEX(1,(C60*Lm)/(Rcs+(Calculations!$B$135/1000)))))</f>
        <v>0.000705209826449415-0.406351822324302i</v>
      </c>
      <c r="E60" s="1">
        <f t="shared" si="2"/>
        <v>-7.8219426851711162</v>
      </c>
      <c r="F60" s="1">
        <f t="shared" si="3"/>
        <v>-89.900565214816538</v>
      </c>
      <c r="G60" s="1" t="str">
        <f t="shared" si="11"/>
        <v>-0.00320815303472701+0.0193568415755511i</v>
      </c>
      <c r="H60" s="1">
        <f t="shared" si="4"/>
        <v>-34.145623263026373</v>
      </c>
      <c r="I60" s="1">
        <f t="shared" si="5"/>
        <v>99.410511624993262</v>
      </c>
      <c r="J60" s="1" t="str">
        <f t="shared" si="6"/>
        <v>0.00786342542762316+0.00131728946684466i</v>
      </c>
      <c r="K60" s="1">
        <f t="shared" si="7"/>
        <v>-41.967565948197489</v>
      </c>
      <c r="L60" s="1">
        <f t="shared" si="8"/>
        <v>9.5099464101767133</v>
      </c>
    </row>
    <row r="61" spans="2:12">
      <c r="B61" s="1">
        <v>900000</v>
      </c>
      <c r="C61" s="1">
        <f t="shared" si="1"/>
        <v>5654866.7764616273</v>
      </c>
      <c r="D61" s="73" t="str">
        <f>IMPRODUCT(COMPLEX(1/(Calculations!$B$136*(Rcs+(Calculations!$B$135/1000))),0),IMDIV(COMPLEX(1,0),COMPLEX(1,(C61*Lm)/(Rcs+(Calculations!$B$135/1000)))))</f>
        <v>0.000557203178052076-0.361201848164292i</v>
      </c>
      <c r="E61" s="1">
        <f t="shared" si="2"/>
        <v>-8.8449903888849786</v>
      </c>
      <c r="F61" s="1">
        <f t="shared" si="3"/>
        <v>-89.911613505657925</v>
      </c>
      <c r="G61" s="1" t="str">
        <f t="shared" si="11"/>
        <v>-0.00254944781169358+0.0173041846143117i</v>
      </c>
      <c r="H61" s="1">
        <f t="shared" si="4"/>
        <v>-35.143715603706433</v>
      </c>
      <c r="I61" s="1">
        <f t="shared" si="5"/>
        <v>98.381166140943606</v>
      </c>
      <c r="J61" s="1" t="str">
        <f t="shared" si="6"/>
        <v>0.00624888290324254+0.000930507208042825i</v>
      </c>
      <c r="K61" s="1">
        <f t="shared" si="7"/>
        <v>-43.988705992591413</v>
      </c>
      <c r="L61" s="1">
        <f t="shared" si="8"/>
        <v>8.4695526352856714</v>
      </c>
    </row>
    <row r="62" spans="2:12">
      <c r="B62" s="1">
        <v>1000000</v>
      </c>
      <c r="C62" s="1">
        <f t="shared" si="1"/>
        <v>6283185.307179586</v>
      </c>
      <c r="D62" s="73" t="str">
        <f>IMPRODUCT(COMPLEX(1/(Calculations!$B$136*(Rcs+(Calculations!$B$135/1000))),0),IMDIV(COMPLEX(1,0),COMPLEX(1,(C62*Lm)/(Rcs+(Calculations!$B$135/1000)))))</f>
        <v>0.000451334778291923-0.325081810332682i</v>
      </c>
      <c r="E62" s="1">
        <f t="shared" si="2"/>
        <v>-9.7601382364478297</v>
      </c>
      <c r="F62" s="1">
        <f t="shared" si="3"/>
        <v>-89.92045214310302</v>
      </c>
      <c r="G62" s="1" t="str">
        <f t="shared" si="11"/>
        <v>-0.00207360212307154+0.0156375485410175i</v>
      </c>
      <c r="H62" s="1">
        <f t="shared" si="4"/>
        <v>-36.040924605248023</v>
      </c>
      <c r="I62" s="1">
        <f t="shared" si="5"/>
        <v>97.553583938271387</v>
      </c>
      <c r="J62" s="1" t="str">
        <f t="shared" si="6"/>
        <v>0.00508254670012468+0.000681148101581578i</v>
      </c>
      <c r="K62" s="1">
        <f t="shared" si="7"/>
        <v>-45.801062841695845</v>
      </c>
      <c r="L62" s="1">
        <f t="shared" si="8"/>
        <v>7.6331317951683664</v>
      </c>
    </row>
    <row r="69" spans="2:97">
      <c r="Q69" t="s">
        <v>398</v>
      </c>
    </row>
    <row r="74" spans="2:97" ht="28">
      <c r="B74" s="30" t="s">
        <v>192</v>
      </c>
      <c r="C74" s="29"/>
      <c r="D74" s="29"/>
      <c r="E74" s="29"/>
    </row>
    <row r="75" spans="2:97" ht="28">
      <c r="B75" s="29"/>
      <c r="C75" s="29"/>
      <c r="D75" s="29"/>
      <c r="E75" s="29"/>
    </row>
    <row r="76" spans="2:97" ht="15" thickBot="1">
      <c r="B76" s="213" t="s">
        <v>33</v>
      </c>
      <c r="C76" s="213"/>
      <c r="D76" s="206" t="s">
        <v>31</v>
      </c>
      <c r="E76" s="202"/>
      <c r="F76" s="202"/>
      <c r="G76" s="202"/>
      <c r="H76" s="202"/>
      <c r="I76" s="202"/>
      <c r="J76" s="202"/>
      <c r="K76" s="202"/>
      <c r="L76" s="202"/>
      <c r="M76" s="202"/>
      <c r="N76" s="202"/>
      <c r="O76" s="202"/>
      <c r="P76" s="202"/>
      <c r="Q76" s="202"/>
      <c r="R76" s="202"/>
      <c r="S76" s="202"/>
      <c r="T76" s="202"/>
    </row>
    <row r="77" spans="2:97" ht="15" thickBot="1">
      <c r="B77" s="213"/>
      <c r="C77" s="213"/>
      <c r="D77" s="203" t="s">
        <v>0</v>
      </c>
      <c r="E77" s="204"/>
      <c r="F77" s="205"/>
      <c r="G77" s="203" t="s">
        <v>386</v>
      </c>
      <c r="H77" s="204"/>
      <c r="I77" s="205"/>
      <c r="J77" s="203" t="s">
        <v>387</v>
      </c>
      <c r="K77" s="204"/>
      <c r="L77" s="205"/>
      <c r="M77" s="203" t="s">
        <v>390</v>
      </c>
      <c r="N77" s="205"/>
      <c r="O77" s="207" t="s">
        <v>444</v>
      </c>
      <c r="P77" s="208"/>
      <c r="Q77" s="209"/>
      <c r="R77" s="210" t="s">
        <v>445</v>
      </c>
      <c r="S77" s="211"/>
      <c r="T77" s="211"/>
      <c r="U77" s="202" t="s">
        <v>393</v>
      </c>
      <c r="V77" s="202"/>
      <c r="W77" s="202"/>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0.714270620452186-0.00326975124897449i</v>
      </c>
      <c r="E79" s="1">
        <f t="shared" ref="E79:E137" si="14">20*LOG(IMABS(D79))</f>
        <v>-2.9226532513775174</v>
      </c>
      <c r="F79" s="6">
        <f t="shared" ref="F79" si="15">IMARGUMENT(D79)*(180/PI())</f>
        <v>-0.26228383561745311</v>
      </c>
      <c r="G79" s="5" t="str">
        <f t="shared" ref="G79:G110" si="16">IMDIV(COMPLEX(V48_Max,0),IMSUM(COMPLEX(Rcs/np,(Lm*C79)/np),D79))</f>
        <v>83.9412729551976+0.382259204031922i</v>
      </c>
      <c r="H79" s="1">
        <f>20*LOG10(IMABS(G79))</f>
        <v>38.479601081181087</v>
      </c>
      <c r="I79" s="6">
        <f>IMARGUMENT(G79)*(180/PI())</f>
        <v>0.26091679221068614</v>
      </c>
      <c r="J79" s="26" t="str">
        <f t="shared" ref="J79:J110" si="17">IMDIV(IMPRODUCT(COMPLEX(V48_Max,0),D79),IMSUM(COMPLEX(Rcs/np,(Lm*C79)/np),D79))</f>
        <v>59.9580350077652-0.0014305632483254i</v>
      </c>
      <c r="K79" s="1">
        <f>20*LOG10(IMABS(J79))</f>
        <v>35.556947829803583</v>
      </c>
      <c r="L79" s="6">
        <f>IMARGUMENT(J79)*(180/PI())</f>
        <v>-1.3670434067661176E-3</v>
      </c>
      <c r="M79" s="26">
        <f t="shared" ref="M79:M110" si="18">(Ramp_C*Ramp_R*Fsw)/(V48_Max)</f>
        <v>0.16</v>
      </c>
      <c r="N79" s="6">
        <f t="shared" ref="N79:N110" si="19">(Rcs*Acs)/np</f>
        <v>2.5000000000000001E-2</v>
      </c>
      <c r="O79" s="5" t="str">
        <f t="shared" ref="O79:O110" si="20">IMPRODUCT(COMPLEX(gm/(IL_Comp_Ccomp+IL_Comp_Chf),0),IMDIV(COMPLEX(1,C79*IL_Comp_Rcomp*IL_Comp_Ccomp),IMPRODUCT(COMPLEX(0,C79),COMPLEX(1,C79*IL_Comp_Rcomp*IL_Comp_Chf))))</f>
        <v>2.34947368407697-3350.63039859662i</v>
      </c>
      <c r="P79" s="1">
        <f t="shared" ref="P79:P137" si="21">20*LOG(IMABS(O79))</f>
        <v>70.502532621628234</v>
      </c>
      <c r="Q79" s="6">
        <f t="shared" ref="Q79" si="22">IMARGUMENT(O79)*(180/PI())</f>
        <v>-89.959824006799352</v>
      </c>
      <c r="R79" s="5" t="str">
        <f>IMDIV(IMPRODUCT(J79,O79,COMPLEX(M79,0)),IMSUM(COMPLEX(1,0),IMPRODUCT(G79,O79,COMPLEX(N79,0),COMPLEX(M79,0))))</f>
        <v>28.5705525413418-0.156184188810418i</v>
      </c>
      <c r="S79" s="1">
        <f>20*LOG10(IMABS(R79))</f>
        <v>29.118502572452435</v>
      </c>
      <c r="T79" s="6">
        <f>IMARGUMENT(R79)*(180/PI())</f>
        <v>-0.31321080310271732</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28.0695063876466+7275.50014100042i</v>
      </c>
      <c r="Y79">
        <f>20*LOG10(IMABS(X79))</f>
        <v>77.237321712848498</v>
      </c>
      <c r="Z79">
        <f>IMARGUMENT(X79)*(180/PI())</f>
        <v>89.778949042904102</v>
      </c>
    </row>
    <row r="80" spans="2:97">
      <c r="B80" s="1">
        <v>2</v>
      </c>
      <c r="C80" s="22">
        <f t="shared" si="12"/>
        <v>12.566370614359172</v>
      </c>
      <c r="D80" s="26" t="str">
        <f t="shared" si="13"/>
        <v>0.714225342810946-0.00653908447643763i</v>
      </c>
      <c r="E80" s="1">
        <f t="shared" si="14"/>
        <v>-2.9229308529841571</v>
      </c>
      <c r="F80" s="6">
        <f t="shared" ref="F80:F133" si="23">IMARGUMENT(D80)*(180/PI())</f>
        <v>-0.52455639980178015</v>
      </c>
      <c r="G80" s="5" t="str">
        <f t="shared" si="16"/>
        <v>83.9413684272281+0.764518614874346i</v>
      </c>
      <c r="H80" s="1">
        <f t="shared" ref="H80:H137" si="24">20*LOG10(IMABS(G80))</f>
        <v>38.479881136269015</v>
      </c>
      <c r="I80" s="6">
        <f t="shared" ref="I80:I133" si="25">IMARGUMENT(G80)*(180/PI())</f>
        <v>0.52182231096674969</v>
      </c>
      <c r="J80" s="26" t="str">
        <f t="shared" si="17"/>
        <v>59.9580518927634-0.00286112941943929i</v>
      </c>
      <c r="K80" s="1">
        <f t="shared" ref="K80:K137" si="26">20*LOG10(IMABS(J80))</f>
        <v>35.556950283284863</v>
      </c>
      <c r="L80" s="6">
        <f t="shared" ref="L80:L133" si="27">IMARGUMENT(J80)*(180/PI())</f>
        <v>-2.7340888350300802E-3</v>
      </c>
      <c r="M80" s="26">
        <f t="shared" si="18"/>
        <v>0.16</v>
      </c>
      <c r="N80" s="6">
        <f t="shared" si="19"/>
        <v>2.5000000000000001E-2</v>
      </c>
      <c r="O80" s="5" t="str">
        <f t="shared" si="20"/>
        <v>2.34947368367626-1675.31522587023i</v>
      </c>
      <c r="P80" s="1">
        <f t="shared" si="21"/>
        <v>64.481939252205649</v>
      </c>
      <c r="Q80" s="6">
        <f t="shared" ref="Q80:Q133" si="28">IMARGUMENT(O80)*(180/PI())</f>
        <v>-89.919648054394784</v>
      </c>
      <c r="R80" s="5" t="str">
        <f t="shared" ref="R80:R133" si="29">IMDIV(IMPRODUCT(J80,O80,COMPLEX(M80,0)),IMSUM(COMPLEX(1,0),IMPRODUCT(G80,O80,COMPLEX(N80,0),COMPLEX(M80,0))))</f>
        <v>28.5679247834062-0.312338829935369i</v>
      </c>
      <c r="S80" s="1">
        <f t="shared" ref="S80:S137" si="30">20*LOG10(IMABS(R80))</f>
        <v>29.118092976882203</v>
      </c>
      <c r="T80" s="6">
        <f t="shared" ref="T80:T133" si="31">IMARGUMENT(R80)*(180/PI())</f>
        <v>-0.62640124779702289</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28.0669034309113+3637.5184992631i</v>
      </c>
      <c r="Y80">
        <f t="shared" ref="Y80:Y137" si="35">20*LOG10(IMABS(X80))</f>
        <v>71.216362766893198</v>
      </c>
      <c r="Z80">
        <f t="shared" ref="Z80:Z134" si="36">IMARGUMENT(X80)*(180/PI())</f>
        <v>89.557917520266457</v>
      </c>
    </row>
    <row r="81" spans="2:26">
      <c r="B81" s="1">
        <v>3</v>
      </c>
      <c r="C81" s="22">
        <f t="shared" si="12"/>
        <v>18.849555921538759</v>
      </c>
      <c r="D81" s="26" t="str">
        <f t="shared" si="13"/>
        <v>0.714149892937558-0.009807581838999i</v>
      </c>
      <c r="E81" s="1">
        <f t="shared" si="14"/>
        <v>-2.9233934828948844</v>
      </c>
      <c r="F81" s="6">
        <f t="shared" si="23"/>
        <v>-0.78680642400166423</v>
      </c>
      <c r="G81" s="5" t="str">
        <f t="shared" si="16"/>
        <v>83.9415275474863+1.14677843933813i</v>
      </c>
      <c r="H81" s="1">
        <f t="shared" si="24"/>
        <v>38.48034785531668</v>
      </c>
      <c r="I81" s="6">
        <f t="shared" si="25"/>
        <v>0.78270528569537456</v>
      </c>
      <c r="J81" s="26" t="str">
        <f t="shared" si="17"/>
        <v>59.9580800344474-0.00429170143613654i</v>
      </c>
      <c r="K81" s="1">
        <f t="shared" si="26"/>
        <v>35.556954372421792</v>
      </c>
      <c r="L81" s="6">
        <f t="shared" si="27"/>
        <v>-4.1011383062906194E-3</v>
      </c>
      <c r="M81" s="26">
        <f t="shared" si="18"/>
        <v>0.16</v>
      </c>
      <c r="N81" s="6">
        <f t="shared" si="19"/>
        <v>2.5000000000000001E-2</v>
      </c>
      <c r="O81" s="5" t="str">
        <f t="shared" si="20"/>
        <v>2.34947368300845-1116.87684677118i</v>
      </c>
      <c r="P81" s="1">
        <f t="shared" si="21"/>
        <v>60.960124977498538</v>
      </c>
      <c r="Q81" s="6">
        <f t="shared" si="28"/>
        <v>-89.879472183582109</v>
      </c>
      <c r="R81" s="5" t="str">
        <f t="shared" si="29"/>
        <v>28.563546294284-0.468434394373002i</v>
      </c>
      <c r="S81" s="1">
        <f t="shared" si="30"/>
        <v>29.117410404436058</v>
      </c>
      <c r="T81" s="6">
        <f t="shared" si="31"/>
        <v>-0.93955098340657583</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28.0625662670593+2424.75509651127i</v>
      </c>
      <c r="Y81">
        <f t="shared" si="35"/>
        <v>67.693939283407161</v>
      </c>
      <c r="Z81">
        <f t="shared" si="36"/>
        <v>89.336924858858481</v>
      </c>
    </row>
    <row r="82" spans="2:26">
      <c r="B82" s="1">
        <v>4</v>
      </c>
      <c r="C82" s="22">
        <f t="shared" si="12"/>
        <v>25.132741228718345</v>
      </c>
      <c r="D82" s="26" t="str">
        <f t="shared" si="13"/>
        <v>0.714044290116412-0.0130748258493508i</v>
      </c>
      <c r="E82" s="1">
        <f t="shared" si="14"/>
        <v>-2.9240410819768012</v>
      </c>
      <c r="F82" s="6">
        <f t="shared" si="23"/>
        <v>-1.0490226454275726</v>
      </c>
      <c r="G82" s="5" t="str">
        <f t="shared" si="16"/>
        <v>83.9417503162829+1.52903888423484i</v>
      </c>
      <c r="H82" s="1">
        <f t="shared" si="24"/>
        <v>38.481001179193356</v>
      </c>
      <c r="I82" s="6">
        <f t="shared" si="25"/>
        <v>1.04355445158552</v>
      </c>
      <c r="J82" s="26" t="str">
        <f t="shared" si="17"/>
        <v>59.9581194328476-0.00572228222123315i</v>
      </c>
      <c r="K82" s="1">
        <f t="shared" si="26"/>
        <v>35.556960097216553</v>
      </c>
      <c r="L82" s="6">
        <f t="shared" si="27"/>
        <v>-5.4681938420562412E-3</v>
      </c>
      <c r="M82" s="26">
        <f t="shared" si="18"/>
        <v>0.16</v>
      </c>
      <c r="N82" s="6">
        <f t="shared" si="19"/>
        <v>2.5000000000000001E-2</v>
      </c>
      <c r="O82" s="5" t="str">
        <f t="shared" si="20"/>
        <v>2.3494736820735-837.657666078961i</v>
      </c>
      <c r="P82" s="1">
        <f t="shared" si="21"/>
        <v>58.461365514255618</v>
      </c>
      <c r="Q82" s="6">
        <f t="shared" si="28"/>
        <v>-89.839296435156669</v>
      </c>
      <c r="R82" s="5" t="str">
        <f t="shared" si="29"/>
        <v>28.5574187340267-0.624441390463851i</v>
      </c>
      <c r="S82" s="1">
        <f t="shared" si="30"/>
        <v>29.116454985312267</v>
      </c>
      <c r="T82" s="6">
        <f t="shared" si="31"/>
        <v>-1.2526396747118251</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28.0564965410563+1818.29632663138i</v>
      </c>
      <c r="Y82">
        <f t="shared" si="35"/>
        <v>65.194327107244604</v>
      </c>
      <c r="Z82">
        <f t="shared" si="36"/>
        <v>89.115990470085066</v>
      </c>
    </row>
    <row r="83" spans="2:26">
      <c r="B83" s="1">
        <v>5</v>
      </c>
      <c r="C83" s="22">
        <f t="shared" si="12"/>
        <v>31.415926535897931</v>
      </c>
      <c r="D83" s="26" t="str">
        <f t="shared" si="13"/>
        <v>0.713908561328399-0.016340399553911i</v>
      </c>
      <c r="E83" s="1">
        <f t="shared" si="14"/>
        <v>-2.9248735674791702</v>
      </c>
      <c r="F83" s="6">
        <f t="shared" si="23"/>
        <v>-1.3111938099280527</v>
      </c>
      <c r="G83" s="5" t="str">
        <f t="shared" si="16"/>
        <v>83.9420367340535+1.91130015637712i</v>
      </c>
      <c r="H83" s="1">
        <f t="shared" si="24"/>
        <v>38.481841025151347</v>
      </c>
      <c r="I83" s="6">
        <f t="shared" si="25"/>
        <v>1.3043585524642045</v>
      </c>
      <c r="J83" s="26" t="str">
        <f t="shared" si="17"/>
        <v>59.9581700880064-0.00715287469757344i</v>
      </c>
      <c r="K83" s="1">
        <f t="shared" si="26"/>
        <v>35.556967457672172</v>
      </c>
      <c r="L83" s="6">
        <f t="shared" si="27"/>
        <v>-6.8352574638469122E-3</v>
      </c>
      <c r="M83" s="26">
        <f t="shared" si="18"/>
        <v>0.16</v>
      </c>
      <c r="N83" s="6">
        <f t="shared" si="19"/>
        <v>2.5000000000000001E-2</v>
      </c>
      <c r="O83" s="5" t="str">
        <f t="shared" si="20"/>
        <v>2.34947368087141-670.126164749475i</v>
      </c>
      <c r="P83" s="1">
        <f t="shared" si="21"/>
        <v>56.523184885488106</v>
      </c>
      <c r="Q83" s="6">
        <f t="shared" si="28"/>
        <v>-89.799120849913052</v>
      </c>
      <c r="R83" s="5" t="str">
        <f t="shared" si="29"/>
        <v>28.5495444245043-0.78033038250009i</v>
      </c>
      <c r="S83" s="1">
        <f t="shared" si="30"/>
        <v>29.11522690167352</v>
      </c>
      <c r="T83" s="6">
        <f t="shared" si="31"/>
        <v>-1.5656470096600501</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28.0486965536722+1454.35949172335i</v>
      </c>
      <c r="Y83">
        <f t="shared" si="35"/>
        <v>63.255050440649974</v>
      </c>
      <c r="Z83">
        <f t="shared" si="36"/>
        <v>88.8951337423198</v>
      </c>
    </row>
    <row r="84" spans="2:26">
      <c r="B84" s="1">
        <v>6</v>
      </c>
      <c r="C84" s="22">
        <f t="shared" si="12"/>
        <v>37.699111843077517</v>
      </c>
      <c r="D84" s="26" t="str">
        <f t="shared" si="13"/>
        <v>0.713742741233692-0.0196038867099889i</v>
      </c>
      <c r="E84" s="1">
        <f t="shared" si="14"/>
        <v>-2.9258908330685585</v>
      </c>
      <c r="F84" s="6">
        <f t="shared" si="23"/>
        <v>-1.5733086748604614</v>
      </c>
      <c r="G84" s="5" t="str">
        <f t="shared" si="16"/>
        <v>83.9423868013577+2.29356246257904i</v>
      </c>
      <c r="H84" s="1">
        <f t="shared" si="24"/>
        <v>38.482867286861151</v>
      </c>
      <c r="I84" s="6">
        <f t="shared" si="25"/>
        <v>1.5651063436672796</v>
      </c>
      <c r="J84" s="26" t="str">
        <f t="shared" si="17"/>
        <v>59.9582319999786-0.00858348178802054i</v>
      </c>
      <c r="K84" s="1">
        <f t="shared" si="26"/>
        <v>35.556976453792593</v>
      </c>
      <c r="L84" s="6">
        <f t="shared" si="27"/>
        <v>-8.2023311931797242E-3</v>
      </c>
      <c r="M84" s="26">
        <f t="shared" si="18"/>
        <v>0.16</v>
      </c>
      <c r="N84" s="6">
        <f t="shared" si="19"/>
        <v>2.5000000000000001E-2</v>
      </c>
      <c r="O84" s="5" t="str">
        <f t="shared" si="20"/>
        <v>2.34947367940219-558.438503101355i</v>
      </c>
      <c r="P84" s="1">
        <f t="shared" si="21"/>
        <v>54.939583958340592</v>
      </c>
      <c r="Q84" s="6">
        <f t="shared" si="28"/>
        <v>-89.758945468644882</v>
      </c>
      <c r="R84" s="5" t="str">
        <f t="shared" si="29"/>
        <v>28.5399263472053-0.936072009260611i</v>
      </c>
      <c r="S84" s="1">
        <f t="shared" si="30"/>
        <v>29.113726387531532</v>
      </c>
      <c r="T84" s="6">
        <f t="shared" si="31"/>
        <v>-1.8785527070535659</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28.039169259301+1211.68371185798i</v>
      </c>
      <c r="Y84">
        <f t="shared" si="35"/>
        <v>61.670110381013103</v>
      </c>
      <c r="Z84">
        <f t="shared" si="36"/>
        <v>88.674374033261799</v>
      </c>
    </row>
    <row r="85" spans="2:26">
      <c r="B85" s="1">
        <v>7</v>
      </c>
      <c r="C85" s="22">
        <f t="shared" si="12"/>
        <v>43.982297150257104</v>
      </c>
      <c r="D85" s="26" t="str">
        <f t="shared" si="13"/>
        <v>0.713546872149628-0.0228648719623168i</v>
      </c>
      <c r="E85" s="1">
        <f t="shared" si="14"/>
        <v>-2.9270927488741472</v>
      </c>
      <c r="F85" s="6">
        <f t="shared" si="23"/>
        <v>-1.8353560119544525</v>
      </c>
      <c r="G85" s="5" t="str">
        <f t="shared" si="16"/>
        <v>83.9428005188798+2.67582600965641i</v>
      </c>
      <c r="H85" s="1">
        <f t="shared" si="24"/>
        <v>38.484079834456757</v>
      </c>
      <c r="I85" s="6">
        <f t="shared" si="25"/>
        <v>1.8257865949028134</v>
      </c>
      <c r="J85" s="26" t="str">
        <f t="shared" si="17"/>
        <v>59.9583051688311-0.0100141064155386i</v>
      </c>
      <c r="K85" s="1">
        <f t="shared" si="26"/>
        <v>35.556987085582605</v>
      </c>
      <c r="L85" s="6">
        <f t="shared" si="27"/>
        <v>-9.5694170516422688E-3</v>
      </c>
      <c r="M85" s="26">
        <f t="shared" si="18"/>
        <v>0.16</v>
      </c>
      <c r="N85" s="6">
        <f t="shared" si="19"/>
        <v>2.5000000000000001E-2</v>
      </c>
      <c r="O85" s="5" t="str">
        <f t="shared" si="20"/>
        <v>2.34947367766584-478.661606985445i</v>
      </c>
      <c r="P85" s="1">
        <f t="shared" si="21"/>
        <v>53.600676521872373</v>
      </c>
      <c r="Q85" s="6">
        <f t="shared" si="28"/>
        <v>-89.718770332144544</v>
      </c>
      <c r="R85" s="5" t="str">
        <f t="shared" si="29"/>
        <v>28.5285681404165-1.09163700244737i</v>
      </c>
      <c r="S85" s="1">
        <f t="shared" si="30"/>
        <v>29.111953728599339</v>
      </c>
      <c r="T85" s="6">
        <f t="shared" si="31"/>
        <v>-2.1913365242085545</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28.0279182631668+1038.30005502685i</v>
      </c>
      <c r="Y85">
        <f t="shared" si="35"/>
        <v>60.329620998503948</v>
      </c>
      <c r="Z85">
        <f t="shared" si="36"/>
        <v>88.453730662322073</v>
      </c>
    </row>
    <row r="86" spans="2:26">
      <c r="B86" s="1">
        <v>8</v>
      </c>
      <c r="C86" s="22">
        <f t="shared" si="12"/>
        <v>50.26548245743669</v>
      </c>
      <c r="D86" s="26" t="str">
        <f t="shared" si="13"/>
        <v>0.71332100402374-0.0261229410187885i</v>
      </c>
      <c r="E86" s="1">
        <f t="shared" si="14"/>
        <v>-2.928479161542886</v>
      </c>
      <c r="F86" s="6">
        <f t="shared" si="23"/>
        <v>-2.0973246101661847</v>
      </c>
      <c r="G86" s="5" t="str">
        <f t="shared" si="16"/>
        <v>83.943277887428+3.05809100442719i</v>
      </c>
      <c r="H86" s="1">
        <f t="shared" si="24"/>
        <v>38.485478514590746</v>
      </c>
      <c r="I86" s="6">
        <f t="shared" si="25"/>
        <v>2.0863880931054015</v>
      </c>
      <c r="J86" s="26" t="str">
        <f t="shared" si="17"/>
        <v>59.9583895946427-0.011444751503081i</v>
      </c>
      <c r="K86" s="1">
        <f t="shared" si="26"/>
        <v>35.556999353047857</v>
      </c>
      <c r="L86" s="6">
        <f t="shared" si="27"/>
        <v>-1.0936517060780646E-2</v>
      </c>
      <c r="M86" s="26">
        <f t="shared" si="18"/>
        <v>0.16</v>
      </c>
      <c r="N86" s="6">
        <f t="shared" si="19"/>
        <v>2.5000000000000001E-2</v>
      </c>
      <c r="O86" s="5" t="str">
        <f t="shared" si="20"/>
        <v>2.34947367566236-418.828939327165i</v>
      </c>
      <c r="P86" s="1">
        <f t="shared" si="21"/>
        <v>52.440870300716249</v>
      </c>
      <c r="Q86" s="6">
        <f t="shared" si="28"/>
        <v>-89.678595481202947</v>
      </c>
      <c r="R86" s="5" t="str">
        <f t="shared" si="29"/>
        <v>28.5154740957871-1.24699620499896i</v>
      </c>
      <c r="S86" s="1">
        <f t="shared" si="30"/>
        <v>29.109909262111518</v>
      </c>
      <c r="T86" s="6">
        <f t="shared" si="31"/>
        <v>-2.5039782645776625</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28.0149478179182+908.224069616083i</v>
      </c>
      <c r="Y86">
        <f t="shared" si="35"/>
        <v>59.16799034955126</v>
      </c>
      <c r="Z86">
        <f t="shared" si="36"/>
        <v>88.233222903045998</v>
      </c>
    </row>
    <row r="87" spans="2:26">
      <c r="B87" s="1">
        <v>9</v>
      </c>
      <c r="C87" s="22">
        <f t="shared" si="12"/>
        <v>56.548667764616276</v>
      </c>
      <c r="D87" s="26" t="str">
        <f t="shared" si="13"/>
        <v>0.713065194401953-0.0293776808252514i</v>
      </c>
      <c r="E87" s="1">
        <f t="shared" si="14"/>
        <v>-2.9300498943046636</v>
      </c>
      <c r="F87" s="6">
        <f t="shared" si="23"/>
        <v>-2.3592032785216719</v>
      </c>
      <c r="G87" s="5" t="str">
        <f t="shared" si="16"/>
        <v>83.9438189079352+3.4403576537119i</v>
      </c>
      <c r="H87" s="1">
        <f t="shared" si="24"/>
        <v>38.487063150499552</v>
      </c>
      <c r="I87" s="6">
        <f t="shared" si="25"/>
        <v>2.3468996452794726</v>
      </c>
      <c r="J87" s="26" t="str">
        <f t="shared" si="17"/>
        <v>59.9584852775046-0.0128754199736919i</v>
      </c>
      <c r="K87" s="1">
        <f t="shared" si="26"/>
        <v>35.557013256194885</v>
      </c>
      <c r="L87" s="6">
        <f t="shared" si="27"/>
        <v>-1.2303633242191227E-2</v>
      </c>
      <c r="M87" s="26">
        <f t="shared" si="18"/>
        <v>0.16</v>
      </c>
      <c r="N87" s="6">
        <f t="shared" si="19"/>
        <v>2.5000000000000001E-2</v>
      </c>
      <c r="O87" s="5" t="str">
        <f t="shared" si="20"/>
        <v>2.34947367339177-372.292423973973i</v>
      </c>
      <c r="P87" s="1">
        <f t="shared" si="21"/>
        <v>51.417856932321222</v>
      </c>
      <c r="Q87" s="6">
        <f t="shared" si="28"/>
        <v>-89.638420956609266</v>
      </c>
      <c r="R87" s="5" t="str">
        <f t="shared" si="29"/>
        <v>28.5006491542804-1.40212058925718i</v>
      </c>
      <c r="S87" s="1">
        <f t="shared" si="30"/>
        <v>29.107593376611604</v>
      </c>
      <c r="T87" s="6">
        <f t="shared" si="31"/>
        <v>-2.8164577853289097</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28.0002628196169+807.019961885723i</v>
      </c>
      <c r="Y87">
        <f t="shared" si="35"/>
        <v>58.142910453873647</v>
      </c>
      <c r="Z87">
        <f t="shared" si="36"/>
        <v>88.012869975579406</v>
      </c>
    </row>
    <row r="88" spans="2:26">
      <c r="B88" s="1">
        <v>10</v>
      </c>
      <c r="C88" s="22">
        <f t="shared" si="12"/>
        <v>62.831853071795862</v>
      </c>
      <c r="D88" s="26" t="str">
        <f t="shared" si="13"/>
        <v>0.712779508391993-0.0326286797391949i</v>
      </c>
      <c r="E88" s="1">
        <f t="shared" si="14"/>
        <v>-2.9318047470473143</v>
      </c>
      <c r="F88" s="6">
        <f t="shared" si="23"/>
        <v>-2.6209808489472177</v>
      </c>
      <c r="G88" s="5" t="str">
        <f t="shared" si="16"/>
        <v>83.9444235814589+3.82262616433379i</v>
      </c>
      <c r="H88" s="1">
        <f t="shared" si="24"/>
        <v>38.488833542078432</v>
      </c>
      <c r="I88" s="6">
        <f t="shared" si="25"/>
        <v>2.6073100813296759</v>
      </c>
      <c r="J88" s="26" t="str">
        <f t="shared" si="17"/>
        <v>59.9585922175203-0.0143061147505251i</v>
      </c>
      <c r="K88" s="1">
        <f t="shared" si="26"/>
        <v>35.55702879503113</v>
      </c>
      <c r="L88" s="6">
        <f t="shared" si="27"/>
        <v>-1.3670767617533455E-2</v>
      </c>
      <c r="M88" s="26">
        <f t="shared" si="18"/>
        <v>0.16</v>
      </c>
      <c r="N88" s="6">
        <f t="shared" si="19"/>
        <v>2.5000000000000001E-2</v>
      </c>
      <c r="O88" s="5" t="str">
        <f t="shared" si="20"/>
        <v>2.34947367085402-335.063215234342i</v>
      </c>
      <c r="P88" s="1">
        <f t="shared" si="21"/>
        <v>50.502748563703513</v>
      </c>
      <c r="Q88" s="6">
        <f t="shared" si="28"/>
        <v>-89.598246799150743</v>
      </c>
      <c r="R88" s="5" t="str">
        <f t="shared" si="29"/>
        <v>28.4840989015238-1.55698127496323i</v>
      </c>
      <c r="S88" s="1">
        <f t="shared" si="30"/>
        <v>29.105006511708154</v>
      </c>
      <c r="T88" s="6">
        <f t="shared" si="31"/>
        <v>-3.1287550048741073</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27.9838688031312+726.026266950816i</v>
      </c>
      <c r="Y88">
        <f t="shared" si="35"/>
        <v>57.225493890986968</v>
      </c>
      <c r="Z88">
        <f t="shared" si="36"/>
        <v>87.792691039185243</v>
      </c>
    </row>
    <row r="89" spans="2:26">
      <c r="B89" s="1">
        <v>20</v>
      </c>
      <c r="C89" s="22">
        <f t="shared" si="12"/>
        <v>125.66370614359172</v>
      </c>
      <c r="D89" s="26" t="str">
        <f t="shared" si="13"/>
        <v>0.708299080666151-0.0648437082549266i</v>
      </c>
      <c r="E89" s="1">
        <f t="shared" si="14"/>
        <v>-2.9594193577968047</v>
      </c>
      <c r="F89" s="6">
        <f t="shared" si="23"/>
        <v>-5.2307611472438316</v>
      </c>
      <c r="G89" s="5" t="str">
        <f t="shared" si="16"/>
        <v>83.9539715541495+7.64545914797303i</v>
      </c>
      <c r="H89" s="1">
        <f t="shared" si="24"/>
        <v>38.516693506347856</v>
      </c>
      <c r="I89" s="6">
        <f t="shared" si="25"/>
        <v>5.2034175904197895</v>
      </c>
      <c r="J89" s="26" t="str">
        <f t="shared" si="17"/>
        <v>59.9602807925425-0.0286151525197665i</v>
      </c>
      <c r="K89" s="1">
        <f t="shared" si="26"/>
        <v>35.557274148551066</v>
      </c>
      <c r="L89" s="6">
        <f t="shared" si="27"/>
        <v>-2.7343556824043297E-2</v>
      </c>
      <c r="M89" s="26">
        <f t="shared" si="18"/>
        <v>0.16</v>
      </c>
      <c r="N89" s="6">
        <f t="shared" si="19"/>
        <v>2.5000000000000001E-2</v>
      </c>
      <c r="O89" s="5" t="str">
        <f t="shared" si="20"/>
        <v>2.34947363078451-167.531873336377i</v>
      </c>
      <c r="P89" s="1">
        <f t="shared" si="21"/>
        <v>44.482802954775018</v>
      </c>
      <c r="Q89" s="6">
        <f t="shared" si="28"/>
        <v>-89.196534388288583</v>
      </c>
      <c r="R89" s="5" t="str">
        <f t="shared" si="29"/>
        <v>28.2253818032937-3.08487136039645i</v>
      </c>
      <c r="S89" s="1">
        <f t="shared" si="30"/>
        <v>29.064366576547979</v>
      </c>
      <c r="T89" s="6">
        <f t="shared" si="31"/>
        <v>-6.2373412140002422</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27.7275949412667+360.733178358603i</v>
      </c>
      <c r="Y89">
        <f t="shared" si="35"/>
        <v>51.169305076576173</v>
      </c>
      <c r="Z89">
        <f t="shared" si="36"/>
        <v>85.604628040559135</v>
      </c>
    </row>
    <row r="90" spans="2:26">
      <c r="B90" s="1">
        <v>30</v>
      </c>
      <c r="C90" s="22">
        <f t="shared" si="12"/>
        <v>188.49555921538757</v>
      </c>
      <c r="D90" s="26" t="str">
        <f t="shared" si="13"/>
        <v>0.700956605508874-0.0962487318414553i</v>
      </c>
      <c r="E90" s="1">
        <f t="shared" si="14"/>
        <v>-3.0050570087055255</v>
      </c>
      <c r="F90" s="6">
        <f t="shared" si="23"/>
        <v>-7.8184225496642439</v>
      </c>
      <c r="G90" s="5" t="str">
        <f t="shared" si="16"/>
        <v>83.9698869153398+11.468705805794i</v>
      </c>
      <c r="H90" s="1">
        <f t="shared" si="24"/>
        <v>38.562740094312126</v>
      </c>
      <c r="I90" s="6">
        <f t="shared" si="25"/>
        <v>7.7774021600819232</v>
      </c>
      <c r="J90" s="26" t="str">
        <f t="shared" si="17"/>
        <v>59.963095286811-0.0429300372626063i</v>
      </c>
      <c r="K90" s="1">
        <f t="shared" si="26"/>
        <v>35.557683085606598</v>
      </c>
      <c r="L90" s="6">
        <f t="shared" si="27"/>
        <v>-4.1020389582336704E-2</v>
      </c>
      <c r="M90" s="26">
        <f t="shared" si="18"/>
        <v>0.16</v>
      </c>
      <c r="N90" s="6">
        <f t="shared" si="19"/>
        <v>2.5000000000000001E-2</v>
      </c>
      <c r="O90" s="5" t="str">
        <f t="shared" si="20"/>
        <v>2.34947356400198-111.688210801133i</v>
      </c>
      <c r="P90" s="1">
        <f t="shared" si="21"/>
        <v>40.962068061851447</v>
      </c>
      <c r="Q90" s="6">
        <f t="shared" si="28"/>
        <v>-88.794903532821849</v>
      </c>
      <c r="R90" s="5" t="str">
        <f t="shared" si="29"/>
        <v>27.8047911717704-4.55636816094193i</v>
      </c>
      <c r="S90" s="1">
        <f t="shared" si="30"/>
        <v>28.99747696166348</v>
      </c>
      <c r="T90" s="6">
        <f t="shared" si="31"/>
        <v>-9.3063394371066686</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27.3109799992593+238.017786284426i</v>
      </c>
      <c r="Y90">
        <f t="shared" si="35"/>
        <v>47.588994551779315</v>
      </c>
      <c r="Z90">
        <f t="shared" si="36"/>
        <v>83.454311859566275</v>
      </c>
    </row>
    <row r="91" spans="2:26">
      <c r="B91" s="1">
        <v>40</v>
      </c>
      <c r="C91" s="22">
        <f t="shared" si="12"/>
        <v>251.32741228718345</v>
      </c>
      <c r="D91" s="26" t="str">
        <f t="shared" si="13"/>
        <v>0.690931331801656-0.126480494757644i</v>
      </c>
      <c r="E91" s="1">
        <f t="shared" si="14"/>
        <v>-3.0681544821402729</v>
      </c>
      <c r="F91" s="6">
        <f t="shared" si="23"/>
        <v>-10.373593578961231</v>
      </c>
      <c r="G91" s="5" t="str">
        <f t="shared" si="16"/>
        <v>83.9921727759441+15.2925730638269i</v>
      </c>
      <c r="H91" s="1">
        <f t="shared" si="24"/>
        <v>38.626410110124134</v>
      </c>
      <c r="I91" s="6">
        <f t="shared" si="25"/>
        <v>10.318890290358105</v>
      </c>
      <c r="J91" s="26" t="str">
        <f t="shared" si="17"/>
        <v>59.9670360042281-0.0572536948068807i</v>
      </c>
      <c r="K91" s="1">
        <f t="shared" si="26"/>
        <v>35.558255627983861</v>
      </c>
      <c r="L91" s="6">
        <f t="shared" si="27"/>
        <v>-5.4703288603131867E-2</v>
      </c>
      <c r="M91" s="26">
        <f t="shared" si="18"/>
        <v>0.16</v>
      </c>
      <c r="N91" s="6">
        <f t="shared" si="19"/>
        <v>2.5000000000000001E-2</v>
      </c>
      <c r="O91" s="5" t="str">
        <f t="shared" si="20"/>
        <v>2.34947347050649-83.7664681065555i</v>
      </c>
      <c r="P91" s="1">
        <f t="shared" si="21"/>
        <v>38.464819273352859</v>
      </c>
      <c r="Q91" s="6">
        <f t="shared" si="28"/>
        <v>-88.393394949038239</v>
      </c>
      <c r="R91" s="5" t="str">
        <f t="shared" si="29"/>
        <v>27.2372282498629-5.94752157219361i</v>
      </c>
      <c r="S91" s="1">
        <f t="shared" si="30"/>
        <v>28.905549283048579</v>
      </c>
      <c r="T91" s="6">
        <f t="shared" si="31"/>
        <v>-12.317761446185123</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26.7487897963214+176.012458464714i</v>
      </c>
      <c r="Y91">
        <f t="shared" si="35"/>
        <v>45.010028590511808</v>
      </c>
      <c r="Z91">
        <f t="shared" si="36"/>
        <v>81.358821332568297</v>
      </c>
    </row>
    <row r="92" spans="2:26">
      <c r="B92" s="1">
        <v>50</v>
      </c>
      <c r="C92" s="22">
        <f t="shared" si="12"/>
        <v>314.15926535897933</v>
      </c>
      <c r="D92" s="26" t="str">
        <f t="shared" si="13"/>
        <v>0.678458937403168-0.155221863605919i</v>
      </c>
      <c r="E92" s="1">
        <f t="shared" si="14"/>
        <v>-3.1479554574031479</v>
      </c>
      <c r="F92" s="6">
        <f t="shared" si="23"/>
        <v>-12.886681203817867</v>
      </c>
      <c r="G92" s="5" t="str">
        <f t="shared" si="16"/>
        <v>84.0208334929546+19.1172679548628i</v>
      </c>
      <c r="H92" s="1">
        <f t="shared" si="24"/>
        <v>38.706947263591672</v>
      </c>
      <c r="I92" s="6">
        <f t="shared" si="25"/>
        <v>12.818286926098452</v>
      </c>
      <c r="J92" s="26" t="str">
        <f t="shared" si="17"/>
        <v>59.972103370366-0.0715890537911995i</v>
      </c>
      <c r="K92" s="1">
        <f t="shared" si="26"/>
        <v>35.558991806188523</v>
      </c>
      <c r="L92" s="6">
        <f t="shared" si="27"/>
        <v>-6.8394277719433794E-2</v>
      </c>
      <c r="M92" s="26">
        <f t="shared" si="18"/>
        <v>0.16</v>
      </c>
      <c r="N92" s="6">
        <f t="shared" si="19"/>
        <v>2.5000000000000001E-2</v>
      </c>
      <c r="O92" s="5" t="str">
        <f t="shared" si="20"/>
        <v>2.34947335029796-67.0134933482264i</v>
      </c>
      <c r="P92" s="1">
        <f t="shared" si="21"/>
        <v>36.528580153091262</v>
      </c>
      <c r="Q92" s="6">
        <f t="shared" si="28"/>
        <v>-87.992049279637087</v>
      </c>
      <c r="R92" s="5" t="str">
        <f t="shared" si="29"/>
        <v>26.5417134225059-7.2388917153684i</v>
      </c>
      <c r="S92" s="1">
        <f t="shared" si="30"/>
        <v>28.790179087070094</v>
      </c>
      <c r="T92" s="6">
        <f t="shared" si="31"/>
        <v>-15.255606148185068</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26.0598718483084+138.358184204025i</v>
      </c>
      <c r="Y92">
        <f t="shared" si="35"/>
        <v>42.971497516547572</v>
      </c>
      <c r="Z92">
        <f t="shared" si="36"/>
        <v>79.333261441248311</v>
      </c>
    </row>
    <row r="93" spans="2:26">
      <c r="B93" s="1">
        <v>60</v>
      </c>
      <c r="C93" s="22">
        <f t="shared" si="12"/>
        <v>376.99111843077515</v>
      </c>
      <c r="D93" s="26" t="str">
        <f t="shared" si="13"/>
        <v>0.663818291744061-0.182211185318745i</v>
      </c>
      <c r="E93" s="1">
        <f t="shared" si="14"/>
        <v>-3.2435394541277023</v>
      </c>
      <c r="F93" s="6">
        <f t="shared" si="23"/>
        <v>-15.349057433437348</v>
      </c>
      <c r="G93" s="5" t="str">
        <f t="shared" si="16"/>
        <v>84.0558746711545+22.9429976540975i</v>
      </c>
      <c r="H93" s="1">
        <f t="shared" si="24"/>
        <v>38.803431113578839</v>
      </c>
      <c r="I93" s="6">
        <f t="shared" si="25"/>
        <v>15.266962051176357</v>
      </c>
      <c r="J93" s="26" t="str">
        <f t="shared" si="17"/>
        <v>59.978297932577-0.0859390466039512i</v>
      </c>
      <c r="K93" s="1">
        <f t="shared" si="26"/>
        <v>35.559891659451146</v>
      </c>
      <c r="L93" s="6">
        <f t="shared" si="27"/>
        <v>-8.2095382261005614E-2</v>
      </c>
      <c r="M93" s="26">
        <f t="shared" si="18"/>
        <v>0.16</v>
      </c>
      <c r="N93" s="6">
        <f t="shared" si="19"/>
        <v>2.5000000000000001E-2</v>
      </c>
      <c r="O93" s="5" t="str">
        <f t="shared" si="20"/>
        <v>2.34947320337647-55.8449025580037i</v>
      </c>
      <c r="P93" s="1">
        <f t="shared" si="21"/>
        <v>34.947350978602252</v>
      </c>
      <c r="Q93" s="6">
        <f t="shared" si="28"/>
        <v>-87.590907069371994</v>
      </c>
      <c r="R93" s="5" t="str">
        <f t="shared" si="29"/>
        <v>25.7398967754262-8.41620460236248i</v>
      </c>
      <c r="S93" s="1">
        <f t="shared" si="30"/>
        <v>28.653259744482355</v>
      </c>
      <c r="T93" s="6">
        <f t="shared" si="31"/>
        <v>-18.106253340067898</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25.2656794543474+112.943015643643i</v>
      </c>
      <c r="Y93">
        <f t="shared" si="35"/>
        <v>41.269258367394215</v>
      </c>
      <c r="Z93">
        <f t="shared" si="36"/>
        <v>77.390373736633535</v>
      </c>
    </row>
    <row r="94" spans="2:26">
      <c r="B94" s="1">
        <v>70</v>
      </c>
      <c r="C94" s="22">
        <f t="shared" si="12"/>
        <v>439.82297150257102</v>
      </c>
      <c r="D94" s="26" t="str">
        <f t="shared" si="13"/>
        <v>0.647316944295639-0.207247567038925i</v>
      </c>
      <c r="E94" s="1">
        <f t="shared" si="14"/>
        <v>-3.3538549263757922</v>
      </c>
      <c r="F94" s="6">
        <f t="shared" si="23"/>
        <v>-17.75319368852513</v>
      </c>
      <c r="G94" s="5" t="str">
        <f t="shared" si="16"/>
        <v>84.0973031653229+26.7699695148233i</v>
      </c>
      <c r="H94" s="1">
        <f t="shared" si="24"/>
        <v>38.914810162109596</v>
      </c>
      <c r="I94" s="6">
        <f t="shared" si="25"/>
        <v>17.657385059094882</v>
      </c>
      <c r="J94" s="26" t="str">
        <f t="shared" si="17"/>
        <v>59.985620360134-0.100306610325209i</v>
      </c>
      <c r="K94" s="1">
        <f t="shared" si="26"/>
        <v>35.560955235733786</v>
      </c>
      <c r="L94" s="6">
        <f t="shared" si="27"/>
        <v>-9.58086294302289E-2</v>
      </c>
      <c r="M94" s="26">
        <f t="shared" si="18"/>
        <v>0.16</v>
      </c>
      <c r="N94" s="6">
        <f t="shared" si="19"/>
        <v>2.5000000000000001E-2</v>
      </c>
      <c r="O94" s="5" t="str">
        <f t="shared" si="20"/>
        <v>2.34947302974198-47.8673883209658i</v>
      </c>
      <c r="P94" s="1">
        <f t="shared" si="21"/>
        <v>33.611244819516102</v>
      </c>
      <c r="Q94" s="6">
        <f t="shared" si="28"/>
        <v>-87.190008740840753</v>
      </c>
      <c r="R94" s="5" t="str">
        <f t="shared" si="29"/>
        <v>24.8545483982886-9.47049725740142i</v>
      </c>
      <c r="S94" s="1">
        <f t="shared" si="30"/>
        <v>28.496889332742782</v>
      </c>
      <c r="T94" s="6">
        <f t="shared" si="31"/>
        <v>-20.858681124772975</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24.3887757118556+94.5789369558044i</v>
      </c>
      <c r="Y94">
        <f t="shared" si="35"/>
        <v>39.795478146010247</v>
      </c>
      <c r="Z94">
        <f t="shared" si="36"/>
        <v>75.540322896991796</v>
      </c>
    </row>
    <row r="95" spans="2:26">
      <c r="B95" s="1">
        <v>80</v>
      </c>
      <c r="C95" s="22">
        <f t="shared" si="12"/>
        <v>502.6548245743669</v>
      </c>
      <c r="D95" s="26" t="str">
        <f t="shared" si="13"/>
        <v>0.629276632335513-0.23019214383626i</v>
      </c>
      <c r="E95" s="1">
        <f t="shared" si="14"/>
        <v>-3.4777541964200576</v>
      </c>
      <c r="F95" s="6">
        <f t="shared" si="23"/>
        <v>-20.092740642115327</v>
      </c>
      <c r="G95" s="5" t="str">
        <f t="shared" si="16"/>
        <v>84.1451270829322+30.5983911041825i</v>
      </c>
      <c r="H95" s="1">
        <f t="shared" si="24"/>
        <v>39.03993678815835</v>
      </c>
      <c r="I95" s="6">
        <f t="shared" si="25"/>
        <v>19.983204593437968</v>
      </c>
      <c r="J95" s="26" t="str">
        <f t="shared" si="17"/>
        <v>59.9940714444035-0.114694687669846i</v>
      </c>
      <c r="K95" s="1">
        <f t="shared" si="26"/>
        <v>35.562182591738299</v>
      </c>
      <c r="L95" s="6">
        <f t="shared" si="27"/>
        <v>-0.10953604867738656</v>
      </c>
      <c r="M95" s="26">
        <f t="shared" si="18"/>
        <v>0.16</v>
      </c>
      <c r="N95" s="6">
        <f t="shared" si="19"/>
        <v>2.5000000000000001E-2</v>
      </c>
      <c r="O95" s="5" t="str">
        <f t="shared" si="20"/>
        <v>2.34947282939455-41.8842969296487i</v>
      </c>
      <c r="P95" s="1">
        <f t="shared" si="21"/>
        <v>32.454668551935207</v>
      </c>
      <c r="Q95" s="6">
        <f t="shared" si="28"/>
        <v>-86.789394570458015</v>
      </c>
      <c r="R95" s="5" t="str">
        <f t="shared" si="29"/>
        <v>23.908198563732-10.3978208628862i</v>
      </c>
      <c r="S95" s="1">
        <f t="shared" si="30"/>
        <v>28.323279001732104</v>
      </c>
      <c r="T95" s="6">
        <f t="shared" si="31"/>
        <v>-23.504514979027096</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23.4514860462455+80.6714117519142i</v>
      </c>
      <c r="Y95">
        <f t="shared" si="35"/>
        <v>38.486723546706571</v>
      </c>
      <c r="Z95">
        <f t="shared" si="36"/>
        <v>73.790651385930772</v>
      </c>
    </row>
    <row r="96" spans="2:26">
      <c r="B96" s="1">
        <v>90</v>
      </c>
      <c r="C96" s="22">
        <f t="shared" si="12"/>
        <v>565.48667764616278</v>
      </c>
      <c r="D96" s="26" t="str">
        <f t="shared" si="13"/>
        <v>0.61001991143039-0.250965798921066i</v>
      </c>
      <c r="E96" s="1">
        <f t="shared" si="14"/>
        <v>-3.6140280725470824</v>
      </c>
      <c r="F96" s="6">
        <f t="shared" si="23"/>
        <v>-22.362555741860476</v>
      </c>
      <c r="G96" s="5" t="str">
        <f t="shared" si="16"/>
        <v>84.1993557873406+34.4284702389922i</v>
      </c>
      <c r="H96" s="1">
        <f t="shared" si="24"/>
        <v>39.177601865462861</v>
      </c>
      <c r="I96" s="6">
        <f t="shared" si="25"/>
        <v>22.239276069782285</v>
      </c>
      <c r="J96" s="26" t="str">
        <f t="shared" si="17"/>
        <v>60.0036520990483-0.129106227935216i</v>
      </c>
      <c r="K96" s="1">
        <f t="shared" si="26"/>
        <v>35.563573792915783</v>
      </c>
      <c r="L96" s="6">
        <f t="shared" si="27"/>
        <v>-0.12327967207822928</v>
      </c>
      <c r="M96" s="26">
        <f t="shared" si="18"/>
        <v>0.16</v>
      </c>
      <c r="N96" s="6">
        <f t="shared" si="19"/>
        <v>2.5000000000000001E-2</v>
      </c>
      <c r="O96" s="5" t="str">
        <f t="shared" si="20"/>
        <v>2.34947260233417-37.2308207687918i</v>
      </c>
      <c r="P96" s="1">
        <f t="shared" si="21"/>
        <v>31.435312836522343</v>
      </c>
      <c r="Q96" s="6">
        <f t="shared" si="28"/>
        <v>-86.389104664646638</v>
      </c>
      <c r="R96" s="5" t="str">
        <f t="shared" si="29"/>
        <v>22.9220425165818-11.1986190001031i</v>
      </c>
      <c r="S96" s="1">
        <f t="shared" si="30"/>
        <v>28.134669633881323</v>
      </c>
      <c r="T96" s="6">
        <f t="shared" si="31"/>
        <v>-26.03793318672891</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22.4748129475426+69.7764169454864i</v>
      </c>
      <c r="Y96">
        <f t="shared" si="35"/>
        <v>37.302867988434542</v>
      </c>
      <c r="Z96">
        <f t="shared" si="36"/>
        <v>72.146377459487795</v>
      </c>
    </row>
    <row r="97" spans="2:26">
      <c r="B97" s="1">
        <v>100</v>
      </c>
      <c r="C97" s="22">
        <f t="shared" si="12"/>
        <v>628.31853071795865</v>
      </c>
      <c r="D97" s="26" t="str">
        <f t="shared" si="13"/>
        <v>0.589858715539388-0.269544071625732i</v>
      </c>
      <c r="E97" s="1">
        <f t="shared" si="14"/>
        <v>-3.7614383415216688</v>
      </c>
      <c r="F97" s="6">
        <f t="shared" si="23"/>
        <v>-24.558684214584982</v>
      </c>
      <c r="G97" s="5" t="str">
        <f t="shared" si="16"/>
        <v>84.2599999014815+38.2604150216558i</v>
      </c>
      <c r="H97" s="1">
        <f t="shared" si="24"/>
        <v>39.326567254999688</v>
      </c>
      <c r="I97" s="6">
        <f t="shared" si="25"/>
        <v>24.421642679873514</v>
      </c>
      <c r="J97" s="26" t="str">
        <f t="shared" si="17"/>
        <v>60.0143633602643-0.1435441879513i</v>
      </c>
      <c r="K97" s="1">
        <f t="shared" si="26"/>
        <v>35.56512891347802</v>
      </c>
      <c r="L97" s="6">
        <f t="shared" si="27"/>
        <v>-0.13704153471146063</v>
      </c>
      <c r="M97" s="26">
        <f t="shared" si="18"/>
        <v>0.16</v>
      </c>
      <c r="N97" s="6">
        <f t="shared" si="19"/>
        <v>2.5000000000000001E-2</v>
      </c>
      <c r="O97" s="5" t="str">
        <f t="shared" si="20"/>
        <v>2.34947234856085-33.5080752692369i</v>
      </c>
      <c r="P97" s="1">
        <f t="shared" si="21"/>
        <v>30.524288716222998</v>
      </c>
      <c r="Q97" s="6">
        <f t="shared" si="28"/>
        <v>-85.9891789362823</v>
      </c>
      <c r="R97" s="5" t="str">
        <f t="shared" si="29"/>
        <v>21.9151625390628-11.876914768498i</v>
      </c>
      <c r="S97" s="1">
        <f t="shared" si="30"/>
        <v>27.933261352546573</v>
      </c>
      <c r="T97" s="6">
        <f t="shared" si="31"/>
        <v>-28.455463074402921</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21.4776651014037+61.0238153508326i</v>
      </c>
      <c r="Y97">
        <f t="shared" si="35"/>
        <v>36.217158159095582</v>
      </c>
      <c r="Z97">
        <f t="shared" si="36"/>
        <v>70.610202054137659</v>
      </c>
    </row>
    <row r="98" spans="2:26">
      <c r="B98" s="1">
        <v>200</v>
      </c>
      <c r="C98" s="22">
        <f t="shared" si="12"/>
        <v>1256.6370614359173</v>
      </c>
      <c r="D98" s="26" t="str">
        <f t="shared" si="13"/>
        <v>0.38834368574965-0.35304131085198i</v>
      </c>
      <c r="E98" s="1">
        <f t="shared" si="14"/>
        <v>-5.5995882293883952</v>
      </c>
      <c r="F98" s="6">
        <f t="shared" si="23"/>
        <v>-42.273817972558653</v>
      </c>
      <c r="G98" s="5" t="str">
        <f t="shared" si="16"/>
        <v>85.2225361236425+76.7285326644807i</v>
      </c>
      <c r="H98" s="1">
        <f t="shared" si="24"/>
        <v>41.189306534956188</v>
      </c>
      <c r="I98" s="6">
        <f t="shared" si="25"/>
        <v>41.997704025845927</v>
      </c>
      <c r="J98" s="26" t="str">
        <f t="shared" si="17"/>
        <v>60.1839755388052-0.290034690134151i</v>
      </c>
      <c r="K98" s="1">
        <f t="shared" si="26"/>
        <v>35.589718305567786</v>
      </c>
      <c r="L98" s="6">
        <f t="shared" si="27"/>
        <v>-0.27611394671275519</v>
      </c>
      <c r="M98" s="26">
        <f t="shared" si="18"/>
        <v>0.16</v>
      </c>
      <c r="N98" s="6">
        <f t="shared" si="19"/>
        <v>2.5000000000000001E-2</v>
      </c>
      <c r="O98" s="5" t="str">
        <f t="shared" si="20"/>
        <v>2.34946834162089-16.7566948192013i</v>
      </c>
      <c r="P98" s="1">
        <f t="shared" si="21"/>
        <v>24.568316974742505</v>
      </c>
      <c r="Q98" s="6">
        <f t="shared" si="28"/>
        <v>-82.018548348237644</v>
      </c>
      <c r="R98" s="5" t="str">
        <f t="shared" si="29"/>
        <v>13.0949068329954-13.8409496054797i</v>
      </c>
      <c r="S98" s="1">
        <f t="shared" si="30"/>
        <v>25.599646119760106</v>
      </c>
      <c r="T98" s="6">
        <f t="shared" si="31"/>
        <v>-46.586516361677539</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12.7466587820829+22.7343722869553i</v>
      </c>
      <c r="Y98">
        <f t="shared" si="35"/>
        <v>28.320801504364969</v>
      </c>
      <c r="Z98">
        <f t="shared" si="36"/>
        <v>60.721616541798802</v>
      </c>
    </row>
    <row r="99" spans="2:26">
      <c r="B99" s="1">
        <v>300</v>
      </c>
      <c r="C99" s="22">
        <f t="shared" si="12"/>
        <v>1884.9555921538758</v>
      </c>
      <c r="D99" s="26" t="str">
        <f t="shared" si="13"/>
        <v>0.248710379368856-0.336189285515254i</v>
      </c>
      <c r="E99" s="1">
        <f t="shared" si="14"/>
        <v>-7.5725963561217284</v>
      </c>
      <c r="F99" s="6">
        <f t="shared" si="23"/>
        <v>-53.506234358236405</v>
      </c>
      <c r="G99" s="5" t="str">
        <f t="shared" si="16"/>
        <v>86.847877992101+115.615652925147i</v>
      </c>
      <c r="H99" s="1">
        <f t="shared" si="24"/>
        <v>43.203443356060689</v>
      </c>
      <c r="I99" s="6">
        <f t="shared" si="25"/>
        <v>53.086948378704314</v>
      </c>
      <c r="J99" s="26" t="str">
        <f t="shared" si="17"/>
        <v>60.4687124340802-0.44251315068906i</v>
      </c>
      <c r="K99" s="1">
        <f t="shared" si="26"/>
        <v>35.630846999938939</v>
      </c>
      <c r="L99" s="6">
        <f t="shared" si="27"/>
        <v>-0.41928597953206548</v>
      </c>
      <c r="M99" s="26">
        <f t="shared" si="18"/>
        <v>0.16</v>
      </c>
      <c r="N99" s="6">
        <f t="shared" si="19"/>
        <v>2.5000000000000001E-2</v>
      </c>
      <c r="O99" s="5" t="str">
        <f t="shared" si="20"/>
        <v>2.349461663418-11.1740822933546i</v>
      </c>
      <c r="P99" s="1">
        <f t="shared" si="21"/>
        <v>21.152112605261838</v>
      </c>
      <c r="Q99" s="6">
        <f t="shared" si="28"/>
        <v>-78.125958247361154</v>
      </c>
      <c r="R99" s="5" t="str">
        <f t="shared" si="29"/>
        <v>8.05632651210711-12.2793322321545i</v>
      </c>
      <c r="S99" s="1">
        <f t="shared" si="30"/>
        <v>23.338227555737706</v>
      </c>
      <c r="T99" s="6">
        <f t="shared" si="31"/>
        <v>-56.731587331074152</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7.76853950545007+12.1882659095839i</v>
      </c>
      <c r="Y99">
        <f t="shared" si="35"/>
        <v>23.199468221165155</v>
      </c>
      <c r="Z99">
        <f t="shared" si="36"/>
        <v>57.487436580059729</v>
      </c>
    </row>
    <row r="100" spans="2:26">
      <c r="B100" s="1">
        <v>400</v>
      </c>
      <c r="C100" s="22">
        <f t="shared" si="12"/>
        <v>2513.2741228718346</v>
      </c>
      <c r="D100" s="26" t="str">
        <f t="shared" si="13"/>
        <v>0.166588866060381-0.296616570307648i</v>
      </c>
      <c r="E100" s="1">
        <f t="shared" si="14"/>
        <v>-9.3654188816630732</v>
      </c>
      <c r="F100" s="6">
        <f t="shared" si="23"/>
        <v>-60.680111822336038</v>
      </c>
      <c r="G100" s="5" t="str">
        <f t="shared" si="16"/>
        <v>89.1685839744264+155.140394428361i</v>
      </c>
      <c r="H100" s="1">
        <f t="shared" si="24"/>
        <v>45.054156086304531</v>
      </c>
      <c r="I100" s="6">
        <f t="shared" si="25"/>
        <v>60.111408237861127</v>
      </c>
      <c r="J100" s="26" t="str">
        <f t="shared" si="17"/>
        <v>60.8717050040259-0.604217169702943i</v>
      </c>
      <c r="K100" s="1">
        <f t="shared" si="26"/>
        <v>35.688737204641477</v>
      </c>
      <c r="L100" s="6">
        <f t="shared" si="27"/>
        <v>-0.56870358447490499</v>
      </c>
      <c r="M100" s="26">
        <f t="shared" si="18"/>
        <v>0.16</v>
      </c>
      <c r="N100" s="6">
        <f t="shared" si="19"/>
        <v>2.5000000000000001E-2</v>
      </c>
      <c r="O100" s="5" t="str">
        <f t="shared" si="20"/>
        <v>2.34945231399777-8.38366173344949i</v>
      </c>
      <c r="P100" s="1">
        <f t="shared" si="21"/>
        <v>18.797019210788115</v>
      </c>
      <c r="Q100" s="6">
        <f t="shared" si="28"/>
        <v>-74.344908320653985</v>
      </c>
      <c r="R100" s="5" t="str">
        <f t="shared" si="29"/>
        <v>5.40973771183355-10.452348736333i</v>
      </c>
      <c r="S100" s="1">
        <f t="shared" si="30"/>
        <v>21.415026262270569</v>
      </c>
      <c r="T100" s="6">
        <f t="shared" si="31"/>
        <v>-62.635636773565714</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5.165501312015+7.96468001381281i</v>
      </c>
      <c r="Y100">
        <f t="shared" si="35"/>
        <v>19.548141063210068</v>
      </c>
      <c r="Z100">
        <f t="shared" si="36"/>
        <v>57.034533615085699</v>
      </c>
    </row>
    <row r="101" spans="2:26">
      <c r="B101" s="1">
        <v>500</v>
      </c>
      <c r="C101" s="22">
        <f t="shared" si="12"/>
        <v>3141.5926535897929</v>
      </c>
      <c r="D101" s="26" t="str">
        <f t="shared" si="13"/>
        <v>0.117898593487051-0.25838863658996i</v>
      </c>
      <c r="E101" s="1">
        <f t="shared" si="14"/>
        <v>-10.933161224257894</v>
      </c>
      <c r="F101" s="6">
        <f t="shared" si="23"/>
        <v>-65.4735460402092</v>
      </c>
      <c r="G101" s="5" t="str">
        <f t="shared" si="16"/>
        <v>92.2320698336399+195.532670184393i</v>
      </c>
      <c r="H101" s="1">
        <f t="shared" si="24"/>
        <v>46.69686662158621</v>
      </c>
      <c r="I101" s="6">
        <f t="shared" si="25"/>
        <v>64.746913729652391</v>
      </c>
      <c r="J101" s="26" t="str">
        <f t="shared" si="17"/>
        <v>61.3974513655252-0.778691978676843i</v>
      </c>
      <c r="K101" s="1">
        <f t="shared" si="26"/>
        <v>35.763705397328309</v>
      </c>
      <c r="L101" s="6">
        <f t="shared" si="27"/>
        <v>-0.72663231055682453</v>
      </c>
      <c r="M101" s="26">
        <f t="shared" si="18"/>
        <v>0.16</v>
      </c>
      <c r="N101" s="6">
        <f t="shared" si="19"/>
        <v>2.5000000000000001E-2</v>
      </c>
      <c r="O101" s="5" t="str">
        <f t="shared" si="20"/>
        <v>2.34944029342392-6.71011794300306i</v>
      </c>
      <c r="P101" s="1">
        <f t="shared" si="21"/>
        <v>17.036829480756701</v>
      </c>
      <c r="Q101" s="6">
        <f t="shared" si="28"/>
        <v>-70.703115386542734</v>
      </c>
      <c r="R101" s="5" t="str">
        <f t="shared" si="29"/>
        <v>3.92919320961677-8.95344262443411i</v>
      </c>
      <c r="S101" s="1">
        <f t="shared" si="30"/>
        <v>19.804701309743088</v>
      </c>
      <c r="T101" s="6">
        <f t="shared" si="31"/>
        <v>-66.305866382099595</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3.72179693996954+5.8369726178811i</v>
      </c>
      <c r="Y101">
        <f t="shared" si="35"/>
        <v>16.805351324177973</v>
      </c>
      <c r="Z101">
        <f t="shared" si="36"/>
        <v>57.477416301649214</v>
      </c>
    </row>
    <row r="102" spans="2:26">
      <c r="B102" s="1">
        <v>600</v>
      </c>
      <c r="C102" s="22">
        <f t="shared" si="12"/>
        <v>3769.9111843077517</v>
      </c>
      <c r="D102" s="26" t="str">
        <f t="shared" si="13"/>
        <v>0.0876368549138881-0.226249777964273i</v>
      </c>
      <c r="E102" s="1">
        <f t="shared" si="14"/>
        <v>-12.301120108006685</v>
      </c>
      <c r="F102" s="6">
        <f t="shared" si="23"/>
        <v>-68.826342674109029</v>
      </c>
      <c r="G102" s="5" t="str">
        <f t="shared" si="16"/>
        <v>96.1025923430887+237.038062467693i</v>
      </c>
      <c r="H102" s="1">
        <f t="shared" si="24"/>
        <v>48.157288041598832</v>
      </c>
      <c r="I102" s="6">
        <f t="shared" si="25"/>
        <v>67.930838152755527</v>
      </c>
      <c r="J102" s="26" t="str">
        <f t="shared" si="17"/>
        <v>62.0519379444169-0.969919889864513i</v>
      </c>
      <c r="K102" s="1">
        <f t="shared" si="26"/>
        <v>35.856167933592161</v>
      </c>
      <c r="L102" s="6">
        <f t="shared" si="27"/>
        <v>-0.89550452135351122</v>
      </c>
      <c r="M102" s="26">
        <f t="shared" si="18"/>
        <v>0.16</v>
      </c>
      <c r="N102" s="6">
        <f t="shared" si="19"/>
        <v>2.5000000000000001E-2</v>
      </c>
      <c r="O102" s="5" t="str">
        <f t="shared" si="20"/>
        <v>2.34942560177849-5.59501251916009i</v>
      </c>
      <c r="P102" s="1">
        <f t="shared" si="21"/>
        <v>15.661305579231081</v>
      </c>
      <c r="Q102" s="6">
        <f t="shared" si="28"/>
        <v>-67.221769783773098</v>
      </c>
      <c r="R102" s="5" t="str">
        <f t="shared" si="29"/>
        <v>3.03258444948469-7.78941404531593i</v>
      </c>
      <c r="S102" s="1">
        <f t="shared" si="30"/>
        <v>18.443003129967067</v>
      </c>
      <c r="T102" s="6">
        <f t="shared" si="31"/>
        <v>-68.727979227455862</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2.8595641528197+4.58530942136723i</v>
      </c>
      <c r="Y102">
        <f t="shared" si="35"/>
        <v>14.654151194268387</v>
      </c>
      <c r="Z102">
        <f t="shared" si="36"/>
        <v>58.050848899195501</v>
      </c>
    </row>
    <row r="103" spans="2:26">
      <c r="B103" s="1">
        <v>700</v>
      </c>
      <c r="C103" s="22">
        <f t="shared" si="12"/>
        <v>4398.22971502571</v>
      </c>
      <c r="D103" s="26" t="str">
        <f t="shared" si="13"/>
        <v>0.0678589847813642-0.200049018338787i</v>
      </c>
      <c r="E103" s="1">
        <f t="shared" si="14"/>
        <v>-13.504271084392276</v>
      </c>
      <c r="F103" s="6">
        <f t="shared" si="23"/>
        <v>-71.262458158217825</v>
      </c>
      <c r="G103" s="5" t="str">
        <f t="shared" si="16"/>
        <v>100.864031121633+279.922763663972i</v>
      </c>
      <c r="H103" s="1">
        <f t="shared" si="24"/>
        <v>49.470919672565145</v>
      </c>
      <c r="I103" s="6">
        <f t="shared" si="25"/>
        <v>70.184484606825947</v>
      </c>
      <c r="J103" s="26" t="str">
        <f t="shared" si="17"/>
        <v>62.8428048345276-1.18247585214456i</v>
      </c>
      <c r="K103" s="1">
        <f t="shared" si="26"/>
        <v>35.966648588172838</v>
      </c>
      <c r="L103" s="6">
        <f t="shared" si="27"/>
        <v>-1.0779735513917823</v>
      </c>
      <c r="M103" s="26">
        <f t="shared" si="18"/>
        <v>0.16</v>
      </c>
      <c r="N103" s="6">
        <f t="shared" si="19"/>
        <v>2.5000000000000001E-2</v>
      </c>
      <c r="O103" s="5" t="str">
        <f t="shared" si="20"/>
        <v>2.34940823916167-4.79901471438769i</v>
      </c>
      <c r="P103" s="1">
        <f t="shared" si="21"/>
        <v>14.556100874328985</v>
      </c>
      <c r="Q103" s="6">
        <f t="shared" si="28"/>
        <v>-63.9154536483423</v>
      </c>
      <c r="R103" s="5" t="str">
        <f t="shared" si="29"/>
        <v>2.4496597143897-6.88388379102686i</v>
      </c>
      <c r="S103" s="1">
        <f t="shared" si="30"/>
        <v>17.274492546420827</v>
      </c>
      <c r="T103" s="6">
        <f t="shared" si="31"/>
        <v>-70.411679357813</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2.30994313461143+3.76547411807435i</v>
      </c>
      <c r="Y103">
        <f t="shared" si="35"/>
        <v>12.90360379699692</v>
      </c>
      <c r="Z103">
        <f t="shared" si="36"/>
        <v>58.472821575708522</v>
      </c>
    </row>
    <row r="104" spans="2:26">
      <c r="B104" s="1">
        <v>800</v>
      </c>
      <c r="C104" s="22">
        <f t="shared" si="12"/>
        <v>5026.5482457436692</v>
      </c>
      <c r="D104" s="26" t="str">
        <f t="shared" si="13"/>
        <v>0.0543403230480089-0.178703546655002i</v>
      </c>
      <c r="E104" s="1">
        <f t="shared" si="14"/>
        <v>-14.573260637534137</v>
      </c>
      <c r="F104" s="6">
        <f t="shared" si="23"/>
        <v>-73.086488782362636</v>
      </c>
      <c r="G104" s="5" t="str">
        <f t="shared" si="16"/>
        <v>106.623675159387+324.479281997965i</v>
      </c>
      <c r="H104" s="1">
        <f t="shared" si="24"/>
        <v>50.66904893890532</v>
      </c>
      <c r="I104" s="6">
        <f t="shared" si="25"/>
        <v>71.809511369533354</v>
      </c>
      <c r="J104" s="26" t="str">
        <f t="shared" si="17"/>
        <v>63.7795634618318-1.42171990221783i</v>
      </c>
      <c r="K104" s="1">
        <f t="shared" si="26"/>
        <v>36.095788301371165</v>
      </c>
      <c r="L104" s="6">
        <f t="shared" si="27"/>
        <v>-1.2769774128292293</v>
      </c>
      <c r="M104" s="26">
        <f t="shared" si="18"/>
        <v>0.16</v>
      </c>
      <c r="N104" s="6">
        <f t="shared" si="19"/>
        <v>2.5000000000000001E-2</v>
      </c>
      <c r="O104" s="5" t="str">
        <f t="shared" si="20"/>
        <v>2.34938820569192-4.20245915189918i</v>
      </c>
      <c r="P104" s="1">
        <f t="shared" si="21"/>
        <v>13.651188249474757</v>
      </c>
      <c r="Q104" s="6">
        <f t="shared" si="28"/>
        <v>-60.792591455747242</v>
      </c>
      <c r="R104" s="5" t="str">
        <f t="shared" si="29"/>
        <v>2.04730127682001-6.16819588154967i</v>
      </c>
      <c r="S104" s="1">
        <f t="shared" si="30"/>
        <v>16.25704198763599</v>
      </c>
      <c r="T104" s="6">
        <f t="shared" si="31"/>
        <v>-71.638349682442922</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1.94001365484507+3.18569190481919i</v>
      </c>
      <c r="Y104">
        <f t="shared" si="35"/>
        <v>11.433984937112431</v>
      </c>
      <c r="Z104">
        <f t="shared" si="36"/>
        <v>58.659539238171881</v>
      </c>
    </row>
    <row r="105" spans="2:26">
      <c r="B105" s="1">
        <v>900</v>
      </c>
      <c r="C105" s="22">
        <f t="shared" si="12"/>
        <v>5654.8667764616275</v>
      </c>
      <c r="D105" s="26" t="str">
        <f t="shared" si="13"/>
        <v>0.0447405044640561-0.161158255051104i</v>
      </c>
      <c r="E105" s="1">
        <f t="shared" si="14"/>
        <v>-15.532501504453016</v>
      </c>
      <c r="F105" s="6">
        <f t="shared" si="23"/>
        <v>-74.484364402134545</v>
      </c>
      <c r="G105" s="5" t="str">
        <f t="shared" si="16"/>
        <v>113.517309253292+371.03315521529i</v>
      </c>
      <c r="H105" s="1">
        <f t="shared" si="24"/>
        <v>51.776858997220316</v>
      </c>
      <c r="I105" s="6">
        <f t="shared" si="25"/>
        <v>72.988549021967913</v>
      </c>
      <c r="J105" s="26" t="str">
        <f t="shared" si="17"/>
        <v>64.8738775419962-1.69404094013458i</v>
      </c>
      <c r="K105" s="1">
        <f t="shared" si="26"/>
        <v>36.244357492767307</v>
      </c>
      <c r="L105" s="6">
        <f t="shared" si="27"/>
        <v>-1.4958153801666243</v>
      </c>
      <c r="M105" s="26">
        <f t="shared" si="18"/>
        <v>0.16</v>
      </c>
      <c r="N105" s="6">
        <f t="shared" si="19"/>
        <v>2.5000000000000001E-2</v>
      </c>
      <c r="O105" s="5" t="str">
        <f t="shared" si="20"/>
        <v>2.3493655015059-3.73886506412874i</v>
      </c>
      <c r="P105" s="1">
        <f t="shared" si="21"/>
        <v>12.900041033848764</v>
      </c>
      <c r="Q105" s="6">
        <f t="shared" si="28"/>
        <v>-57.856254314069631</v>
      </c>
      <c r="R105" s="5" t="str">
        <f t="shared" si="29"/>
        <v>1.75536579045569-5.5918356589387i</v>
      </c>
      <c r="S105" s="1">
        <f t="shared" si="30"/>
        <v>15.35925920785326</v>
      </c>
      <c r="T105" s="6">
        <f t="shared" si="31"/>
        <v>-72.57210073253934</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1.67936470409654+2.75190542242222i</v>
      </c>
      <c r="Y105">
        <f t="shared" si="35"/>
        <v>10.167513431803396</v>
      </c>
      <c r="Z105">
        <f t="shared" si="36"/>
        <v>58.606151909185527</v>
      </c>
    </row>
    <row r="106" spans="2:26">
      <c r="B106" s="1">
        <v>1000</v>
      </c>
      <c r="C106" s="22">
        <f t="shared" si="12"/>
        <v>6283.1853071795858</v>
      </c>
      <c r="D106" s="26" t="str">
        <f t="shared" si="13"/>
        <v>0.0377006761332606-0.146567455473604i</v>
      </c>
      <c r="E106" s="1">
        <f t="shared" si="14"/>
        <v>-16.401008008100987</v>
      </c>
      <c r="F106" s="6">
        <f t="shared" si="23"/>
        <v>-75.574862873502568</v>
      </c>
      <c r="G106" s="5" t="str">
        <f t="shared" si="16"/>
        <v>121.716019656606+419.950974572998i</v>
      </c>
      <c r="H106" s="1">
        <f t="shared" si="24"/>
        <v>52.814279422739794</v>
      </c>
      <c r="I106" s="6">
        <f t="shared" si="25"/>
        <v>73.836621073849784</v>
      </c>
      <c r="J106" s="26" t="str">
        <f t="shared" si="17"/>
        <v>66.1399220041278-2.00717160722018i</v>
      </c>
      <c r="K106" s="1">
        <f t="shared" si="26"/>
        <v>36.413271414638814</v>
      </c>
      <c r="L106" s="6">
        <f t="shared" si="27"/>
        <v>-1.7382417996528075</v>
      </c>
      <c r="M106" s="26">
        <f t="shared" si="18"/>
        <v>0.16</v>
      </c>
      <c r="N106" s="6">
        <f t="shared" si="19"/>
        <v>2.5000000000000001E-2</v>
      </c>
      <c r="O106" s="5" t="str">
        <f t="shared" si="20"/>
        <v>2.34934012675845-3.36834398812123i</v>
      </c>
      <c r="P106" s="1">
        <f t="shared" si="21"/>
        <v>12.269899572104926</v>
      </c>
      <c r="Q106" s="6">
        <f t="shared" si="28"/>
        <v>-55.10513982815128</v>
      </c>
      <c r="R106" s="5" t="str">
        <f t="shared" si="29"/>
        <v>1.53456804588549-5.11910605719423i</v>
      </c>
      <c r="S106" s="1">
        <f t="shared" si="30"/>
        <v>14.55760421897047</v>
      </c>
      <c r="T106" s="6">
        <f t="shared" si="31"/>
        <v>-73.312706561323623</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1.48830571142294+2.41327360827446i</v>
      </c>
      <c r="Y106">
        <f t="shared" si="35"/>
        <v>9.0519897087309289</v>
      </c>
      <c r="Z106">
        <f t="shared" si="36"/>
        <v>58.337179350747398</v>
      </c>
    </row>
    <row r="107" spans="2:26">
      <c r="B107" s="1">
        <v>2000</v>
      </c>
      <c r="C107" s="22">
        <f t="shared" si="12"/>
        <v>12566.370614359172</v>
      </c>
      <c r="D107" s="26" t="str">
        <f t="shared" si="13"/>
        <v>0.014163817237889-0.0758331024078384i</v>
      </c>
      <c r="E107" s="1">
        <f t="shared" si="14"/>
        <v>-22.253901169045172</v>
      </c>
      <c r="F107" s="6">
        <f t="shared" si="23"/>
        <v>-79.420413286026758</v>
      </c>
      <c r="G107" s="5" t="str">
        <f t="shared" si="16"/>
        <v>372.980402562485+1177.71432586848i</v>
      </c>
      <c r="H107" s="1">
        <f t="shared" si="24"/>
        <v>61.835902245706869</v>
      </c>
      <c r="I107" s="6">
        <f t="shared" si="25"/>
        <v>72.427081687485881</v>
      </c>
      <c r="J107" s="26" t="str">
        <f t="shared" si="17"/>
        <v>94.5925573359719-11.6033305935929i</v>
      </c>
      <c r="K107" s="1">
        <f t="shared" si="26"/>
        <v>39.582001076661683</v>
      </c>
      <c r="L107" s="6">
        <f t="shared" si="27"/>
        <v>-6.9933315985408786</v>
      </c>
      <c r="M107" s="26">
        <f t="shared" si="18"/>
        <v>0.16</v>
      </c>
      <c r="N107" s="6">
        <f t="shared" si="19"/>
        <v>2.5000000000000001E-2</v>
      </c>
      <c r="O107" s="5" t="str">
        <f t="shared" si="20"/>
        <v>2.34893954549259-1.71073636429626i</v>
      </c>
      <c r="P107" s="1">
        <f t="shared" si="21"/>
        <v>9.2655521405142949</v>
      </c>
      <c r="Q107" s="6">
        <f t="shared" si="28"/>
        <v>-36.065910011723872</v>
      </c>
      <c r="R107" s="5" t="str">
        <f t="shared" si="29"/>
        <v>0.64776954015561-2.84691808969149i</v>
      </c>
      <c r="S107" s="1">
        <f t="shared" si="30"/>
        <v>9.306713598469873</v>
      </c>
      <c r="T107" s="6">
        <f t="shared" si="31"/>
        <v>-77.181521610703541</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0.770848062250332+0.92014584535586i</v>
      </c>
      <c r="Y107">
        <f t="shared" si="35"/>
        <v>1.5862633986584105</v>
      </c>
      <c r="Z107">
        <f t="shared" si="36"/>
        <v>50.045558936333812</v>
      </c>
    </row>
    <row r="108" spans="2:26">
      <c r="B108" s="1">
        <v>3000</v>
      </c>
      <c r="C108" s="22">
        <f t="shared" si="12"/>
        <v>18849.555921538758</v>
      </c>
      <c r="D108" s="26" t="str">
        <f t="shared" si="13"/>
        <v>0.00962426658927861-0.05088319996022i</v>
      </c>
      <c r="E108" s="1">
        <f t="shared" si="14"/>
        <v>-25.715855090359963</v>
      </c>
      <c r="F108" s="6">
        <f t="shared" si="23"/>
        <v>-79.289360788208256</v>
      </c>
      <c r="G108" s="5" t="str">
        <f t="shared" si="16"/>
        <v>4163.9097871213+2708.99681164841i</v>
      </c>
      <c r="H108" s="1">
        <f t="shared" si="24"/>
        <v>73.922889897948949</v>
      </c>
      <c r="I108" s="6">
        <f t="shared" si="25"/>
        <v>33.047613153785022</v>
      </c>
      <c r="J108" s="26" t="str">
        <f t="shared" si="17"/>
        <v>177.917004303666-185.8009468096i</v>
      </c>
      <c r="K108" s="1">
        <f t="shared" si="26"/>
        <v>48.207034807588983</v>
      </c>
      <c r="L108" s="6">
        <f t="shared" si="27"/>
        <v>-46.241747634423248</v>
      </c>
      <c r="M108" s="26">
        <f t="shared" si="18"/>
        <v>0.16</v>
      </c>
      <c r="N108" s="6">
        <f t="shared" si="19"/>
        <v>2.5000000000000001E-2</v>
      </c>
      <c r="O108" s="5" t="str">
        <f t="shared" si="20"/>
        <v>2.34827221352914-1.16999345971683i</v>
      </c>
      <c r="P108" s="1">
        <f t="shared" si="21"/>
        <v>8.3779462138045098</v>
      </c>
      <c r="Q108" s="6">
        <f t="shared" si="28"/>
        <v>-26.484132571038057</v>
      </c>
      <c r="R108" s="5" t="str">
        <f t="shared" si="29"/>
        <v>0.382067218639222-1.99644508736254i</v>
      </c>
      <c r="S108" s="1">
        <f t="shared" si="30"/>
        <v>6.1613596417988736</v>
      </c>
      <c r="T108" s="6">
        <f t="shared" si="31"/>
        <v>-79.166083458163214</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0.507506665035996+0.44236914065594i</v>
      </c>
      <c r="Y108">
        <f t="shared" si="35"/>
        <v>-3.4365886077402683</v>
      </c>
      <c r="Z108">
        <f t="shared" si="36"/>
        <v>41.077095986850104</v>
      </c>
    </row>
    <row r="109" spans="2:26">
      <c r="B109" s="1">
        <v>4000</v>
      </c>
      <c r="C109" s="22">
        <f t="shared" si="12"/>
        <v>25132.741228718343</v>
      </c>
      <c r="D109" s="26" t="str">
        <f t="shared" si="13"/>
        <v>0.00802148457452056-0.0382492019493453i</v>
      </c>
      <c r="E109" s="1">
        <f t="shared" si="14"/>
        <v>-28.160626635237321</v>
      </c>
      <c r="F109" s="6">
        <f t="shared" si="23"/>
        <v>-78.155785049780661</v>
      </c>
      <c r="G109" s="5" t="str">
        <f t="shared" si="16"/>
        <v>1010.88055638547-2468.9587764418i</v>
      </c>
      <c r="H109" s="1">
        <f t="shared" si="24"/>
        <v>68.523358314635928</v>
      </c>
      <c r="I109" s="6">
        <f t="shared" si="25"/>
        <v>-67.73404172282028</v>
      </c>
      <c r="J109" s="26" t="str">
        <f t="shared" si="17"/>
        <v>-86.3269400550021-58.4700892882096i</v>
      </c>
      <c r="K109" s="1">
        <f t="shared" si="26"/>
        <v>40.362731679398621</v>
      </c>
      <c r="L109" s="6">
        <f t="shared" si="27"/>
        <v>-145.88982677260086</v>
      </c>
      <c r="M109" s="26">
        <f t="shared" si="18"/>
        <v>0.16</v>
      </c>
      <c r="N109" s="6">
        <f t="shared" si="19"/>
        <v>2.5000000000000001E-2</v>
      </c>
      <c r="O109" s="5" t="str">
        <f t="shared" si="20"/>
        <v>2.34733858554442-0.908451659116513i</v>
      </c>
      <c r="P109" s="1">
        <f t="shared" si="21"/>
        <v>8.017660096504148</v>
      </c>
      <c r="Q109" s="6">
        <f t="shared" si="28"/>
        <v>-21.157108887611727</v>
      </c>
      <c r="R109" s="5" t="str">
        <f t="shared" si="29"/>
        <v>0.263396408417418-1.53866384981657i</v>
      </c>
      <c r="S109" s="1">
        <f t="shared" si="30"/>
        <v>3.8683131186064097</v>
      </c>
      <c r="T109" s="6">
        <f t="shared" si="31"/>
        <v>-80.285970613139384</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0.350471992835335+0.240831625416997i</v>
      </c>
      <c r="Y109">
        <f t="shared" si="35"/>
        <v>-7.4272834193268267</v>
      </c>
      <c r="Z109">
        <f t="shared" si="36"/>
        <v>34.495436046938067</v>
      </c>
    </row>
    <row r="110" spans="2:26">
      <c r="B110" s="1">
        <v>5000</v>
      </c>
      <c r="C110" s="22">
        <f t="shared" si="12"/>
        <v>31415.926535897932</v>
      </c>
      <c r="D110" s="26" t="str">
        <f t="shared" si="13"/>
        <v>0.00727715445910225-0.030631610150532i</v>
      </c>
      <c r="E110" s="1">
        <f t="shared" si="14"/>
        <v>-30.038156967163662</v>
      </c>
      <c r="F110" s="6">
        <f t="shared" si="23"/>
        <v>-76.635980039216818</v>
      </c>
      <c r="G110" s="5" t="str">
        <f t="shared" si="16"/>
        <v>242.233331254212-1345.41068378759i</v>
      </c>
      <c r="H110" s="1">
        <f t="shared" si="24"/>
        <v>62.715644277315825</v>
      </c>
      <c r="I110" s="6">
        <f t="shared" si="25"/>
        <v>-79.793575733656098</v>
      </c>
      <c r="J110" s="26" t="str">
        <f t="shared" si="17"/>
        <v>-39.4493261914623-17.2107583252924i</v>
      </c>
      <c r="K110" s="1">
        <f t="shared" si="26"/>
        <v>32.677487310152145</v>
      </c>
      <c r="L110" s="6">
        <f t="shared" si="27"/>
        <v>-156.42955577287285</v>
      </c>
      <c r="M110" s="26">
        <f t="shared" si="18"/>
        <v>0.16</v>
      </c>
      <c r="N110" s="6">
        <f t="shared" si="19"/>
        <v>2.5000000000000001E-2</v>
      </c>
      <c r="O110" s="5" t="str">
        <f t="shared" si="20"/>
        <v>2.34613929700122-0.758573443933492i</v>
      </c>
      <c r="P110" s="1">
        <f t="shared" si="21"/>
        <v>7.8388952667415746</v>
      </c>
      <c r="Q110" s="6">
        <f t="shared" si="28"/>
        <v>-17.917492841079916</v>
      </c>
      <c r="R110" s="5" t="str">
        <f t="shared" si="29"/>
        <v>0.201031828158139-1.25250401163845i</v>
      </c>
      <c r="S110" s="1">
        <f t="shared" si="30"/>
        <v>2.0660465188804524</v>
      </c>
      <c r="T110" s="6">
        <f t="shared" si="31"/>
        <v>-80.881572399893884</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0.252017505177701+0.144809261474269i</v>
      </c>
      <c r="Y110">
        <f t="shared" si="35"/>
        <v>-10.732330110393116</v>
      </c>
      <c r="Z110">
        <f t="shared" si="36"/>
        <v>29.881675654554865</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0.00687216902016629-0.0255409636755249i</v>
      </c>
      <c r="E111" s="1">
        <f t="shared" si="14"/>
        <v>-31.551703546768518</v>
      </c>
      <c r="F111" s="6">
        <f t="shared" si="23"/>
        <v>-74.940389855734026</v>
      </c>
      <c r="G111" s="5" t="str">
        <f t="shared" ref="G111:G137" si="39">IMDIV(COMPLEX(V48_Max,0),IMSUM(COMPLEX(Rcs/np,(Lm*C111)/np),D111))</f>
        <v>109.76214099926-938.762651069929i</v>
      </c>
      <c r="H111" s="1">
        <f t="shared" si="24"/>
        <v>59.510085364544793</v>
      </c>
      <c r="I111" s="6">
        <f t="shared" si="25"/>
        <v>-83.331134219357793</v>
      </c>
      <c r="J111" s="26" t="str">
        <f t="shared" ref="J111:J137" si="40">IMDIV(IMPRODUCT(COMPLEX(V48_Max,0),D111),IMSUM(COMPLEX(Rcs/np,(Lm*C111)/np),D111))</f>
        <v>-23.2225987859542-9.25476646418186i</v>
      </c>
      <c r="K111" s="1">
        <f t="shared" si="26"/>
        <v>27.95838181777625</v>
      </c>
      <c r="L111" s="6">
        <f t="shared" si="27"/>
        <v>-158.27152407509178</v>
      </c>
      <c r="M111" s="26">
        <f t="shared" ref="M111:M137" si="41">(Ramp_C*Ramp_R*Fsw)/(V48_Max)</f>
        <v>0.16</v>
      </c>
      <c r="N111" s="6">
        <f t="shared" ref="N111:N137" si="42">(Rcs*Acs)/np</f>
        <v>2.5000000000000001E-2</v>
      </c>
      <c r="O111" s="5" t="str">
        <f t="shared" ref="O111:O137" si="43">IMPRODUCT(COMPLEX(gm/(IL_Comp_Ccomp+IL_Comp_Chf),0),IMDIV(COMPLEX(1,C111*IL_Comp_Rcomp*IL_Comp_Ccomp),IMPRODUCT(COMPLEX(0,C111),COMPLEX(1,C111*IL_Comp_Rcomp*IL_Comp_Chf))))</f>
        <v>2.34467516306878-0.664509002263529i</v>
      </c>
      <c r="P111" s="1">
        <f t="shared" si="21"/>
        <v>7.7371872444751419</v>
      </c>
      <c r="Q111" s="6">
        <f t="shared" si="28"/>
        <v>-15.823364486910553</v>
      </c>
      <c r="R111" s="5" t="str">
        <f t="shared" si="29"/>
        <v>0.164408390580466-1.05751666386873i</v>
      </c>
      <c r="S111" s="1">
        <f t="shared" si="30"/>
        <v>0.58946415410611519</v>
      </c>
      <c r="T111" s="6">
        <f t="shared" si="31"/>
        <v>-81.163168724923636</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0.18822092620325+0.0942974888320203i</v>
      </c>
      <c r="Y111">
        <f t="shared" si="35"/>
        <v>-13.534087396347054</v>
      </c>
      <c r="Z111">
        <f t="shared" si="36"/>
        <v>26.610578634921257</v>
      </c>
    </row>
    <row r="112" spans="2:26">
      <c r="B112" s="1">
        <v>7000</v>
      </c>
      <c r="C112" s="22">
        <f t="shared" si="37"/>
        <v>43982.297150257102</v>
      </c>
      <c r="D112" s="26" t="str">
        <f t="shared" si="38"/>
        <v>0.00662775127653877-0.0218998185499163i</v>
      </c>
      <c r="E112" s="1">
        <f t="shared" si="14"/>
        <v>-32.810591405885269</v>
      </c>
      <c r="F112" s="6">
        <f t="shared" si="23"/>
        <v>-73.162108877031528</v>
      </c>
      <c r="G112" s="5" t="str">
        <f t="shared" si="39"/>
        <v>63.9613468365167-730.973945394705i</v>
      </c>
      <c r="H112" s="1">
        <f t="shared" si="24"/>
        <v>57.311163139576593</v>
      </c>
      <c r="I112" s="6">
        <f t="shared" si="25"/>
        <v>-84.999267766228471</v>
      </c>
      <c r="J112" s="26" t="str">
        <f t="shared" si="40"/>
        <v>-15.5842768707156-6.24545538963432i</v>
      </c>
      <c r="K112" s="1">
        <f t="shared" si="26"/>
        <v>24.500571733691316</v>
      </c>
      <c r="L112" s="6">
        <f t="shared" si="27"/>
        <v>-158.16137664325998</v>
      </c>
      <c r="M112" s="26">
        <f t="shared" si="41"/>
        <v>0.16</v>
      </c>
      <c r="N112" s="6">
        <f t="shared" si="42"/>
        <v>2.5000000000000001E-2</v>
      </c>
      <c r="O112" s="5" t="str">
        <f t="shared" si="43"/>
        <v>2.34294717724-0.602319321731216i</v>
      </c>
      <c r="P112" s="1">
        <f t="shared" si="21"/>
        <v>7.6731842071253542</v>
      </c>
      <c r="Q112" s="6">
        <f t="shared" si="28"/>
        <v>-14.417267946899488</v>
      </c>
      <c r="R112" s="5" t="str">
        <f t="shared" si="29"/>
        <v>0.140990786554072-0.916705573718716i</v>
      </c>
      <c r="S112" s="1">
        <f t="shared" si="30"/>
        <v>-0.65386672466725149</v>
      </c>
      <c r="T112" s="6">
        <f t="shared" si="31"/>
        <v>-81.256331320457903</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0.1453206446966+0.0654239652911621i</v>
      </c>
      <c r="Y112">
        <f t="shared" si="35"/>
        <v>-15.951938977021424</v>
      </c>
      <c r="Z112">
        <f t="shared" si="36"/>
        <v>24.237474366467278</v>
      </c>
    </row>
    <row r="113" spans="2:26">
      <c r="B113" s="1">
        <v>8000</v>
      </c>
      <c r="C113" s="22">
        <f t="shared" si="37"/>
        <v>50265.482457436687</v>
      </c>
      <c r="D113" s="26" t="str">
        <f t="shared" si="38"/>
        <v>0.00646902435560455-0.0191666393237307i</v>
      </c>
      <c r="E113" s="1">
        <f t="shared" si="14"/>
        <v>-33.880555245706809</v>
      </c>
      <c r="F113" s="6">
        <f t="shared" si="23"/>
        <v>-71.34970020581207</v>
      </c>
      <c r="G113" s="5" t="str">
        <f t="shared" si="39"/>
        <v>42.4892858883011-603.330170144414i</v>
      </c>
      <c r="H113" s="1">
        <f t="shared" si="24"/>
        <v>55.632587000946984</v>
      </c>
      <c r="I113" s="6">
        <f t="shared" si="25"/>
        <v>-85.971618614802836</v>
      </c>
      <c r="J113" s="26" t="str">
        <f t="shared" si="40"/>
        <v>-11.2889475390194-4.7173343828792i</v>
      </c>
      <c r="K113" s="1">
        <f t="shared" si="26"/>
        <v>21.752031755240168</v>
      </c>
      <c r="L113" s="6">
        <f t="shared" si="27"/>
        <v>-157.32131882061489</v>
      </c>
      <c r="M113" s="26">
        <f t="shared" si="41"/>
        <v>0.16</v>
      </c>
      <c r="N113" s="6">
        <f t="shared" si="42"/>
        <v>2.5000000000000001E-2</v>
      </c>
      <c r="O113" s="5" t="str">
        <f t="shared" si="43"/>
        <v>2.34095650965042-0.560031967653599i</v>
      </c>
      <c r="P113" s="1">
        <f t="shared" si="21"/>
        <v>7.6295699184944397</v>
      </c>
      <c r="Q113" s="6">
        <f t="shared" si="28"/>
        <v>-13.454125435742048</v>
      </c>
      <c r="R113" s="5" t="str">
        <f t="shared" si="29"/>
        <v>0.124949358747681-0.810630240808043i</v>
      </c>
      <c r="S113" s="1">
        <f t="shared" si="30"/>
        <v>-1.7215679708860487</v>
      </c>
      <c r="T113" s="6">
        <f t="shared" si="31"/>
        <v>-81.237473515843405</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0.115411836546527+0.0477411196100482i</v>
      </c>
      <c r="Y113">
        <f t="shared" si="35"/>
        <v>-18.06900276388842</v>
      </c>
      <c r="Z113">
        <f t="shared" si="36"/>
        <v>22.472863088688676</v>
      </c>
    </row>
    <row r="114" spans="2:26">
      <c r="B114" s="1">
        <v>9000</v>
      </c>
      <c r="C114" s="22">
        <f t="shared" si="37"/>
        <v>56548.667764616279</v>
      </c>
      <c r="D114" s="26" t="str">
        <f t="shared" si="38"/>
        <v>0.00636016055144136-0.0170396330632088i</v>
      </c>
      <c r="E114" s="1">
        <f t="shared" si="14"/>
        <v>-34.804335313201172</v>
      </c>
      <c r="F114" s="6">
        <f t="shared" si="23"/>
        <v>-69.531564357664095</v>
      </c>
      <c r="G114" s="5" t="str">
        <f t="shared" si="39"/>
        <v>30.5615393871188-516.102538536028i</v>
      </c>
      <c r="H114" s="1">
        <f t="shared" si="24"/>
        <v>54.26992196469169</v>
      </c>
      <c r="I114" s="6">
        <f t="shared" si="25"/>
        <v>-86.611129217672328</v>
      </c>
      <c r="J114" s="26" t="str">
        <f t="shared" si="40"/>
        <v>-8.59982158244323-3.8032524230989i</v>
      </c>
      <c r="K114" s="1">
        <f t="shared" si="26"/>
        <v>19.465586651490526</v>
      </c>
      <c r="L114" s="6">
        <f t="shared" si="27"/>
        <v>-156.14269357533644</v>
      </c>
      <c r="M114" s="26">
        <f t="shared" si="41"/>
        <v>0.16</v>
      </c>
      <c r="N114" s="6">
        <f t="shared" si="42"/>
        <v>2.5000000000000001E-2</v>
      </c>
      <c r="O114" s="5" t="str">
        <f t="shared" si="43"/>
        <v>2.33870450510428-0.53099301341295i</v>
      </c>
      <c r="P114" s="1">
        <f t="shared" si="21"/>
        <v>7.5978054590998845</v>
      </c>
      <c r="Q114" s="6">
        <f t="shared" si="28"/>
        <v>-12.791901577523683</v>
      </c>
      <c r="R114" s="5" t="str">
        <f t="shared" si="29"/>
        <v>0.113303344478025-0.728108868612139i</v>
      </c>
      <c r="S114" s="1">
        <f t="shared" si="30"/>
        <v>-2.652160289104661</v>
      </c>
      <c r="T114" s="6">
        <f t="shared" si="31"/>
        <v>-81.154961216268617</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0.0938692792877065+0.036273877574661i</v>
      </c>
      <c r="Y114">
        <f t="shared" si="35"/>
        <v>-19.94509078401828</v>
      </c>
      <c r="Z114">
        <f t="shared" si="36"/>
        <v>21.128012668493668</v>
      </c>
    </row>
    <row r="115" spans="2:26">
      <c r="B115" s="1">
        <v>10000</v>
      </c>
      <c r="C115" s="22">
        <f t="shared" si="37"/>
        <v>62831.853071795864</v>
      </c>
      <c r="D115" s="26" t="str">
        <f t="shared" si="38"/>
        <v>0.00628227036717358-0.0153373570785801i</v>
      </c>
      <c r="E115" s="1">
        <f t="shared" si="14"/>
        <v>-35.611390590419973</v>
      </c>
      <c r="F115" s="6">
        <f t="shared" si="23"/>
        <v>-67.725709341799387</v>
      </c>
      <c r="G115" s="5" t="str">
        <f t="shared" si="39"/>
        <v>23.1820719567866-452.266510383006i</v>
      </c>
      <c r="H115" s="1">
        <f t="shared" si="24"/>
        <v>53.119284015003913</v>
      </c>
      <c r="I115" s="6">
        <f t="shared" si="25"/>
        <v>-87.065726859075383</v>
      </c>
      <c r="J115" s="26" t="str">
        <f t="shared" si="40"/>
        <v>-6.79093692072372-3.19681221166674i</v>
      </c>
      <c r="K115" s="1">
        <f t="shared" si="26"/>
        <v>17.507893424583958</v>
      </c>
      <c r="L115" s="6">
        <f t="shared" si="27"/>
        <v>-154.79143620087476</v>
      </c>
      <c r="M115" s="26">
        <f t="shared" si="41"/>
        <v>0.16</v>
      </c>
      <c r="N115" s="6">
        <f t="shared" si="42"/>
        <v>2.5000000000000001E-2</v>
      </c>
      <c r="O115" s="5" t="str">
        <f t="shared" si="43"/>
        <v>2.33619268081346-0.511207816410133i</v>
      </c>
      <c r="P115" s="1">
        <f t="shared" si="21"/>
        <v>7.5732994369184512</v>
      </c>
      <c r="Q115" s="6">
        <f t="shared" si="28"/>
        <v>-12.342964718004051</v>
      </c>
      <c r="R115" s="5" t="str">
        <f t="shared" si="29"/>
        <v>0.104410620793669-0.662263827300937i</v>
      </c>
      <c r="S115" s="1">
        <f t="shared" si="30"/>
        <v>-3.4727517860130104</v>
      </c>
      <c r="T115" s="6">
        <f t="shared" si="31"/>
        <v>-81.040656045251964</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0.077902601537003+0.0284729261280268i</v>
      </c>
      <c r="Y115">
        <f t="shared" si="35"/>
        <v>-21.624416826131444</v>
      </c>
      <c r="Z115">
        <f t="shared" si="36"/>
        <v>20.077050029654821</v>
      </c>
    </row>
    <row r="116" spans="2:26">
      <c r="B116" s="1">
        <v>20000</v>
      </c>
      <c r="C116" s="22">
        <f t="shared" si="37"/>
        <v>125663.70614359173</v>
      </c>
      <c r="D116" s="26" t="str">
        <f t="shared" si="38"/>
        <v>0.00603311169802171-0.00767137728003123i</v>
      </c>
      <c r="E116" s="1">
        <f t="shared" si="14"/>
        <v>-40.211420094074121</v>
      </c>
      <c r="F116" s="6">
        <f t="shared" si="23"/>
        <v>-51.816917735078626</v>
      </c>
      <c r="G116" s="5" t="str">
        <f t="shared" si="39"/>
        <v>4.7353689823373-208.487731296846i</v>
      </c>
      <c r="H116" s="1">
        <f t="shared" si="24"/>
        <v>46.383849920064677</v>
      </c>
      <c r="I116" s="6">
        <f t="shared" si="25"/>
        <v>-88.698868204468766</v>
      </c>
      <c r="J116" s="26" t="str">
        <f t="shared" si="40"/>
        <v>-1.57081903503409-1.29415657260468i</v>
      </c>
      <c r="K116" s="1">
        <f t="shared" si="26"/>
        <v>6.1724298259905588</v>
      </c>
      <c r="L116" s="6">
        <f t="shared" si="27"/>
        <v>-140.51578593954727</v>
      </c>
      <c r="M116" s="26">
        <f t="shared" si="41"/>
        <v>0.16</v>
      </c>
      <c r="N116" s="6">
        <f t="shared" si="42"/>
        <v>2.5000000000000001E-2</v>
      </c>
      <c r="O116" s="5" t="str">
        <f t="shared" si="43"/>
        <v>2.29723553921379-0.513946477134952i</v>
      </c>
      <c r="P116" s="1">
        <f t="shared" si="21"/>
        <v>7.4362201644037249</v>
      </c>
      <c r="Q116" s="6">
        <f t="shared" si="28"/>
        <v>-12.610772053575038</v>
      </c>
      <c r="R116" s="5" t="str">
        <f t="shared" si="29"/>
        <v>0.0603904333770184-0.374404175229911i</v>
      </c>
      <c r="S116" s="1">
        <f t="shared" si="30"/>
        <v>-8.4216413506297148</v>
      </c>
      <c r="T116" s="6">
        <f t="shared" si="31"/>
        <v>-80.83725573690414</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0.023168391542293+0.00613259201492338i</v>
      </c>
      <c r="Y116">
        <f t="shared" si="35"/>
        <v>-32.407983834557996</v>
      </c>
      <c r="Z116">
        <f t="shared" si="36"/>
        <v>14.825977284029506</v>
      </c>
    </row>
    <row r="117" spans="2:26">
      <c r="B117" s="1">
        <v>30000</v>
      </c>
      <c r="C117" s="22">
        <f t="shared" si="37"/>
        <v>188495.55921538759</v>
      </c>
      <c r="D117" s="26" t="str">
        <f t="shared" si="38"/>
        <v>0.0059869519578712-0.0051145848368634i</v>
      </c>
      <c r="E117" s="1">
        <f t="shared" si="14"/>
        <v>-42.075902960647568</v>
      </c>
      <c r="F117" s="6">
        <f t="shared" si="23"/>
        <v>-40.506887546879788</v>
      </c>
      <c r="G117" s="5" t="str">
        <f t="shared" si="39"/>
        <v>2.02976588344093-137.003165101176i</v>
      </c>
      <c r="H117" s="1">
        <f t="shared" si="24"/>
        <v>42.735565173674942</v>
      </c>
      <c r="I117" s="6">
        <f t="shared" si="25"/>
        <v>-89.151198364175016</v>
      </c>
      <c r="J117" s="26" t="str">
        <f t="shared" si="40"/>
        <v>-0.688562199998882-0.830612777346868i</v>
      </c>
      <c r="K117" s="1">
        <f t="shared" si="26"/>
        <v>0.65966221302738992</v>
      </c>
      <c r="L117" s="6">
        <f t="shared" si="27"/>
        <v>-129.6580859110548</v>
      </c>
      <c r="M117" s="26">
        <f t="shared" si="41"/>
        <v>0.16</v>
      </c>
      <c r="N117" s="6">
        <f t="shared" si="42"/>
        <v>2.5000000000000001E-2</v>
      </c>
      <c r="O117" s="5" t="str">
        <f t="shared" si="43"/>
        <v>2.23511613688354-0.617259038722573i</v>
      </c>
      <c r="P117" s="1">
        <f t="shared" si="21"/>
        <v>7.3052007529170204</v>
      </c>
      <c r="Q117" s="6">
        <f t="shared" si="28"/>
        <v>-15.438246210886286</v>
      </c>
      <c r="R117" s="5" t="str">
        <f t="shared" si="29"/>
        <v>0.0296241727893909-0.28329193419736i</v>
      </c>
      <c r="S117" s="1">
        <f t="shared" si="30"/>
        <v>-10.908082912443152</v>
      </c>
      <c r="T117" s="6">
        <f t="shared" si="31"/>
        <v>-84.030209592996044</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0.0118748342819901+0.00204230226882971i</v>
      </c>
      <c r="Y117">
        <f t="shared" si="35"/>
        <v>-38.380851677199949</v>
      </c>
      <c r="Z117">
        <f t="shared" si="36"/>
        <v>9.7585882082912558</v>
      </c>
    </row>
    <row r="118" spans="2:26">
      <c r="B118" s="1">
        <v>40000</v>
      </c>
      <c r="C118" s="22">
        <f t="shared" si="37"/>
        <v>251327.41228718346</v>
      </c>
      <c r="D118" s="26" t="str">
        <f t="shared" si="38"/>
        <v>0.00597079462730741-0.0038360261310172i</v>
      </c>
      <c r="E118" s="1">
        <f t="shared" si="14"/>
        <v>-42.978669799570007</v>
      </c>
      <c r="F118" s="6">
        <f t="shared" si="23"/>
        <v>-32.719322425387631</v>
      </c>
      <c r="G118" s="5" t="str">
        <f t="shared" si="39"/>
        <v>1.12745814587371-102.239949514172i</v>
      </c>
      <c r="H118" s="1">
        <f t="shared" si="24"/>
        <v>40.192940628850593</v>
      </c>
      <c r="I118" s="6">
        <f t="shared" si="25"/>
        <v>-89.368192421055127</v>
      </c>
      <c r="J118" s="26" t="str">
        <f t="shared" si="40"/>
        <v>-0.385463296930346-0.614778700164599i</v>
      </c>
      <c r="K118" s="1">
        <f t="shared" si="26"/>
        <v>-2.7857291707194189</v>
      </c>
      <c r="L118" s="6">
        <f t="shared" si="27"/>
        <v>-122.08751484644273</v>
      </c>
      <c r="M118" s="26">
        <f t="shared" si="41"/>
        <v>0.16</v>
      </c>
      <c r="N118" s="6">
        <f t="shared" si="42"/>
        <v>2.5000000000000001E-2</v>
      </c>
      <c r="O118" s="5" t="str">
        <f t="shared" si="43"/>
        <v>2.15358711681122-0.733272332165868i</v>
      </c>
      <c r="P118" s="1">
        <f t="shared" si="21"/>
        <v>7.1396286767346169</v>
      </c>
      <c r="Q118" s="6">
        <f t="shared" si="28"/>
        <v>-18.803134551612704</v>
      </c>
      <c r="R118" s="5" t="str">
        <f t="shared" si="29"/>
        <v>0.00141012674229763-0.232964775985832i</v>
      </c>
      <c r="S118" s="1">
        <f t="shared" si="30"/>
        <v>-12.654035661656767</v>
      </c>
      <c r="T118" s="6">
        <f t="shared" si="31"/>
        <v>-89.653195106990452</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0.00739043428264076+0.000412144118589046i</v>
      </c>
      <c r="Y118">
        <f t="shared" si="35"/>
        <v>-42.613115275683271</v>
      </c>
      <c r="Z118">
        <f t="shared" si="36"/>
        <v>3.1919212553127569</v>
      </c>
    </row>
    <row r="119" spans="2:26">
      <c r="B119" s="1">
        <v>50000</v>
      </c>
      <c r="C119" s="22">
        <f t="shared" si="37"/>
        <v>314159.26535897929</v>
      </c>
      <c r="D119" s="26" t="str">
        <f t="shared" si="38"/>
        <v>0.00596331584188576-0.00306885330714273i</v>
      </c>
      <c r="E119" s="1">
        <f t="shared" si="14"/>
        <v>-43.469902385562719</v>
      </c>
      <c r="F119" s="6">
        <f t="shared" si="23"/>
        <v>-27.231345387149716</v>
      </c>
      <c r="G119" s="5" t="str">
        <f t="shared" si="39"/>
        <v>0.717390573880763-81.6035377633139i</v>
      </c>
      <c r="H119" s="1">
        <f t="shared" si="24"/>
        <v>38.234515373249103</v>
      </c>
      <c r="I119" s="6">
        <f t="shared" si="25"/>
        <v>-89.496316036870411</v>
      </c>
      <c r="J119" s="26" t="str">
        <f t="shared" si="40"/>
        <v>-0.24615126016545-0.48882923593306i</v>
      </c>
      <c r="K119" s="1">
        <f t="shared" si="26"/>
        <v>-5.2353870123136046</v>
      </c>
      <c r="L119" s="6">
        <f t="shared" si="27"/>
        <v>-116.72766142402013</v>
      </c>
      <c r="M119" s="26">
        <f t="shared" si="41"/>
        <v>0.16</v>
      </c>
      <c r="N119" s="6">
        <f t="shared" si="42"/>
        <v>2.5000000000000001E-2</v>
      </c>
      <c r="O119" s="5" t="str">
        <f t="shared" si="43"/>
        <v>2.05711216501628-0.842525623444679i</v>
      </c>
      <c r="P119" s="1">
        <f t="shared" si="21"/>
        <v>6.9386406284697859</v>
      </c>
      <c r="Q119" s="6">
        <f t="shared" si="28"/>
        <v>-22.272395820657728</v>
      </c>
      <c r="R119" s="5" t="str">
        <f t="shared" si="29"/>
        <v>-0.0215674805153006-0.194617495509057i</v>
      </c>
      <c r="S119" s="1">
        <f t="shared" si="30"/>
        <v>-14.163351394950892</v>
      </c>
      <c r="T119" s="6">
        <f t="shared" si="31"/>
        <v>-96.323706366740439</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0.00496790916840023-0.000351425037396914i</v>
      </c>
      <c r="Y119">
        <f t="shared" si="35"/>
        <v>-46.054849122135124</v>
      </c>
      <c r="Z119">
        <f t="shared" si="36"/>
        <v>-4.0463071539319451</v>
      </c>
    </row>
    <row r="120" spans="2:26">
      <c r="B120" s="1">
        <v>60000</v>
      </c>
      <c r="C120" s="22">
        <f t="shared" si="37"/>
        <v>376991.11843077518</v>
      </c>
      <c r="D120" s="26" t="str">
        <f t="shared" si="38"/>
        <v>0.00595925322558429-0.00255739242391221i</v>
      </c>
      <c r="E120" s="1">
        <f t="shared" si="14"/>
        <v>-43.762034813814566</v>
      </c>
      <c r="F120" s="6">
        <f t="shared" si="23"/>
        <v>-23.226419128520725</v>
      </c>
      <c r="G120" s="5" t="str">
        <f t="shared" si="39"/>
        <v>0.496619013187765-67.9179441389962i</v>
      </c>
      <c r="H120" s="1">
        <f t="shared" si="24"/>
        <v>36.639922822399406</v>
      </c>
      <c r="I120" s="6">
        <f t="shared" si="25"/>
        <v>-89.58105819090386</v>
      </c>
      <c r="J120" s="26" t="str">
        <f t="shared" si="40"/>
        <v>-0.170733357332536-0.406010277387264i</v>
      </c>
      <c r="K120" s="1">
        <f t="shared" si="26"/>
        <v>-7.1221119914151636</v>
      </c>
      <c r="L120" s="6">
        <f t="shared" si="27"/>
        <v>-112.80747731942459</v>
      </c>
      <c r="M120" s="26">
        <f t="shared" si="41"/>
        <v>0.16</v>
      </c>
      <c r="N120" s="6">
        <f t="shared" si="42"/>
        <v>2.5000000000000001E-2</v>
      </c>
      <c r="O120" s="5" t="str">
        <f t="shared" si="43"/>
        <v>1.95032727707607-0.938151113470515i</v>
      </c>
      <c r="P120" s="1">
        <f t="shared" si="21"/>
        <v>6.7060798525760879</v>
      </c>
      <c r="Q120" s="6">
        <f t="shared" si="28"/>
        <v>-25.688596858411721</v>
      </c>
      <c r="R120" s="5" t="str">
        <f t="shared" si="29"/>
        <v>-0.0377054191711982-0.161703998099174i</v>
      </c>
      <c r="S120" s="1">
        <f t="shared" si="30"/>
        <v>-15.595650984166948</v>
      </c>
      <c r="T120" s="6">
        <f t="shared" si="31"/>
        <v>-103.12544862988956</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0.00345324255427821-0.0006854531983608i</v>
      </c>
      <c r="Y120">
        <f t="shared" si="35"/>
        <v>-49.067629213134516</v>
      </c>
      <c r="Z120">
        <f t="shared" si="36"/>
        <v>-11.227023937301258</v>
      </c>
    </row>
    <row r="121" spans="2:26">
      <c r="B121" s="1">
        <v>70000</v>
      </c>
      <c r="C121" s="22">
        <f t="shared" si="37"/>
        <v>439822.97150257102</v>
      </c>
      <c r="D121" s="26" t="str">
        <f t="shared" si="38"/>
        <v>0.00595680357356725-0.00219205822998063i</v>
      </c>
      <c r="E121" s="1">
        <f t="shared" si="14"/>
        <v>-43.948175208902846</v>
      </c>
      <c r="F121" s="6">
        <f t="shared" si="23"/>
        <v>-20.203229848427256</v>
      </c>
      <c r="G121" s="5" t="str">
        <f t="shared" si="39"/>
        <v>0.36417015523925-58.1715322586154i</v>
      </c>
      <c r="H121" s="1">
        <f t="shared" si="24"/>
        <v>35.294380269912565</v>
      </c>
      <c r="I121" s="6">
        <f t="shared" si="25"/>
        <v>-89.641316988972633</v>
      </c>
      <c r="J121" s="26" t="str">
        <f t="shared" si="40"/>
        <v>-0.125346095955966-0.347314673423908i</v>
      </c>
      <c r="K121" s="1">
        <f t="shared" si="26"/>
        <v>-8.6537949389902877</v>
      </c>
      <c r="L121" s="6">
        <f t="shared" si="27"/>
        <v>-109.84454683739992</v>
      </c>
      <c r="M121" s="26">
        <f t="shared" si="41"/>
        <v>0.16</v>
      </c>
      <c r="N121" s="6">
        <f t="shared" si="42"/>
        <v>2.5000000000000001E-2</v>
      </c>
      <c r="O121" s="5" t="str">
        <f t="shared" si="43"/>
        <v>1.83759401876316-1.01772542239563i</v>
      </c>
      <c r="P121" s="1">
        <f t="shared" si="21"/>
        <v>6.4468637320819457</v>
      </c>
      <c r="Q121" s="6">
        <f t="shared" si="28"/>
        <v>-28.97925536444189</v>
      </c>
      <c r="R121" s="5" t="str">
        <f t="shared" si="29"/>
        <v>-0.0473394873088685-0.133204203572515i</v>
      </c>
      <c r="S121" s="1">
        <f t="shared" si="30"/>
        <v>-16.993091707230178</v>
      </c>
      <c r="T121" s="6">
        <f t="shared" si="31"/>
        <v>-109.56472168129616</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0.00244486729209478-0.000791423678452634i</v>
      </c>
      <c r="Y121">
        <f t="shared" si="35"/>
        <v>-51.802108550447777</v>
      </c>
      <c r="Z121">
        <f t="shared" si="36"/>
        <v>-17.93719432107148</v>
      </c>
    </row>
    <row r="122" spans="2:26">
      <c r="B122" s="1">
        <v>80000</v>
      </c>
      <c r="C122" s="22">
        <f t="shared" si="37"/>
        <v>502654.82457436691</v>
      </c>
      <c r="D122" s="26" t="str">
        <f t="shared" si="38"/>
        <v>0.00595521364612353-0.00191805525652372i</v>
      </c>
      <c r="E122" s="1">
        <f t="shared" si="14"/>
        <v>-44.073402832344996</v>
      </c>
      <c r="F122" s="6">
        <f t="shared" si="23"/>
        <v>-17.852711905236955</v>
      </c>
      <c r="G122" s="5" t="str">
        <f t="shared" si="39"/>
        <v>0.278474193816591-50.8752184140602i</v>
      </c>
      <c r="H122" s="1">
        <f t="shared" si="24"/>
        <v>34.130255851751691</v>
      </c>
      <c r="I122" s="6">
        <f t="shared" si="25"/>
        <v>-89.68638490089441</v>
      </c>
      <c r="J122" s="26" t="str">
        <f t="shared" si="40"/>
        <v>-0.0959231067867706-0.303506923840183i</v>
      </c>
      <c r="K122" s="1">
        <f t="shared" si="26"/>
        <v>-9.9431469805932906</v>
      </c>
      <c r="L122" s="6">
        <f t="shared" si="27"/>
        <v>-107.53909680613131</v>
      </c>
      <c r="M122" s="26">
        <f t="shared" si="41"/>
        <v>0.16</v>
      </c>
      <c r="N122" s="6">
        <f t="shared" si="42"/>
        <v>2.5000000000000001E-2</v>
      </c>
      <c r="O122" s="5" t="str">
        <f t="shared" si="43"/>
        <v>1.72269883316058-1.08099033549318i</v>
      </c>
      <c r="P122" s="1">
        <f t="shared" si="21"/>
        <v>6.166048246127569</v>
      </c>
      <c r="Q122" s="6">
        <f t="shared" si="28"/>
        <v>-32.108195201616113</v>
      </c>
      <c r="R122" s="5" t="str">
        <f t="shared" si="29"/>
        <v>-0.0518642943438634-0.109100946640666i</v>
      </c>
      <c r="S122" s="1">
        <f t="shared" si="30"/>
        <v>-18.358577511829136</v>
      </c>
      <c r="T122" s="6">
        <f t="shared" si="31"/>
        <v>-115.42543112208101</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0.00175556186326417-0.000781669482419057i</v>
      </c>
      <c r="Y122">
        <f t="shared" si="35"/>
        <v>-54.326201472183151</v>
      </c>
      <c r="Z122">
        <f t="shared" si="36"/>
        <v>-24.001170712070547</v>
      </c>
    </row>
    <row r="123" spans="2:26">
      <c r="B123" s="1">
        <v>90000</v>
      </c>
      <c r="C123" s="22">
        <f t="shared" si="37"/>
        <v>565486.6776461628</v>
      </c>
      <c r="D123" s="26" t="str">
        <f t="shared" si="38"/>
        <v>0.0059541235929782-0.00170494062953599i</v>
      </c>
      <c r="E123" s="1">
        <f t="shared" si="14"/>
        <v>-44.161393996138813</v>
      </c>
      <c r="F123" s="6">
        <f t="shared" si="23"/>
        <v>-15.978863485280742</v>
      </c>
      <c r="G123" s="5" t="str">
        <f t="shared" si="39"/>
        <v>0.219843117008842-45.2072706479906i</v>
      </c>
      <c r="H123" s="1">
        <f t="shared" si="24"/>
        <v>33.10426845726284</v>
      </c>
      <c r="I123" s="6">
        <f t="shared" si="25"/>
        <v>-89.721372618024205</v>
      </c>
      <c r="J123" s="26" t="str">
        <f t="shared" si="40"/>
        <v>-0.0757667393884524-0.269544496201664i</v>
      </c>
      <c r="K123" s="1">
        <f t="shared" si="26"/>
        <v>-11.057125538875969</v>
      </c>
      <c r="L123" s="6">
        <f t="shared" si="27"/>
        <v>-105.70023610330486</v>
      </c>
      <c r="M123" s="26">
        <f t="shared" si="41"/>
        <v>0.16</v>
      </c>
      <c r="N123" s="6">
        <f t="shared" si="42"/>
        <v>2.5000000000000001E-2</v>
      </c>
      <c r="O123" s="5" t="str">
        <f t="shared" si="43"/>
        <v>1.60870377960502-1.12886989322905i</v>
      </c>
      <c r="P123" s="1">
        <f t="shared" si="21"/>
        <v>5.8684320269847028</v>
      </c>
      <c r="Q123" s="6">
        <f t="shared" si="28"/>
        <v>-35.058352120231554</v>
      </c>
      <c r="R123" s="5" t="str">
        <f t="shared" si="29"/>
        <v>-0.0528637647074546-0.0892085738817971i</v>
      </c>
      <c r="S123" s="1">
        <f t="shared" si="30"/>
        <v>-19.684805615062881</v>
      </c>
      <c r="T123" s="6">
        <f t="shared" si="31"/>
        <v>-120.65039445772422</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0.00127779184098194-0.000719536853987313i</v>
      </c>
      <c r="Y123">
        <f t="shared" si="35"/>
        <v>-56.674635272191772</v>
      </c>
      <c r="Z123">
        <f t="shared" si="36"/>
        <v>-29.384279151883028</v>
      </c>
    </row>
    <row r="124" spans="2:26">
      <c r="B124" s="1">
        <v>100000</v>
      </c>
      <c r="C124" s="22">
        <f t="shared" si="37"/>
        <v>628318.53071795858</v>
      </c>
      <c r="D124" s="26" t="str">
        <f t="shared" si="38"/>
        <v>0.00595334388231724-0.00153444825565621i</v>
      </c>
      <c r="E124" s="1">
        <f t="shared" si="14"/>
        <v>-44.225445671797502</v>
      </c>
      <c r="F124" s="6">
        <f t="shared" si="23"/>
        <v>-14.4531617343428</v>
      </c>
      <c r="G124" s="5" t="str">
        <f t="shared" si="39"/>
        <v>0.177965329280275-40.6767986638179i</v>
      </c>
      <c r="H124" s="1">
        <f t="shared" si="24"/>
        <v>32.187018446929173</v>
      </c>
      <c r="I124" s="6">
        <f t="shared" si="25"/>
        <v>-89.749326457757036</v>
      </c>
      <c r="J124" s="26" t="str">
        <f t="shared" si="40"/>
        <v>-0.0613569539510389-0.242436049066571i</v>
      </c>
      <c r="K124" s="1">
        <f t="shared" si="26"/>
        <v>-12.038427224868361</v>
      </c>
      <c r="L124" s="6">
        <f t="shared" si="27"/>
        <v>-104.20248819209985</v>
      </c>
      <c r="M124" s="26">
        <f t="shared" si="41"/>
        <v>0.16</v>
      </c>
      <c r="N124" s="6">
        <f t="shared" si="42"/>
        <v>2.5000000000000001E-2</v>
      </c>
      <c r="O124" s="5" t="str">
        <f t="shared" si="43"/>
        <v>1.49792148009975-1.16291249201739i</v>
      </c>
      <c r="P124" s="1">
        <f t="shared" si="21"/>
        <v>5.5583589327535226</v>
      </c>
      <c r="Q124" s="6">
        <f t="shared" si="28"/>
        <v>-37.824004633217534</v>
      </c>
      <c r="R124" s="5" t="str">
        <f t="shared" si="29"/>
        <v>-0.0516657408765285-0.0730705311408951i</v>
      </c>
      <c r="S124" s="1">
        <f t="shared" si="30"/>
        <v>-20.964406152040688</v>
      </c>
      <c r="T124" s="6">
        <f t="shared" si="31"/>
        <v>-125.26285947842904</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0.000942981898682185-0.000639005853357368i</v>
      </c>
      <c r="Y124">
        <f t="shared" si="35"/>
        <v>-58.868781264896022</v>
      </c>
      <c r="Z124">
        <f t="shared" si="36"/>
        <v>-34.123287415965486</v>
      </c>
    </row>
    <row r="125" spans="2:26">
      <c r="B125" s="1">
        <v>200000</v>
      </c>
      <c r="C125" s="22">
        <f t="shared" si="37"/>
        <v>1256637.0614359172</v>
      </c>
      <c r="D125" s="26" t="str">
        <f t="shared" si="38"/>
        <v>0.00595085084855371-0.000767226828136231i</v>
      </c>
      <c r="E125" s="1">
        <f t="shared" si="14"/>
        <v>-44.436822650822933</v>
      </c>
      <c r="F125" s="6">
        <f t="shared" si="23"/>
        <v>-7.3464612270197716</v>
      </c>
      <c r="G125" s="5" t="str">
        <f t="shared" si="39"/>
        <v>0.0444054644968061-20.3228352653013i</v>
      </c>
      <c r="H125" s="1">
        <f t="shared" si="24"/>
        <v>26.159706670797299</v>
      </c>
      <c r="I125" s="6">
        <f t="shared" si="25"/>
        <v>-89.874808725217875</v>
      </c>
      <c r="J125" s="26" t="str">
        <f t="shared" si="40"/>
        <v>-0.015327974143251-0.120972230547213i</v>
      </c>
      <c r="K125" s="1">
        <f t="shared" si="26"/>
        <v>-18.277115980025648</v>
      </c>
      <c r="L125" s="6">
        <f t="shared" si="27"/>
        <v>-97.221269952237648</v>
      </c>
      <c r="M125" s="26">
        <f t="shared" si="41"/>
        <v>0.16</v>
      </c>
      <c r="N125" s="6">
        <f t="shared" si="42"/>
        <v>2.5000000000000001E-2</v>
      </c>
      <c r="O125" s="5" t="str">
        <f t="shared" si="43"/>
        <v>0.717625121214452-1.09890634014704i</v>
      </c>
      <c r="P125" s="1">
        <f t="shared" si="21"/>
        <v>2.3617964232221049</v>
      </c>
      <c r="Q125" s="6">
        <f t="shared" si="28"/>
        <v>-56.854027553309294</v>
      </c>
      <c r="R125" s="5" t="str">
        <f t="shared" si="29"/>
        <v>-0.02439481724926-0.0138591616434413i</v>
      </c>
      <c r="S125" s="1">
        <f t="shared" si="30"/>
        <v>-31.039240341483016</v>
      </c>
      <c r="T125" s="6">
        <f t="shared" si="31"/>
        <v>-150.39826579960379</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0.0000897638334653985-0.000154405518754001i</v>
      </c>
      <c r="Y125">
        <f t="shared" si="35"/>
        <v>-74.962282408849617</v>
      </c>
      <c r="Z125">
        <f t="shared" si="36"/>
        <v>-59.828370558512866</v>
      </c>
    </row>
    <row r="126" spans="2:26">
      <c r="B126" s="1">
        <v>300000</v>
      </c>
      <c r="C126" s="22">
        <f t="shared" si="37"/>
        <v>1884955.5921538759</v>
      </c>
      <c r="D126" s="26" t="str">
        <f t="shared" si="38"/>
        <v>0.00595038917370875-0.000511484885463586i</v>
      </c>
      <c r="E126" s="1">
        <f t="shared" si="14"/>
        <v>-44.477121331599854</v>
      </c>
      <c r="F126" s="6">
        <f t="shared" si="23"/>
        <v>-4.9129668630462708</v>
      </c>
      <c r="G126" s="5" t="str">
        <f t="shared" si="39"/>
        <v>0.0197287049106594-13.5466370219868i</v>
      </c>
      <c r="H126" s="1">
        <f t="shared" si="24"/>
        <v>22.636639094682693</v>
      </c>
      <c r="I126" s="6">
        <f t="shared" si="25"/>
        <v>-89.916557096374149</v>
      </c>
      <c r="J126" s="26" t="str">
        <f t="shared" si="40"/>
        <v>-0.00681150661349602-0.080617853210164i</v>
      </c>
      <c r="K126" s="1">
        <f t="shared" si="26"/>
        <v>-21.840482236917154</v>
      </c>
      <c r="L126" s="6">
        <f t="shared" si="27"/>
        <v>-94.829523959420413</v>
      </c>
      <c r="M126" s="26">
        <f t="shared" si="41"/>
        <v>0.16</v>
      </c>
      <c r="N126" s="6">
        <f t="shared" si="42"/>
        <v>2.5000000000000001E-2</v>
      </c>
      <c r="O126" s="5" t="str">
        <f t="shared" si="43"/>
        <v>0.384126702304438-0.880042898661528i</v>
      </c>
      <c r="P126" s="1">
        <f t="shared" si="21"/>
        <v>-0.35255500669463824</v>
      </c>
      <c r="Q126" s="6">
        <f t="shared" si="28"/>
        <v>-66.41938830109298</v>
      </c>
      <c r="R126" s="5" t="str">
        <f t="shared" si="29"/>
        <v>-0.0122612727964987-0.00446451376401514i</v>
      </c>
      <c r="S126" s="1">
        <f t="shared" si="30"/>
        <v>-37.688600945070178</v>
      </c>
      <c r="T126" s="6">
        <f t="shared" si="31"/>
        <v>-159.99267441167305</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0.0000192920104356521-0.0000519099535124655i</v>
      </c>
      <c r="Y126">
        <f t="shared" si="35"/>
        <v>-85.133110135919424</v>
      </c>
      <c r="Z126">
        <f t="shared" si="36"/>
        <v>-69.612730763766365</v>
      </c>
    </row>
    <row r="127" spans="2:26">
      <c r="B127" s="1">
        <v>400000</v>
      </c>
      <c r="C127" s="22">
        <f t="shared" si="37"/>
        <v>2513274.1228718343</v>
      </c>
      <c r="D127" s="26" t="str">
        <f t="shared" si="38"/>
        <v>0.00595022758737081-0.000383613751608117i</v>
      </c>
      <c r="E127" s="1">
        <f t="shared" si="14"/>
        <v>-44.491314691738147</v>
      </c>
      <c r="F127" s="6">
        <f t="shared" si="23"/>
        <v>-3.6887786665586746</v>
      </c>
      <c r="G127" s="5" t="str">
        <f t="shared" si="39"/>
        <v>0.0110960075720415-10.1594739056212i</v>
      </c>
      <c r="H127" s="1">
        <f t="shared" si="24"/>
        <v>20.137429564299396</v>
      </c>
      <c r="I127" s="6">
        <f t="shared" si="25"/>
        <v>-89.937422532264989</v>
      </c>
      <c r="J127" s="26" t="str">
        <f t="shared" si="40"/>
        <v>-0.00383129012893528-0.0604554384874938i</v>
      </c>
      <c r="K127" s="1">
        <f t="shared" si="26"/>
        <v>-24.353885127438737</v>
      </c>
      <c r="L127" s="6">
        <f t="shared" si="27"/>
        <v>-93.626201198823637</v>
      </c>
      <c r="M127" s="26">
        <f t="shared" si="41"/>
        <v>0.16</v>
      </c>
      <c r="N127" s="6">
        <f t="shared" si="42"/>
        <v>2.5000000000000001E-2</v>
      </c>
      <c r="O127" s="5" t="str">
        <f t="shared" si="43"/>
        <v>0.232717298680922-0.710235413615479i</v>
      </c>
      <c r="P127" s="1">
        <f t="shared" si="21"/>
        <v>-2.5290553422949391</v>
      </c>
      <c r="Q127" s="6">
        <f t="shared" si="28"/>
        <v>-71.857985775802888</v>
      </c>
      <c r="R127" s="5" t="str">
        <f t="shared" si="29"/>
        <v>-0.00720205920408907-0.00193997572613234i</v>
      </c>
      <c r="S127" s="1">
        <f t="shared" si="30"/>
        <v>-42.546662508722932</v>
      </c>
      <c r="T127" s="6">
        <f t="shared" si="31"/>
        <v>-164.92439258184629</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6.28895811828373E-06-0.0000228934462157918i</v>
      </c>
      <c r="Y127">
        <f t="shared" si="35"/>
        <v>-92.489821104011526</v>
      </c>
      <c r="Z127">
        <f t="shared" si="36"/>
        <v>-74.639431305283537</v>
      </c>
    </row>
    <row r="128" spans="2:26">
      <c r="B128" s="1">
        <v>500000</v>
      </c>
      <c r="C128" s="22">
        <f t="shared" si="37"/>
        <v>3141592.653589793</v>
      </c>
      <c r="D128" s="26" t="str">
        <f t="shared" si="38"/>
        <v>0.00595015279595515-0.000306891033690365i</v>
      </c>
      <c r="E128" s="1">
        <f t="shared" si="14"/>
        <v>-44.497899928883193</v>
      </c>
      <c r="F128" s="6">
        <f t="shared" si="23"/>
        <v>-2.952528210472233</v>
      </c>
      <c r="G128" s="5" t="str">
        <f t="shared" si="39"/>
        <v>0.0071010334499533-8.12739256497299i</v>
      </c>
      <c r="H128" s="1">
        <f t="shared" si="24"/>
        <v>18.199028061704279</v>
      </c>
      <c r="I128" s="6">
        <f t="shared" si="25"/>
        <v>-89.949939769725461</v>
      </c>
      <c r="J128" s="26" t="str">
        <f t="shared" si="40"/>
        <v>-0.00245197167143554-0.0483614068377949i</v>
      </c>
      <c r="K128" s="1">
        <f t="shared" si="26"/>
        <v>-26.298871867178907</v>
      </c>
      <c r="L128" s="6">
        <f t="shared" si="27"/>
        <v>-92.90246798019767</v>
      </c>
      <c r="M128" s="26">
        <f t="shared" si="41"/>
        <v>0.16</v>
      </c>
      <c r="N128" s="6">
        <f t="shared" si="42"/>
        <v>2.5000000000000001E-2</v>
      </c>
      <c r="O128" s="5" t="str">
        <f t="shared" si="43"/>
        <v>0.154446365330677-0.588950340797563i</v>
      </c>
      <c r="P128" s="1">
        <f t="shared" si="21"/>
        <v>-4.3095845434379525</v>
      </c>
      <c r="Q128" s="6">
        <f t="shared" si="28"/>
        <v>-75.305631029779846</v>
      </c>
      <c r="R128" s="5" t="str">
        <f t="shared" si="29"/>
        <v>-0.00470273385781033-0.00100699162965112i</v>
      </c>
      <c r="S128" s="1">
        <f t="shared" si="30"/>
        <v>-46.358292888937001</v>
      </c>
      <c r="T128" s="6">
        <f t="shared" si="31"/>
        <v>-167.91382886178795</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2.61187986152697E-06-0.0000119649737471438i</v>
      </c>
      <c r="Y128">
        <f t="shared" si="35"/>
        <v>-98.239593734226816</v>
      </c>
      <c r="Z128">
        <f t="shared" si="36"/>
        <v>-77.685858529457093</v>
      </c>
    </row>
    <row r="129" spans="1:26">
      <c r="B129" s="1">
        <v>600000</v>
      </c>
      <c r="C129" s="22">
        <f t="shared" si="37"/>
        <v>3769911.1843077517</v>
      </c>
      <c r="D129" s="26" t="str">
        <f t="shared" si="38"/>
        <v>0.00595011216851286-0.000255742542743726i</v>
      </c>
      <c r="E129" s="1">
        <f t="shared" si="14"/>
        <v>-44.501481284989822</v>
      </c>
      <c r="F129" s="6">
        <f t="shared" si="23"/>
        <v>-2.4611225346246477</v>
      </c>
      <c r="G129" s="5" t="str">
        <f t="shared" si="39"/>
        <v>0.0049311180473116-6.77274268952803i</v>
      </c>
      <c r="H129" s="1">
        <f t="shared" si="24"/>
        <v>16.615293825737677</v>
      </c>
      <c r="I129" s="6">
        <f t="shared" si="25"/>
        <v>-89.958283930835776</v>
      </c>
      <c r="J129" s="26" t="str">
        <f t="shared" si="40"/>
        <v>-0.0017027377312712-0.0402998397878353i</v>
      </c>
      <c r="K129" s="1">
        <f t="shared" si="26"/>
        <v>-27.886187459252135</v>
      </c>
      <c r="L129" s="6">
        <f t="shared" si="27"/>
        <v>-92.419406465460412</v>
      </c>
      <c r="M129" s="26">
        <f t="shared" si="41"/>
        <v>0.16</v>
      </c>
      <c r="N129" s="6">
        <f t="shared" si="42"/>
        <v>2.5000000000000001E-2</v>
      </c>
      <c r="O129" s="5" t="str">
        <f t="shared" si="43"/>
        <v>0.109452910942764-0.500737687709936i</v>
      </c>
      <c r="P129" s="1">
        <f t="shared" si="21"/>
        <v>-5.8050988703241293</v>
      </c>
      <c r="Q129" s="6">
        <f t="shared" si="28"/>
        <v>-77.670026468010718</v>
      </c>
      <c r="R129" s="5" t="str">
        <f t="shared" si="29"/>
        <v>-0.00330159679073452-0.000587115254698494i</v>
      </c>
      <c r="S129" s="1">
        <f t="shared" si="30"/>
        <v>-49.490310514750064</v>
      </c>
      <c r="T129" s="6">
        <f t="shared" si="31"/>
        <v>-169.91663116707872</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1.26911041866073E-06-7.00197872417197E-06i</v>
      </c>
      <c r="Y129">
        <f t="shared" si="35"/>
        <v>-102.95520476894866</v>
      </c>
      <c r="Z129">
        <f t="shared" si="36"/>
        <v>-79.726655296635343</v>
      </c>
    </row>
    <row r="130" spans="1:26">
      <c r="B130" s="1">
        <v>700000</v>
      </c>
      <c r="C130" s="22">
        <f t="shared" si="37"/>
        <v>4398229.7150257099</v>
      </c>
      <c r="D130" s="26" t="str">
        <f t="shared" si="38"/>
        <v>0.00595008767144429-0.000219207901361419i</v>
      </c>
      <c r="E130" s="1">
        <f t="shared" si="14"/>
        <v>-44.503642158082009</v>
      </c>
      <c r="F130" s="6">
        <f t="shared" si="23"/>
        <v>-2.1098865448455655</v>
      </c>
      <c r="G130" s="5" t="str">
        <f t="shared" si="39"/>
        <v>0.00362279349591478-5.80516437518773i</v>
      </c>
      <c r="H130" s="1">
        <f t="shared" si="24"/>
        <v>15.276292120253794</v>
      </c>
      <c r="I130" s="6">
        <f t="shared" si="25"/>
        <v>-89.964243777264258</v>
      </c>
      <c r="J130" s="26" t="str">
        <f t="shared" si="40"/>
        <v>-0.00125098196082674-0.0345420311244714i</v>
      </c>
      <c r="K130" s="1">
        <f t="shared" si="26"/>
        <v>-29.22735003782822</v>
      </c>
      <c r="L130" s="6">
        <f t="shared" si="27"/>
        <v>-92.074130322109809</v>
      </c>
      <c r="M130" s="26">
        <f t="shared" si="41"/>
        <v>0.16</v>
      </c>
      <c r="N130" s="6">
        <f t="shared" si="42"/>
        <v>2.5000000000000001E-2</v>
      </c>
      <c r="O130" s="5" t="str">
        <f t="shared" si="43"/>
        <v>0.0814207100022351-0.434514998210217i</v>
      </c>
      <c r="P130" s="1">
        <f t="shared" si="21"/>
        <v>-7.0900295530099822</v>
      </c>
      <c r="Q130" s="6">
        <f t="shared" si="28"/>
        <v>-79.386822569261668</v>
      </c>
      <c r="R130" s="5" t="str">
        <f t="shared" si="29"/>
        <v>-0.00244167020879881-0.000371397160127634i</v>
      </c>
      <c r="S130" s="1">
        <f t="shared" si="30"/>
        <v>-52.146922890058704</v>
      </c>
      <c r="T130" s="6">
        <f t="shared" si="31"/>
        <v>-171.35115875974864</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6.88154466364936E-07-4.43922250141844E-06i</v>
      </c>
      <c r="Y130">
        <f t="shared" si="35"/>
        <v>-106.95073393598143</v>
      </c>
      <c r="Z130">
        <f t="shared" si="36"/>
        <v>-81.188321992627209</v>
      </c>
    </row>
    <row r="131" spans="1:26">
      <c r="B131" s="1">
        <v>800000</v>
      </c>
      <c r="C131" s="22">
        <f t="shared" si="37"/>
        <v>5026548.2457436686</v>
      </c>
      <c r="D131" s="26" t="str">
        <f t="shared" si="38"/>
        <v>0.00595007177190371-0.000191806917996605i</v>
      </c>
      <c r="E131" s="1">
        <f t="shared" si="14"/>
        <v>-44.505045223496367</v>
      </c>
      <c r="F131" s="6">
        <f t="shared" si="23"/>
        <v>-1.8463512652757008</v>
      </c>
      <c r="G131" s="5" t="str">
        <f t="shared" si="39"/>
        <v>0.00277366711124543-5.07949404254657i</v>
      </c>
      <c r="H131" s="1">
        <f t="shared" si="24"/>
        <v>14.116410400966455</v>
      </c>
      <c r="I131" s="6">
        <f t="shared" si="25"/>
        <v>-89.968713536796713</v>
      </c>
      <c r="J131" s="26" t="str">
        <f t="shared" si="40"/>
        <v>-0.000957778578899694-0.0302238861266496i</v>
      </c>
      <c r="K131" s="1">
        <f t="shared" si="26"/>
        <v>-30.388634822529905</v>
      </c>
      <c r="L131" s="6">
        <f t="shared" si="27"/>
        <v>-91.815064802072413</v>
      </c>
      <c r="M131" s="26">
        <f t="shared" si="41"/>
        <v>0.16</v>
      </c>
      <c r="N131" s="6">
        <f t="shared" si="42"/>
        <v>2.5000000000000001E-2</v>
      </c>
      <c r="O131" s="5" t="str">
        <f t="shared" si="43"/>
        <v>0.0628481989774708-0.383279693158129i</v>
      </c>
      <c r="P131" s="1">
        <f t="shared" si="21"/>
        <v>-8.2144541727407958</v>
      </c>
      <c r="Q131" s="6">
        <f t="shared" si="28"/>
        <v>-80.68780888771569</v>
      </c>
      <c r="R131" s="5" t="str">
        <f t="shared" si="29"/>
        <v>-0.00187740263162102-0.000249535562141515i</v>
      </c>
      <c r="S131" s="1">
        <f t="shared" si="30"/>
        <v>-54.45279685080866</v>
      </c>
      <c r="T131" s="6">
        <f t="shared" si="31"/>
        <v>-172.4288902531658</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4.04575534526355E-07-0.0000029869683755693i</v>
      </c>
      <c r="Y131">
        <f t="shared" si="35"/>
        <v>-110.41643450392969</v>
      </c>
      <c r="Z131">
        <f t="shared" si="36"/>
        <v>-82.286407907732652</v>
      </c>
    </row>
    <row r="132" spans="1:26">
      <c r="B132" s="1">
        <v>900000</v>
      </c>
      <c r="C132" s="22">
        <f t="shared" si="37"/>
        <v>5654866.7764616273</v>
      </c>
      <c r="D132" s="26" t="str">
        <f t="shared" si="38"/>
        <v>0.0059500608712306-0.000170495040842975i</v>
      </c>
      <c r="E132" s="1">
        <f t="shared" si="14"/>
        <v>-44.506007422545792</v>
      </c>
      <c r="F132" s="6">
        <f t="shared" si="23"/>
        <v>-1.6413233766905291</v>
      </c>
      <c r="G132" s="5" t="str">
        <f t="shared" si="39"/>
        <v>0.00219152094199363-4.51509071080602i</v>
      </c>
      <c r="H132" s="1">
        <f t="shared" si="24"/>
        <v>13.093330622490386</v>
      </c>
      <c r="I132" s="6">
        <f t="shared" si="25"/>
        <v>-89.972189951681457</v>
      </c>
      <c r="J132" s="26" t="str">
        <f t="shared" si="40"/>
        <v>-0.000756760892143171-0.0268654382118762i</v>
      </c>
      <c r="K132" s="1">
        <f t="shared" si="26"/>
        <v>-31.412676800055394</v>
      </c>
      <c r="L132" s="6">
        <f t="shared" si="27"/>
        <v>-91.61351332837198</v>
      </c>
      <c r="M132" s="26">
        <f t="shared" si="41"/>
        <v>0.16</v>
      </c>
      <c r="N132" s="6">
        <f t="shared" si="42"/>
        <v>2.5000000000000001E-2</v>
      </c>
      <c r="O132" s="5" t="str">
        <f t="shared" si="43"/>
        <v>0.049938198147183-0.342595551740059i</v>
      </c>
      <c r="P132" s="1">
        <f t="shared" si="21"/>
        <v>-9.2130566931291931</v>
      </c>
      <c r="Q132" s="6">
        <f t="shared" si="28"/>
        <v>-81.706728451092417</v>
      </c>
      <c r="R132" s="5" t="str">
        <f t="shared" si="29"/>
        <v>-0.00148772895814903-0.000175608522781116i</v>
      </c>
      <c r="S132" s="1">
        <f t="shared" si="30"/>
        <v>-56.489431239458014</v>
      </c>
      <c r="T132" s="6">
        <f t="shared" si="31"/>
        <v>-173.26807177112744</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2.53086108223452E-07-2.10414392155143E-06i</v>
      </c>
      <c r="Y132">
        <f t="shared" si="35"/>
        <v>-113.47611088648247</v>
      </c>
      <c r="Z132">
        <f t="shared" si="36"/>
        <v>-83.141420691246765</v>
      </c>
    </row>
    <row r="133" spans="1:26" ht="15" thickBot="1">
      <c r="B133" s="98">
        <v>1000000</v>
      </c>
      <c r="C133" s="99">
        <f t="shared" si="37"/>
        <v>6283185.307179586</v>
      </c>
      <c r="D133" s="100" t="str">
        <f t="shared" si="38"/>
        <v>0.00595005307404304-0.000153445538447769i</v>
      </c>
      <c r="E133" s="98">
        <f t="shared" si="14"/>
        <v>-44.506695808686736</v>
      </c>
      <c r="F133" s="101">
        <f t="shared" si="23"/>
        <v>-1.4772697584960579</v>
      </c>
      <c r="G133" s="102" t="str">
        <f t="shared" si="39"/>
        <v>0.00177512124215441-4.06357191584756i</v>
      </c>
      <c r="H133" s="98">
        <f t="shared" si="24"/>
        <v>12.178159832095686</v>
      </c>
      <c r="I133" s="101">
        <f t="shared" si="25"/>
        <v>-89.974971047409468</v>
      </c>
      <c r="J133" s="100" t="str">
        <f t="shared" si="40"/>
        <v>-0.000612974915044781-0.0241787409539185i</v>
      </c>
      <c r="K133" s="98">
        <f t="shared" si="26"/>
        <v>-32.32853597659107</v>
      </c>
      <c r="L133" s="101">
        <f t="shared" si="27"/>
        <v>-91.452240805905518</v>
      </c>
      <c r="M133" s="100">
        <f t="shared" si="41"/>
        <v>0.16</v>
      </c>
      <c r="N133" s="101">
        <f t="shared" si="42"/>
        <v>2.5000000000000001E-2</v>
      </c>
      <c r="O133" s="102" t="str">
        <f t="shared" si="43"/>
        <v>0.0406139583828104-0.309572662273615i</v>
      </c>
      <c r="P133" s="98">
        <f t="shared" si="21"/>
        <v>-10.11063420891406</v>
      </c>
      <c r="Q133" s="101">
        <f t="shared" si="28"/>
        <v>-82.52584531706195</v>
      </c>
      <c r="R133" s="102" t="str">
        <f t="shared" si="29"/>
        <v>-0.00120758677979105-0.000128202362722307i</v>
      </c>
      <c r="S133" s="98">
        <f t="shared" si="30"/>
        <v>-58.31295826017336</v>
      </c>
      <c r="T133" s="101">
        <f t="shared" si="31"/>
        <v>-173.93994440814612</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1.66290344519128E-07-1.53721489666275E-06i</v>
      </c>
      <c r="Y133">
        <f t="shared" si="35"/>
        <v>-116.21478167055692</v>
      </c>
      <c r="Z133">
        <f t="shared" si="36"/>
        <v>-83.825958367909834</v>
      </c>
    </row>
    <row r="134" spans="1:26">
      <c r="A134" s="82" t="s">
        <v>443</v>
      </c>
      <c r="B134" s="106">
        <f>Calculations!B165</f>
        <v>4000</v>
      </c>
      <c r="C134" s="107">
        <f t="shared" si="37"/>
        <v>25132.741228718343</v>
      </c>
      <c r="D134" s="108" t="str">
        <f t="shared" si="38"/>
        <v>0.00802148457452056-0.0382492019493453i</v>
      </c>
      <c r="E134" s="107">
        <f t="shared" si="14"/>
        <v>-28.160626635237321</v>
      </c>
      <c r="F134" s="107">
        <f t="shared" ref="F134" si="44">IMARGUMENT(D134)*(180/PI())</f>
        <v>-78.155785049780661</v>
      </c>
      <c r="G134" s="107" t="str">
        <f t="shared" si="39"/>
        <v>1010.88055638547-2468.9587764418i</v>
      </c>
      <c r="H134" s="107">
        <f t="shared" si="24"/>
        <v>68.523358314635928</v>
      </c>
      <c r="I134" s="107">
        <f t="shared" ref="I134" si="45">IMARGUMENT(G134)*(180/PI())</f>
        <v>-67.73404172282028</v>
      </c>
      <c r="J134" s="108" t="str">
        <f t="shared" si="40"/>
        <v>-86.3269400550021-58.4700892882096i</v>
      </c>
      <c r="K134" s="107">
        <f t="shared" si="26"/>
        <v>40.362731679398621</v>
      </c>
      <c r="L134" s="107">
        <f t="shared" ref="L134" si="46">IMARGUMENT(J134)*(180/PI())</f>
        <v>-145.88982677260086</v>
      </c>
      <c r="M134" s="108">
        <f t="shared" si="41"/>
        <v>0.16</v>
      </c>
      <c r="N134" s="107">
        <f t="shared" si="42"/>
        <v>2.5000000000000001E-2</v>
      </c>
      <c r="O134" s="107" t="str">
        <f t="shared" si="43"/>
        <v>2.34733858554442-0.908451659116513i</v>
      </c>
      <c r="P134" s="107">
        <f t="shared" si="21"/>
        <v>8.017660096504148</v>
      </c>
      <c r="Q134" s="107">
        <f t="shared" ref="Q134" si="47">IMARGUMENT(O134)*(180/PI())</f>
        <v>-21.157108887611727</v>
      </c>
      <c r="R134" s="107" t="str">
        <f t="shared" ref="R134" si="48">IMDIV(IMPRODUCT(J134,O134,COMPLEX(M134,0)),IMSUM(COMPLEX(1,0),IMPRODUCT(G134,O134,COMPLEX(N134,0),COMPLEX(M134,0))))</f>
        <v>0.263396408417418-1.53866384981657i</v>
      </c>
      <c r="S134" s="107">
        <f t="shared" si="30"/>
        <v>3.8683131186064097</v>
      </c>
      <c r="T134" s="107">
        <f t="shared" ref="T134" si="49">IMARGUMENT(R134)*(180/PI())</f>
        <v>-80.285970613139384</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0.350471992835335+0.240831625416997i</v>
      </c>
      <c r="Y134" s="107">
        <f t="shared" si="35"/>
        <v>-7.4272834193268267</v>
      </c>
      <c r="Z134" s="110">
        <f t="shared" si="36"/>
        <v>34.495436046938067</v>
      </c>
    </row>
    <row r="135" spans="1:26">
      <c r="A135" t="s">
        <v>446</v>
      </c>
      <c r="B135" s="96">
        <f>Calculations!B176*1000</f>
        <v>497.35919716217302</v>
      </c>
      <c r="C135" s="92">
        <f t="shared" si="37"/>
        <v>3125.0000000000005</v>
      </c>
      <c r="D135" s="93" t="str">
        <f t="shared" si="38"/>
        <v>0.118900494359652-0.259324204648478i</v>
      </c>
      <c r="E135" s="92">
        <f t="shared" si="14"/>
        <v>-10.894483179118089</v>
      </c>
      <c r="F135" s="92">
        <f t="shared" ref="F135:F136" si="50">IMARGUMENT(D135)*(180/PI())</f>
        <v>-65.368480920827551</v>
      </c>
      <c r="G135" s="92" t="str">
        <f t="shared" si="39"/>
        <v>92.1411168594781+194.452800573292i</v>
      </c>
      <c r="H135" s="92">
        <f t="shared" si="24"/>
        <v>46.655985975681972</v>
      </c>
      <c r="I135" s="92">
        <f t="shared" ref="I135:I136" si="51">IMARGUMENT(G135)*(180/PI())</f>
        <v>64.64614875210097</v>
      </c>
      <c r="J135" s="93" t="str">
        <f t="shared" si="40"/>
        <v>61.3819421957804-0.773887727223469i</v>
      </c>
      <c r="K135" s="92">
        <f t="shared" si="26"/>
        <v>35.761502796563875</v>
      </c>
      <c r="L135" s="92">
        <f t="shared" ref="L135:L136" si="52">IMARGUMENT(J135)*(180/PI())</f>
        <v>-0.72233216872666817</v>
      </c>
      <c r="M135" s="93">
        <f t="shared" si="41"/>
        <v>0.16</v>
      </c>
      <c r="N135" s="92">
        <f t="shared" si="42"/>
        <v>2.5000000000000001E-2</v>
      </c>
      <c r="O135" s="92" t="str">
        <f t="shared" si="43"/>
        <v>2.34944064520146-6.74565250768266i</v>
      </c>
      <c r="P135" s="92">
        <f t="shared" si="21"/>
        <v>17.077719407568296</v>
      </c>
      <c r="Q135" s="92">
        <f t="shared" ref="Q135:Q136" si="53">IMARGUMENT(O135)*(180/PI())</f>
        <v>-70.797304024450682</v>
      </c>
      <c r="R135" s="92" t="str">
        <f t="shared" ref="R135:R136" si="54">IMDIV(IMPRODUCT(J135,O135,COMPLEX(M135,0)),IMSUM(COMPLEX(1,0),IMPRODUCT(G135,O135,COMPLEX(N135,0),COMPLEX(M135,0))))</f>
        <v>3.95912241684099-8.98841749418504i</v>
      </c>
      <c r="S135" s="92">
        <f t="shared" si="30"/>
        <v>19.843756184455714</v>
      </c>
      <c r="T135" s="92">
        <f t="shared" ref="T135:T136" si="55">IMARGUMENT(R135)*(180/PI())</f>
        <v>-66.227979403937923</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3.75079535239348+5.87898136396663i</v>
      </c>
      <c r="Y135" s="92">
        <f t="shared" si="35"/>
        <v>16.869121967624338</v>
      </c>
      <c r="Z135" s="111">
        <f t="shared" ref="Z135:Z136" si="58">IMARGUMENT(X135)*(180/PI())</f>
        <v>57.462088122041862</v>
      </c>
    </row>
    <row r="136" spans="1:26" ht="15" thickBot="1">
      <c r="A136" t="s">
        <v>447</v>
      </c>
      <c r="B136" s="97">
        <f>Calculations!B177*1000</f>
        <v>1989.4367886486921</v>
      </c>
      <c r="C136" s="94">
        <f t="shared" si="37"/>
        <v>12500.000000000002</v>
      </c>
      <c r="D136" s="109" t="str">
        <f t="shared" si="38"/>
        <v>0.0142502487618595-0.0762263381115023i</v>
      </c>
      <c r="E136" s="94">
        <f t="shared" si="14"/>
        <v>-22.20870936132912</v>
      </c>
      <c r="F136" s="94">
        <f t="shared" si="50"/>
        <v>-79.410982760060492</v>
      </c>
      <c r="G136" s="94" t="str">
        <f t="shared" si="39"/>
        <v>366.827665183179+1165.15777107365i</v>
      </c>
      <c r="H136" s="94">
        <f t="shared" si="24"/>
        <v>61.738139872504206</v>
      </c>
      <c r="I136" s="94">
        <f t="shared" si="51"/>
        <v>72.524387440218092</v>
      </c>
      <c r="J136" s="109" t="str">
        <f t="shared" si="40"/>
        <v>94.0430956926969-11.3581415502927i</v>
      </c>
      <c r="K136" s="94">
        <f t="shared" si="26"/>
        <v>39.529430511175093</v>
      </c>
      <c r="L136" s="94">
        <f t="shared" si="52"/>
        <v>-6.8865953198424075</v>
      </c>
      <c r="M136" s="109">
        <f t="shared" si="41"/>
        <v>0.16</v>
      </c>
      <c r="N136" s="94">
        <f t="shared" si="42"/>
        <v>2.5000000000000001E-2</v>
      </c>
      <c r="O136" s="94" t="str">
        <f t="shared" si="43"/>
        <v>2.34894517154693-1.719444703889i</v>
      </c>
      <c r="P136" s="94">
        <f t="shared" si="21"/>
        <v>9.2809017698852276</v>
      </c>
      <c r="Q136" s="94">
        <f t="shared" si="53"/>
        <v>-36.204395147988571</v>
      </c>
      <c r="R136" s="94" t="str">
        <f t="shared" si="54"/>
        <v>0.652157554653668-2.85989382585541i</v>
      </c>
      <c r="S136" s="94">
        <f t="shared" si="30"/>
        <v>9.3471565380811086</v>
      </c>
      <c r="T136" s="94">
        <f t="shared" si="55"/>
        <v>-77.154179181543086</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0.774606820971785+0.928056349056213i</v>
      </c>
      <c r="Y136" s="94">
        <f t="shared" si="35"/>
        <v>1.647406664344246</v>
      </c>
      <c r="Z136" s="95">
        <f t="shared" si="58"/>
        <v>50.14976909644033</v>
      </c>
    </row>
    <row r="137" spans="1:26" ht="15" thickBot="1">
      <c r="A137" t="s">
        <v>448</v>
      </c>
      <c r="B137" s="112">
        <f>Calculations!B162</f>
        <v>218.44796110652297</v>
      </c>
      <c r="C137" s="94">
        <f t="shared" si="37"/>
        <v>1372.5490196078429</v>
      </c>
      <c r="D137" s="109" t="str">
        <f t="shared" si="38"/>
        <v>0.357155351747369-0.354155456702047i</v>
      </c>
      <c r="E137" s="94">
        <f t="shared" si="14"/>
        <v>-5.9690345529889024</v>
      </c>
      <c r="F137" s="94">
        <f t="shared" ref="F137" si="59">IMARGUMENT(D137)*(180/PI())</f>
        <v>-44.758361177721461</v>
      </c>
      <c r="G137" s="94" t="str">
        <f t="shared" si="39"/>
        <v>85.4717416012949+83.8645228452671i</v>
      </c>
      <c r="H137" s="94">
        <f t="shared" si="24"/>
        <v>41.565090758051475</v>
      </c>
      <c r="I137" s="94">
        <f t="shared" ref="I137" si="60">IMARGUMENT(G137)*(180/PI())</f>
        <v>44.456205752937869</v>
      </c>
      <c r="J137" s="109" t="str">
        <f t="shared" si="40"/>
        <v>60.2277683254354-0.317620525999344i</v>
      </c>
      <c r="K137" s="94">
        <f t="shared" si="26"/>
        <v>35.59605620506256</v>
      </c>
      <c r="L137" s="94">
        <f t="shared" ref="L137" si="61">IMARGUMENT(J137)*(180/PI())</f>
        <v>-0.302155424783626</v>
      </c>
      <c r="M137" s="109">
        <f t="shared" si="41"/>
        <v>0.16</v>
      </c>
      <c r="N137" s="94">
        <f t="shared" si="42"/>
        <v>2.5000000000000001E-2</v>
      </c>
      <c r="O137" s="94" t="str">
        <f t="shared" si="43"/>
        <v>2.34946731056912-15.3422155755262i</v>
      </c>
      <c r="P137" s="94">
        <f t="shared" si="21"/>
        <v>23.818432456979242</v>
      </c>
      <c r="Q137" s="94">
        <f t="shared" ref="Q137" si="62">IMARGUMENT(O137)*(180/PI())</f>
        <v>-81.293510513353596</v>
      </c>
      <c r="R137" s="94" t="str">
        <f t="shared" ref="R137" si="63">IMDIV(IMPRODUCT(J137,O137,COMPLEX(M137,0)),IMSUM(COMPLEX(1,0),IMPRODUCT(G137,O137,COMPLEX(N137,0),COMPLEX(M137,0))))</f>
        <v>11.903425520358-13.6560314857371i</v>
      </c>
      <c r="S137" s="94">
        <f t="shared" si="30"/>
        <v>25.161104367228546</v>
      </c>
      <c r="T137" s="94">
        <f t="shared" ref="T137" si="64">IMARGUMENT(R137)*(180/PI())</f>
        <v>-48.922618031988328</v>
      </c>
      <c r="U137" s="92" t="str">
        <f>IMPRODUCT(COMPLEX(-1,0),IMDIV(COMPLEX(1,C137*Calculations!$B$171*Calculations!$B$173),IMPRODUCT(COMPLEX(0,C137*Calculations!$B$160),COMPLEX((Calculations!$B$173+Calculations!$B$175),C137*Calculations!$B$171*Calculations!$B$173*Calculations!$B$175))))</f>
        <v>-0.406463557789215+1.20141931981028i</v>
      </c>
      <c r="V137" s="94">
        <f t="shared" si="32"/>
        <v>2.0645373554264803</v>
      </c>
      <c r="W137" s="94">
        <f t="shared" ref="W137" si="65">IMARGUMENT(U137)*(180/PI())</f>
        <v>108.69167964189687</v>
      </c>
      <c r="X137" s="94" t="str">
        <f t="shared" ref="X137" si="66">IMPRODUCT(U137,R137)</f>
        <v>11.5683113720184+19.8516845350551i</v>
      </c>
      <c r="Y137" s="94">
        <f t="shared" si="35"/>
        <v>27.225641722655034</v>
      </c>
      <c r="Z137" s="95">
        <f t="shared" ref="Z137" si="67">IMARGUMENT(X137)*(180/PI())</f>
        <v>59.769061609908547</v>
      </c>
    </row>
    <row r="165" spans="2:93" ht="29" thickBot="1">
      <c r="B165" s="30" t="s">
        <v>392</v>
      </c>
    </row>
    <row r="166" spans="2:93">
      <c r="B166" s="207" t="s">
        <v>33</v>
      </c>
      <c r="C166" s="209"/>
      <c r="D166" s="219" t="s">
        <v>31</v>
      </c>
      <c r="E166" s="212"/>
      <c r="F166" s="212"/>
      <c r="G166" s="212" t="s">
        <v>386</v>
      </c>
      <c r="H166" s="212"/>
      <c r="I166" s="212"/>
      <c r="J166" s="212" t="s">
        <v>387</v>
      </c>
      <c r="K166" s="212"/>
      <c r="L166" s="212"/>
      <c r="M166" s="212"/>
      <c r="N166" s="212"/>
      <c r="O166" s="212"/>
      <c r="P166" s="212"/>
      <c r="Q166" s="212"/>
      <c r="R166" s="212"/>
      <c r="S166" s="212"/>
      <c r="T166" s="212"/>
      <c r="U166" s="81"/>
      <c r="V166" s="81"/>
      <c r="W166" s="81"/>
      <c r="X166" s="81"/>
      <c r="Y166" s="81"/>
      <c r="Z166" s="81"/>
      <c r="AA166" s="81"/>
      <c r="AB166" s="213"/>
      <c r="AC166" s="213"/>
      <c r="AD166" s="213"/>
      <c r="BC166" s="202"/>
      <c r="BD166" s="202"/>
      <c r="BE166" s="202"/>
      <c r="BF166" s="202"/>
      <c r="BG166" s="202"/>
      <c r="BH166" s="202"/>
      <c r="BI166" s="202"/>
      <c r="BJ166" s="202"/>
      <c r="BK166" s="202"/>
      <c r="BL166" s="202"/>
      <c r="BM166" s="202"/>
      <c r="BN166" s="202"/>
      <c r="BO166" s="202"/>
      <c r="BP166" s="202"/>
      <c r="BQ166" s="202"/>
      <c r="BR166" s="202"/>
      <c r="BS166" s="202"/>
      <c r="BT166" s="202"/>
      <c r="BU166" s="202"/>
      <c r="BV166" s="202"/>
      <c r="BW166" s="202"/>
      <c r="BX166" s="202"/>
      <c r="BY166" s="202"/>
      <c r="BZ166" s="202"/>
      <c r="CA166" s="202"/>
      <c r="CB166" s="202"/>
      <c r="CC166" s="202"/>
      <c r="CD166" s="202"/>
      <c r="CE166" s="202"/>
      <c r="CF166" s="202"/>
      <c r="CG166" s="202"/>
      <c r="CH166" s="202"/>
      <c r="CI166" s="202"/>
      <c r="CJ166" s="202"/>
      <c r="CK166" s="202"/>
      <c r="CL166" s="202"/>
      <c r="CM166" s="202"/>
      <c r="CN166" s="202"/>
      <c r="CO166" s="202"/>
    </row>
    <row r="167" spans="2:93" ht="15" thickBot="1">
      <c r="B167" s="214"/>
      <c r="C167" s="215"/>
      <c r="D167" s="216" t="s">
        <v>385</v>
      </c>
      <c r="E167" s="217"/>
      <c r="F167" s="218"/>
      <c r="G167" s="216" t="s">
        <v>385</v>
      </c>
      <c r="H167" s="217"/>
      <c r="I167" s="218"/>
      <c r="J167" s="216" t="s">
        <v>385</v>
      </c>
      <c r="K167" s="217"/>
      <c r="L167" s="218"/>
      <c r="M167" s="206" t="s">
        <v>390</v>
      </c>
      <c r="N167" s="202"/>
      <c r="O167" s="202" t="s">
        <v>394</v>
      </c>
      <c r="P167" s="202"/>
      <c r="Q167" s="202"/>
      <c r="R167" s="202" t="s">
        <v>391</v>
      </c>
      <c r="S167" s="202"/>
      <c r="T167" s="202"/>
      <c r="U167" s="202" t="s">
        <v>393</v>
      </c>
      <c r="V167" s="202"/>
      <c r="W167" s="202"/>
      <c r="X167" s="202" t="s">
        <v>395</v>
      </c>
      <c r="Y167" s="202"/>
      <c r="Z167" s="202"/>
      <c r="AB167" s="213"/>
      <c r="AC167" s="213"/>
      <c r="AD167" s="213"/>
      <c r="BC167" s="202"/>
      <c r="BD167" s="202"/>
      <c r="BE167" s="202"/>
      <c r="BF167" s="202"/>
      <c r="BG167" s="202"/>
      <c r="BH167" s="202"/>
      <c r="BI167" s="202"/>
      <c r="BJ167" s="202"/>
      <c r="BK167" s="202"/>
      <c r="BL167" s="202"/>
      <c r="BM167" s="202"/>
      <c r="BN167" s="202"/>
      <c r="BO167" s="202"/>
      <c r="BP167" s="202"/>
      <c r="BQ167" s="202"/>
      <c r="BR167" s="202"/>
      <c r="BS167" s="202"/>
      <c r="BT167" s="202"/>
      <c r="BU167" s="202"/>
      <c r="BV167" s="202"/>
      <c r="BW167" s="202"/>
      <c r="BX167" s="202"/>
      <c r="BY167" s="202"/>
      <c r="BZ167" s="202"/>
      <c r="CA167" s="202"/>
      <c r="CB167" s="202"/>
      <c r="CC167" s="202"/>
      <c r="CD167" s="202"/>
      <c r="CE167" s="202"/>
      <c r="CF167" s="202"/>
      <c r="CG167" s="202"/>
      <c r="CH167" s="202"/>
      <c r="CI167" s="202"/>
      <c r="CJ167" s="202"/>
      <c r="CK167" s="202"/>
      <c r="CL167" s="202"/>
      <c r="CM167" s="202"/>
      <c r="CN167" s="202"/>
      <c r="CO167" s="202"/>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3.85863879046407-0.0954803772277628i</v>
      </c>
      <c r="E169" s="1">
        <f t="shared" ref="E169:E200" si="70">20*LOG(IMABS(D169))</f>
        <v>11.731340863318051</v>
      </c>
      <c r="F169" s="1">
        <f t="shared" ref="F169:F200" si="71">IMARGUMENT(D169)*(180/PI())</f>
        <v>-1.4174704618284844</v>
      </c>
      <c r="G169" s="1" t="str">
        <f t="shared" ref="G169:G200" si="72">IMDIV(IMSUM(COMPLEX(V48_Nom,0),IMPRODUCT(COMPLEX(np*(I_Channel_Design*(V12_Min/V48_Nom)),0),D169)),IMSUM(IMPRODUCT(COMPLEX(((V12_Min/V48_Nom)^2),0),D169),COMPLEX(Rcs/np,(Lm*C169)/np)))</f>
        <v>189.010705385212+2.32879907920549i</v>
      </c>
      <c r="H169" s="1">
        <f>20*LOG10(IMABS(G169))</f>
        <v>45.53038729639583</v>
      </c>
      <c r="I169" s="1">
        <f>IMARGUMENT(G169)*(180/PI())</f>
        <v>0.7059050281659186</v>
      </c>
      <c r="J169" s="83" t="str">
        <f t="shared" ref="J169:J200" si="73">IMPRODUCT(COMPLEX(-1,0),IMDIV(IMSUM(IMSUB(IMPRODUCT(COMPLEX((1-(V12_Min/V48_Nom))*V48_Nom,0),D169),IMPRODUCT(COMPLEX(V48_Nom,0),D169)),IMPRODUCT(COMPLEX(0,I_Channel_Design*Lm*C169),D169)),IMSUM(IMPRODUCT(COMPLEX(((V12_Min/V48_Nom)^2),0),D169),COMPLEX(Rcs/np,(Lm*C169)/np))))</f>
        <v>135.00751801224-0.0106963732606463i</v>
      </c>
      <c r="K169" s="1">
        <f>20*LOG10(IMABS(J169))</f>
        <v>42.607159092023466</v>
      </c>
      <c r="L169" s="1">
        <f>IMARGUMENT(J169)*(180/PI())</f>
        <v>-4.5394290012334059E-3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2.34947368407697-3350.63039859662i</v>
      </c>
      <c r="P169" s="1">
        <f>20*LOG(IMABS(O169))</f>
        <v>70.502532621628234</v>
      </c>
      <c r="Q169" s="1">
        <f>IMARGUMENT(O169)*(180/PI())</f>
        <v>-89.959824006799352</v>
      </c>
      <c r="R169" s="1" t="str">
        <f>IMDIV(IMPRODUCT(O169,J169,COMPLEX(M169,0)),IMSUM(COMPLEX(1,0),IMPRODUCT(G169,O169,COMPLEX(M169,0),COMPLEX(N169,0))))</f>
        <v>28.5667948177054-0.36363216174553i</v>
      </c>
      <c r="S169" s="1">
        <f>20*LOG10(IMABS(R169))</f>
        <v>29.117933949428529</v>
      </c>
      <c r="T169" s="1">
        <f>IMARGUMENT(R169)*(180/PI())</f>
        <v>-0.72928948149855399</v>
      </c>
      <c r="U169" s="1" t="str">
        <f>IMPRODUCT(COMPLEX(-1,0),IMDIV(COMPLEX(1,C169*Calculations!$B$195*Calculations!$B$197),IMPRODUCT(COMPLEX(0,C169*Calculations!$B$184),COMPLEX((Calculations!$B$197+Calculations!$B$199),C169*Calculations!$B$195*Calculations!$B$197*Calculations!$B$199))))</f>
        <v>-1.42674946496323+241.722527613214i</v>
      </c>
      <c r="V169" s="1">
        <f>20*LOG10(IMABS(U169))</f>
        <v>47.666493837155272</v>
      </c>
      <c r="W169" s="1">
        <f>IMARGUMENT(U169)*(180/PI())</f>
        <v>90.338180203049703</v>
      </c>
      <c r="X169" s="1" t="str">
        <f>IMPRODUCT(U169,R169)</f>
        <v>47.140426036711+6905.75666113603i</v>
      </c>
      <c r="Y169" s="1">
        <f>20*LOG10(IMABS(X169))</f>
        <v>76.784427786583805</v>
      </c>
      <c r="Z169" s="1">
        <f>IMARGUMENT(X169)*(180/PI())</f>
        <v>89.608890721551148</v>
      </c>
    </row>
    <row r="170" spans="2:93">
      <c r="B170" s="1">
        <v>2</v>
      </c>
      <c r="C170" s="1">
        <f t="shared" si="68"/>
        <v>12.566370614359172</v>
      </c>
      <c r="D170" s="83" t="str">
        <f t="shared" si="69"/>
        <v>3.8515609496809-0.190610115021379i</v>
      </c>
      <c r="E170" s="1">
        <f t="shared" si="70"/>
        <v>11.72335908781692</v>
      </c>
      <c r="F170" s="1">
        <f t="shared" si="71"/>
        <v>-2.8332025470207665</v>
      </c>
      <c r="G170" s="1" t="str">
        <f t="shared" si="72"/>
        <v>189.011634829612+4.65760767475803i</v>
      </c>
      <c r="H170" s="1">
        <f t="shared" ref="H170:H228" si="77">20*LOG10(IMABS(G170))</f>
        <v>45.53240710867658</v>
      </c>
      <c r="I170" s="1">
        <f t="shared" ref="I170:I223" si="78">IMARGUMENT(G170)*(180/PI())</f>
        <v>1.4115917650943981</v>
      </c>
      <c r="J170" s="83" t="str">
        <f t="shared" si="73"/>
        <v>135.007795824518-0.0213928336310695i</v>
      </c>
      <c r="K170" s="1">
        <f t="shared" ref="K170:K228" si="79">20*LOG10(IMABS(J170))</f>
        <v>42.60717704721376</v>
      </c>
      <c r="L170" s="1">
        <f t="shared" ref="L170:L223" si="80">IMARGUMENT(J170)*(180/PI())</f>
        <v>-9.078876231861285E-3</v>
      </c>
      <c r="M170" s="1">
        <f t="shared" si="74"/>
        <v>0.192</v>
      </c>
      <c r="N170" s="1">
        <f t="shared" si="75"/>
        <v>2.5000000000000001E-2</v>
      </c>
      <c r="O170" s="1" t="str">
        <f t="shared" si="76"/>
        <v>2.34947368367626-1675.31522587023i</v>
      </c>
      <c r="P170" s="1">
        <f t="shared" ref="P170:P228" si="81">20*LOG(IMABS(O170))</f>
        <v>64.481939252205649</v>
      </c>
      <c r="Q170" s="1">
        <f t="shared" ref="Q170:Q223" si="82">IMARGUMENT(O170)*(180/PI())</f>
        <v>-89.919648054394784</v>
      </c>
      <c r="R170" s="1" t="str">
        <f t="shared" ref="R170:R223" si="83">IMDIV(IMPRODUCT(O170,J170,COMPLEX(M170,0)),IMSUM(COMPLEX(1,0),IMPRODUCT(G170,O170,COMPLEX(M170,0),COMPLEX(N170,0))))</f>
        <v>28.552902583401-0.726910201838036i</v>
      </c>
      <c r="S170" s="1">
        <f t="shared" ref="S170:S228" si="84">20*LOG10(IMABS(R170))</f>
        <v>29.115819145986279</v>
      </c>
      <c r="T170" s="1">
        <f t="shared" ref="T170:T223" si="85">IMARGUMENT(R170)*(180/PI())</f>
        <v>-1.4583418300517754</v>
      </c>
      <c r="U170" s="1" t="str">
        <f>IMPRODUCT(COMPLEX(-1,0),IMDIV(COMPLEX(1,C170*Calculations!$B$195*Calculations!$B$197),IMPRODUCT(COMPLEX(0,C170*Calculations!$B$184),COMPLEX((Calculations!$B$197+Calculations!$B$199),C170*Calculations!$B$195*Calculations!$B$197*Calculations!$B$199))))</f>
        <v>-1.42674946490248+120.861271869539i</v>
      </c>
      <c r="V170" s="1">
        <f t="shared" ref="V170:V228" si="86">20*LOG10(IMABS(U170))</f>
        <v>41.646348370583283</v>
      </c>
      <c r="W170" s="1">
        <f t="shared" ref="W170:W224" si="87">IMARGUMENT(U170)*(180/PI())</f>
        <v>90.676336799667567</v>
      </c>
      <c r="X170" s="1" t="str">
        <f t="shared" ref="X170:X224" si="88">IMPRODUCT(U170,R170)</f>
        <v>47.1174530468083+3451.9772405384i</v>
      </c>
      <c r="Y170" s="1">
        <f t="shared" ref="Y170:Y228" si="89">20*LOG10(IMABS(X170))</f>
        <v>70.762167516569562</v>
      </c>
      <c r="Z170" s="1">
        <f t="shared" ref="Z170:Z224" si="90">IMARGUMENT(X170)*(180/PI())</f>
        <v>89.217994969615802</v>
      </c>
    </row>
    <row r="171" spans="2:93">
      <c r="B171" s="1">
        <v>3</v>
      </c>
      <c r="C171" s="1">
        <f t="shared" si="68"/>
        <v>18.849555921538759</v>
      </c>
      <c r="D171" s="83" t="str">
        <f t="shared" si="69"/>
        <v>3.83982213317518-0.285042853112235i</v>
      </c>
      <c r="E171" s="1">
        <f t="shared" si="70"/>
        <v>11.710088641274206</v>
      </c>
      <c r="F171" s="1">
        <f t="shared" si="71"/>
        <v>-4.2454706234823743</v>
      </c>
      <c r="G171" s="1" t="str">
        <f t="shared" si="72"/>
        <v>189.013183917061+6.98643530313314i</v>
      </c>
      <c r="H171" s="1">
        <f t="shared" si="77"/>
        <v>45.53577141334037</v>
      </c>
      <c r="I171" s="1">
        <f t="shared" si="78"/>
        <v>2.1168423217205259</v>
      </c>
      <c r="J171" s="83" t="str">
        <f t="shared" si="73"/>
        <v>135.008258847499-0.0320894682227605i</v>
      </c>
      <c r="K171" s="1">
        <f t="shared" si="79"/>
        <v>42.607206972612602</v>
      </c>
      <c r="L171" s="1">
        <f t="shared" si="80"/>
        <v>-1.3618359921498414E-2</v>
      </c>
      <c r="M171" s="1">
        <f t="shared" si="74"/>
        <v>0.192</v>
      </c>
      <c r="N171" s="1">
        <f t="shared" si="75"/>
        <v>2.5000000000000001E-2</v>
      </c>
      <c r="O171" s="1" t="str">
        <f t="shared" si="76"/>
        <v>2.34947368300845-1116.87684677118i</v>
      </c>
      <c r="P171" s="1">
        <f t="shared" si="81"/>
        <v>60.960124977498538</v>
      </c>
      <c r="Q171" s="1">
        <f t="shared" si="82"/>
        <v>-89.879472183582109</v>
      </c>
      <c r="R171" s="1" t="str">
        <f t="shared" si="83"/>
        <v>28.5297789051872-1.08948114745842i</v>
      </c>
      <c r="S171" s="1">
        <f t="shared" si="84"/>
        <v>29.11229676220545</v>
      </c>
      <c r="T171" s="1">
        <f t="shared" si="85"/>
        <v>-2.1869203744595178</v>
      </c>
      <c r="U171" s="1" t="str">
        <f>IMPRODUCT(COMPLEX(-1,0),IMDIV(COMPLEX(1,C171*Calculations!$B$195*Calculations!$B$197),IMPRODUCT(COMPLEX(0,C171*Calculations!$B$184),COMPLEX((Calculations!$B$197+Calculations!$B$199),C171*Calculations!$B$195*Calculations!$B$197*Calculations!$B$199))))</f>
        <v>-1.42674946480121+80.5741902051716i</v>
      </c>
      <c r="V171" s="1">
        <f t="shared" si="86"/>
        <v>38.125280494990584</v>
      </c>
      <c r="W171" s="1">
        <f t="shared" si="87"/>
        <v>91.014446193300927</v>
      </c>
      <c r="X171" s="1" t="str">
        <f t="shared" si="88"/>
        <v>47.0792144163907+2300.31824866209i</v>
      </c>
      <c r="Y171" s="1">
        <f t="shared" si="89"/>
        <v>67.237577257196023</v>
      </c>
      <c r="Z171" s="1">
        <f t="shared" si="90"/>
        <v>88.827525818841423</v>
      </c>
    </row>
    <row r="172" spans="2:93">
      <c r="B172" s="1">
        <v>4</v>
      </c>
      <c r="C172" s="1">
        <f t="shared" si="68"/>
        <v>25.132741228718345</v>
      </c>
      <c r="D172" s="83" t="str">
        <f t="shared" si="69"/>
        <v>3.8235076160091-0.378440680362023i</v>
      </c>
      <c r="E172" s="1">
        <f t="shared" si="70"/>
        <v>11.691577877064795</v>
      </c>
      <c r="F172" s="1">
        <f t="shared" si="71"/>
        <v>-5.652574315517314</v>
      </c>
      <c r="G172" s="1" t="str">
        <f t="shared" si="72"/>
        <v>189.015352667729+9.31529148106305i</v>
      </c>
      <c r="H172" s="1">
        <f t="shared" si="77"/>
        <v>45.540477143282118</v>
      </c>
      <c r="I172" s="1">
        <f t="shared" si="78"/>
        <v>2.8214396114737044</v>
      </c>
      <c r="J172" s="83" t="str">
        <f t="shared" si="73"/>
        <v>135.008907084954-0.0427863641513095i</v>
      </c>
      <c r="K172" s="1">
        <f t="shared" si="79"/>
        <v>42.607248868342218</v>
      </c>
      <c r="L172" s="1">
        <f t="shared" si="80"/>
        <v>-1.8157898300485753E-2</v>
      </c>
      <c r="M172" s="1">
        <f t="shared" si="74"/>
        <v>0.192</v>
      </c>
      <c r="N172" s="1">
        <f t="shared" si="75"/>
        <v>2.5000000000000001E-2</v>
      </c>
      <c r="O172" s="1" t="str">
        <f t="shared" si="76"/>
        <v>2.3494736820735-837.657666078961i</v>
      </c>
      <c r="P172" s="1">
        <f t="shared" si="81"/>
        <v>58.461365514255618</v>
      </c>
      <c r="Q172" s="1">
        <f t="shared" si="82"/>
        <v>-89.839296435156669</v>
      </c>
      <c r="R172" s="1" t="str">
        <f t="shared" si="83"/>
        <v>28.4974686981566-1.45099431563766i</v>
      </c>
      <c r="S172" s="1">
        <f t="shared" si="84"/>
        <v>29.107370223229367</v>
      </c>
      <c r="T172" s="1">
        <f t="shared" si="85"/>
        <v>-2.9147893647669219</v>
      </c>
      <c r="U172" s="1" t="str">
        <f>IMPRODUCT(COMPLEX(-1,0),IMDIV(COMPLEX(1,C172*Calculations!$B$195*Calculations!$B$197),IMPRODUCT(COMPLEX(0,C172*Calculations!$B$184),COMPLEX((Calculations!$B$197+Calculations!$B$199),C172*Calculations!$B$195*Calculations!$B$197*Calculations!$B$199))))</f>
        <v>-1.42674946465946+60.4306520606326i</v>
      </c>
      <c r="V172" s="1">
        <f t="shared" si="86"/>
        <v>35.627565768748859</v>
      </c>
      <c r="W172" s="1">
        <f t="shared" si="87"/>
        <v>91.352484807145174</v>
      </c>
      <c r="X172" s="1" t="str">
        <f t="shared" si="88"/>
        <v>47.0257844210105+1724.19082087013i</v>
      </c>
      <c r="Y172" s="1">
        <f t="shared" si="89"/>
        <v>64.734935991978219</v>
      </c>
      <c r="Z172" s="1">
        <f t="shared" si="90"/>
        <v>88.437695442378256</v>
      </c>
    </row>
    <row r="173" spans="2:93">
      <c r="B173" s="1">
        <v>5</v>
      </c>
      <c r="C173" s="1">
        <f t="shared" si="68"/>
        <v>31.415926535897931</v>
      </c>
      <c r="D173" s="83" t="str">
        <f t="shared" si="69"/>
        <v>3.80273461735772-0.470478091077257i</v>
      </c>
      <c r="E173" s="1">
        <f t="shared" si="70"/>
        <v>11.667893669656902</v>
      </c>
      <c r="F173" s="1">
        <f t="shared" si="71"/>
        <v>-7.0528505582056678</v>
      </c>
      <c r="G173" s="1" t="str">
        <f t="shared" si="72"/>
        <v>189.018141109858+11.6441857256659i</v>
      </c>
      <c r="H173" s="1">
        <f t="shared" si="77"/>
        <v>45.546520017713732</v>
      </c>
      <c r="I173" s="1">
        <f t="shared" si="78"/>
        <v>3.5251677469140441</v>
      </c>
      <c r="J173" s="83" t="str">
        <f t="shared" si="73"/>
        <v>135.009740542172-0.0534836085362728i</v>
      </c>
      <c r="K173" s="1">
        <f t="shared" si="79"/>
        <v>42.607302734574304</v>
      </c>
      <c r="L173" s="1">
        <f t="shared" si="80"/>
        <v>-2.2697509599325538E-2</v>
      </c>
      <c r="M173" s="1">
        <f t="shared" si="74"/>
        <v>0.192</v>
      </c>
      <c r="N173" s="1">
        <f t="shared" si="75"/>
        <v>2.5000000000000001E-2</v>
      </c>
      <c r="O173" s="1" t="str">
        <f t="shared" si="76"/>
        <v>2.34947368087141-670.126164749475i</v>
      </c>
      <c r="P173" s="1">
        <f t="shared" si="81"/>
        <v>56.523184885488106</v>
      </c>
      <c r="Q173" s="1">
        <f t="shared" si="82"/>
        <v>-89.799120849913052</v>
      </c>
      <c r="R173" s="1" t="str">
        <f t="shared" si="83"/>
        <v>28.4560345381766-1.8111024387279i</v>
      </c>
      <c r="S173" s="1">
        <f t="shared" si="84"/>
        <v>29.10104430873233</v>
      </c>
      <c r="T173" s="1">
        <f t="shared" si="85"/>
        <v>-3.6417144272930311</v>
      </c>
      <c r="U173" s="1" t="str">
        <f>IMPRODUCT(COMPLEX(-1,0),IMDIV(COMPLEX(1,C173*Calculations!$B$195*Calculations!$B$197),IMPRODUCT(COMPLEX(0,C173*Calculations!$B$184),COMPLEX((Calculations!$B$197+Calculations!$B$199),C173*Calculations!$B$195*Calculations!$B$197*Calculations!$B$199))))</f>
        <v>-1.4267494644772+48.3445313240239i</v>
      </c>
      <c r="V173" s="1">
        <f t="shared" si="86"/>
        <v>33.69072799329556</v>
      </c>
      <c r="W173" s="1">
        <f t="shared" si="87"/>
        <v>91.690429093991909</v>
      </c>
      <c r="X173" s="1" t="str">
        <f t="shared" si="88"/>
        <v>46.9572665416089+1378.27764252295i</v>
      </c>
      <c r="Y173" s="1">
        <f t="shared" si="89"/>
        <v>62.791772302027873</v>
      </c>
      <c r="Z173" s="1">
        <f t="shared" si="90"/>
        <v>88.048714666698871</v>
      </c>
    </row>
    <row r="174" spans="2:93">
      <c r="B174" s="1">
        <v>6</v>
      </c>
      <c r="C174" s="1">
        <f t="shared" si="68"/>
        <v>37.699111843077517</v>
      </c>
      <c r="D174" s="83" t="str">
        <f t="shared" si="69"/>
        <v>3.77765022199864-0.560845632412749i</v>
      </c>
      <c r="E174" s="1">
        <f t="shared" si="70"/>
        <v>11.639120619243002</v>
      </c>
      <c r="F174" s="1">
        <f t="shared" si="71"/>
        <v>-8.4446849848597338</v>
      </c>
      <c r="G174" s="1" t="str">
        <f t="shared" si="72"/>
        <v>189.02154927976+13.9731275545734i</v>
      </c>
      <c r="H174" s="1">
        <f t="shared" si="77"/>
        <v>45.553894555221405</v>
      </c>
      <c r="I174" s="1">
        <f t="shared" si="78"/>
        <v>4.227812430879462</v>
      </c>
      <c r="J174" s="83" t="str">
        <f t="shared" si="73"/>
        <v>135.010759225941-0.0641812885057895i</v>
      </c>
      <c r="K174" s="1">
        <f t="shared" si="79"/>
        <v>42.607368571528816</v>
      </c>
      <c r="L174" s="1">
        <f t="shared" si="80"/>
        <v>-2.7237212050135975E-2</v>
      </c>
      <c r="M174" s="1">
        <f t="shared" si="74"/>
        <v>0.192</v>
      </c>
      <c r="N174" s="1">
        <f t="shared" si="75"/>
        <v>2.5000000000000001E-2</v>
      </c>
      <c r="O174" s="1" t="str">
        <f t="shared" si="76"/>
        <v>2.34947367940219-558.438503101355i</v>
      </c>
      <c r="P174" s="1">
        <f t="shared" si="81"/>
        <v>54.939583958340592</v>
      </c>
      <c r="Q174" s="1">
        <f t="shared" si="82"/>
        <v>-89.758945468644882</v>
      </c>
      <c r="R174" s="1" t="str">
        <f t="shared" si="83"/>
        <v>28.405556359935-2.16946276678326i</v>
      </c>
      <c r="S174" s="1">
        <f t="shared" si="84"/>
        <v>29.093325137518086</v>
      </c>
      <c r="T174" s="1">
        <f t="shared" si="85"/>
        <v>-4.3674630130062519</v>
      </c>
      <c r="U174" s="1" t="str">
        <f>IMPRODUCT(COMPLEX(-1,0),IMDIV(COMPLEX(1,C174*Calculations!$B$195*Calculations!$B$197),IMPRODUCT(COMPLEX(0,C174*Calculations!$B$184),COMPLEX((Calculations!$B$197+Calculations!$B$199),C174*Calculations!$B$195*Calculations!$B$197*Calculations!$B$199))))</f>
        <v>-1.42674946425443+40.2871192913807i</v>
      </c>
      <c r="V174" s="1">
        <f t="shared" si="86"/>
        <v>32.108767751159803</v>
      </c>
      <c r="W174" s="1">
        <f t="shared" si="87"/>
        <v>92.028255546046211</v>
      </c>
      <c r="X174" s="1" t="str">
        <f t="shared" si="88"/>
        <v>46.8737929652197+1147.47331745097i</v>
      </c>
      <c r="Y174" s="1">
        <f t="shared" si="89"/>
        <v>61.20209288867791</v>
      </c>
      <c r="Z174" s="1">
        <f t="shared" si="90"/>
        <v>87.660792533039981</v>
      </c>
    </row>
    <row r="175" spans="2:93">
      <c r="B175" s="1">
        <v>7</v>
      </c>
      <c r="C175" s="1">
        <f t="shared" si="68"/>
        <v>43.982297150257104</v>
      </c>
      <c r="D175" s="83" t="str">
        <f t="shared" si="69"/>
        <v>3.74842882754053-0.649253160631163i</v>
      </c>
      <c r="E175" s="1">
        <f t="shared" si="70"/>
        <v>11.605360063473373</v>
      </c>
      <c r="F175" s="1">
        <f t="shared" si="71"/>
        <v>-9.8265224601117591</v>
      </c>
      <c r="G175" s="1" t="str">
        <f t="shared" si="72"/>
        <v>189.025577221818+16.3021264860597i</v>
      </c>
      <c r="H175" s="1">
        <f t="shared" si="77"/>
        <v>45.562594090410037</v>
      </c>
      <c r="I175" s="1">
        <f t="shared" si="78"/>
        <v>4.9291613403876653</v>
      </c>
      <c r="J175" s="83" t="str">
        <f t="shared" si="73"/>
        <v>135.011963144566-0.0748794911969233i</v>
      </c>
      <c r="K175" s="1">
        <f t="shared" si="79"/>
        <v>42.607446379475149</v>
      </c>
      <c r="L175" s="1">
        <f t="shared" si="80"/>
        <v>-3.1777023886286684E-2</v>
      </c>
      <c r="M175" s="1">
        <f t="shared" si="74"/>
        <v>0.192</v>
      </c>
      <c r="N175" s="1">
        <f t="shared" si="75"/>
        <v>2.5000000000000001E-2</v>
      </c>
      <c r="O175" s="1" t="str">
        <f t="shared" si="76"/>
        <v>2.34947367766584-478.661606985445i</v>
      </c>
      <c r="P175" s="1">
        <f t="shared" si="81"/>
        <v>53.600676521872373</v>
      </c>
      <c r="Q175" s="1">
        <f t="shared" si="82"/>
        <v>-89.718770332144544</v>
      </c>
      <c r="R175" s="1" t="str">
        <f t="shared" si="83"/>
        <v>28.3461310734004-2.52573813956964i</v>
      </c>
      <c r="S175" s="1">
        <f t="shared" si="84"/>
        <v>29.084220147899359</v>
      </c>
      <c r="T175" s="1">
        <f t="shared" si="85"/>
        <v>-5.0918048371182314</v>
      </c>
      <c r="U175" s="1" t="str">
        <f>IMPRODUCT(COMPLEX(-1,0),IMDIV(COMPLEX(1,C175*Calculations!$B$195*Calculations!$B$197),IMPRODUCT(COMPLEX(0,C175*Calculations!$B$184),COMPLEX((Calculations!$B$197+Calculations!$B$199),C175*Calculations!$B$195*Calculations!$B$197*Calculations!$B$199))))</f>
        <v>-1.42674946399116+34.5318265181464i</v>
      </c>
      <c r="V175" s="1">
        <f t="shared" si="86"/>
        <v>30.771798483941414</v>
      </c>
      <c r="W175" s="1">
        <f t="shared" si="87"/>
        <v>92.365940704702908</v>
      </c>
      <c r="X175" s="1" t="str">
        <f t="shared" si="88"/>
        <v>46.7755239506875+982.447276224115i</v>
      </c>
      <c r="Y175" s="1">
        <f t="shared" si="89"/>
        <v>59.856018631840769</v>
      </c>
      <c r="Z175" s="1">
        <f t="shared" si="90"/>
        <v>87.27413586758469</v>
      </c>
    </row>
    <row r="176" spans="2:93">
      <c r="B176" s="1">
        <v>8</v>
      </c>
      <c r="C176" s="1">
        <f t="shared" si="68"/>
        <v>50.26548245743669</v>
      </c>
      <c r="D176" s="83" t="str">
        <f t="shared" si="69"/>
        <v>3.71526919832895-0.735432640024687i</v>
      </c>
      <c r="E176" s="1">
        <f t="shared" si="70"/>
        <v>11.566728920037928</v>
      </c>
      <c r="F176" s="1">
        <f t="shared" si="71"/>
        <v>-11.196876598672395</v>
      </c>
      <c r="G176" s="1" t="str">
        <f t="shared" si="72"/>
        <v>189.030224988486+18.6311920391701i</v>
      </c>
      <c r="H176" s="1">
        <f t="shared" si="77"/>
        <v>45.572610794029025</v>
      </c>
      <c r="I176" s="1">
        <f t="shared" si="78"/>
        <v>5.6290045015974766</v>
      </c>
      <c r="J176" s="83" t="str">
        <f t="shared" si="73"/>
        <v>135.013352307864-0.0855783037560273i</v>
      </c>
      <c r="K176" s="1">
        <f t="shared" si="79"/>
        <v>42.607536158731776</v>
      </c>
      <c r="L176" s="1">
        <f t="shared" si="80"/>
        <v>-3.6316963342046517E-2</v>
      </c>
      <c r="M176" s="1">
        <f t="shared" si="74"/>
        <v>0.192</v>
      </c>
      <c r="N176" s="1">
        <f t="shared" si="75"/>
        <v>2.5000000000000001E-2</v>
      </c>
      <c r="O176" s="1" t="str">
        <f t="shared" si="76"/>
        <v>2.34947367566236-418.828939327165i</v>
      </c>
      <c r="P176" s="1">
        <f t="shared" si="81"/>
        <v>52.440870300716249</v>
      </c>
      <c r="Q176" s="1">
        <f t="shared" si="82"/>
        <v>-89.678595481202947</v>
      </c>
      <c r="R176" s="1" t="str">
        <f t="shared" si="83"/>
        <v>28.2778721021022-2.87959802127276i</v>
      </c>
      <c r="S176" s="1">
        <f t="shared" si="84"/>
        <v>29.073738073986391</v>
      </c>
      <c r="T176" s="1">
        <f t="shared" si="85"/>
        <v>-5.8145123078517837</v>
      </c>
      <c r="U176" s="1" t="str">
        <f>IMPRODUCT(COMPLEX(-1,0),IMDIV(COMPLEX(1,C176*Calculations!$B$195*Calculations!$B$197),IMPRODUCT(COMPLEX(0,C176*Calculations!$B$184),COMPLEX((Calculations!$B$197+Calculations!$B$199),C176*Calculations!$B$195*Calculations!$B$197*Calculations!$B$199))))</f>
        <v>-1.42674946368739+30.2153582820426i</v>
      </c>
      <c r="V176" s="1">
        <f t="shared" si="86"/>
        <v>29.6142275062113</v>
      </c>
      <c r="W176" s="1">
        <f t="shared" si="87"/>
        <v>92.703461170271325</v>
      </c>
      <c r="X176" s="1" t="str">
        <f t="shared" si="88"/>
        <v>46.6626470651225+858.534501951281i</v>
      </c>
      <c r="Y176" s="1">
        <f t="shared" si="89"/>
        <v>58.687965580197684</v>
      </c>
      <c r="Z176" s="1">
        <f t="shared" si="90"/>
        <v>86.888948862419525</v>
      </c>
    </row>
    <row r="177" spans="2:26">
      <c r="B177" s="1">
        <v>9</v>
      </c>
      <c r="C177" s="1">
        <f t="shared" si="68"/>
        <v>56.548667764616276</v>
      </c>
      <c r="D177" s="83" t="str">
        <f t="shared" si="69"/>
        <v>3.67839121605724-0.819140436370022i</v>
      </c>
      <c r="E177" s="1">
        <f t="shared" si="70"/>
        <v>11.5233583870366</v>
      </c>
      <c r="F177" s="1">
        <f t="shared" si="71"/>
        <v>-12.554338141381461</v>
      </c>
      <c r="G177" s="1" t="str">
        <f t="shared" si="72"/>
        <v>189.035492640294+20.9603337338487i</v>
      </c>
      <c r="H177" s="1">
        <f t="shared" si="77"/>
        <v>45.583935696453004</v>
      </c>
      <c r="I177" s="1">
        <f t="shared" si="78"/>
        <v>6.3271346542089324</v>
      </c>
      <c r="J177" s="83" t="str">
        <f t="shared" si="73"/>
        <v>135.014926727158-0.0962778133428982i</v>
      </c>
      <c r="K177" s="1">
        <f t="shared" si="79"/>
        <v>42.607637909665861</v>
      </c>
      <c r="L177" s="1">
        <f t="shared" si="80"/>
        <v>-4.0857048653840704E-2</v>
      </c>
      <c r="M177" s="1">
        <f t="shared" si="74"/>
        <v>0.192</v>
      </c>
      <c r="N177" s="1">
        <f t="shared" si="75"/>
        <v>2.5000000000000001E-2</v>
      </c>
      <c r="O177" s="1" t="str">
        <f t="shared" si="76"/>
        <v>2.34947367339177-372.292423973973i</v>
      </c>
      <c r="P177" s="1">
        <f t="shared" si="81"/>
        <v>51.417856932321222</v>
      </c>
      <c r="Q177" s="1">
        <f t="shared" si="82"/>
        <v>-89.638420956609266</v>
      </c>
      <c r="R177" s="1" t="str">
        <f t="shared" si="83"/>
        <v>28.2009088473088-3.2307194913977i</v>
      </c>
      <c r="S177" s="1">
        <f t="shared" si="84"/>
        <v>29.061888918043319</v>
      </c>
      <c r="T177" s="1">
        <f t="shared" si="85"/>
        <v>-6.5353609424336314</v>
      </c>
      <c r="U177" s="1" t="str">
        <f>IMPRODUCT(COMPLEX(-1,0),IMDIV(COMPLEX(1,C177*Calculations!$B$195*Calculations!$B$197),IMPRODUCT(COMPLEX(0,C177*Calculations!$B$184),COMPLEX((Calculations!$B$197+Calculations!$B$199),C177*Calculations!$B$195*Calculations!$B$197*Calculations!$B$199))))</f>
        <v>-1.42674946334312+26.8581064040257i</v>
      </c>
      <c r="V177" s="1">
        <f t="shared" si="86"/>
        <v>28.593745983038591</v>
      </c>
      <c r="W177" s="1">
        <f t="shared" si="87"/>
        <v>93.04079361163889</v>
      </c>
      <c r="X177" s="1" t="str">
        <f t="shared" si="88"/>
        <v>46.5353762978332+762.032437811813i</v>
      </c>
      <c r="Y177" s="1">
        <f t="shared" si="89"/>
        <v>57.65563490108191</v>
      </c>
      <c r="Z177" s="1">
        <f t="shared" si="90"/>
        <v>86.505432669205263</v>
      </c>
    </row>
    <row r="178" spans="2:26">
      <c r="B178" s="1">
        <v>10</v>
      </c>
      <c r="C178" s="1">
        <f t="shared" si="68"/>
        <v>62.831853071795862</v>
      </c>
      <c r="D178" s="83" t="str">
        <f t="shared" si="69"/>
        <v>3.63803242193304-0.900159075822613i</v>
      </c>
      <c r="E178" s="1">
        <f t="shared" si="70"/>
        <v>11.475392530235304</v>
      </c>
      <c r="F178" s="1">
        <f t="shared" si="71"/>
        <v>-13.897582094319024</v>
      </c>
      <c r="G178" s="1" t="str">
        <f t="shared" si="72"/>
        <v>189.041380245848+23.2895610910689i</v>
      </c>
      <c r="H178" s="1">
        <f t="shared" si="77"/>
        <v>45.596558714370651</v>
      </c>
      <c r="I178" s="1">
        <f t="shared" si="78"/>
        <v>7.0233476037713753</v>
      </c>
      <c r="J178" s="83" t="str">
        <f t="shared" si="73"/>
        <v>135.01668641528-0.106978107132416i</v>
      </c>
      <c r="K178" s="1">
        <f t="shared" si="79"/>
        <v>42.607751632693464</v>
      </c>
      <c r="L178" s="1">
        <f t="shared" si="80"/>
        <v>-4.5397298060438941E-2</v>
      </c>
      <c r="M178" s="1">
        <f t="shared" si="74"/>
        <v>0.192</v>
      </c>
      <c r="N178" s="1">
        <f t="shared" si="75"/>
        <v>2.5000000000000001E-2</v>
      </c>
      <c r="O178" s="1" t="str">
        <f t="shared" si="76"/>
        <v>2.34947367085402-335.063215234342i</v>
      </c>
      <c r="P178" s="1">
        <f t="shared" si="81"/>
        <v>50.502748563703513</v>
      </c>
      <c r="Q178" s="1">
        <f t="shared" si="82"/>
        <v>-89.598246799150743</v>
      </c>
      <c r="R178" s="1" t="str">
        <f t="shared" si="83"/>
        <v>28.1153860827802-3.57878818584412i</v>
      </c>
      <c r="S178" s="1">
        <f t="shared" si="84"/>
        <v>29.048683919094422</v>
      </c>
      <c r="T178" s="1">
        <f t="shared" si="85"/>
        <v>-7.2541297684726302</v>
      </c>
      <c r="U178" s="1" t="str">
        <f>IMPRODUCT(COMPLEX(-1,0),IMDIV(COMPLEX(1,C178*Calculations!$B$195*Calculations!$B$197),IMPRODUCT(COMPLEX(0,C178*Calculations!$B$184),COMPLEX((Calculations!$B$197+Calculations!$B$199),C178*Calculations!$B$195*Calculations!$B$197*Calculations!$B$199))))</f>
        <v>-1.42674946295834+24.1723059766699i</v>
      </c>
      <c r="V178" s="1">
        <f t="shared" si="86"/>
        <v>27.681465527069125</v>
      </c>
      <c r="W178" s="1">
        <f t="shared" si="87"/>
        <v>93.377914775863502</v>
      </c>
      <c r="X178" s="1" t="str">
        <f t="shared" si="88"/>
        <v>46.3939510594424+684.719749167364i</v>
      </c>
      <c r="Y178" s="1">
        <f t="shared" si="89"/>
        <v>56.730149446163544</v>
      </c>
      <c r="Z178" s="1">
        <f t="shared" si="90"/>
        <v>86.123785007390879</v>
      </c>
    </row>
    <row r="179" spans="2:26">
      <c r="B179" s="1">
        <v>20</v>
      </c>
      <c r="C179" s="1">
        <f t="shared" si="68"/>
        <v>125.66370614359172</v>
      </c>
      <c r="D179" s="83" t="str">
        <f t="shared" si="69"/>
        <v>3.10093546917965-1.53423789162777i</v>
      </c>
      <c r="E179" s="1">
        <f t="shared" si="70"/>
        <v>10.780827828489363</v>
      </c>
      <c r="F179" s="1">
        <f t="shared" si="71"/>
        <v>-26.324647101252864</v>
      </c>
      <c r="G179" s="1" t="str">
        <f t="shared" si="72"/>
        <v>189.134374629225+46.5886417096559i</v>
      </c>
      <c r="H179" s="1">
        <f t="shared" si="77"/>
        <v>45.791238046907729</v>
      </c>
      <c r="I179" s="1">
        <f t="shared" si="78"/>
        <v>13.83793013922836</v>
      </c>
      <c r="J179" s="83" t="str">
        <f t="shared" si="73"/>
        <v>135.044476986426-0.214043368227808i</v>
      </c>
      <c r="K179" s="1">
        <f t="shared" si="79"/>
        <v>42.609547454722652</v>
      </c>
      <c r="L179" s="1">
        <f t="shared" si="80"/>
        <v>-9.0812831715268105E-2</v>
      </c>
      <c r="M179" s="1">
        <f t="shared" si="74"/>
        <v>0.192</v>
      </c>
      <c r="N179" s="1">
        <f t="shared" si="75"/>
        <v>2.5000000000000001E-2</v>
      </c>
      <c r="O179" s="1" t="str">
        <f t="shared" si="76"/>
        <v>2.34947363078451-167.531873336377i</v>
      </c>
      <c r="P179" s="1">
        <f t="shared" si="81"/>
        <v>44.482802954775018</v>
      </c>
      <c r="Q179" s="1">
        <f t="shared" si="82"/>
        <v>-89.196534388288583</v>
      </c>
      <c r="R179" s="1" t="str">
        <f t="shared" si="83"/>
        <v>26.8307324898581-6.83011048452343i</v>
      </c>
      <c r="S179" s="1">
        <f t="shared" si="84"/>
        <v>28.845340377738076</v>
      </c>
      <c r="T179" s="1">
        <f t="shared" si="85"/>
        <v>-14.282037292954614</v>
      </c>
      <c r="U179" s="1" t="str">
        <f>IMPRODUCT(COMPLEX(-1,0),IMDIV(COMPLEX(1,C179*Calculations!$B$195*Calculations!$B$197),IMPRODUCT(COMPLEX(0,C179*Calculations!$B$184),COMPLEX((Calculations!$B$197+Calculations!$B$199),C179*Calculations!$B$195*Calculations!$B$197*Calculations!$B$199))))</f>
        <v>-1.42674945688291+12.0862336176503i</v>
      </c>
      <c r="V179" s="1">
        <f t="shared" si="86"/>
        <v>21.705921730528942</v>
      </c>
      <c r="W179" s="1">
        <f t="shared" si="87"/>
        <v>96.732465157752742</v>
      </c>
      <c r="X179" s="1" t="str">
        <f t="shared" si="88"/>
        <v>44.2695779426372+334.027357429349i</v>
      </c>
      <c r="Y179" s="1">
        <f t="shared" si="89"/>
        <v>50.551262108267011</v>
      </c>
      <c r="Z179" s="1">
        <f t="shared" si="90"/>
        <v>82.450427864798129</v>
      </c>
    </row>
    <row r="180" spans="2:26">
      <c r="B180" s="1">
        <v>30</v>
      </c>
      <c r="C180" s="1">
        <f t="shared" si="68"/>
        <v>188.49555921538757</v>
      </c>
      <c r="D180" s="83" t="str">
        <f t="shared" si="69"/>
        <v>2.48884889525496-1.84651115108605i</v>
      </c>
      <c r="E180" s="1">
        <f t="shared" si="70"/>
        <v>9.824508967269022</v>
      </c>
      <c r="F180" s="1">
        <f t="shared" si="71"/>
        <v>-36.572226840232126</v>
      </c>
      <c r="G180" s="1" t="str">
        <f t="shared" si="72"/>
        <v>189.289499918647+69.9067742421271i</v>
      </c>
      <c r="H180" s="1">
        <f t="shared" si="77"/>
        <v>46.097808049517482</v>
      </c>
      <c r="I180" s="1">
        <f t="shared" si="78"/>
        <v>20.269763977606004</v>
      </c>
      <c r="J180" s="83" t="str">
        <f t="shared" si="73"/>
        <v>135.090819788597-0.321283115978699i</v>
      </c>
      <c r="K180" s="1">
        <f t="shared" si="79"/>
        <v>42.612541307947026</v>
      </c>
      <c r="L180" s="1">
        <f t="shared" si="80"/>
        <v>-0.1362648616435144</v>
      </c>
      <c r="M180" s="1">
        <f t="shared" si="74"/>
        <v>0.192</v>
      </c>
      <c r="N180" s="1">
        <f t="shared" si="75"/>
        <v>2.5000000000000001E-2</v>
      </c>
      <c r="O180" s="1" t="str">
        <f t="shared" si="76"/>
        <v>2.34947356400198-111.688210801133i</v>
      </c>
      <c r="P180" s="1">
        <f t="shared" si="81"/>
        <v>40.962068061851447</v>
      </c>
      <c r="Q180" s="1">
        <f t="shared" si="82"/>
        <v>-88.794903532821849</v>
      </c>
      <c r="R180" s="1" t="str">
        <f t="shared" si="83"/>
        <v>24.932398242426-9.51932159473482i</v>
      </c>
      <c r="S180" s="1">
        <f t="shared" si="84"/>
        <v>28.52627558995124</v>
      </c>
      <c r="T180" s="1">
        <f t="shared" si="85"/>
        <v>-20.897120938845489</v>
      </c>
      <c r="U180" s="1" t="str">
        <f>IMPRODUCT(COMPLEX(-1,0),IMDIV(COMPLEX(1,C180*Calculations!$B$195*Calculations!$B$197),IMPRODUCT(COMPLEX(0,C180*Calculations!$B$184),COMPLEX((Calculations!$B$197+Calculations!$B$199),C180*Calculations!$B$195*Calculations!$B$197*Calculations!$B$199))))</f>
        <v>-1.42674944675719+8.05757866656069i</v>
      </c>
      <c r="V180" s="1">
        <f t="shared" si="86"/>
        <v>18.258166640151284</v>
      </c>
      <c r="W180" s="1">
        <f t="shared" si="87"/>
        <v>100.04124149682123</v>
      </c>
      <c r="X180" s="1" t="str">
        <f t="shared" si="88"/>
        <v>41.1303972031545+214.476447003159i</v>
      </c>
      <c r="Y180" s="1">
        <f t="shared" si="89"/>
        <v>46.784442230102535</v>
      </c>
      <c r="Z180" s="1">
        <f t="shared" si="90"/>
        <v>79.144120557975768</v>
      </c>
    </row>
    <row r="181" spans="2:26">
      <c r="B181" s="1">
        <v>40</v>
      </c>
      <c r="C181" s="1">
        <f t="shared" si="68"/>
        <v>251.32741228718345</v>
      </c>
      <c r="D181" s="83" t="str">
        <f t="shared" si="69"/>
        <v>1.95030610018228-1.92842179442898i</v>
      </c>
      <c r="E181" s="1">
        <f t="shared" si="70"/>
        <v>8.7636245630384053</v>
      </c>
      <c r="F181" s="1">
        <f t="shared" si="71"/>
        <v>-44.676732916984378</v>
      </c>
      <c r="G181" s="1" t="str">
        <f t="shared" si="72"/>
        <v>189.506958487434+93.2535168287001i</v>
      </c>
      <c r="H181" s="1">
        <f t="shared" si="77"/>
        <v>46.494235169769844</v>
      </c>
      <c r="I181" s="1">
        <f t="shared" si="78"/>
        <v>26.201103321398218</v>
      </c>
      <c r="J181" s="83" t="str">
        <f t="shared" si="73"/>
        <v>135.155752650624-0.428785041221836i</v>
      </c>
      <c r="K181" s="1">
        <f t="shared" si="79"/>
        <v>42.6167344182901</v>
      </c>
      <c r="L181" s="1">
        <f t="shared" si="80"/>
        <v>-0.18177169876618929</v>
      </c>
      <c r="M181" s="1">
        <f t="shared" si="74"/>
        <v>0.192</v>
      </c>
      <c r="N181" s="1">
        <f t="shared" si="75"/>
        <v>2.5000000000000001E-2</v>
      </c>
      <c r="O181" s="1" t="str">
        <f t="shared" si="76"/>
        <v>2.34947347050649-83.7664681065555i</v>
      </c>
      <c r="P181" s="1">
        <f t="shared" si="81"/>
        <v>38.464819273352859</v>
      </c>
      <c r="Q181" s="1">
        <f t="shared" si="82"/>
        <v>-88.393394949038239</v>
      </c>
      <c r="R181" s="1" t="str">
        <f t="shared" si="83"/>
        <v>22.6859226318221-11.547152786945i</v>
      </c>
      <c r="S181" s="1">
        <f t="shared" si="84"/>
        <v>28.115668447719905</v>
      </c>
      <c r="T181" s="1">
        <f t="shared" si="85"/>
        <v>-26.976130400458313</v>
      </c>
      <c r="U181" s="1" t="str">
        <f>IMPRODUCT(COMPLEX(-1,0),IMDIV(COMPLEX(1,C181*Calculations!$B$195*Calculations!$B$197),IMPRODUCT(COMPLEX(0,C181*Calculations!$B$184),COMPLEX((Calculations!$B$197+Calculations!$B$199),C181*Calculations!$B$195*Calculations!$B$197*Calculations!$B$199))))</f>
        <v>-1.42674943258119+6.0432780674525i</v>
      </c>
      <c r="V181" s="1">
        <f t="shared" si="86"/>
        <v>15.861012501451221</v>
      </c>
      <c r="W181" s="1">
        <f t="shared" si="87"/>
        <v>103.28364815480812</v>
      </c>
      <c r="X181" s="1" t="str">
        <f t="shared" si="88"/>
        <v>37.4155279363348+153.572232367517i</v>
      </c>
      <c r="Y181" s="1">
        <f t="shared" si="89"/>
        <v>43.97668094917114</v>
      </c>
      <c r="Z181" s="1">
        <f t="shared" si="90"/>
        <v>76.307517754349817</v>
      </c>
    </row>
    <row r="182" spans="2:26">
      <c r="B182" s="1">
        <v>50</v>
      </c>
      <c r="C182" s="1">
        <f t="shared" si="68"/>
        <v>314.15926535897933</v>
      </c>
      <c r="D182" s="83" t="str">
        <f t="shared" si="69"/>
        <v>1.52615236975937-1.8852080511299i</v>
      </c>
      <c r="E182" s="1">
        <f t="shared" si="70"/>
        <v>7.6960995488698201</v>
      </c>
      <c r="F182" s="1">
        <f t="shared" si="71"/>
        <v>-51.008426393426653</v>
      </c>
      <c r="G182" s="1" t="str">
        <f t="shared" si="72"/>
        <v>189.787034455481+116.638466330915i</v>
      </c>
      <c r="H182" s="1">
        <f t="shared" si="77"/>
        <v>46.956887074607863</v>
      </c>
      <c r="I182" s="1">
        <f t="shared" si="78"/>
        <v>31.573866017521187</v>
      </c>
      <c r="J182" s="83" t="str">
        <f t="shared" si="73"/>
        <v>135.239328639991-0.536637373722695i</v>
      </c>
      <c r="K182" s="1">
        <f t="shared" si="79"/>
        <v>42.622128504370352</v>
      </c>
      <c r="L182" s="1">
        <f t="shared" si="80"/>
        <v>-0.22735172954738939</v>
      </c>
      <c r="M182" s="1">
        <f t="shared" si="74"/>
        <v>0.192</v>
      </c>
      <c r="N182" s="1">
        <f t="shared" si="75"/>
        <v>2.5000000000000001E-2</v>
      </c>
      <c r="O182" s="1" t="str">
        <f t="shared" si="76"/>
        <v>2.34947335029796-67.0134933482264i</v>
      </c>
      <c r="P182" s="1">
        <f t="shared" si="81"/>
        <v>36.528580153091262</v>
      </c>
      <c r="Q182" s="1">
        <f t="shared" si="82"/>
        <v>-87.992049279637087</v>
      </c>
      <c r="R182" s="1" t="str">
        <f t="shared" si="83"/>
        <v>20.3314822821782-12.9335489857503i</v>
      </c>
      <c r="S182" s="1">
        <f t="shared" si="84"/>
        <v>27.639113347353703</v>
      </c>
      <c r="T182" s="1">
        <f t="shared" si="85"/>
        <v>-32.461830172885414</v>
      </c>
      <c r="U182" s="1" t="str">
        <f>IMPRODUCT(COMPLEX(-1,0),IMDIV(COMPLEX(1,C182*Calculations!$B$195*Calculations!$B$197),IMPRODUCT(COMPLEX(0,C182*Calculations!$B$184),COMPLEX((Calculations!$B$197+Calculations!$B$199),C182*Calculations!$B$195*Calculations!$B$197*Calculations!$B$199))))</f>
        <v>-1.42674941435491+4.83471920913552i</v>
      </c>
      <c r="V182" s="1">
        <f t="shared" si="86"/>
        <v>14.050067796465219</v>
      </c>
      <c r="W182" s="1">
        <f t="shared" si="87"/>
        <v>106.44158915330388</v>
      </c>
      <c r="X182" s="1" t="str">
        <f t="shared" si="88"/>
        <v>33.5221472846372+116.749941380795i</v>
      </c>
      <c r="Y182" s="1">
        <f t="shared" si="89"/>
        <v>41.689181143818899</v>
      </c>
      <c r="Z182" s="1">
        <f t="shared" si="90"/>
        <v>73.979758980418467</v>
      </c>
    </row>
    <row r="183" spans="2:26">
      <c r="B183" s="1">
        <v>60</v>
      </c>
      <c r="C183" s="1">
        <f t="shared" si="68"/>
        <v>376.99111843077515</v>
      </c>
      <c r="D183" s="83" t="str">
        <f t="shared" si="69"/>
        <v>1.20599380511349-1.78642565775049i</v>
      </c>
      <c r="E183" s="1">
        <f t="shared" si="70"/>
        <v>6.6705468467393292</v>
      </c>
      <c r="F183" s="1">
        <f t="shared" si="71"/>
        <v>-55.977202175816601</v>
      </c>
      <c r="G183" s="1" t="str">
        <f t="shared" si="72"/>
        <v>190.130094491164+140.071271408259i</v>
      </c>
      <c r="H183" s="1">
        <f t="shared" si="77"/>
        <v>47.463960804051553</v>
      </c>
      <c r="I183" s="1">
        <f t="shared" si="78"/>
        <v>36.379549305217949</v>
      </c>
      <c r="J183" s="83" t="str">
        <f t="shared" si="73"/>
        <v>135.341616170418-0.644929065031301i</v>
      </c>
      <c r="K183" s="1">
        <f t="shared" si="79"/>
        <v>42.628725779833431</v>
      </c>
      <c r="L183" s="1">
        <f t="shared" si="80"/>
        <v>-0.27302344151453128</v>
      </c>
      <c r="M183" s="1">
        <f t="shared" si="74"/>
        <v>0.192</v>
      </c>
      <c r="N183" s="1">
        <f t="shared" si="75"/>
        <v>2.5000000000000001E-2</v>
      </c>
      <c r="O183" s="1" t="str">
        <f t="shared" si="76"/>
        <v>2.34947320337647-55.8449025580037i</v>
      </c>
      <c r="P183" s="1">
        <f t="shared" si="81"/>
        <v>34.947350978602252</v>
      </c>
      <c r="Q183" s="1">
        <f t="shared" si="82"/>
        <v>-87.590907069371994</v>
      </c>
      <c r="R183" s="1" t="str">
        <f t="shared" si="83"/>
        <v>18.0437529306049-13.7708111018523i</v>
      </c>
      <c r="S183" s="1">
        <f t="shared" si="84"/>
        <v>27.119861874564528</v>
      </c>
      <c r="T183" s="1">
        <f t="shared" si="85"/>
        <v>-37.350510092437787</v>
      </c>
      <c r="U183" s="1" t="str">
        <f>IMPRODUCT(COMPLEX(-1,0),IMDIV(COMPLEX(1,C183*Calculations!$B$195*Calculations!$B$197),IMPRODUCT(COMPLEX(0,C183*Calculations!$B$184),COMPLEX((Calculations!$B$197+Calculations!$B$199),C183*Calculations!$B$195*Calculations!$B$197*Calculations!$B$199))))</f>
        <v>-1.42674939207834+4.02903122121279i</v>
      </c>
      <c r="V183" s="1">
        <f t="shared" si="86"/>
        <v>12.617077964389535</v>
      </c>
      <c r="W183" s="1">
        <f t="shared" si="87"/>
        <v>109.49993185746958</v>
      </c>
      <c r="X183" s="1" t="str">
        <f t="shared" si="88"/>
        <v>29.7391143462343+92.3463402732503i</v>
      </c>
      <c r="Y183" s="1">
        <f t="shared" si="89"/>
        <v>39.736939838954058</v>
      </c>
      <c r="Z183" s="1">
        <f t="shared" si="90"/>
        <v>72.149421765031803</v>
      </c>
    </row>
    <row r="184" spans="2:26">
      <c r="B184" s="1">
        <v>70</v>
      </c>
      <c r="C184" s="1">
        <f t="shared" si="68"/>
        <v>439.82297150257102</v>
      </c>
      <c r="D184" s="83" t="str">
        <f t="shared" si="69"/>
        <v>0.966692115688378-1.66923427929527i</v>
      </c>
      <c r="E184" s="1">
        <f t="shared" si="70"/>
        <v>5.706406131337058</v>
      </c>
      <c r="F184" s="1">
        <f t="shared" si="71"/>
        <v>-59.923877068570711</v>
      </c>
      <c r="G184" s="1" t="str">
        <f t="shared" si="72"/>
        <v>190.536588849045+163.561645741124i</v>
      </c>
      <c r="H184" s="1">
        <f t="shared" si="77"/>
        <v>47.997305750900836</v>
      </c>
      <c r="I184" s="1">
        <f t="shared" si="78"/>
        <v>40.643663663933708</v>
      </c>
      <c r="J184" s="83" t="str">
        <f t="shared" si="73"/>
        <v>135.462699140884-0.75374997411881i</v>
      </c>
      <c r="K184" s="1">
        <f t="shared" si="79"/>
        <v>42.636528956362696</v>
      </c>
      <c r="L184" s="1">
        <f t="shared" si="80"/>
        <v>-0.31880544907207897</v>
      </c>
      <c r="M184" s="1">
        <f t="shared" si="74"/>
        <v>0.192</v>
      </c>
      <c r="N184" s="1">
        <f t="shared" si="75"/>
        <v>2.5000000000000001E-2</v>
      </c>
      <c r="O184" s="1" t="str">
        <f t="shared" si="76"/>
        <v>2.34947302974198-47.8673883209658i</v>
      </c>
      <c r="P184" s="1">
        <f t="shared" si="81"/>
        <v>33.611244819516102</v>
      </c>
      <c r="Q184" s="1">
        <f t="shared" si="82"/>
        <v>-87.190008740840753</v>
      </c>
      <c r="R184" s="1" t="str">
        <f t="shared" si="83"/>
        <v>15.926971114866-14.1774482892016i</v>
      </c>
      <c r="S184" s="1">
        <f t="shared" si="84"/>
        <v>26.576948179618732</v>
      </c>
      <c r="T184" s="1">
        <f t="shared" si="85"/>
        <v>-41.673988249304415</v>
      </c>
      <c r="U184" s="1" t="str">
        <f>IMPRODUCT(COMPLEX(-1,0),IMDIV(COMPLEX(1,C184*Calculations!$B$195*Calculations!$B$197),IMPRODUCT(COMPLEX(0,C184*Calculations!$B$184),COMPLEX((Calculations!$B$197+Calculations!$B$199),C184*Calculations!$B$195*Calculations!$B$197*Calculations!$B$199))))</f>
        <v>-1.42674936575148+3.4535551592282i</v>
      </c>
      <c r="V184" s="1">
        <f t="shared" si="86"/>
        <v>11.449680691837399</v>
      </c>
      <c r="W184" s="1">
        <f t="shared" si="87"/>
        <v>112.44673473210779</v>
      </c>
      <c r="X184" s="1" t="str">
        <f t="shared" si="88"/>
        <v>26.238803747386+75.2323386192168i</v>
      </c>
      <c r="Y184" s="1">
        <f t="shared" si="89"/>
        <v>38.026628871456133</v>
      </c>
      <c r="Z184" s="1">
        <f t="shared" si="90"/>
        <v>70.772746482803385</v>
      </c>
    </row>
    <row r="185" spans="2:26">
      <c r="B185" s="1">
        <v>80</v>
      </c>
      <c r="C185" s="1">
        <f t="shared" si="68"/>
        <v>502.6548245743669</v>
      </c>
      <c r="D185" s="83" t="str">
        <f t="shared" si="69"/>
        <v>0.786856938240956-1.55133167753954i</v>
      </c>
      <c r="E185" s="1">
        <f t="shared" si="70"/>
        <v>4.8083646018064581</v>
      </c>
      <c r="F185" s="1">
        <f t="shared" si="71"/>
        <v>-63.105244570484103</v>
      </c>
      <c r="G185" s="1" t="str">
        <f t="shared" si="72"/>
        <v>191.007052648453+187.119381438002i</v>
      </c>
      <c r="H185" s="1">
        <f t="shared" si="77"/>
        <v>48.542899882260755</v>
      </c>
      <c r="I185" s="1">
        <f t="shared" si="78"/>
        <v>44.41093961107854</v>
      </c>
      <c r="J185" s="83" t="str">
        <f t="shared" si="73"/>
        <v>135.602677106606-0.863191056515284i</v>
      </c>
      <c r="K185" s="1">
        <f t="shared" si="79"/>
        <v>42.645541247376343</v>
      </c>
      <c r="L185" s="1">
        <f t="shared" si="80"/>
        <v>-0.36471651968196445</v>
      </c>
      <c r="M185" s="1">
        <f t="shared" si="74"/>
        <v>0.192</v>
      </c>
      <c r="N185" s="1">
        <f t="shared" si="75"/>
        <v>2.5000000000000001E-2</v>
      </c>
      <c r="O185" s="1" t="str">
        <f t="shared" si="76"/>
        <v>2.34947282939455-41.8842969296487i</v>
      </c>
      <c r="P185" s="1">
        <f t="shared" si="81"/>
        <v>32.454668551935207</v>
      </c>
      <c r="Q185" s="1">
        <f t="shared" si="82"/>
        <v>-86.789394570458015</v>
      </c>
      <c r="R185" s="1" t="str">
        <f t="shared" si="83"/>
        <v>14.0291858652486-14.2678205450739i</v>
      </c>
      <c r="S185" s="1">
        <f t="shared" si="84"/>
        <v>26.024818762286863</v>
      </c>
      <c r="T185" s="1">
        <f t="shared" si="85"/>
        <v>-45.483176053454102</v>
      </c>
      <c r="U185" s="1" t="str">
        <f>IMPRODUCT(COMPLEX(-1,0),IMDIV(COMPLEX(1,C185*Calculations!$B$195*Calculations!$B$197),IMPRODUCT(COMPLEX(0,C185*Calculations!$B$184),COMPLEX((Calculations!$B$197+Calculations!$B$199),C185*Calculations!$B$195*Calculations!$B$197*Calculations!$B$199))))</f>
        <v>-1.42674933537434+3.02196155095345i</v>
      </c>
      <c r="V185" s="1">
        <f t="shared" si="86"/>
        <v>10.479701663926662</v>
      </c>
      <c r="W185" s="1">
        <f t="shared" si="87"/>
        <v>115.27325628477435</v>
      </c>
      <c r="X185" s="1" t="str">
        <f t="shared" si="88"/>
        <v>23.1006734940305+62.7522637558854i</v>
      </c>
      <c r="Y185" s="1">
        <f t="shared" si="89"/>
        <v>36.504520426213517</v>
      </c>
      <c r="Z185" s="1">
        <f t="shared" si="90"/>
        <v>69.790080231320232</v>
      </c>
    </row>
    <row r="186" spans="2:26">
      <c r="B186" s="1">
        <v>90</v>
      </c>
      <c r="C186" s="1">
        <f t="shared" si="68"/>
        <v>565.48667764616278</v>
      </c>
      <c r="D186" s="83" t="str">
        <f t="shared" si="69"/>
        <v>0.650075001815514-1.44031738198494i</v>
      </c>
      <c r="E186" s="1">
        <f t="shared" si="70"/>
        <v>3.9743796408693024</v>
      </c>
      <c r="F186" s="1">
        <f t="shared" si="71"/>
        <v>-65.70836823107966</v>
      </c>
      <c r="G186" s="1" t="str">
        <f t="shared" si="72"/>
        <v>191.542107399256+210.754362665694i</v>
      </c>
      <c r="H186" s="1">
        <f t="shared" si="77"/>
        <v>49.090518068425737</v>
      </c>
      <c r="I186" s="1">
        <f t="shared" si="78"/>
        <v>47.734166277458208</v>
      </c>
      <c r="J186" s="83" t="str">
        <f t="shared" si="73"/>
        <v>135.761665482613-0.973344557705812i</v>
      </c>
      <c r="K186" s="1">
        <f t="shared" si="79"/>
        <v>42.655766372420857</v>
      </c>
      <c r="L186" s="1">
        <f t="shared" si="80"/>
        <v>-0.41077560049208472</v>
      </c>
      <c r="M186" s="1">
        <f t="shared" si="74"/>
        <v>0.192</v>
      </c>
      <c r="N186" s="1">
        <f t="shared" si="75"/>
        <v>2.5000000000000001E-2</v>
      </c>
      <c r="O186" s="1" t="str">
        <f t="shared" si="76"/>
        <v>2.34947260233417-37.2308207687918i</v>
      </c>
      <c r="P186" s="1">
        <f t="shared" si="81"/>
        <v>31.435312836522343</v>
      </c>
      <c r="Q186" s="1">
        <f t="shared" si="82"/>
        <v>-86.389104664646638</v>
      </c>
      <c r="R186" s="1" t="str">
        <f t="shared" si="83"/>
        <v>12.361136581023-14.1379866002917i</v>
      </c>
      <c r="S186" s="1">
        <f t="shared" si="84"/>
        <v>25.4738127873444</v>
      </c>
      <c r="T186" s="1">
        <f t="shared" si="85"/>
        <v>-48.836120876809041</v>
      </c>
      <c r="U186" s="1" t="str">
        <f>IMPRODUCT(COMPLEX(-1,0),IMDIV(COMPLEX(1,C186*Calculations!$B$195*Calculations!$B$197),IMPRODUCT(COMPLEX(0,C186*Calculations!$B$184),COMPLEX((Calculations!$B$197+Calculations!$B$199),C186*Calculations!$B$195*Calculations!$B$197*Calculations!$B$199))))</f>
        <v>-1.42674930094691+2.68628957848375i</v>
      </c>
      <c r="V186" s="1">
        <f t="shared" si="86"/>
        <v>9.6622460546012103</v>
      </c>
      <c r="W186" s="1">
        <f t="shared" si="87"/>
        <v>117.97378452528164</v>
      </c>
      <c r="X186" s="1" t="str">
        <f t="shared" si="88"/>
        <v>20.3424830892227+53.3769548745793i</v>
      </c>
      <c r="Y186" s="1">
        <f t="shared" si="89"/>
        <v>35.136058841945612</v>
      </c>
      <c r="Z186" s="1">
        <f t="shared" si="90"/>
        <v>69.137663648472582</v>
      </c>
    </row>
    <row r="187" spans="2:26">
      <c r="B187" s="1">
        <v>100</v>
      </c>
      <c r="C187" s="1">
        <f t="shared" si="68"/>
        <v>628.31853071795865</v>
      </c>
      <c r="D187" s="83" t="str">
        <f t="shared" si="69"/>
        <v>0.5445230495564-1.3388980735186i</v>
      </c>
      <c r="E187" s="1">
        <f t="shared" si="70"/>
        <v>3.1997033061243041</v>
      </c>
      <c r="F187" s="1">
        <f t="shared" si="71"/>
        <v>-67.868674036196296</v>
      </c>
      <c r="G187" s="1" t="str">
        <f t="shared" si="72"/>
        <v>192.14246278235+234.476579542416i</v>
      </c>
      <c r="H187" s="1">
        <f t="shared" si="77"/>
        <v>49.633060237106392</v>
      </c>
      <c r="I187" s="1">
        <f t="shared" si="78"/>
        <v>50.667003191687442</v>
      </c>
      <c r="J187" s="83" t="str">
        <f t="shared" si="73"/>
        <v>135.939795780699-1.08430421155425i</v>
      </c>
      <c r="K187" s="1">
        <f t="shared" si="79"/>
        <v>42.667208562274375</v>
      </c>
      <c r="L187" s="1">
        <f t="shared" si="80"/>
        <v>-0.45700184549032857</v>
      </c>
      <c r="M187" s="1">
        <f t="shared" si="74"/>
        <v>0.192</v>
      </c>
      <c r="N187" s="1">
        <f t="shared" si="75"/>
        <v>2.5000000000000001E-2</v>
      </c>
      <c r="O187" s="1" t="str">
        <f t="shared" si="76"/>
        <v>2.34947234856085-33.5080752692369i</v>
      </c>
      <c r="P187" s="1">
        <f t="shared" si="81"/>
        <v>30.524288716222998</v>
      </c>
      <c r="Q187" s="1">
        <f t="shared" si="82"/>
        <v>-85.9891789362823</v>
      </c>
      <c r="R187" s="1" t="str">
        <f t="shared" si="83"/>
        <v>10.9122437079363-13.8623083557919i</v>
      </c>
      <c r="S187" s="1">
        <f t="shared" si="84"/>
        <v>24.930963215748832</v>
      </c>
      <c r="T187" s="1">
        <f t="shared" si="85"/>
        <v>-51.790600954537702</v>
      </c>
      <c r="U187" s="1" t="str">
        <f>IMPRODUCT(COMPLEX(-1,0),IMDIV(COMPLEX(1,C187*Calculations!$B$195*Calculations!$B$197),IMPRODUCT(COMPLEX(0,C187*Calculations!$B$184),COMPLEX((Calculations!$B$197+Calculations!$B$199),C187*Calculations!$B$195*Calculations!$B$197*Calculations!$B$199))))</f>
        <v>-1.4267492624692+2.41776275107602i</v>
      </c>
      <c r="V187" s="1">
        <f t="shared" si="86"/>
        <v>8.9659180745163063</v>
      </c>
      <c r="W187" s="1">
        <f t="shared" si="87"/>
        <v>120.54533749745077</v>
      </c>
      <c r="X187" s="1" t="str">
        <f t="shared" si="88"/>
        <v>17.9467371243812+46.1612545904588i</v>
      </c>
      <c r="Y187" s="1">
        <f t="shared" si="89"/>
        <v>33.896881290265142</v>
      </c>
      <c r="Z187" s="1">
        <f t="shared" si="90"/>
        <v>68.754736542913122</v>
      </c>
    </row>
    <row r="188" spans="2:26">
      <c r="B188" s="1">
        <v>200</v>
      </c>
      <c r="C188" s="1">
        <f t="shared" si="68"/>
        <v>1256.6370614359173</v>
      </c>
      <c r="D188" s="83" t="str">
        <f t="shared" si="69"/>
        <v>0.154999023876366-0.748076503224966i</v>
      </c>
      <c r="E188" s="1">
        <f t="shared" si="70"/>
        <v>-2.3385260571386648</v>
      </c>
      <c r="F188" s="1">
        <f t="shared" si="71"/>
        <v>-78.294137491776283</v>
      </c>
      <c r="G188" s="1" t="str">
        <f t="shared" si="72"/>
        <v>201.961682948035+478.799912442278i</v>
      </c>
      <c r="H188" s="1">
        <f t="shared" si="77"/>
        <v>54.314246858264767</v>
      </c>
      <c r="I188" s="1">
        <f t="shared" si="78"/>
        <v>67.129588678514239</v>
      </c>
      <c r="J188" s="83" t="str">
        <f t="shared" si="73"/>
        <v>138.814999843333-2.26035697603413i</v>
      </c>
      <c r="K188" s="1">
        <f t="shared" si="79"/>
        <v>42.849879290407991</v>
      </c>
      <c r="L188" s="1">
        <f t="shared" si="80"/>
        <v>-0.93287808039414344</v>
      </c>
      <c r="M188" s="1">
        <f t="shared" si="74"/>
        <v>0.192</v>
      </c>
      <c r="N188" s="1">
        <f t="shared" si="75"/>
        <v>2.5000000000000001E-2</v>
      </c>
      <c r="O188" s="1" t="str">
        <f t="shared" si="76"/>
        <v>2.34946834162089-16.7566948192013i</v>
      </c>
      <c r="P188" s="1">
        <f t="shared" si="81"/>
        <v>24.568316974742505</v>
      </c>
      <c r="Q188" s="1">
        <f t="shared" si="82"/>
        <v>-82.018548348237644</v>
      </c>
      <c r="R188" s="1" t="str">
        <f t="shared" si="83"/>
        <v>3.84529714461516-9.71383071813311i</v>
      </c>
      <c r="S188" s="1">
        <f t="shared" si="84"/>
        <v>20.380031184296783</v>
      </c>
      <c r="T188" s="1">
        <f t="shared" si="85"/>
        <v>-68.403470034312718</v>
      </c>
      <c r="U188" s="1" t="str">
        <f>IMPRODUCT(COMPLEX(-1,0),IMDIV(COMPLEX(1,C188*Calculations!$B$195*Calculations!$B$197),IMPRODUCT(COMPLEX(0,C188*Calculations!$B$184),COMPLEX((Calculations!$B$197+Calculations!$B$199),C188*Calculations!$B$195*Calculations!$B$197*Calculations!$B$199))))</f>
        <v>-1.42674865492671+1.20968766812536i</v>
      </c>
      <c r="V188" s="1">
        <f t="shared" si="86"/>
        <v>5.4393847854854354</v>
      </c>
      <c r="W188" s="1">
        <f t="shared" si="87"/>
        <v>139.70661540049329</v>
      </c>
      <c r="X188" s="1" t="str">
        <f t="shared" si="88"/>
        <v>6.26442870110974+18.5108034474008i</v>
      </c>
      <c r="Y188" s="1">
        <f t="shared" si="89"/>
        <v>25.81941596978222</v>
      </c>
      <c r="Z188" s="1">
        <f t="shared" si="90"/>
        <v>71.303145366180587</v>
      </c>
    </row>
    <row r="189" spans="2:26">
      <c r="B189" s="1">
        <v>300</v>
      </c>
      <c r="C189" s="1">
        <f t="shared" si="68"/>
        <v>1884.9555921538758</v>
      </c>
      <c r="D189" s="83" t="str">
        <f t="shared" si="69"/>
        <v>0.0726005421183254-0.509806045800051i</v>
      </c>
      <c r="E189" s="1">
        <f t="shared" si="70"/>
        <v>-5.7647062751316467</v>
      </c>
      <c r="F189" s="1">
        <f t="shared" si="71"/>
        <v>-81.895109425431201</v>
      </c>
      <c r="G189" s="1" t="str">
        <f t="shared" si="72"/>
        <v>219.86545595967+744.230615738864i</v>
      </c>
      <c r="H189" s="1">
        <f t="shared" si="77"/>
        <v>57.797551948176817</v>
      </c>
      <c r="I189" s="1">
        <f t="shared" si="78"/>
        <v>73.541462371316783</v>
      </c>
      <c r="J189" s="83" t="str">
        <f t="shared" si="73"/>
        <v>143.884085798509-3.64025233071683i</v>
      </c>
      <c r="K189" s="1">
        <f t="shared" si="79"/>
        <v>43.163034198226143</v>
      </c>
      <c r="L189" s="1">
        <f t="shared" si="80"/>
        <v>-1.4492680672918878</v>
      </c>
      <c r="M189" s="1">
        <f t="shared" si="74"/>
        <v>0.192</v>
      </c>
      <c r="N189" s="1">
        <f t="shared" si="75"/>
        <v>2.5000000000000001E-2</v>
      </c>
      <c r="O189" s="1" t="str">
        <f t="shared" si="76"/>
        <v>2.349461663418-11.1740822933546i</v>
      </c>
      <c r="P189" s="1">
        <f t="shared" si="81"/>
        <v>21.152112605261838</v>
      </c>
      <c r="Q189" s="1">
        <f t="shared" si="82"/>
        <v>-78.125958247361154</v>
      </c>
      <c r="R189" s="1" t="str">
        <f t="shared" si="83"/>
        <v>1.86442909862037-7.00504050091226i</v>
      </c>
      <c r="S189" s="1">
        <f t="shared" si="84"/>
        <v>17.205453501330133</v>
      </c>
      <c r="T189" s="1">
        <f t="shared" si="85"/>
        <v>-75.095936902024945</v>
      </c>
      <c r="U189" s="1" t="str">
        <f>IMPRODUCT(COMPLEX(-1,0),IMDIV(COMPLEX(1,C189*Calculations!$B$195*Calculations!$B$197),IMPRODUCT(COMPLEX(0,C189*Calculations!$B$184),COMPLEX((Calculations!$B$197+Calculations!$B$199),C189*Calculations!$B$195*Calculations!$B$197*Calculations!$B$199))))</f>
        <v>-1.42674764235702+0.807354325052214i</v>
      </c>
      <c r="V189" s="1">
        <f t="shared" si="86"/>
        <v>4.2933713524986183</v>
      </c>
      <c r="W189" s="1">
        <f t="shared" si="87"/>
        <v>150.49576112577279</v>
      </c>
      <c r="X189" s="1" t="str">
        <f t="shared" si="88"/>
        <v>2.995479924779+11.4996799158164i</v>
      </c>
      <c r="Y189" s="1">
        <f t="shared" si="89"/>
        <v>21.498824853828779</v>
      </c>
      <c r="Z189" s="1">
        <f t="shared" si="90"/>
        <v>75.399824223747927</v>
      </c>
    </row>
    <row r="190" spans="2:26">
      <c r="B190" s="1">
        <v>400</v>
      </c>
      <c r="C190" s="1">
        <f t="shared" si="68"/>
        <v>2513.2741228718346</v>
      </c>
      <c r="D190" s="83" t="str">
        <f t="shared" si="69"/>
        <v>0.0428886505747156-0.385353284878838i</v>
      </c>
      <c r="E190" s="1">
        <f t="shared" si="70"/>
        <v>-8.2293530334693248</v>
      </c>
      <c r="F190" s="1">
        <f t="shared" si="71"/>
        <v>-83.649289758079206</v>
      </c>
      <c r="G190" s="1" t="str">
        <f t="shared" si="72"/>
        <v>248.681806392562+1045.30058671078i</v>
      </c>
      <c r="H190" s="1">
        <f t="shared" si="77"/>
        <v>60.623924165271454</v>
      </c>
      <c r="I190" s="1">
        <f t="shared" si="78"/>
        <v>76.617840063698125</v>
      </c>
      <c r="J190" s="83" t="str">
        <f t="shared" si="73"/>
        <v>151.628355964614-5.38568963833217i</v>
      </c>
      <c r="K190" s="1">
        <f t="shared" si="79"/>
        <v>43.621084130255682</v>
      </c>
      <c r="L190" s="1">
        <f t="shared" si="80"/>
        <v>-2.0342343960219376</v>
      </c>
      <c r="M190" s="1">
        <f t="shared" si="74"/>
        <v>0.192</v>
      </c>
      <c r="N190" s="1">
        <f t="shared" si="75"/>
        <v>2.5000000000000001E-2</v>
      </c>
      <c r="O190" s="1" t="str">
        <f t="shared" si="76"/>
        <v>2.34945231399777-8.38366173344949i</v>
      </c>
      <c r="P190" s="1">
        <f t="shared" si="81"/>
        <v>18.797019210788115</v>
      </c>
      <c r="Q190" s="1">
        <f t="shared" si="82"/>
        <v>-74.344908320653985</v>
      </c>
      <c r="R190" s="1" t="str">
        <f t="shared" si="83"/>
        <v>1.0918829614613-5.41639097328934i</v>
      </c>
      <c r="S190" s="1">
        <f t="shared" si="84"/>
        <v>14.847196856382379</v>
      </c>
      <c r="T190" s="1">
        <f t="shared" si="85"/>
        <v>-78.60257209115359</v>
      </c>
      <c r="U190" s="1" t="str">
        <f>IMPRODUCT(COMPLEX(-1,0),IMDIV(COMPLEX(1,C190*Calculations!$B$195*Calculations!$B$197),IMPRODUCT(COMPLEX(0,C190*Calculations!$B$184),COMPLEX((Calculations!$B$197+Calculations!$B$199),C190*Calculations!$B$195*Calculations!$B$197*Calculations!$B$199))))</f>
        <v>-1.4267462247619+0.606456415804004i</v>
      </c>
      <c r="V190" s="1">
        <f t="shared" si="86"/>
        <v>3.8082500410230886</v>
      </c>
      <c r="W190" s="1">
        <f t="shared" si="87"/>
        <v>156.97147157708267</v>
      </c>
      <c r="X190" s="1" t="str">
        <f t="shared" si="88"/>
        <v>1.72696516310746+8.38999480026028i</v>
      </c>
      <c r="Y190" s="1">
        <f t="shared" si="89"/>
        <v>18.655446897405469</v>
      </c>
      <c r="Z190" s="1">
        <f t="shared" si="90"/>
        <v>78.368899485929077</v>
      </c>
    </row>
    <row r="191" spans="2:26">
      <c r="B191" s="1">
        <v>500</v>
      </c>
      <c r="C191" s="1">
        <f t="shared" si="68"/>
        <v>3141.5926535897929</v>
      </c>
      <c r="D191" s="83" t="str">
        <f t="shared" si="69"/>
        <v>0.0289779340142031-0.309405808326118i</v>
      </c>
      <c r="E191" s="1">
        <f t="shared" si="70"/>
        <v>-10.15150236366325</v>
      </c>
      <c r="F191" s="1">
        <f t="shared" si="71"/>
        <v>-84.649472831642058</v>
      </c>
      <c r="G191" s="1" t="str">
        <f t="shared" si="72"/>
        <v>293.732434036844+1402.80946565913i</v>
      </c>
      <c r="H191" s="1">
        <f t="shared" si="77"/>
        <v>63.12632817678184</v>
      </c>
      <c r="I191" s="1">
        <f t="shared" si="78"/>
        <v>78.173771190161744</v>
      </c>
      <c r="J191" s="83" t="str">
        <f t="shared" si="73"/>
        <v>162.883111031447-7.76182628431235i</v>
      </c>
      <c r="K191" s="1">
        <f t="shared" si="79"/>
        <v>44.247371820456166</v>
      </c>
      <c r="L191" s="1">
        <f t="shared" si="80"/>
        <v>-2.7282369646934725</v>
      </c>
      <c r="M191" s="1">
        <f t="shared" si="74"/>
        <v>0.192</v>
      </c>
      <c r="N191" s="1">
        <f t="shared" si="75"/>
        <v>2.5000000000000001E-2</v>
      </c>
      <c r="O191" s="1" t="str">
        <f t="shared" si="76"/>
        <v>2.34944029342392-6.71011794300306i</v>
      </c>
      <c r="P191" s="1">
        <f t="shared" si="81"/>
        <v>17.036829480756701</v>
      </c>
      <c r="Q191" s="1">
        <f t="shared" si="82"/>
        <v>-70.703115386542734</v>
      </c>
      <c r="R191" s="1" t="str">
        <f t="shared" si="83"/>
        <v>0.716801240424927-4.40264437987451i</v>
      </c>
      <c r="S191" s="1">
        <f t="shared" si="84"/>
        <v>12.98789380028812</v>
      </c>
      <c r="T191" s="1">
        <f t="shared" si="85"/>
        <v>-80.752724812485965</v>
      </c>
      <c r="U191" s="1" t="str">
        <f>IMPRODUCT(COMPLEX(-1,0),IMDIV(COMPLEX(1,C191*Calculations!$B$195*Calculations!$B$197),IMPRODUCT(COMPLEX(0,C191*Calculations!$B$184),COMPLEX((Calculations!$B$197+Calculations!$B$199),C191*Calculations!$B$195*Calculations!$B$197*Calculations!$B$199))))</f>
        <v>-1.42674440214373+0.486132678803974i</v>
      </c>
      <c r="V191" s="1">
        <f t="shared" si="86"/>
        <v>3.5639390838523495</v>
      </c>
      <c r="W191" s="1">
        <f t="shared" si="87"/>
        <v>161.18455311379319</v>
      </c>
      <c r="X191" s="1" t="str">
        <f t="shared" si="88"/>
        <v>1.11757714898371+6.62990873079329i</v>
      </c>
      <c r="Y191" s="1">
        <f t="shared" si="89"/>
        <v>16.551832884140467</v>
      </c>
      <c r="Z191" s="1">
        <f t="shared" si="90"/>
        <v>80.43182830130722</v>
      </c>
    </row>
    <row r="192" spans="2:26">
      <c r="B192" s="1">
        <v>600</v>
      </c>
      <c r="C192" s="1">
        <f t="shared" si="68"/>
        <v>3769.9111843077517</v>
      </c>
      <c r="D192" s="83" t="str">
        <f t="shared" si="69"/>
        <v>0.0213789254533728-0.258349473509082i</v>
      </c>
      <c r="E192" s="1">
        <f t="shared" si="70"/>
        <v>-11.726209753610814</v>
      </c>
      <c r="F192" s="1">
        <f t="shared" si="71"/>
        <v>-85.269440375580515</v>
      </c>
      <c r="G192" s="1" t="str">
        <f t="shared" si="72"/>
        <v>365.278724417464+1849.39410906822i</v>
      </c>
      <c r="H192" s="1">
        <f t="shared" si="77"/>
        <v>65.506791878843046</v>
      </c>
      <c r="I192" s="1">
        <f t="shared" si="78"/>
        <v>78.82716637544101</v>
      </c>
      <c r="J192" s="83" t="str">
        <f t="shared" si="73"/>
        <v>179.093007275257-11.2532294103126i</v>
      </c>
      <c r="K192" s="1">
        <f t="shared" si="79"/>
        <v>45.07868555432389</v>
      </c>
      <c r="L192" s="1">
        <f t="shared" si="80"/>
        <v>-3.5954279784327543</v>
      </c>
      <c r="M192" s="1">
        <f t="shared" si="74"/>
        <v>0.192</v>
      </c>
      <c r="N192" s="1">
        <f t="shared" si="75"/>
        <v>2.5000000000000001E-2</v>
      </c>
      <c r="O192" s="1" t="str">
        <f t="shared" si="76"/>
        <v>2.34942560177849-5.59501251916009i</v>
      </c>
      <c r="P192" s="1">
        <f t="shared" si="81"/>
        <v>15.661305579231081</v>
      </c>
      <c r="Q192" s="1">
        <f t="shared" si="82"/>
        <v>-67.221769783773098</v>
      </c>
      <c r="R192" s="1" t="str">
        <f t="shared" si="83"/>
        <v>0.506635882539653-3.70640313248999i</v>
      </c>
      <c r="S192" s="1">
        <f t="shared" si="84"/>
        <v>11.459451001765542</v>
      </c>
      <c r="T192" s="1">
        <f t="shared" si="85"/>
        <v>-82.216360978551151</v>
      </c>
      <c r="U192" s="1" t="str">
        <f>IMPRODUCT(COMPLEX(-1,0),IMDIV(COMPLEX(1,C192*Calculations!$B$195*Calculations!$B$197),IMPRODUCT(COMPLEX(0,C192*Calculations!$B$184),COMPLEX((Calculations!$B$197+Calculations!$B$199),C192*Calculations!$B$195*Calculations!$B$197*Calculations!$B$199))))</f>
        <v>-1.42674217450562+0.406096026554705i</v>
      </c>
      <c r="V192" s="1">
        <f t="shared" si="86"/>
        <v>3.4252279692002139</v>
      </c>
      <c r="W192" s="1">
        <f t="shared" si="87"/>
        <v>164.11196764127803</v>
      </c>
      <c r="X192" s="1" t="str">
        <f t="shared" si="88"/>
        <v>0.782316804176898+5.4938244836526i</v>
      </c>
      <c r="Y192" s="1">
        <f t="shared" si="89"/>
        <v>14.884678970965759</v>
      </c>
      <c r="Z192" s="1">
        <f t="shared" si="90"/>
        <v>81.895606662726891</v>
      </c>
    </row>
    <row r="193" spans="2:26">
      <c r="B193" s="1">
        <v>700</v>
      </c>
      <c r="C193" s="1">
        <f t="shared" si="68"/>
        <v>4398.22971502571</v>
      </c>
      <c r="D193" s="83" t="str">
        <f t="shared" si="69"/>
        <v>0.0167823807110644-0.22170750205101i</v>
      </c>
      <c r="E193" s="1">
        <f t="shared" si="70"/>
        <v>-13.059578644470813</v>
      </c>
      <c r="F193" s="1">
        <f t="shared" si="71"/>
        <v>-85.671191455548438</v>
      </c>
      <c r="G193" s="1" t="str">
        <f t="shared" si="72"/>
        <v>484.624875425156+2441.13669205929i</v>
      </c>
      <c r="H193" s="1">
        <f t="shared" si="77"/>
        <v>67.919718754737573</v>
      </c>
      <c r="I193" s="1">
        <f t="shared" si="78"/>
        <v>78.771391706968728</v>
      </c>
      <c r="J193" s="83" t="str">
        <f t="shared" si="73"/>
        <v>202.86480061129-16.8488659698753i</v>
      </c>
      <c r="K193" s="1">
        <f t="shared" si="79"/>
        <v>46.173989077685746</v>
      </c>
      <c r="L193" s="1">
        <f t="shared" si="80"/>
        <v>-4.7477843350899995</v>
      </c>
      <c r="M193" s="1">
        <f t="shared" si="74"/>
        <v>0.192</v>
      </c>
      <c r="N193" s="1">
        <f t="shared" si="75"/>
        <v>2.5000000000000001E-2</v>
      </c>
      <c r="O193" s="1" t="str">
        <f t="shared" si="76"/>
        <v>2.34940823916167-4.79901471438769i</v>
      </c>
      <c r="P193" s="1">
        <f t="shared" si="81"/>
        <v>14.556100874328985</v>
      </c>
      <c r="Q193" s="1">
        <f t="shared" si="82"/>
        <v>-63.9154536483423</v>
      </c>
      <c r="R193" s="1" t="str">
        <f t="shared" si="83"/>
        <v>0.376435435194263-3.20081217394346i</v>
      </c>
      <c r="S193" s="1">
        <f t="shared" si="84"/>
        <v>10.16486042858665</v>
      </c>
      <c r="T193" s="1">
        <f t="shared" si="85"/>
        <v>-83.292470895705094</v>
      </c>
      <c r="U193" s="1" t="str">
        <f>IMPRODUCT(COMPLEX(-1,0),IMDIV(COMPLEX(1,C193*Calculations!$B$195*Calculations!$B$197),IMPRODUCT(COMPLEX(0,C193*Calculations!$B$184),COMPLEX((Calculations!$B$197+Calculations!$B$199),C193*Calculations!$B$195*Calculations!$B$197*Calculations!$B$199))))</f>
        <v>-1.42673954185136+0.349080564152866i</v>
      </c>
      <c r="V193" s="1">
        <f t="shared" si="86"/>
        <v>3.3393932246595326</v>
      </c>
      <c r="W193" s="1">
        <f t="shared" si="87"/>
        <v>166.25153002411622</v>
      </c>
      <c r="X193" s="1" t="str">
        <f t="shared" si="88"/>
        <v>0.580265999081864+4.69813158868909i</v>
      </c>
      <c r="Y193" s="1">
        <f t="shared" si="89"/>
        <v>13.504253653246181</v>
      </c>
      <c r="Z193" s="1">
        <f t="shared" si="90"/>
        <v>82.959059128411127</v>
      </c>
    </row>
    <row r="194" spans="2:26">
      <c r="B194" s="1">
        <v>800</v>
      </c>
      <c r="C194" s="1">
        <f t="shared" si="68"/>
        <v>5026.5482457436692</v>
      </c>
      <c r="D194" s="83" t="str">
        <f t="shared" si="69"/>
        <v>0.0137931523445916-0.194144912148455i</v>
      </c>
      <c r="E194" s="1">
        <f t="shared" si="70"/>
        <v>-14.21561391428769</v>
      </c>
      <c r="F194" s="1">
        <f t="shared" si="71"/>
        <v>-85.936211970759189</v>
      </c>
      <c r="G194" s="1" t="str">
        <f t="shared" si="72"/>
        <v>701.551324302077+3284.77271977283i</v>
      </c>
      <c r="H194" s="1">
        <f t="shared" si="77"/>
        <v>70.523824800207294</v>
      </c>
      <c r="I194" s="1">
        <f t="shared" si="78"/>
        <v>77.944081831880865</v>
      </c>
      <c r="J194" s="83" t="str">
        <f t="shared" si="73"/>
        <v>239.281492194582-26.8565067479938i</v>
      </c>
      <c r="K194" s="1">
        <f t="shared" si="79"/>
        <v>47.632550235207461</v>
      </c>
      <c r="L194" s="1">
        <f t="shared" si="80"/>
        <v>-6.4039696619682749</v>
      </c>
      <c r="M194" s="1">
        <f t="shared" si="74"/>
        <v>0.192</v>
      </c>
      <c r="N194" s="1">
        <f t="shared" si="75"/>
        <v>2.5000000000000001E-2</v>
      </c>
      <c r="O194" s="1" t="str">
        <f t="shared" si="76"/>
        <v>2.34938820569192-4.20245915189918i</v>
      </c>
      <c r="P194" s="1">
        <f t="shared" si="81"/>
        <v>13.651188249474757</v>
      </c>
      <c r="Q194" s="1">
        <f t="shared" si="82"/>
        <v>-60.792591455747242</v>
      </c>
      <c r="R194" s="1" t="str">
        <f t="shared" si="83"/>
        <v>0.289542301889116-2.81772691104824i</v>
      </c>
      <c r="S194" s="1">
        <f t="shared" si="84"/>
        <v>9.043595099152661</v>
      </c>
      <c r="T194" s="1">
        <f t="shared" si="85"/>
        <v>-84.133026580019731</v>
      </c>
      <c r="U194" s="1" t="str">
        <f>IMPRODUCT(COMPLEX(-1,0),IMDIV(COMPLEX(1,C194*Calculations!$B$195*Calculations!$B$197),IMPRODUCT(COMPLEX(0,C194*Calculations!$B$184),COMPLEX((Calculations!$B$197+Calculations!$B$199),C194*Calculations!$B$195*Calculations!$B$197*Calculations!$B$199))))</f>
        <v>-1.42673650418545+0.306453343917916i</v>
      </c>
      <c r="V194" s="1">
        <f t="shared" si="86"/>
        <v>3.2827574863706053</v>
      </c>
      <c r="W194" s="1">
        <f t="shared" si="87"/>
        <v>167.87744385459854</v>
      </c>
      <c r="X194" s="1" t="str">
        <f t="shared" si="88"/>
        <v>0.450401262527148+4.10888504943784i</v>
      </c>
      <c r="Y194" s="1">
        <f t="shared" si="89"/>
        <v>12.326352585523264</v>
      </c>
      <c r="Z194" s="1">
        <f t="shared" si="90"/>
        <v>83.744417274578822</v>
      </c>
    </row>
    <row r="195" spans="2:26">
      <c r="B195" s="1">
        <v>900</v>
      </c>
      <c r="C195" s="1">
        <f t="shared" si="68"/>
        <v>5654.8667764616275</v>
      </c>
      <c r="D195" s="83" t="str">
        <f t="shared" si="69"/>
        <v>0.0117410596229166-0.17266530539261i</v>
      </c>
      <c r="E195" s="1">
        <f t="shared" si="70"/>
        <v>-15.235863504186467</v>
      </c>
      <c r="F195" s="1">
        <f t="shared" si="71"/>
        <v>-86.109935428481137</v>
      </c>
      <c r="G195" s="1" t="str">
        <f t="shared" si="72"/>
        <v>1154.98090201768+4610.91482701622i</v>
      </c>
      <c r="H195" s="1">
        <f t="shared" si="77"/>
        <v>73.540030508782451</v>
      </c>
      <c r="I195" s="1">
        <f t="shared" si="78"/>
        <v>75.937419750996185</v>
      </c>
      <c r="J195" s="83" t="str">
        <f t="shared" si="73"/>
        <v>299.464411094983-47.7513371038091i</v>
      </c>
      <c r="K195" s="1">
        <f t="shared" si="79"/>
        <v>49.635948241594619</v>
      </c>
      <c r="L195" s="1">
        <f t="shared" si="80"/>
        <v>-9.0598722462396495</v>
      </c>
      <c r="M195" s="1">
        <f t="shared" si="74"/>
        <v>0.192</v>
      </c>
      <c r="N195" s="1">
        <f t="shared" si="75"/>
        <v>2.5000000000000001E-2</v>
      </c>
      <c r="O195" s="1" t="str">
        <f t="shared" si="76"/>
        <v>2.3493655015059-3.73886506412874i</v>
      </c>
      <c r="P195" s="1">
        <f t="shared" si="81"/>
        <v>12.900041033848764</v>
      </c>
      <c r="Q195" s="1">
        <f t="shared" si="82"/>
        <v>-57.856254314069631</v>
      </c>
      <c r="R195" s="1" t="str">
        <f t="shared" si="83"/>
        <v>0.228132178878273-2.517675143927i</v>
      </c>
      <c r="S195" s="1">
        <f t="shared" si="84"/>
        <v>8.055506341112828</v>
      </c>
      <c r="T195" s="1">
        <f t="shared" si="85"/>
        <v>-84.822440559461143</v>
      </c>
      <c r="U195" s="1" t="str">
        <f>IMPRODUCT(COMPLEX(-1,0),IMDIV(COMPLEX(1,C195*Calculations!$B$195*Calculations!$B$197),IMPRODUCT(COMPLEX(0,C195*Calculations!$B$184),COMPLEX((Calculations!$B$197+Calculations!$B$199),C195*Calculations!$B$195*Calculations!$B$197*Calculations!$B$199))))</f>
        <v>-1.42673306151306+0.273418283601673i</v>
      </c>
      <c r="V195" s="1">
        <f t="shared" si="86"/>
        <v>3.2434929993415555</v>
      </c>
      <c r="W195" s="1">
        <f t="shared" si="87"/>
        <v>169.1514016753753</v>
      </c>
      <c r="X195" s="1" t="str">
        <f t="shared" si="88"/>
        <v>0.362894694518472+3.65442587477351i</v>
      </c>
      <c r="Y195" s="1">
        <f t="shared" si="89"/>
        <v>11.298999340454383</v>
      </c>
      <c r="Z195" s="1">
        <f t="shared" si="90"/>
        <v>84.32896111591414</v>
      </c>
    </row>
    <row r="196" spans="2:26">
      <c r="B196" s="1">
        <v>1000</v>
      </c>
      <c r="C196" s="1">
        <f t="shared" si="68"/>
        <v>6283.1853071795858</v>
      </c>
      <c r="D196" s="83" t="str">
        <f t="shared" si="69"/>
        <v>0.0102718662724053-0.155458087729209i</v>
      </c>
      <c r="E196" s="1">
        <f t="shared" si="70"/>
        <v>-16.148814058224033</v>
      </c>
      <c r="F196" s="1">
        <f t="shared" si="71"/>
        <v>-86.219686351845951</v>
      </c>
      <c r="G196" s="1" t="str">
        <f t="shared" si="72"/>
        <v>2357.49583022997+7003.38073902533i</v>
      </c>
      <c r="H196" s="1">
        <f t="shared" si="77"/>
        <v>77.372334323780265</v>
      </c>
      <c r="I196" s="1">
        <f t="shared" si="78"/>
        <v>71.395606851772243</v>
      </c>
      <c r="J196" s="83" t="str">
        <f t="shared" si="73"/>
        <v>411.823261670285-103.631027194596i</v>
      </c>
      <c r="K196" s="1">
        <f t="shared" si="79"/>
        <v>52.560867399374295</v>
      </c>
      <c r="L196" s="1">
        <f t="shared" si="80"/>
        <v>-14.124623666690495</v>
      </c>
      <c r="M196" s="1">
        <f t="shared" si="74"/>
        <v>0.192</v>
      </c>
      <c r="N196" s="1">
        <f t="shared" si="75"/>
        <v>2.5000000000000001E-2</v>
      </c>
      <c r="O196" s="1" t="str">
        <f t="shared" si="76"/>
        <v>2.34934012675845-3.36834398812123i</v>
      </c>
      <c r="P196" s="1">
        <f t="shared" si="81"/>
        <v>12.269899572104926</v>
      </c>
      <c r="Q196" s="1">
        <f t="shared" si="82"/>
        <v>-55.10513982815128</v>
      </c>
      <c r="R196" s="1" t="str">
        <f t="shared" si="83"/>
        <v>0.18272608194593-2.27634852662906i</v>
      </c>
      <c r="S196" s="1">
        <f t="shared" si="84"/>
        <v>7.1726692383410571</v>
      </c>
      <c r="T196" s="1">
        <f t="shared" si="85"/>
        <v>-85.410617912662204</v>
      </c>
      <c r="U196" s="1" t="str">
        <f>IMPRODUCT(COMPLEX(-1,0),IMDIV(COMPLEX(1,C196*Calculations!$B$195*Calculations!$B$197),IMPRODUCT(COMPLEX(0,C196*Calculations!$B$184),COMPLEX((Calculations!$B$197+Calculations!$B$199),C196*Calculations!$B$195*Calculations!$B$197*Calculations!$B$199))))</f>
        <v>-1.42672921384004+0.247097733672139i</v>
      </c>
      <c r="V196" s="1">
        <f t="shared" si="86"/>
        <v>3.2151838607712699</v>
      </c>
      <c r="W196" s="1">
        <f t="shared" si="87"/>
        <v>170.17431156580398</v>
      </c>
      <c r="X196" s="1" t="str">
        <f t="shared" si="88"/>
        <v>0.301779922735166+3.29288414455504i</v>
      </c>
      <c r="Y196" s="1">
        <f t="shared" si="89"/>
        <v>10.387853099112325</v>
      </c>
      <c r="Z196" s="1">
        <f t="shared" si="90"/>
        <v>84.763693653141786</v>
      </c>
    </row>
    <row r="197" spans="2:26">
      <c r="B197" s="1">
        <v>2000</v>
      </c>
      <c r="C197" s="1">
        <f t="shared" si="68"/>
        <v>12566.370614359172</v>
      </c>
      <c r="D197" s="83" t="str">
        <f t="shared" si="69"/>
        <v>0.00556677889785499-0.0778240185196636i</v>
      </c>
      <c r="E197" s="1">
        <f t="shared" si="70"/>
        <v>-22.15556254032834</v>
      </c>
      <c r="F197" s="1">
        <f t="shared" si="71"/>
        <v>-85.90858166305172</v>
      </c>
      <c r="G197" s="1" t="str">
        <f t="shared" si="72"/>
        <v>123.407456497393-2644.31323816601i</v>
      </c>
      <c r="H197" s="1">
        <f t="shared" si="77"/>
        <v>68.455706613155613</v>
      </c>
      <c r="I197" s="1">
        <f t="shared" si="78"/>
        <v>-87.328001964178711</v>
      </c>
      <c r="J197" s="83" t="str">
        <f t="shared" si="73"/>
        <v>-76.1548374228608-6.28611677798592i</v>
      </c>
      <c r="K197" s="1">
        <f t="shared" si="79"/>
        <v>37.663440184058523</v>
      </c>
      <c r="L197" s="1">
        <f t="shared" si="80"/>
        <v>-175.2812808725408</v>
      </c>
      <c r="M197" s="1">
        <f t="shared" si="74"/>
        <v>0.192</v>
      </c>
      <c r="N197" s="1">
        <f t="shared" si="75"/>
        <v>2.5000000000000001E-2</v>
      </c>
      <c r="O197" s="1" t="str">
        <f t="shared" si="76"/>
        <v>2.34893954549259-1.71073636429626i</v>
      </c>
      <c r="P197" s="1">
        <f t="shared" si="81"/>
        <v>9.2655521405142949</v>
      </c>
      <c r="Q197" s="1">
        <f t="shared" si="82"/>
        <v>-36.065910011723872</v>
      </c>
      <c r="R197" s="1" t="str">
        <f t="shared" si="83"/>
        <v>0.0149660718670204-1.17170773034793i</v>
      </c>
      <c r="S197" s="1">
        <f t="shared" si="84"/>
        <v>1.3770943811516891</v>
      </c>
      <c r="T197" s="1">
        <f t="shared" si="85"/>
        <v>-89.268208185380402</v>
      </c>
      <c r="U197" s="1" t="str">
        <f>IMPRODUCT(COMPLEX(-1,0),IMDIV(COMPLEX(1,C197*Calculations!$B$195*Calculations!$B$197),IMPRODUCT(COMPLEX(0,C197*Calculations!$B$184),COMPLEX((Calculations!$B$197+Calculations!$B$199),C197*Calculations!$B$195*Calculations!$B$197*Calculations!$B$199))))</f>
        <v>-1.42666846385888+0.131611226235503i</v>
      </c>
      <c r="V197" s="1">
        <f t="shared" si="86"/>
        <v>3.1232641759928441</v>
      </c>
      <c r="W197" s="1">
        <f t="shared" si="87"/>
        <v>174.72933942957258</v>
      </c>
      <c r="X197" s="1" t="str">
        <f t="shared" si="88"/>
        <v>0.132858268420186+1.6736081708174i</v>
      </c>
      <c r="Y197" s="1">
        <f t="shared" si="89"/>
        <v>4.5003585571445175</v>
      </c>
      <c r="Z197" s="1">
        <f t="shared" si="90"/>
        <v>85.46113124419216</v>
      </c>
    </row>
    <row r="198" spans="2:26">
      <c r="B198" s="1">
        <v>3000</v>
      </c>
      <c r="C198" s="1">
        <f t="shared" si="68"/>
        <v>18849.555921538758</v>
      </c>
      <c r="D198" s="83" t="str">
        <f t="shared" si="69"/>
        <v>0.00469420435288006-0.0518944212628378i</v>
      </c>
      <c r="E198" s="1">
        <f t="shared" si="70"/>
        <v>-25.662195267566279</v>
      </c>
      <c r="F198" s="1">
        <f t="shared" si="71"/>
        <v>-84.831272916987942</v>
      </c>
      <c r="G198" s="1" t="str">
        <f t="shared" si="72"/>
        <v>23.2615445822211-1345.29098402885i</v>
      </c>
      <c r="H198" s="1">
        <f t="shared" si="77"/>
        <v>62.577622899381808</v>
      </c>
      <c r="I198" s="1">
        <f t="shared" si="78"/>
        <v>-89.009392359934182</v>
      </c>
      <c r="J198" s="83" t="str">
        <f t="shared" si="73"/>
        <v>-25.9790681717317-0.969871027754744i</v>
      </c>
      <c r="K198" s="1">
        <f t="shared" si="79"/>
        <v>28.298520099901125</v>
      </c>
      <c r="L198" s="1">
        <f t="shared" si="80"/>
        <v>-177.86198175654863</v>
      </c>
      <c r="M198" s="1">
        <f t="shared" si="74"/>
        <v>0.192</v>
      </c>
      <c r="N198" s="1">
        <f t="shared" si="75"/>
        <v>2.5000000000000001E-2</v>
      </c>
      <c r="O198" s="1" t="str">
        <f t="shared" si="76"/>
        <v>2.34827221352914-1.16999345971683i</v>
      </c>
      <c r="P198" s="1">
        <f t="shared" si="81"/>
        <v>8.3779462138045098</v>
      </c>
      <c r="Q198" s="1">
        <f t="shared" si="82"/>
        <v>-26.484132571038057</v>
      </c>
      <c r="R198" s="1" t="str">
        <f t="shared" si="83"/>
        <v>-0.0273753150419434-0.791355598675738i</v>
      </c>
      <c r="S198" s="1">
        <f t="shared" si="84"/>
        <v>-2.0273724444959864</v>
      </c>
      <c r="T198" s="1">
        <f t="shared" si="85"/>
        <v>-91.98123929434459</v>
      </c>
      <c r="U198" s="1" t="str">
        <f>IMPRODUCT(COMPLEX(-1,0),IMDIV(COMPLEX(1,C198*Calculations!$B$195*Calculations!$B$197),IMPRODUCT(COMPLEX(0,C198*Calculations!$B$184),COMPLEX((Calculations!$B$197+Calculations!$B$199),C198*Calculations!$B$195*Calculations!$B$197*Calculations!$B$199))))</f>
        <v>-1.42656722538602+0.0966979775043371i</v>
      </c>
      <c r="V198" s="1">
        <f t="shared" si="86"/>
        <v>3.1057533544050169</v>
      </c>
      <c r="W198" s="1">
        <f t="shared" si="87"/>
        <v>176.1222129043276</v>
      </c>
      <c r="X198" s="1" t="str">
        <f t="shared" si="88"/>
        <v>0.115575213102131+1.12627482309844i</v>
      </c>
      <c r="Y198" s="1">
        <f t="shared" si="89"/>
        <v>1.0783809099090274</v>
      </c>
      <c r="Z198" s="1">
        <f t="shared" si="90"/>
        <v>84.140973609983007</v>
      </c>
    </row>
    <row r="199" spans="2:26">
      <c r="B199" s="1">
        <v>4000</v>
      </c>
      <c r="C199" s="1">
        <f t="shared" si="68"/>
        <v>25132.741228718343</v>
      </c>
      <c r="D199" s="83" t="str">
        <f t="shared" si="69"/>
        <v>0.00438870994365486-0.0389238992295235i</v>
      </c>
      <c r="E199" s="1">
        <f t="shared" si="70"/>
        <v>-28.140810234389697</v>
      </c>
      <c r="F199" s="1">
        <f t="shared" si="71"/>
        <v>-83.567010154939553</v>
      </c>
      <c r="G199" s="1" t="str">
        <f t="shared" si="72"/>
        <v>9.70001613569429-931.381341819558i</v>
      </c>
      <c r="H199" s="1">
        <f t="shared" si="77"/>
        <v>59.383021703156906</v>
      </c>
      <c r="I199" s="1">
        <f t="shared" si="78"/>
        <v>-89.40330574785655</v>
      </c>
      <c r="J199" s="83" t="str">
        <f t="shared" si="73"/>
        <v>-13.5641035917241-0.291448104406914i</v>
      </c>
      <c r="K199" s="1">
        <f t="shared" si="79"/>
        <v>22.649826542648142</v>
      </c>
      <c r="L199" s="1">
        <f t="shared" si="80"/>
        <v>-178.76909099762858</v>
      </c>
      <c r="M199" s="1">
        <f t="shared" si="74"/>
        <v>0.192</v>
      </c>
      <c r="N199" s="1">
        <f t="shared" si="75"/>
        <v>2.5000000000000001E-2</v>
      </c>
      <c r="O199" s="1" t="str">
        <f t="shared" si="76"/>
        <v>2.34733858554442-0.908451659116513i</v>
      </c>
      <c r="P199" s="1">
        <f t="shared" si="81"/>
        <v>8.017660096504148</v>
      </c>
      <c r="Q199" s="1">
        <f t="shared" si="82"/>
        <v>-21.157108887611727</v>
      </c>
      <c r="R199" s="1" t="str">
        <f t="shared" si="83"/>
        <v>-0.0446616672957466-0.597536432397719i</v>
      </c>
      <c r="S199" s="1">
        <f t="shared" si="84"/>
        <v>-4.4485177897056252</v>
      </c>
      <c r="T199" s="1">
        <f t="shared" si="85"/>
        <v>-94.274510562919048</v>
      </c>
      <c r="U199" s="1" t="str">
        <f>IMPRODUCT(COMPLEX(-1,0),IMDIV(COMPLEX(1,C199*Calculations!$B$195*Calculations!$B$197),IMPRODUCT(COMPLEX(0,C199*Calculations!$B$184),COMPLEX((Calculations!$B$197+Calculations!$B$199),C199*Calculations!$B$195*Calculations!$B$197*Calculations!$B$199))))</f>
        <v>-1.42642551565999+0.0819268995569915i</v>
      </c>
      <c r="V199" s="1">
        <f t="shared" si="86"/>
        <v>3.0992848669216451</v>
      </c>
      <c r="W199" s="1">
        <f t="shared" si="87"/>
        <v>176.71282227287702</v>
      </c>
      <c r="X199" s="1" t="str">
        <f t="shared" si="88"/>
        <v>0.112660849081261+0.848682221777961i</v>
      </c>
      <c r="Y199" s="1">
        <f t="shared" si="89"/>
        <v>-1.349232922783977</v>
      </c>
      <c r="Z199" s="1">
        <f t="shared" si="90"/>
        <v>82.438311709958001</v>
      </c>
    </row>
    <row r="200" spans="2:26">
      <c r="B200" s="1">
        <v>5000</v>
      </c>
      <c r="C200" s="1">
        <f t="shared" si="68"/>
        <v>31415.926535897932</v>
      </c>
      <c r="D200" s="83" t="str">
        <f t="shared" si="69"/>
        <v>0.00424729328724239-0.0311402612113549i</v>
      </c>
      <c r="E200" s="1">
        <f t="shared" si="70"/>
        <v>-30.053506011929439</v>
      </c>
      <c r="F200" s="1">
        <f t="shared" si="71"/>
        <v>-82.23321906606931</v>
      </c>
      <c r="G200" s="1" t="str">
        <f t="shared" si="72"/>
        <v>5.38786880100388-719.466124080627i</v>
      </c>
      <c r="H200" s="1">
        <f t="shared" si="77"/>
        <v>57.140450550193037</v>
      </c>
      <c r="I200" s="1">
        <f t="shared" si="78"/>
        <v>-89.570936890581677</v>
      </c>
      <c r="J200" s="83" t="str">
        <f t="shared" si="73"/>
        <v>-8.43761788373195-0.103999242850168i</v>
      </c>
      <c r="K200" s="1">
        <f t="shared" si="79"/>
        <v>18.52505680873573</v>
      </c>
      <c r="L200" s="1">
        <f t="shared" si="80"/>
        <v>-179.29382723369827</v>
      </c>
      <c r="M200" s="1">
        <f t="shared" si="74"/>
        <v>0.192</v>
      </c>
      <c r="N200" s="1">
        <f t="shared" si="75"/>
        <v>2.5000000000000001E-2</v>
      </c>
      <c r="O200" s="1" t="str">
        <f t="shared" si="76"/>
        <v>2.34613929700122-0.758573443933492i</v>
      </c>
      <c r="P200" s="1">
        <f t="shared" si="81"/>
        <v>7.8388952667415746</v>
      </c>
      <c r="Q200" s="1">
        <f t="shared" si="82"/>
        <v>-17.917492841079916</v>
      </c>
      <c r="R200" s="1" t="str">
        <f t="shared" si="83"/>
        <v>-0.053387095101221-0.480084037404925i</v>
      </c>
      <c r="S200" s="1">
        <f t="shared" si="84"/>
        <v>-6.3202780914152914</v>
      </c>
      <c r="T200" s="1">
        <f t="shared" si="85"/>
        <v>-96.345428865648287</v>
      </c>
      <c r="U200" s="1" t="str">
        <f>IMPRODUCT(COMPLEX(-1,0),IMDIV(COMPLEX(1,C200*Calculations!$B$195*Calculations!$B$197),IMPRODUCT(COMPLEX(0,C200*Calculations!$B$184),COMPLEX((Calculations!$B$197+Calculations!$B$199),C200*Calculations!$B$195*Calculations!$B$197*Calculations!$B$199))))</f>
        <v>-1.42624335880436+0.0752114093088821i</v>
      </c>
      <c r="V200" s="1">
        <f t="shared" si="86"/>
        <v>3.0959330929542928</v>
      </c>
      <c r="W200" s="1">
        <f t="shared" si="87"/>
        <v>176.98136476957416</v>
      </c>
      <c r="X200" s="1" t="str">
        <f t="shared" si="88"/>
        <v>0.112250786873896+0.680701351355288i</v>
      </c>
      <c r="Y200" s="1">
        <f t="shared" si="89"/>
        <v>-3.2243449984609995</v>
      </c>
      <c r="Z200" s="1">
        <f t="shared" si="90"/>
        <v>80.635935903925855</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0.00417047001570646-0.0259507345821313i</v>
      </c>
      <c r="E201" s="1">
        <f t="shared" ref="E201:E228" si="93">20*LOG(IMABS(D201))</f>
        <v>-31.606266449808423</v>
      </c>
      <c r="F201" s="1">
        <f t="shared" ref="F201:F223" si="94">IMARGUMENT(D201)*(180/PI())</f>
        <v>-80.870219012702677</v>
      </c>
      <c r="G201" s="1" t="str">
        <f t="shared" ref="G201:G228" si="95">IMDIV(IMSUM(COMPLEX(V48_Nom,0),IMPRODUCT(COMPLEX(np*(I_Channel_Design*(V12_Min/V48_Nom)),0),D201)),IMSUM(IMPRODUCT(COMPLEX(((V12_Min/V48_Nom)^2),0),D201),COMPLEX(Rcs/np,(Lm*C201)/np)))</f>
        <v>3.45996581500848-588.548339205901i</v>
      </c>
      <c r="H201" s="1">
        <f t="shared" si="77"/>
        <v>55.39579286206326</v>
      </c>
      <c r="I201" s="1">
        <f t="shared" si="78"/>
        <v>-89.663172688578967</v>
      </c>
      <c r="J201" s="83" t="str">
        <f t="shared" ref="J201:J228" si="96">IMPRODUCT(COMPLEX(-1,0),IMDIV(IMSUM(IMSUB(IMPRODUCT(COMPLEX((1-(V12_Min/V48_Nom))*V48_Nom,0),D201),IMPRODUCT(COMPLEX(V48_Nom,0),D201)),IMPRODUCT(COMPLEX(0,I_Channel_Design*Lm*C201),D201)),IMSUM(IMPRODUCT(COMPLEX(((V12_Min/V48_Nom)^2),0),D201),COMPLEX(Rcs/np,(Lm*C201)/np))))</f>
        <v>-5.79706292737244-0.0340450009064405i</v>
      </c>
      <c r="K201" s="1">
        <f t="shared" si="79"/>
        <v>15.264310078353738</v>
      </c>
      <c r="L201" s="1">
        <f t="shared" si="80"/>
        <v>-179.66351711811799</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2.34467516306878-0.664509002263529i</v>
      </c>
      <c r="P201" s="1">
        <f t="shared" si="81"/>
        <v>7.7371872444751419</v>
      </c>
      <c r="Q201" s="1">
        <f t="shared" si="82"/>
        <v>-15.823364486910553</v>
      </c>
      <c r="R201" s="1" t="str">
        <f t="shared" si="83"/>
        <v>-0.058451561169434-0.401375378437908i</v>
      </c>
      <c r="S201" s="1">
        <f t="shared" si="84"/>
        <v>-7.8378452122353206</v>
      </c>
      <c r="T201" s="1">
        <f t="shared" si="85"/>
        <v>-98.28563433684387</v>
      </c>
      <c r="U201" s="1" t="str">
        <f>IMPRODUCT(COMPLEX(-1,0),IMDIV(COMPLEX(1,C201*Calculations!$B$195*Calculations!$B$197),IMPRODUCT(COMPLEX(0,C201*Calculations!$B$184),COMPLEX((Calculations!$B$197+Calculations!$B$199),C201*Calculations!$B$195*Calculations!$B$197*Calculations!$B$199))))</f>
        <v>-1.42602078581762+0.0725223416023077i</v>
      </c>
      <c r="V201" s="1">
        <f t="shared" si="86"/>
        <v>3.0937351119217587</v>
      </c>
      <c r="W201" s="1">
        <f t="shared" si="87"/>
        <v>177.08864880632774</v>
      </c>
      <c r="X201" s="1" t="str">
        <f t="shared" si="88"/>
        <v>0.112461823496932+0.568130588481552i</v>
      </c>
      <c r="Y201" s="1">
        <f t="shared" si="89"/>
        <v>-4.7441101003135664</v>
      </c>
      <c r="Z201" s="1">
        <f t="shared" si="90"/>
        <v>78.803014469483912</v>
      </c>
    </row>
    <row r="202" spans="2:26">
      <c r="B202" s="1">
        <v>7000</v>
      </c>
      <c r="C202" s="1">
        <f t="shared" si="91"/>
        <v>43982.297150257102</v>
      </c>
      <c r="D202" s="83" t="str">
        <f t="shared" si="92"/>
        <v>0.00412414652689967-0.0222437539457995i</v>
      </c>
      <c r="E202" s="1">
        <f t="shared" si="93"/>
        <v>-32.909055106278117</v>
      </c>
      <c r="F202" s="1">
        <f t="shared" si="94"/>
        <v>-79.496238701766686</v>
      </c>
      <c r="G202" s="1" t="str">
        <f t="shared" si="95"/>
        <v>2.42359394287053-498.945436751156i</v>
      </c>
      <c r="H202" s="1">
        <f t="shared" si="77"/>
        <v>53.961163569372189</v>
      </c>
      <c r="I202" s="1">
        <f t="shared" si="78"/>
        <v>-89.721691788648627</v>
      </c>
      <c r="J202" s="83" t="str">
        <f t="shared" si="96"/>
        <v>-4.25093453908967-0.00353373039225135i</v>
      </c>
      <c r="K202" s="1">
        <f t="shared" si="79"/>
        <v>12.569691345897374</v>
      </c>
      <c r="L202" s="1">
        <f t="shared" si="80"/>
        <v>-179.95237099303364</v>
      </c>
      <c r="M202" s="1">
        <f t="shared" si="97"/>
        <v>0.192</v>
      </c>
      <c r="N202" s="1">
        <f t="shared" si="98"/>
        <v>2.5000000000000001E-2</v>
      </c>
      <c r="O202" s="1" t="str">
        <f t="shared" si="99"/>
        <v>2.34294717724-0.602319321731216i</v>
      </c>
      <c r="P202" s="1">
        <f t="shared" si="81"/>
        <v>7.6731842071253542</v>
      </c>
      <c r="Q202" s="1">
        <f t="shared" si="82"/>
        <v>-14.417267946899488</v>
      </c>
      <c r="R202" s="1" t="str">
        <f t="shared" si="83"/>
        <v>-0.0617178657203571-0.345003020358943i</v>
      </c>
      <c r="S202" s="1">
        <f t="shared" si="84"/>
        <v>-9.1067370136667378</v>
      </c>
      <c r="T202" s="1">
        <f t="shared" si="85"/>
        <v>-100.1424037433637</v>
      </c>
      <c r="U202" s="1" t="str">
        <f>IMPRODUCT(COMPLEX(-1,0),IMDIV(COMPLEX(1,C202*Calculations!$B$195*Calculations!$B$197),IMPRODUCT(COMPLEX(0,C202*Calculations!$B$184),COMPLEX((Calculations!$B$197+Calculations!$B$199),C202*Calculations!$B$195*Calculations!$B$197*Calculations!$B$199))))</f>
        <v>-1.42575783455991+0.0721326511870832i</v>
      </c>
      <c r="V202" s="1">
        <f t="shared" si="86"/>
        <v>3.0920173375796418</v>
      </c>
      <c r="W202" s="1">
        <f t="shared" si="87"/>
        <v>177.10373276934874</v>
      </c>
      <c r="X202" s="1" t="str">
        <f t="shared" si="88"/>
        <v>0.112880713109157+0.487438885943577i</v>
      </c>
      <c r="Y202" s="1">
        <f t="shared" si="89"/>
        <v>-6.0147196760871013</v>
      </c>
      <c r="Z202" s="1">
        <f t="shared" si="90"/>
        <v>76.96132902598508</v>
      </c>
    </row>
    <row r="203" spans="2:26">
      <c r="B203" s="1">
        <v>8000</v>
      </c>
      <c r="C203" s="1">
        <f t="shared" si="91"/>
        <v>50265.482457436687</v>
      </c>
      <c r="D203" s="83" t="str">
        <f t="shared" si="92"/>
        <v>0.00409408020549899-0.0194634364286891i</v>
      </c>
      <c r="E203" s="1">
        <f t="shared" si="93"/>
        <v>-34.027581531682053</v>
      </c>
      <c r="F203" s="1">
        <f t="shared" si="94"/>
        <v>-78.121166949641108</v>
      </c>
      <c r="G203" s="1" t="str">
        <f t="shared" si="95"/>
        <v>1.79856986206155-433.495560284743i</v>
      </c>
      <c r="H203" s="1">
        <f t="shared" si="77"/>
        <v>52.739767838163367</v>
      </c>
      <c r="I203" s="1">
        <f t="shared" si="78"/>
        <v>-89.762281600103051</v>
      </c>
      <c r="J203" s="83" t="str">
        <f t="shared" si="96"/>
        <v>-3.26531832582012+0.0109570814124833i</v>
      </c>
      <c r="K203" s="1">
        <f t="shared" si="79"/>
        <v>10.278559415431221</v>
      </c>
      <c r="L203" s="1">
        <f t="shared" si="80"/>
        <v>179.80773936818215</v>
      </c>
      <c r="M203" s="1">
        <f t="shared" si="97"/>
        <v>0.192</v>
      </c>
      <c r="N203" s="1">
        <f t="shared" si="98"/>
        <v>2.5000000000000001E-2</v>
      </c>
      <c r="O203" s="1" t="str">
        <f t="shared" si="99"/>
        <v>2.34095650965042-0.560031967653599i</v>
      </c>
      <c r="P203" s="1">
        <f t="shared" si="81"/>
        <v>7.6295699184944397</v>
      </c>
      <c r="Q203" s="1">
        <f t="shared" si="82"/>
        <v>-13.454125435742048</v>
      </c>
      <c r="R203" s="1" t="str">
        <f t="shared" si="83"/>
        <v>-0.0640129308712004-0.302665661801563i</v>
      </c>
      <c r="S203" s="1">
        <f t="shared" si="84"/>
        <v>-10.190691925945858</v>
      </c>
      <c r="T203" s="1">
        <f t="shared" si="85"/>
        <v>-101.94191266141627</v>
      </c>
      <c r="U203" s="1" t="str">
        <f>IMPRODUCT(COMPLEX(-1,0),IMDIV(COMPLEX(1,C203*Calculations!$B$195*Calculations!$B$197),IMPRODUCT(COMPLEX(0,C203*Calculations!$B$184),COMPLEX((Calculations!$B$197+Calculations!$B$199),C203*Calculations!$B$195*Calculations!$B$197*Calculations!$B$199))))</f>
        <v>-1.42545454973697+0.0731785883121814i</v>
      </c>
      <c r="V203" s="1">
        <f t="shared" si="86"/>
        <v>3.090498219592714</v>
      </c>
      <c r="W203" s="1">
        <f t="shared" si="87"/>
        <v>177.06118536449665</v>
      </c>
      <c r="X203" s="1" t="str">
        <f t="shared" si="88"/>
        <v>0.113396169413561+0.426751768749309i</v>
      </c>
      <c r="Y203" s="1">
        <f t="shared" si="89"/>
        <v>-7.1001937063531519</v>
      </c>
      <c r="Z203" s="1">
        <f t="shared" si="90"/>
        <v>75.119272703080426</v>
      </c>
    </row>
    <row r="204" spans="2:26">
      <c r="B204" s="1">
        <v>9000</v>
      </c>
      <c r="C204" s="1">
        <f t="shared" si="91"/>
        <v>56548.667764616279</v>
      </c>
      <c r="D204" s="83" t="str">
        <f t="shared" si="92"/>
        <v>0.00407346656366775-0.0173009248470938i</v>
      </c>
      <c r="E204" s="1">
        <f t="shared" si="93"/>
        <v>-35.004295735368927</v>
      </c>
      <c r="F204" s="1">
        <f t="shared" si="94"/>
        <v>-76.75113107147898</v>
      </c>
      <c r="G204" s="1" t="str">
        <f t="shared" si="95"/>
        <v>1.39086220451097-383.473381119022i</v>
      </c>
      <c r="H204" s="1">
        <f t="shared" si="77"/>
        <v>51.674761585842347</v>
      </c>
      <c r="I204" s="1">
        <f t="shared" si="78"/>
        <v>-89.792188483788891</v>
      </c>
      <c r="J204" s="83" t="str">
        <f t="shared" si="96"/>
        <v>-2.59753447958897+0.0180996431698562i</v>
      </c>
      <c r="K204" s="1">
        <f t="shared" si="79"/>
        <v>8.2914372800877558</v>
      </c>
      <c r="L204" s="1">
        <f t="shared" si="80"/>
        <v>179.60076896409961</v>
      </c>
      <c r="M204" s="1">
        <f t="shared" si="97"/>
        <v>0.192</v>
      </c>
      <c r="N204" s="1">
        <f t="shared" si="98"/>
        <v>2.5000000000000001E-2</v>
      </c>
      <c r="O204" s="1" t="str">
        <f t="shared" si="99"/>
        <v>2.33870450510428-0.53099301341295i</v>
      </c>
      <c r="P204" s="1">
        <f t="shared" si="81"/>
        <v>7.5978054590998845</v>
      </c>
      <c r="Q204" s="1">
        <f t="shared" si="82"/>
        <v>-12.791901577523683</v>
      </c>
      <c r="R204" s="1" t="str">
        <f t="shared" si="83"/>
        <v>-0.0657466862902517-0.269713448815671i</v>
      </c>
      <c r="S204" s="1">
        <f t="shared" si="84"/>
        <v>-11.131260734147883</v>
      </c>
      <c r="T204" s="1">
        <f t="shared" si="85"/>
        <v>-103.69952572349193</v>
      </c>
      <c r="U204" s="1" t="str">
        <f>IMPRODUCT(COMPLEX(-1,0),IMDIV(COMPLEX(1,C204*Calculations!$B$195*Calculations!$B$197),IMPRODUCT(COMPLEX(0,C204*Calculations!$B$184),COMPLEX((Calculations!$B$197+Calculations!$B$199),C204*Calculations!$B$195*Calculations!$B$197*Calculations!$B$199))))</f>
        <v>-1.42511098288115+0.0751800906750007i</v>
      </c>
      <c r="V204" s="1">
        <f t="shared" si="86"/>
        <v>3.0890432339006697</v>
      </c>
      <c r="W204" s="1">
        <f t="shared" si="87"/>
        <v>176.98022629194458</v>
      </c>
      <c r="X204" s="1" t="str">
        <f t="shared" si="88"/>
        <v>0.113973406258509+0.379428756301084i</v>
      </c>
      <c r="Y204" s="1">
        <f t="shared" si="89"/>
        <v>-8.0422175002472009</v>
      </c>
      <c r="Z204" s="1">
        <f t="shared" si="90"/>
        <v>73.280700568452588</v>
      </c>
    </row>
    <row r="205" spans="2:26">
      <c r="B205" s="1">
        <v>10000</v>
      </c>
      <c r="C205" s="1">
        <f t="shared" si="91"/>
        <v>62831.853071795864</v>
      </c>
      <c r="D205" s="83" t="str">
        <f t="shared" si="92"/>
        <v>0.00405872161174804-0.0155708918893012i</v>
      </c>
      <c r="E205" s="1">
        <f t="shared" si="93"/>
        <v>-35.868245133147894</v>
      </c>
      <c r="F205" s="1">
        <f t="shared" si="94"/>
        <v>-75.390324170820648</v>
      </c>
      <c r="G205" s="1" t="str">
        <f t="shared" si="95"/>
        <v>1.10933817125443-343.940962782997i</v>
      </c>
      <c r="H205" s="1">
        <f t="shared" si="77"/>
        <v>50.729723232289658</v>
      </c>
      <c r="I205" s="1">
        <f t="shared" si="78"/>
        <v>-89.815200334540876</v>
      </c>
      <c r="J205" s="83" t="str">
        <f t="shared" si="96"/>
        <v>-2.12378117618258+0.0215829934291934i</v>
      </c>
      <c r="K205" s="1">
        <f t="shared" si="79"/>
        <v>6.542643846922271</v>
      </c>
      <c r="L205" s="1">
        <f t="shared" si="80"/>
        <v>179.41774987086234</v>
      </c>
      <c r="M205" s="1">
        <f t="shared" si="97"/>
        <v>0.192</v>
      </c>
      <c r="N205" s="1">
        <f t="shared" si="98"/>
        <v>2.5000000000000001E-2</v>
      </c>
      <c r="O205" s="1" t="str">
        <f t="shared" si="99"/>
        <v>2.33619268081346-0.511207816410133i</v>
      </c>
      <c r="P205" s="1">
        <f t="shared" si="81"/>
        <v>7.5732994369184512</v>
      </c>
      <c r="Q205" s="1">
        <f t="shared" si="82"/>
        <v>-12.342964718004051</v>
      </c>
      <c r="R205" s="1" t="str">
        <f t="shared" si="83"/>
        <v>-0.0671398397910699-0.243339831355236i</v>
      </c>
      <c r="S205" s="1">
        <f t="shared" si="84"/>
        <v>-11.95710386300707</v>
      </c>
      <c r="T205" s="1">
        <f t="shared" si="85"/>
        <v>-105.42470171023261</v>
      </c>
      <c r="U205" s="1" t="str">
        <f>IMPRODUCT(COMPLEX(-1,0),IMDIV(COMPLEX(1,C205*Calculations!$B$195*Calculations!$B$197),IMPRODUCT(COMPLEX(0,C205*Calculations!$B$184),COMPLEX((Calculations!$B$197+Calculations!$B$199),C205*Calculations!$B$195*Calculations!$B$197*Calculations!$B$199))))</f>
        <v>-1.42472719232951+0.0778489402775178i</v>
      </c>
      <c r="V205" s="1">
        <f t="shared" si="86"/>
        <v>3.087581553262011</v>
      </c>
      <c r="W205" s="1">
        <f t="shared" si="87"/>
        <v>176.87239454321846</v>
      </c>
      <c r="X205" s="1" t="str">
        <f t="shared" si="88"/>
        <v>0.114599703437299+0.341466109330545i</v>
      </c>
      <c r="Y205" s="1">
        <f t="shared" si="89"/>
        <v>-8.8695223097450544</v>
      </c>
      <c r="Z205" s="1">
        <f t="shared" si="90"/>
        <v>71.447692832985865</v>
      </c>
    </row>
    <row r="206" spans="2:26">
      <c r="B206" s="1">
        <v>20000</v>
      </c>
      <c r="C206" s="1">
        <f t="shared" si="91"/>
        <v>125663.70614359173</v>
      </c>
      <c r="D206" s="83" t="str">
        <f t="shared" si="92"/>
        <v>0.00401157581159077-0.00778554111091961i</v>
      </c>
      <c r="E206" s="1">
        <f t="shared" si="93"/>
        <v>-41.1516278905479</v>
      </c>
      <c r="F206" s="1">
        <f t="shared" si="94"/>
        <v>-62.739771925310059</v>
      </c>
      <c r="G206" s="1" t="str">
        <f t="shared" si="95"/>
        <v>0.263884462708265-170.1026880772i</v>
      </c>
      <c r="H206" s="1">
        <f t="shared" si="77"/>
        <v>44.614233985363342</v>
      </c>
      <c r="I206" s="1">
        <f t="shared" si="78"/>
        <v>-89.911115726422025</v>
      </c>
      <c r="J206" s="83" t="str">
        <f t="shared" si="96"/>
        <v>-0.630482002855491+0.019013008947176i</v>
      </c>
      <c r="K206" s="1">
        <f t="shared" si="79"/>
        <v>-4.0025984257903904</v>
      </c>
      <c r="L206" s="1">
        <f t="shared" si="80"/>
        <v>178.27269435175285</v>
      </c>
      <c r="M206" s="1">
        <f t="shared" si="97"/>
        <v>0.192</v>
      </c>
      <c r="N206" s="1">
        <f t="shared" si="98"/>
        <v>2.5000000000000001E-2</v>
      </c>
      <c r="O206" s="1" t="str">
        <f t="shared" si="99"/>
        <v>2.29723553921379-0.513946477134952i</v>
      </c>
      <c r="P206" s="1">
        <f t="shared" si="81"/>
        <v>7.4362201644037249</v>
      </c>
      <c r="Q206" s="1">
        <f t="shared" si="82"/>
        <v>-12.610772053575038</v>
      </c>
      <c r="R206" s="1" t="str">
        <f t="shared" si="83"/>
        <v>-0.0760400251838518-0.123569960487618i</v>
      </c>
      <c r="S206" s="1">
        <f t="shared" si="84"/>
        <v>-16.76714466322785</v>
      </c>
      <c r="T206" s="1">
        <f t="shared" si="85"/>
        <v>-121.60648408047389</v>
      </c>
      <c r="U206" s="1" t="str">
        <f>IMPRODUCT(COMPLEX(-1,0),IMDIV(COMPLEX(1,C206*Calculations!$B$195*Calculations!$B$197),IMPRODUCT(COMPLEX(0,C206*Calculations!$B$184),COMPLEX((Calculations!$B$197+Calculations!$B$199),C206*Calculations!$B$195*Calculations!$B$197*Calculations!$B$199))))</f>
        <v>-1.41869462512314+0.118984947509023i</v>
      </c>
      <c r="V206" s="1">
        <f t="shared" si="86"/>
        <v>3.0682200720272212</v>
      </c>
      <c r="W206" s="1">
        <f t="shared" si="87"/>
        <v>175.20586192270937</v>
      </c>
      <c r="X206" s="1" t="str">
        <f t="shared" si="88"/>
        <v>0.12258054028487+0.166260420365377i</v>
      </c>
      <c r="Y206" s="1">
        <f t="shared" si="89"/>
        <v>-13.698924591200628</v>
      </c>
      <c r="Z206" s="1">
        <f t="shared" si="90"/>
        <v>53.599377842235491</v>
      </c>
    </row>
    <row r="207" spans="2:26">
      <c r="B207" s="1">
        <v>30000</v>
      </c>
      <c r="C207" s="1">
        <f t="shared" si="91"/>
        <v>188495.55921538759</v>
      </c>
      <c r="D207" s="83" t="str">
        <f t="shared" si="92"/>
        <v>0.00400284498137382-0.00519037248970538i</v>
      </c>
      <c r="E207" s="1">
        <f t="shared" si="93"/>
        <v>-43.669080841030841</v>
      </c>
      <c r="F207" s="1">
        <f t="shared" si="94"/>
        <v>-52.360384809582349</v>
      </c>
      <c r="G207" s="1" t="str">
        <f t="shared" si="95"/>
        <v>0.116200149338452-113.174137082437i</v>
      </c>
      <c r="H207" s="1">
        <f t="shared" si="77"/>
        <v>41.074948414681394</v>
      </c>
      <c r="I207" s="1">
        <f t="shared" si="78"/>
        <v>-89.941172285753652</v>
      </c>
      <c r="J207" s="83" t="str">
        <f t="shared" si="96"/>
        <v>-0.357476375703016+0.013664148666946i</v>
      </c>
      <c r="K207" s="1">
        <f t="shared" si="79"/>
        <v>-8.9287123694981538</v>
      </c>
      <c r="L207" s="1">
        <f t="shared" si="80"/>
        <v>177.8109963420811</v>
      </c>
      <c r="M207" s="1">
        <f t="shared" si="97"/>
        <v>0.192</v>
      </c>
      <c r="N207" s="1">
        <f t="shared" si="98"/>
        <v>2.5000000000000001E-2</v>
      </c>
      <c r="O207" s="1" t="str">
        <f t="shared" si="99"/>
        <v>2.23511613688354-0.617259038722573i</v>
      </c>
      <c r="P207" s="1">
        <f t="shared" si="81"/>
        <v>7.3052007529170204</v>
      </c>
      <c r="Q207" s="1">
        <f t="shared" si="82"/>
        <v>-15.438246210886286</v>
      </c>
      <c r="R207" s="1" t="str">
        <f t="shared" si="83"/>
        <v>-0.0832170371413287-0.0793487325538619i</v>
      </c>
      <c r="S207" s="1">
        <f t="shared" si="84"/>
        <v>-18.787259509787745</v>
      </c>
      <c r="T207" s="1">
        <f t="shared" si="85"/>
        <v>-136.36311420103138</v>
      </c>
      <c r="U207" s="1" t="str">
        <f>IMPRODUCT(COMPLEX(-1,0),IMDIV(COMPLEX(1,C207*Calculations!$B$195*Calculations!$B$197),IMPRODUCT(COMPLEX(0,C207*Calculations!$B$184),COMPLEX((Calculations!$B$197+Calculations!$B$199),C207*Calculations!$B$195*Calculations!$B$197*Calculations!$B$199))))</f>
        <v>-1.40875307555117+0.167282003956561i</v>
      </c>
      <c r="V207" s="1">
        <f t="shared" si="86"/>
        <v>3.0375067027837801</v>
      </c>
      <c r="W207" s="1">
        <f t="shared" si="87"/>
        <v>173.22813776950659</v>
      </c>
      <c r="X207" s="1" t="str">
        <f t="shared" si="88"/>
        <v>0.130505872004126+0.0978620582900112i</v>
      </c>
      <c r="Y207" s="1">
        <f t="shared" si="89"/>
        <v>-15.749752807003963</v>
      </c>
      <c r="Z207" s="1">
        <f t="shared" si="90"/>
        <v>36.865023568475181</v>
      </c>
    </row>
    <row r="208" spans="2:26">
      <c r="B208" s="1">
        <v>40000</v>
      </c>
      <c r="C208" s="1">
        <f t="shared" si="91"/>
        <v>251327.41228718346</v>
      </c>
      <c r="D208" s="83" t="str">
        <f t="shared" si="92"/>
        <v>0.00399978918145965-0.00389278245142519i</v>
      </c>
      <c r="E208" s="1">
        <f t="shared" si="93"/>
        <v>-45.065131079257519</v>
      </c>
      <c r="F208" s="1">
        <f t="shared" si="94"/>
        <v>-44.223236902396749</v>
      </c>
      <c r="G208" s="1" t="str">
        <f t="shared" si="95"/>
        <v>0.0651506229059642-84.8210038326146i</v>
      </c>
      <c r="H208" s="1">
        <f t="shared" si="77"/>
        <v>38.570070720340567</v>
      </c>
      <c r="I208" s="1">
        <f t="shared" si="78"/>
        <v>-89.955991383945005</v>
      </c>
      <c r="J208" s="83" t="str">
        <f t="shared" si="96"/>
        <v>-0.262181634159957+0.0105062530429093i</v>
      </c>
      <c r="K208" s="1">
        <f t="shared" si="79"/>
        <v>-11.620986375664312</v>
      </c>
      <c r="L208" s="1">
        <f t="shared" si="80"/>
        <v>177.70524713208081</v>
      </c>
      <c r="M208" s="1">
        <f t="shared" si="97"/>
        <v>0.192</v>
      </c>
      <c r="N208" s="1">
        <f t="shared" si="98"/>
        <v>2.5000000000000001E-2</v>
      </c>
      <c r="O208" s="1" t="str">
        <f t="shared" si="99"/>
        <v>2.15358711681122-0.733272332165868i</v>
      </c>
      <c r="P208" s="1">
        <f t="shared" si="81"/>
        <v>7.1396286767346169</v>
      </c>
      <c r="Q208" s="1">
        <f t="shared" si="82"/>
        <v>-18.803134551612704</v>
      </c>
      <c r="R208" s="1" t="str">
        <f t="shared" si="83"/>
        <v>-0.0881502139289255-0.051351244858839i</v>
      </c>
      <c r="S208" s="1">
        <f t="shared" si="84"/>
        <v>-19.826573125201552</v>
      </c>
      <c r="T208" s="1">
        <f t="shared" si="85"/>
        <v>-149.77738250426083</v>
      </c>
      <c r="U208" s="1" t="str">
        <f>IMPRODUCT(COMPLEX(-1,0),IMDIV(COMPLEX(1,C208*Calculations!$B$195*Calculations!$B$197),IMPRODUCT(COMPLEX(0,C208*Calculations!$B$184),COMPLEX((Calculations!$B$197+Calculations!$B$199),C208*Calculations!$B$195*Calculations!$B$197*Calculations!$B$199))))</f>
        <v>-1.39506670891791+0.21627997283595i</v>
      </c>
      <c r="V208" s="1">
        <f t="shared" si="86"/>
        <v>2.9950471623813293</v>
      </c>
      <c r="W208" s="1">
        <f t="shared" si="87"/>
        <v>171.1874769415069</v>
      </c>
      <c r="X208" s="1" t="str">
        <f t="shared" si="88"/>
        <v>0.134081674679398+0.0525732862900271i</v>
      </c>
      <c r="Y208" s="1">
        <f t="shared" si="89"/>
        <v>-16.831525962820209</v>
      </c>
      <c r="Z208" s="1">
        <f t="shared" si="90"/>
        <v>21.410094437246059</v>
      </c>
    </row>
    <row r="209" spans="1:26">
      <c r="B209" s="1">
        <v>50000</v>
      </c>
      <c r="C209" s="1">
        <f t="shared" si="91"/>
        <v>314159.26535897929</v>
      </c>
      <c r="D209" s="83" t="str">
        <f t="shared" si="92"/>
        <v>0.00399837478100299-0.00311422710315675i</v>
      </c>
      <c r="E209" s="1">
        <f t="shared" si="93"/>
        <v>-45.903134748686</v>
      </c>
      <c r="F209" s="1">
        <f t="shared" si="94"/>
        <v>-37.914070389346087</v>
      </c>
      <c r="G209" s="1" t="str">
        <f t="shared" si="95"/>
        <v>0.0416337243822269-67.8347568810647i</v>
      </c>
      <c r="H209" s="1">
        <f t="shared" si="77"/>
        <v>36.629047092616332</v>
      </c>
      <c r="I209" s="1">
        <f t="shared" si="78"/>
        <v>-89.96483459950818</v>
      </c>
      <c r="J209" s="83" t="str">
        <f t="shared" si="96"/>
        <v>-0.218118801977274+0.00850038992141094i</v>
      </c>
      <c r="K209" s="1">
        <f t="shared" si="79"/>
        <v>-13.219547004429161</v>
      </c>
      <c r="L209" s="1">
        <f t="shared" si="80"/>
        <v>177.76823400101489</v>
      </c>
      <c r="M209" s="1">
        <f t="shared" si="97"/>
        <v>0.192</v>
      </c>
      <c r="N209" s="1">
        <f t="shared" si="98"/>
        <v>2.5000000000000001E-2</v>
      </c>
      <c r="O209" s="1" t="str">
        <f t="shared" si="99"/>
        <v>2.05711216501628-0.842525623444679i</v>
      </c>
      <c r="P209" s="1">
        <f t="shared" si="81"/>
        <v>6.9386406284697859</v>
      </c>
      <c r="Q209" s="1">
        <f t="shared" si="82"/>
        <v>-22.272395820657728</v>
      </c>
      <c r="R209" s="1" t="str">
        <f t="shared" si="83"/>
        <v>-0.0895862864308358-0.0294451745728794i</v>
      </c>
      <c r="S209" s="1">
        <f t="shared" si="84"/>
        <v>-20.509653319354456</v>
      </c>
      <c r="T209" s="1">
        <f t="shared" si="85"/>
        <v>-161.80536651894343</v>
      </c>
      <c r="U209" s="1" t="str">
        <f>IMPRODUCT(COMPLEX(-1,0),IMDIV(COMPLEX(1,C209*Calculations!$B$195*Calculations!$B$197),IMPRODUCT(COMPLEX(0,C209*Calculations!$B$184),COMPLEX((Calculations!$B$197+Calculations!$B$199),C209*Calculations!$B$195*Calculations!$B$197*Calculations!$B$199))))</f>
        <v>-1.3778558890664+0.2643884939788i</v>
      </c>
      <c r="V209" s="1">
        <f t="shared" si="86"/>
        <v>2.941107367278069</v>
      </c>
      <c r="W209" s="1">
        <f t="shared" si="87"/>
        <v>169.13788502737827</v>
      </c>
      <c r="X209" s="1" t="str">
        <f t="shared" si="88"/>
        <v>0.131221957698583+0.016885623839228i</v>
      </c>
      <c r="Y209" s="1">
        <f t="shared" si="89"/>
        <v>-17.568545952076377</v>
      </c>
      <c r="Z209" s="1">
        <f t="shared" si="90"/>
        <v>7.3325185084348554</v>
      </c>
    </row>
    <row r="210" spans="1:26">
      <c r="B210" s="1">
        <v>60000</v>
      </c>
      <c r="C210" s="1">
        <f t="shared" si="91"/>
        <v>376991.11843077518</v>
      </c>
      <c r="D210" s="83" t="str">
        <f t="shared" si="92"/>
        <v>0.00399760646427073-0.00259518976959315i</v>
      </c>
      <c r="E210" s="1">
        <f t="shared" si="93"/>
        <v>-46.436706754188641</v>
      </c>
      <c r="F210" s="1">
        <f t="shared" si="94"/>
        <v>-32.99106504536482</v>
      </c>
      <c r="G210" s="1" t="str">
        <f t="shared" si="95"/>
        <v>0.0288886871210881-56.5189892727671i</v>
      </c>
      <c r="H210" s="1">
        <f t="shared" si="77"/>
        <v>35.043888870061252</v>
      </c>
      <c r="I210" s="1">
        <f t="shared" si="78"/>
        <v>-89.970714272762734</v>
      </c>
      <c r="J210" s="83" t="str">
        <f t="shared" si="96"/>
        <v>-0.194195363158642+0.00712679396237399i</v>
      </c>
      <c r="K210" s="1">
        <f t="shared" si="79"/>
        <v>-14.229377635907447</v>
      </c>
      <c r="L210" s="1">
        <f t="shared" si="80"/>
        <v>177.89824000754243</v>
      </c>
      <c r="M210" s="1">
        <f t="shared" si="97"/>
        <v>0.192</v>
      </c>
      <c r="N210" s="1">
        <f t="shared" si="98"/>
        <v>2.5000000000000001E-2</v>
      </c>
      <c r="O210" s="1" t="str">
        <f t="shared" si="99"/>
        <v>1.95032727707607-0.938151113470515i</v>
      </c>
      <c r="P210" s="1">
        <f t="shared" si="81"/>
        <v>6.7060798525760879</v>
      </c>
      <c r="Q210" s="1">
        <f t="shared" si="82"/>
        <v>-25.688596858411721</v>
      </c>
      <c r="R210" s="1" t="str">
        <f t="shared" si="83"/>
        <v>-0.0875318115399781-0.0116349723786696i</v>
      </c>
      <c r="S210" s="1">
        <f t="shared" si="84"/>
        <v>-21.080618486860786</v>
      </c>
      <c r="T210" s="1">
        <f t="shared" si="85"/>
        <v>-172.42846954662213</v>
      </c>
      <c r="U210" s="1" t="str">
        <f>IMPRODUCT(COMPLEX(-1,0),IMDIV(COMPLEX(1,C210*Calculations!$B$195*Calculations!$B$197),IMPRODUCT(COMPLEX(0,C210*Calculations!$B$184),COMPLEX((Calculations!$B$197+Calculations!$B$199),C210*Calculations!$B$195*Calculations!$B$197*Calculations!$B$199))))</f>
        <v>-1.35738857058364+0.310866915750943i</v>
      </c>
      <c r="V210" s="1">
        <f t="shared" si="86"/>
        <v>2.8760960634729775</v>
      </c>
      <c r="W210" s="1">
        <f t="shared" si="87"/>
        <v>167.10066448562614</v>
      </c>
      <c r="X210" s="1" t="str">
        <f t="shared" si="88"/>
        <v>0.122431608525052-0.0114175657576633i</v>
      </c>
      <c r="Y210" s="1">
        <f t="shared" si="89"/>
        <v>-18.204522423387797</v>
      </c>
      <c r="Z210" s="1">
        <f t="shared" si="90"/>
        <v>-5.3278050609959733</v>
      </c>
    </row>
    <row r="211" spans="1:26">
      <c r="B211" s="1">
        <v>70000</v>
      </c>
      <c r="C211" s="1">
        <f t="shared" si="91"/>
        <v>439822.97150257102</v>
      </c>
      <c r="D211" s="83" t="str">
        <f t="shared" si="92"/>
        <v>0.00399714319336588-0.00222444864111887i</v>
      </c>
      <c r="E211" s="1">
        <f t="shared" si="93"/>
        <v>-46.793277784165916</v>
      </c>
      <c r="F211" s="1">
        <f t="shared" si="94"/>
        <v>-29.096358641112026</v>
      </c>
      <c r="G211" s="1" t="str">
        <f t="shared" si="95"/>
        <v>0.0212138825741928-48.4396941193058i</v>
      </c>
      <c r="H211" s="1">
        <f t="shared" si="77"/>
        <v>33.704028674020293</v>
      </c>
      <c r="I211" s="1">
        <f t="shared" si="78"/>
        <v>-89.974907647891285</v>
      </c>
      <c r="J211" s="83" t="str">
        <f t="shared" si="96"/>
        <v>-0.17977433942629+0.00613096159592576i</v>
      </c>
      <c r="K211" s="1">
        <f t="shared" si="79"/>
        <v>-14.900397800936357</v>
      </c>
      <c r="L211" s="1">
        <f t="shared" si="80"/>
        <v>178.04676165630417</v>
      </c>
      <c r="M211" s="1">
        <f t="shared" si="97"/>
        <v>0.192</v>
      </c>
      <c r="N211" s="1">
        <f t="shared" si="98"/>
        <v>2.5000000000000001E-2</v>
      </c>
      <c r="O211" s="1" t="str">
        <f t="shared" si="99"/>
        <v>1.83759401876316-1.01772542239563i</v>
      </c>
      <c r="P211" s="1">
        <f t="shared" si="81"/>
        <v>6.4468637320819457</v>
      </c>
      <c r="Q211" s="1">
        <f t="shared" si="82"/>
        <v>-28.97925536444189</v>
      </c>
      <c r="R211" s="1" t="str">
        <f t="shared" si="83"/>
        <v>-0.0828737843638043+0.00245479472629303i</v>
      </c>
      <c r="S211" s="1">
        <f t="shared" si="84"/>
        <v>-21.627847765008731</v>
      </c>
      <c r="T211" s="1">
        <f t="shared" si="85"/>
        <v>178.30334447731207</v>
      </c>
      <c r="U211" s="1" t="str">
        <f>IMPRODUCT(COMPLEX(-1,0),IMDIV(COMPLEX(1,C211*Calculations!$B$195*Calculations!$B$197),IMPRODUCT(COMPLEX(0,C211*Calculations!$B$184),COMPLEX((Calculations!$B$197+Calculations!$B$199),C211*Calculations!$B$195*Calculations!$B$197*Calculations!$B$199))))</f>
        <v>-1.33397034459029+0.35525510498061i</v>
      </c>
      <c r="V211" s="1">
        <f t="shared" si="86"/>
        <v>2.8005067570670281</v>
      </c>
      <c r="W211" s="1">
        <f t="shared" si="87"/>
        <v>165.08744421260195</v>
      </c>
      <c r="X211" s="1" t="str">
        <f t="shared" si="88"/>
        <v>0.10967909232709-0.0327159583312353i</v>
      </c>
      <c r="Y211" s="1">
        <f t="shared" si="89"/>
        <v>-18.82734100794173</v>
      </c>
      <c r="Z211" s="1">
        <f t="shared" si="90"/>
        <v>-16.609211310086032</v>
      </c>
    </row>
    <row r="212" spans="1:26">
      <c r="B212" s="1">
        <v>80000</v>
      </c>
      <c r="C212" s="1">
        <f t="shared" si="91"/>
        <v>502654.82457436691</v>
      </c>
      <c r="D212" s="83" t="str">
        <f t="shared" si="92"/>
        <v>0.00399684251267096-0.00194639271271395i</v>
      </c>
      <c r="E212" s="1">
        <f t="shared" si="93"/>
        <v>-47.041428516281165</v>
      </c>
      <c r="F212" s="1">
        <f t="shared" si="94"/>
        <v>-25.965275771951148</v>
      </c>
      <c r="G212" s="1" t="str">
        <f t="shared" si="95"/>
        <v>0.0162366831888132-42.3818059594593i</v>
      </c>
      <c r="H212" s="1">
        <f t="shared" si="77"/>
        <v>32.543589813041621</v>
      </c>
      <c r="I212" s="1">
        <f t="shared" si="78"/>
        <v>-89.978049699548265</v>
      </c>
      <c r="J212" s="83" t="str">
        <f t="shared" si="96"/>
        <v>-0.170416172469105+0.0053772405056038i</v>
      </c>
      <c r="K212" s="1">
        <f t="shared" si="79"/>
        <v>-15.365462054224913</v>
      </c>
      <c r="L212" s="1">
        <f t="shared" si="80"/>
        <v>178.19271261529914</v>
      </c>
      <c r="M212" s="1">
        <f t="shared" si="97"/>
        <v>0.192</v>
      </c>
      <c r="N212" s="1">
        <f t="shared" si="98"/>
        <v>2.5000000000000001E-2</v>
      </c>
      <c r="O212" s="1" t="str">
        <f t="shared" si="99"/>
        <v>1.72269883316058-1.08099033549318i</v>
      </c>
      <c r="P212" s="1">
        <f t="shared" si="81"/>
        <v>6.166048246127569</v>
      </c>
      <c r="Q212" s="1">
        <f t="shared" si="82"/>
        <v>-32.108195201616113</v>
      </c>
      <c r="R212" s="1" t="str">
        <f t="shared" si="83"/>
        <v>-0.076718971449319+0.0131443963819691i</v>
      </c>
      <c r="S212" s="1">
        <f t="shared" si="84"/>
        <v>-22.176294587517805</v>
      </c>
      <c r="T212" s="1">
        <f t="shared" si="85"/>
        <v>170.27781008078128</v>
      </c>
      <c r="U212" s="1" t="str">
        <f>IMPRODUCT(COMPLEX(-1,0),IMDIV(COMPLEX(1,C212*Calculations!$B$195*Calculations!$B$197),IMPRODUCT(COMPLEX(0,C212*Calculations!$B$184),COMPLEX((Calculations!$B$197+Calculations!$B$199),C212*Calculations!$B$195*Calculations!$B$197*Calculations!$B$199))))</f>
        <v>-1.30793379249252+0.397233445514156i</v>
      </c>
      <c r="V212" s="1">
        <f t="shared" si="86"/>
        <v>2.7148966588325427</v>
      </c>
      <c r="W212" s="1">
        <f t="shared" si="87"/>
        <v>163.10590450530381</v>
      </c>
      <c r="X212" s="1" t="str">
        <f t="shared" si="88"/>
        <v>0.0951219414198198-0.047667341575009i</v>
      </c>
      <c r="Y212" s="1">
        <f t="shared" si="89"/>
        <v>-19.461397928685258</v>
      </c>
      <c r="Z212" s="1">
        <f t="shared" si="90"/>
        <v>-26.616285413914902</v>
      </c>
    </row>
    <row r="213" spans="1:26">
      <c r="B213" s="1">
        <v>90000</v>
      </c>
      <c r="C213" s="1">
        <f t="shared" si="91"/>
        <v>565486.6776461628</v>
      </c>
      <c r="D213" s="83" t="str">
        <f t="shared" si="92"/>
        <v>0.00399663636694933-0.00173012694821594i</v>
      </c>
      <c r="E213" s="1">
        <f t="shared" si="93"/>
        <v>-47.220141440207328</v>
      </c>
      <c r="F213" s="1">
        <f t="shared" si="94"/>
        <v>-23.40758199656657</v>
      </c>
      <c r="G213" s="1" t="str">
        <f t="shared" si="95"/>
        <v>0.012826170311912-37.6709332126279i</v>
      </c>
      <c r="H213" s="1">
        <f t="shared" si="77"/>
        <v>31.520128083567755</v>
      </c>
      <c r="I213" s="1">
        <f t="shared" si="78"/>
        <v>-89.98049197789598</v>
      </c>
      <c r="J213" s="83" t="str">
        <f t="shared" si="96"/>
        <v>-0.164000986199212+0.0047874761324587i</v>
      </c>
      <c r="K213" s="1">
        <f t="shared" si="79"/>
        <v>-15.699371506493874</v>
      </c>
      <c r="L213" s="1">
        <f t="shared" si="80"/>
        <v>178.32791066213548</v>
      </c>
      <c r="M213" s="1">
        <f t="shared" si="97"/>
        <v>0.192</v>
      </c>
      <c r="N213" s="1">
        <f t="shared" si="98"/>
        <v>2.5000000000000001E-2</v>
      </c>
      <c r="O213" s="1" t="str">
        <f t="shared" si="99"/>
        <v>1.60870377960502-1.12886989322905i</v>
      </c>
      <c r="P213" s="1">
        <f t="shared" si="81"/>
        <v>5.8684320269847028</v>
      </c>
      <c r="Q213" s="1">
        <f t="shared" si="82"/>
        <v>-35.058352120231554</v>
      </c>
      <c r="R213" s="1" t="str">
        <f t="shared" si="83"/>
        <v>-0.0699869078770844+0.0209323648047638i</v>
      </c>
      <c r="S213" s="1">
        <f t="shared" si="84"/>
        <v>-22.727572261184271</v>
      </c>
      <c r="T213" s="1">
        <f t="shared" si="85"/>
        <v>163.34861646176739</v>
      </c>
      <c r="U213" s="1" t="str">
        <f>IMPRODUCT(COMPLEX(-1,0),IMDIV(COMPLEX(1,C213*Calculations!$B$195*Calculations!$B$197),IMPRODUCT(COMPLEX(0,C213*Calculations!$B$184),COMPLEX((Calculations!$B$197+Calculations!$B$199),C213*Calculations!$B$195*Calculations!$B$197*Calculations!$B$199))))</f>
        <v>-1.27962778476547+0.436576333180636i</v>
      </c>
      <c r="V213" s="1">
        <f t="shared" si="86"/>
        <v>2.619871584392635</v>
      </c>
      <c r="W213" s="1">
        <f t="shared" si="87"/>
        <v>161.16166903911767</v>
      </c>
      <c r="X213" s="1" t="str">
        <f t="shared" si="88"/>
        <v>0.0804186168180754-0.0573402632166511i</v>
      </c>
      <c r="Y213" s="1">
        <f t="shared" si="89"/>
        <v>-20.107700676791627</v>
      </c>
      <c r="Z213" s="1">
        <f t="shared" si="90"/>
        <v>-35.48971449911491</v>
      </c>
    </row>
    <row r="214" spans="1:26">
      <c r="B214" s="1">
        <v>100000</v>
      </c>
      <c r="C214" s="1">
        <f t="shared" si="91"/>
        <v>628318.53071795858</v>
      </c>
      <c r="D214" s="83" t="str">
        <f t="shared" si="92"/>
        <v>0.00399648891211375-0.00155711431292341i</v>
      </c>
      <c r="E214" s="1">
        <f t="shared" si="93"/>
        <v>-47.352641198466259</v>
      </c>
      <c r="F214" s="1">
        <f t="shared" si="94"/>
        <v>-21.286911843535041</v>
      </c>
      <c r="G214" s="1" t="str">
        <f t="shared" si="95"/>
        <v>0.0103875678267332-33.9026920252589i</v>
      </c>
      <c r="H214" s="1">
        <f t="shared" si="77"/>
        <v>30.604684097603187</v>
      </c>
      <c r="I214" s="1">
        <f t="shared" si="78"/>
        <v>-89.982444940454585</v>
      </c>
      <c r="J214" s="83" t="str">
        <f t="shared" si="96"/>
        <v>-0.159412611525516+0.00431368906534908i</v>
      </c>
      <c r="K214" s="1">
        <f t="shared" si="79"/>
        <v>-15.946367563484312</v>
      </c>
      <c r="L214" s="1">
        <f t="shared" si="80"/>
        <v>178.44996028872362</v>
      </c>
      <c r="M214" s="1">
        <f t="shared" si="97"/>
        <v>0.192</v>
      </c>
      <c r="N214" s="1">
        <f t="shared" si="98"/>
        <v>2.5000000000000001E-2</v>
      </c>
      <c r="O214" s="1" t="str">
        <f t="shared" si="99"/>
        <v>1.49792148009975-1.16291249201739i</v>
      </c>
      <c r="P214" s="1">
        <f t="shared" si="81"/>
        <v>5.5583589327535226</v>
      </c>
      <c r="Q214" s="1">
        <f t="shared" si="82"/>
        <v>-37.824004633217534</v>
      </c>
      <c r="R214" s="1" t="str">
        <f t="shared" si="83"/>
        <v>-0.0632928117028967+0.0263953344902926i</v>
      </c>
      <c r="S214" s="1">
        <f t="shared" si="84"/>
        <v>-23.276533075435566</v>
      </c>
      <c r="T214" s="1">
        <f t="shared" si="85"/>
        <v>157.36214241812056</v>
      </c>
      <c r="U214" s="1" t="str">
        <f>IMPRODUCT(COMPLEX(-1,0),IMDIV(COMPLEX(1,C214*Calculations!$B$195*Calculations!$B$197),IMPRODUCT(COMPLEX(0,C214*Calculations!$B$184),COMPLEX((Calculations!$B$197+Calculations!$B$199),C214*Calculations!$B$195*Calculations!$B$197*Calculations!$B$199))))</f>
        <v>-1.24940728964469+0.47313222034123i</v>
      </c>
      <c r="V214" s="1">
        <f t="shared" si="86"/>
        <v>2.5160724048342544</v>
      </c>
      <c r="W214" s="1">
        <f t="shared" si="87"/>
        <v>159.25905791522086</v>
      </c>
      <c r="X214" s="1" t="str">
        <f t="shared" si="88"/>
        <v>0.0665900171096663-0.0629243918574124i</v>
      </c>
      <c r="Y214" s="1">
        <f t="shared" si="89"/>
        <v>-20.760460670601312</v>
      </c>
      <c r="Z214" s="1">
        <f t="shared" si="90"/>
        <v>-43.378799666658544</v>
      </c>
    </row>
    <row r="215" spans="1:26">
      <c r="B215" s="1">
        <v>200000</v>
      </c>
      <c r="C215" s="1">
        <f t="shared" si="91"/>
        <v>1256637.0614359172</v>
      </c>
      <c r="D215" s="83" t="str">
        <f t="shared" si="92"/>
        <v>0.00399601744460331-0.000778557251629895i</v>
      </c>
      <c r="E215" s="1">
        <f t="shared" si="93"/>
        <v>-47.805646260710134</v>
      </c>
      <c r="F215" s="1">
        <f t="shared" si="94"/>
        <v>-11.025007196313734</v>
      </c>
      <c r="G215" s="1" t="str">
        <f t="shared" si="95"/>
        <v>0.00259558925783469-16.9495111957216i</v>
      </c>
      <c r="H215" s="1">
        <f t="shared" si="77"/>
        <v>24.583143665238932</v>
      </c>
      <c r="I215" s="1">
        <f t="shared" si="78"/>
        <v>-89.991225923453271</v>
      </c>
      <c r="J215" s="83" t="str">
        <f t="shared" si="96"/>
        <v>-0.144743959394753+0.00216477259694057i</v>
      </c>
      <c r="K215" s="1">
        <f t="shared" si="79"/>
        <v>-16.787019719544645</v>
      </c>
      <c r="L215" s="1">
        <f t="shared" si="80"/>
        <v>179.14315535243566</v>
      </c>
      <c r="M215" s="1">
        <f t="shared" si="97"/>
        <v>0.192</v>
      </c>
      <c r="N215" s="1">
        <f t="shared" si="98"/>
        <v>2.5000000000000001E-2</v>
      </c>
      <c r="O215" s="1" t="str">
        <f t="shared" si="99"/>
        <v>0.717625121214452-1.09890634014704i</v>
      </c>
      <c r="P215" s="1">
        <f t="shared" si="81"/>
        <v>2.3617964232221049</v>
      </c>
      <c r="Q215" s="1">
        <f t="shared" si="82"/>
        <v>-56.854027553309294</v>
      </c>
      <c r="R215" s="1" t="str">
        <f t="shared" si="83"/>
        <v>-0.0234749581101148+0.0323597251017816i</v>
      </c>
      <c r="S215" s="1">
        <f t="shared" si="84"/>
        <v>-27.963619533459902</v>
      </c>
      <c r="T215" s="1">
        <f t="shared" si="85"/>
        <v>125.95853907221519</v>
      </c>
      <c r="U215" s="1" t="str">
        <f>IMPRODUCT(COMPLEX(-1,0),IMDIV(COMPLEX(1,C215*Calculations!$B$195*Calculations!$B$197),IMPRODUCT(COMPLEX(0,C215*Calculations!$B$184),COMPLEX((Calculations!$B$197+Calculations!$B$199),C215*Calculations!$B$195*Calculations!$B$197*Calculations!$B$199))))</f>
        <v>-0.910053620341282+0.686935179131645i</v>
      </c>
      <c r="V215" s="1">
        <f t="shared" si="86"/>
        <v>1.1396925293251907</v>
      </c>
      <c r="W215" s="1">
        <f t="shared" si="87"/>
        <v>142.95342373719313</v>
      </c>
      <c r="X215" s="1" t="str">
        <f t="shared" si="88"/>
        <v>-0.000865562943973223-0.0455748595366046i</v>
      </c>
      <c r="Y215" s="1">
        <f t="shared" si="89"/>
        <v>-26.82392700413471</v>
      </c>
      <c r="Z215" s="1">
        <f t="shared" si="90"/>
        <v>-91.088037190591677</v>
      </c>
    </row>
    <row r="216" spans="1:26">
      <c r="B216" s="1">
        <v>300000</v>
      </c>
      <c r="C216" s="1">
        <f t="shared" si="91"/>
        <v>1884955.5921538759</v>
      </c>
      <c r="D216" s="83" t="str">
        <f t="shared" si="92"/>
        <v>0.00399593013579242-0.000519038179502424i</v>
      </c>
      <c r="E216" s="1">
        <f t="shared" si="93"/>
        <v>-47.894979998992333</v>
      </c>
      <c r="F216" s="1">
        <f t="shared" si="94"/>
        <v>-7.400810332350237</v>
      </c>
      <c r="G216" s="1" t="str">
        <f t="shared" si="95"/>
        <v>0.0011534880321653-11.2994476386841i</v>
      </c>
      <c r="H216" s="1">
        <f t="shared" si="77"/>
        <v>21.061144324953482</v>
      </c>
      <c r="I216" s="1">
        <f t="shared" si="78"/>
        <v>-89.994151041905255</v>
      </c>
      <c r="J216" s="83" t="str">
        <f t="shared" si="96"/>
        <v>-0.142027888719927+0.00144416025031374i</v>
      </c>
      <c r="K216" s="1">
        <f t="shared" si="79"/>
        <v>-16.952078377010015</v>
      </c>
      <c r="L216" s="1">
        <f t="shared" si="80"/>
        <v>179.41742824927184</v>
      </c>
      <c r="M216" s="1">
        <f t="shared" si="97"/>
        <v>0.192</v>
      </c>
      <c r="N216" s="1">
        <f t="shared" si="98"/>
        <v>2.5000000000000001E-2</v>
      </c>
      <c r="O216" s="1" t="str">
        <f t="shared" si="99"/>
        <v>0.384126702304438-0.880042898661528i</v>
      </c>
      <c r="P216" s="1">
        <f t="shared" si="81"/>
        <v>-0.35255500669463824</v>
      </c>
      <c r="Q216" s="1">
        <f t="shared" si="82"/>
        <v>-66.41938830109298</v>
      </c>
      <c r="R216" s="1" t="str">
        <f t="shared" si="83"/>
        <v>-0.0112921777106619+0.0250657610481532i</v>
      </c>
      <c r="S216" s="1">
        <f t="shared" si="84"/>
        <v>-31.215898633405502</v>
      </c>
      <c r="T216" s="1">
        <f t="shared" si="85"/>
        <v>114.25166395900469</v>
      </c>
      <c r="U216" s="1" t="str">
        <f>IMPRODUCT(COMPLEX(-1,0),IMDIV(COMPLEX(1,C216*Calculations!$B$195*Calculations!$B$197),IMPRODUCT(COMPLEX(0,C216*Calculations!$B$184),COMPLEX((Calculations!$B$197+Calculations!$B$199),C216*Calculations!$B$195*Calculations!$B$197*Calculations!$B$199))))</f>
        <v>-0.626462628341604+0.708866328915262i</v>
      </c>
      <c r="V216" s="1">
        <f t="shared" si="86"/>
        <v>-0.48202733436522044</v>
      </c>
      <c r="W216" s="1">
        <f t="shared" si="87"/>
        <v>131.46873183972235</v>
      </c>
      <c r="X216" s="1" t="str">
        <f t="shared" si="88"/>
        <v>-0.0106941466873498-0.0237074071068243i</v>
      </c>
      <c r="Y216" s="1">
        <f t="shared" si="89"/>
        <v>-31.697925967770722</v>
      </c>
      <c r="Z216" s="1">
        <f t="shared" si="90"/>
        <v>-114.27960420127296</v>
      </c>
    </row>
    <row r="217" spans="1:26">
      <c r="B217" s="1">
        <v>400000</v>
      </c>
      <c r="C217" s="1">
        <f t="shared" si="91"/>
        <v>2513274.1228718343</v>
      </c>
      <c r="D217" s="83" t="str">
        <f t="shared" si="92"/>
        <v>0.00399589957770767-0.000389278637710972i</v>
      </c>
      <c r="E217" s="1">
        <f t="shared" si="93"/>
        <v>-47.926686056827563</v>
      </c>
      <c r="F217" s="1">
        <f t="shared" si="94"/>
        <v>-5.5641695684496684</v>
      </c>
      <c r="G217" s="1" t="str">
        <f t="shared" si="95"/>
        <v>0.000648815915381131-8.47452627651141i</v>
      </c>
      <c r="H217" s="1">
        <f t="shared" si="77"/>
        <v>18.562308637891597</v>
      </c>
      <c r="I217" s="1">
        <f t="shared" si="78"/>
        <v>-89.995613393321747</v>
      </c>
      <c r="J217" s="83" t="str">
        <f t="shared" si="96"/>
        <v>-0.141077289553389+0.00108337703489763i</v>
      </c>
      <c r="K217" s="1">
        <f t="shared" si="79"/>
        <v>-17.010601751985913</v>
      </c>
      <c r="L217" s="1">
        <f t="shared" si="80"/>
        <v>179.5600162735285</v>
      </c>
      <c r="M217" s="1">
        <f t="shared" si="97"/>
        <v>0.192</v>
      </c>
      <c r="N217" s="1">
        <f t="shared" si="98"/>
        <v>2.5000000000000001E-2</v>
      </c>
      <c r="O217" s="1" t="str">
        <f t="shared" si="99"/>
        <v>0.232717298680922-0.710235413615479i</v>
      </c>
      <c r="P217" s="1">
        <f t="shared" si="81"/>
        <v>-2.5290553422949391</v>
      </c>
      <c r="Q217" s="1">
        <f t="shared" si="82"/>
        <v>-71.857985775802888</v>
      </c>
      <c r="R217" s="1" t="str">
        <f t="shared" si="83"/>
        <v>-0.0065319965415832+0.019796512850995i</v>
      </c>
      <c r="S217" s="1">
        <f t="shared" si="84"/>
        <v>-33.619413573856903</v>
      </c>
      <c r="T217" s="1">
        <f t="shared" si="85"/>
        <v>108.2606643632801</v>
      </c>
      <c r="U217" s="1" t="str">
        <f>IMPRODUCT(COMPLEX(-1,0),IMDIV(COMPLEX(1,C217*Calculations!$B$195*Calculations!$B$197),IMPRODUCT(COMPLEX(0,C217*Calculations!$B$184),COMPLEX((Calculations!$B$197+Calculations!$B$199),C217*Calculations!$B$195*Calculations!$B$197*Calculations!$B$199))))</f>
        <v>-0.436173870589352+0.657919444666363i</v>
      </c>
      <c r="V217" s="1">
        <f t="shared" si="86"/>
        <v>-2.054383170039999</v>
      </c>
      <c r="W217" s="1">
        <f t="shared" si="87"/>
        <v>123.54276163253273</v>
      </c>
      <c r="X217" s="1" t="str">
        <f t="shared" si="88"/>
        <v>-0.0101754245270385-0.0129322491715914i</v>
      </c>
      <c r="Y217" s="1">
        <f t="shared" si="89"/>
        <v>-35.673796743896901</v>
      </c>
      <c r="Z217" s="1">
        <f t="shared" si="90"/>
        <v>-128.19657400418697</v>
      </c>
    </row>
    <row r="218" spans="1:26">
      <c r="B218" s="1">
        <v>500000</v>
      </c>
      <c r="C218" s="1">
        <f t="shared" si="91"/>
        <v>3141592.653589793</v>
      </c>
      <c r="D218" s="83" t="str">
        <f t="shared" si="92"/>
        <v>0.00399588543367972-0.000311422911310797i</v>
      </c>
      <c r="E218" s="1">
        <f t="shared" si="93"/>
        <v>-47.941440165796045</v>
      </c>
      <c r="F218" s="1">
        <f t="shared" si="94"/>
        <v>-4.4563897679129845</v>
      </c>
      <c r="G218" s="1" t="str">
        <f t="shared" si="95"/>
        <v>0.000415235934731893-6.77959900702107i</v>
      </c>
      <c r="H218" s="1">
        <f t="shared" si="77"/>
        <v>16.624080164464441</v>
      </c>
      <c r="I218" s="1">
        <f t="shared" si="78"/>
        <v>-89.996490756089273</v>
      </c>
      <c r="J218" s="83" t="str">
        <f t="shared" si="96"/>
        <v>-0.140637302427599+0.000866796732775562i</v>
      </c>
      <c r="K218" s="1">
        <f t="shared" si="79"/>
        <v>-17.03782447663637</v>
      </c>
      <c r="L218" s="1">
        <f t="shared" si="80"/>
        <v>179.6468706041461</v>
      </c>
      <c r="M218" s="1">
        <f t="shared" si="97"/>
        <v>0.192</v>
      </c>
      <c r="N218" s="1">
        <f t="shared" si="98"/>
        <v>2.5000000000000001E-2</v>
      </c>
      <c r="O218" s="1" t="str">
        <f t="shared" si="99"/>
        <v>0.154446365330677-0.588950340797563i</v>
      </c>
      <c r="P218" s="1">
        <f t="shared" si="81"/>
        <v>-4.3095845434379525</v>
      </c>
      <c r="Q218" s="1">
        <f t="shared" si="82"/>
        <v>-75.305631029779846</v>
      </c>
      <c r="R218" s="1" t="str">
        <f t="shared" si="83"/>
        <v>-0.00423510010661175+0.0162182928630184i</v>
      </c>
      <c r="S218" s="1">
        <f t="shared" si="84"/>
        <v>-35.513414453720301</v>
      </c>
      <c r="T218" s="1">
        <f t="shared" si="85"/>
        <v>104.63490133007254</v>
      </c>
      <c r="U218" s="1" t="str">
        <f>IMPRODUCT(COMPLEX(-1,0),IMDIV(COMPLEX(1,C218*Calculations!$B$195*Calculations!$B$197),IMPRODUCT(COMPLEX(0,C218*Calculations!$B$184),COMPLEX((Calculations!$B$197+Calculations!$B$199),C218*Calculations!$B$195*Calculations!$B$197*Calculations!$B$199))))</f>
        <v>-0.313672919963588+0.591365810680288i</v>
      </c>
      <c r="V218" s="1">
        <f t="shared" si="86"/>
        <v>-3.486209634452659</v>
      </c>
      <c r="W218" s="1">
        <f t="shared" si="87"/>
        <v>117.94242382698944</v>
      </c>
      <c r="X218" s="1" t="str">
        <f t="shared" si="88"/>
        <v>-0.0082625076900102-0.00759173268702623i</v>
      </c>
      <c r="Y218" s="1">
        <f t="shared" si="89"/>
        <v>-38.999624088172958</v>
      </c>
      <c r="Z218" s="1">
        <f t="shared" si="90"/>
        <v>-137.42267484293805</v>
      </c>
    </row>
    <row r="219" spans="1:26">
      <c r="B219" s="1">
        <v>600000</v>
      </c>
      <c r="C219" s="1">
        <f t="shared" si="91"/>
        <v>3769911.1843077517</v>
      </c>
      <c r="D219" s="83" t="str">
        <f t="shared" si="92"/>
        <v>0.003995877750504-0.000259519093275961i</v>
      </c>
      <c r="E219" s="1">
        <f t="shared" si="93"/>
        <v>-47.949475802261468</v>
      </c>
      <c r="F219" s="1">
        <f t="shared" si="94"/>
        <v>-3.7159532283074177</v>
      </c>
      <c r="G219" s="1" t="str">
        <f t="shared" si="95"/>
        <v>0.000288355929928041-5.64965587396339i</v>
      </c>
      <c r="H219" s="1">
        <f t="shared" si="77"/>
        <v>15.040439917825058</v>
      </c>
      <c r="I219" s="1">
        <f t="shared" si="78"/>
        <v>-89.99707564882948</v>
      </c>
      <c r="J219" s="83" t="str">
        <f t="shared" si="96"/>
        <v>-0.140398298265815+0.000722373661790936i</v>
      </c>
      <c r="K219" s="1">
        <f t="shared" si="79"/>
        <v>-17.052648154625302</v>
      </c>
      <c r="L219" s="1">
        <f t="shared" si="80"/>
        <v>179.70520585119891</v>
      </c>
      <c r="M219" s="1">
        <f t="shared" si="97"/>
        <v>0.192</v>
      </c>
      <c r="N219" s="1">
        <f t="shared" si="98"/>
        <v>2.5000000000000001E-2</v>
      </c>
      <c r="O219" s="1" t="str">
        <f t="shared" si="99"/>
        <v>0.109452910942764-0.500737687709936i</v>
      </c>
      <c r="P219" s="1">
        <f t="shared" si="81"/>
        <v>-5.8050988703241293</v>
      </c>
      <c r="Q219" s="1">
        <f t="shared" si="82"/>
        <v>-77.670026468010718</v>
      </c>
      <c r="R219" s="1" t="str">
        <f t="shared" si="83"/>
        <v>-0.00296187884064476+0.0136904117742812i</v>
      </c>
      <c r="S219" s="1">
        <f t="shared" si="84"/>
        <v>-37.073007737968602</v>
      </c>
      <c r="T219" s="1">
        <f t="shared" si="85"/>
        <v>102.20762452721046</v>
      </c>
      <c r="U219" s="1" t="str">
        <f>IMPRODUCT(COMPLEX(-1,0),IMDIV(COMPLEX(1,C219*Calculations!$B$195*Calculations!$B$197),IMPRODUCT(COMPLEX(0,C219*Calculations!$B$184),COMPLEX((Calculations!$B$197+Calculations!$B$199),C219*Calculations!$B$195*Calculations!$B$197*Calculations!$B$199))))</f>
        <v>-0.233515229001291+0.528264941744562i</v>
      </c>
      <c r="V219" s="1">
        <f t="shared" si="86"/>
        <v>-4.767827965221735</v>
      </c>
      <c r="W219" s="1">
        <f t="shared" si="87"/>
        <v>113.84743610551307</v>
      </c>
      <c r="X219" s="1" t="str">
        <f t="shared" si="88"/>
        <v>-0.00654052076265248-0.0047615763938009i</v>
      </c>
      <c r="Y219" s="1">
        <f t="shared" si="89"/>
        <v>-41.840835703190336</v>
      </c>
      <c r="Z219" s="1">
        <f t="shared" si="90"/>
        <v>-143.94493936727645</v>
      </c>
    </row>
    <row r="220" spans="1:26">
      <c r="B220" s="1">
        <v>700000</v>
      </c>
      <c r="C220" s="1">
        <f t="shared" si="91"/>
        <v>4398229.7150257099</v>
      </c>
      <c r="D220" s="83" t="str">
        <f t="shared" si="92"/>
        <v>0.00399587311779134-0.000222444937360862i</v>
      </c>
      <c r="E220" s="1">
        <f t="shared" si="93"/>
        <v>-47.954328232727619</v>
      </c>
      <c r="F220" s="1">
        <f t="shared" si="94"/>
        <v>-3.1862910524631269</v>
      </c>
      <c r="G220" s="1" t="str">
        <f t="shared" si="95"/>
        <v>0.000211852291655896-4.84255702737119i</v>
      </c>
      <c r="H220" s="1">
        <f t="shared" si="77"/>
        <v>13.701494884319892</v>
      </c>
      <c r="I220" s="1">
        <f t="shared" si="78"/>
        <v>-89.997493422975566</v>
      </c>
      <c r="J220" s="83" t="str">
        <f t="shared" si="96"/>
        <v>-0.140254186699451+0.000619199674392474i</v>
      </c>
      <c r="K220" s="1">
        <f t="shared" si="79"/>
        <v>-17.061598670161157</v>
      </c>
      <c r="L220" s="1">
        <f t="shared" si="80"/>
        <v>179.74704999286695</v>
      </c>
      <c r="M220" s="1">
        <f t="shared" si="97"/>
        <v>0.192</v>
      </c>
      <c r="N220" s="1">
        <f t="shared" si="98"/>
        <v>2.5000000000000001E-2</v>
      </c>
      <c r="O220" s="1" t="str">
        <f t="shared" si="99"/>
        <v>0.0814207100022351-0.434514998210217i</v>
      </c>
      <c r="P220" s="1">
        <f t="shared" si="81"/>
        <v>-7.0900295530099822</v>
      </c>
      <c r="Q220" s="1">
        <f t="shared" si="82"/>
        <v>-79.386822569261668</v>
      </c>
      <c r="R220" s="1" t="str">
        <f t="shared" si="83"/>
        <v>-0.00218536299910232+0.0118259530330666i</v>
      </c>
      <c r="S220" s="1">
        <f t="shared" si="84"/>
        <v>-38.397446869359456</v>
      </c>
      <c r="T220" s="1">
        <f t="shared" si="85"/>
        <v>100.46979523448371</v>
      </c>
      <c r="U220" s="1" t="str">
        <f>IMPRODUCT(COMPLEX(-1,0),IMDIV(COMPLEX(1,C220*Calculations!$B$195*Calculations!$B$197),IMPRODUCT(COMPLEX(0,C220*Calculations!$B$184),COMPLEX((Calculations!$B$197+Calculations!$B$199),C220*Calculations!$B$195*Calculations!$B$197*Calculations!$B$199))))</f>
        <v>-0.179350034856579+0.473336999922894i</v>
      </c>
      <c r="V220" s="1">
        <f t="shared" si="86"/>
        <v>-5.9139654918924069</v>
      </c>
      <c r="W220" s="1">
        <f t="shared" si="87"/>
        <v>110.75197810214145</v>
      </c>
      <c r="X220" s="1" t="str">
        <f t="shared" si="88"/>
        <v>-0.00520571619983751-0.00315539825443035i</v>
      </c>
      <c r="Y220" s="1">
        <f t="shared" si="89"/>
        <v>-44.311412361251868</v>
      </c>
      <c r="Z220" s="1">
        <f t="shared" si="90"/>
        <v>-148.77822666337482</v>
      </c>
    </row>
    <row r="221" spans="1:26">
      <c r="B221" s="1">
        <v>800000</v>
      </c>
      <c r="C221" s="1">
        <f t="shared" si="91"/>
        <v>5026548.2457436686</v>
      </c>
      <c r="D221" s="83" t="str">
        <f t="shared" si="92"/>
        <v>0.00399587011098264-0.000194639320342489i</v>
      </c>
      <c r="E221" s="1">
        <f t="shared" si="93"/>
        <v>-47.957480550610121</v>
      </c>
      <c r="F221" s="1">
        <f t="shared" si="94"/>
        <v>-2.7886802553062502</v>
      </c>
      <c r="G221" s="1" t="str">
        <f t="shared" si="95"/>
        <v>0.000162198891709135-4.2372344740483i</v>
      </c>
      <c r="H221" s="1">
        <f t="shared" si="77"/>
        <v>12.54164994707647</v>
      </c>
      <c r="I221" s="1">
        <f t="shared" si="78"/>
        <v>-89.997806750608447</v>
      </c>
      <c r="J221" s="83" t="str">
        <f t="shared" si="96"/>
        <v>-0.140160652913193+0.000541812351016228i</v>
      </c>
      <c r="K221" s="1">
        <f t="shared" si="79"/>
        <v>-17.067412864468633</v>
      </c>
      <c r="L221" s="1">
        <f t="shared" si="80"/>
        <v>179.77851554108304</v>
      </c>
      <c r="M221" s="1">
        <f t="shared" si="97"/>
        <v>0.192</v>
      </c>
      <c r="N221" s="1">
        <f t="shared" si="98"/>
        <v>2.5000000000000001E-2</v>
      </c>
      <c r="O221" s="1" t="str">
        <f t="shared" si="99"/>
        <v>0.0628481989774708-0.383279693158129i</v>
      </c>
      <c r="P221" s="1">
        <f t="shared" si="81"/>
        <v>-8.2144541727407958</v>
      </c>
      <c r="Q221" s="1">
        <f t="shared" si="82"/>
        <v>-80.68780888771569</v>
      </c>
      <c r="R221" s="1" t="str">
        <f t="shared" si="83"/>
        <v>-0.00167780217366655+0.0103998440154443i</v>
      </c>
      <c r="S221" s="1">
        <f t="shared" si="84"/>
        <v>-39.547874646844811</v>
      </c>
      <c r="T221" s="1">
        <f t="shared" si="85"/>
        <v>99.16453771061731</v>
      </c>
      <c r="U221" s="1" t="str">
        <f>IMPRODUCT(COMPLEX(-1,0),IMDIV(COMPLEX(1,C221*Calculations!$B$195*Calculations!$B$197),IMPRODUCT(COMPLEX(0,C221*Calculations!$B$184),COMPLEX((Calculations!$B$197+Calculations!$B$199),C221*Calculations!$B$195*Calculations!$B$197*Calculations!$B$199))))</f>
        <v>-0.141483277706146+0.426733475760411i</v>
      </c>
      <c r="V221" s="1">
        <f t="shared" si="86"/>
        <v>-6.9439290811505083</v>
      </c>
      <c r="W221" s="1">
        <f t="shared" si="87"/>
        <v>108.34291500955737</v>
      </c>
      <c r="X221" s="1" t="str">
        <f t="shared" si="88"/>
        <v>-0.00420058063320382-0.00218737837214481i</v>
      </c>
      <c r="Y221" s="1">
        <f t="shared" si="89"/>
        <v>-46.491803727995311</v>
      </c>
      <c r="Z221" s="1">
        <f t="shared" si="90"/>
        <v>-152.49254727982529</v>
      </c>
    </row>
    <row r="222" spans="1:26">
      <c r="B222" s="1">
        <v>900000</v>
      </c>
      <c r="C222" s="1">
        <f t="shared" si="91"/>
        <v>5654866.7764616273</v>
      </c>
      <c r="D222" s="83" t="str">
        <f t="shared" si="92"/>
        <v>0.00399586804952449-0.000173012729285794i</v>
      </c>
      <c r="E222" s="1">
        <f t="shared" si="93"/>
        <v>-47.959643092245742</v>
      </c>
      <c r="F222" s="1">
        <f t="shared" si="94"/>
        <v>-2.4792389102452304</v>
      </c>
      <c r="G222" s="1" t="str">
        <f t="shared" si="95"/>
        <v>0.000128156867811185-3.7664288611091i</v>
      </c>
      <c r="H222" s="1">
        <f t="shared" si="77"/>
        <v>11.518595386134816</v>
      </c>
      <c r="I222" s="1">
        <f t="shared" si="78"/>
        <v>-89.998050448340024</v>
      </c>
      <c r="J222" s="83" t="str">
        <f t="shared" si="96"/>
        <v>-0.140096526531431+0.000481618679238073i</v>
      </c>
      <c r="K222" s="1">
        <f t="shared" si="79"/>
        <v>-17.071401318755626</v>
      </c>
      <c r="L222" s="1">
        <f t="shared" si="80"/>
        <v>179.80303145529587</v>
      </c>
      <c r="M222" s="1">
        <f t="shared" si="97"/>
        <v>0.192</v>
      </c>
      <c r="N222" s="1">
        <f t="shared" si="98"/>
        <v>2.5000000000000001E-2</v>
      </c>
      <c r="O222" s="1" t="str">
        <f t="shared" si="99"/>
        <v>0.049938198147183-0.342595551740059i</v>
      </c>
      <c r="P222" s="1">
        <f t="shared" si="81"/>
        <v>-9.2130566931291931</v>
      </c>
      <c r="Q222" s="1">
        <f t="shared" si="82"/>
        <v>-81.706728451092417</v>
      </c>
      <c r="R222" s="1" t="str">
        <f t="shared" si="83"/>
        <v>-0.00132818733412743+0.00927619020234352i</v>
      </c>
      <c r="S222" s="1">
        <f t="shared" si="84"/>
        <v>-40.564471883520177</v>
      </c>
      <c r="T222" s="1">
        <f t="shared" si="85"/>
        <v>98.148365623163116</v>
      </c>
      <c r="U222" s="1" t="str">
        <f>IMPRODUCT(COMPLEX(-1,0),IMDIV(COMPLEX(1,C222*Calculations!$B$195*Calculations!$B$197),IMPRODUCT(COMPLEX(0,C222*Calculations!$B$184),COMPLEX((Calculations!$B$197+Calculations!$B$199),C222*Calculations!$B$195*Calculations!$B$197*Calculations!$B$199))))</f>
        <v>-0.114165305721475+0.387375247827565i</v>
      </c>
      <c r="V222" s="1">
        <f t="shared" si="86"/>
        <v>-7.8756388065491603</v>
      </c>
      <c r="W222" s="1">
        <f t="shared" si="87"/>
        <v>106.4210373567454</v>
      </c>
      <c r="X222" s="1" t="str">
        <f t="shared" si="88"/>
        <v>-0.0034417335654724-0.00157352598810015i</v>
      </c>
      <c r="Y222" s="1">
        <f t="shared" si="89"/>
        <v>-48.440110690069332</v>
      </c>
      <c r="Z222" s="1">
        <f t="shared" si="90"/>
        <v>-155.4305970200914</v>
      </c>
    </row>
    <row r="223" spans="1:26" ht="15" thickBot="1">
      <c r="B223" s="98">
        <v>1000000</v>
      </c>
      <c r="C223" s="98">
        <f t="shared" si="91"/>
        <v>6283185.307179586</v>
      </c>
      <c r="D223" s="113" t="str">
        <f t="shared" si="92"/>
        <v>0.0039958665749756-0.000155711456416744i</v>
      </c>
      <c r="E223" s="98">
        <f t="shared" si="93"/>
        <v>-47.961190606423891</v>
      </c>
      <c r="F223" s="98">
        <f t="shared" si="94"/>
        <v>-2.231580396995962</v>
      </c>
      <c r="G223" s="98" t="str">
        <f t="shared" si="95"/>
        <v>0.000103806900007056-3.38978482749539i</v>
      </c>
      <c r="H223" s="98">
        <f t="shared" si="77"/>
        <v>10.603442633637439</v>
      </c>
      <c r="I223" s="98">
        <f t="shared" si="78"/>
        <v>-89.998245405665685</v>
      </c>
      <c r="J223" s="113" t="str">
        <f t="shared" si="96"/>
        <v>-0.140050657344785+0.000433461768652998i</v>
      </c>
      <c r="K223" s="98">
        <f t="shared" si="79"/>
        <v>-17.074255366499241</v>
      </c>
      <c r="L223" s="98">
        <f t="shared" si="80"/>
        <v>179.82266808957897</v>
      </c>
      <c r="M223" s="98">
        <f t="shared" si="97"/>
        <v>0.192</v>
      </c>
      <c r="N223" s="98">
        <f t="shared" si="98"/>
        <v>2.5000000000000001E-2</v>
      </c>
      <c r="O223" s="98" t="str">
        <f t="shared" si="99"/>
        <v>0.0406139583828104-0.309572662273615i</v>
      </c>
      <c r="P223" s="98">
        <f t="shared" si="81"/>
        <v>-10.11063420891406</v>
      </c>
      <c r="Q223" s="98">
        <f t="shared" si="82"/>
        <v>-82.52584531706195</v>
      </c>
      <c r="R223" s="98" t="str">
        <f t="shared" si="83"/>
        <v>-0.00107729235314529+0.00836914776013774i</v>
      </c>
      <c r="S223" s="98">
        <f t="shared" si="84"/>
        <v>-41.475005303687396</v>
      </c>
      <c r="T223" s="98">
        <f t="shared" si="85"/>
        <v>97.334886007800804</v>
      </c>
      <c r="U223" s="98" t="str">
        <f>IMPRODUCT(COMPLEX(-1,0),IMDIV(COMPLEX(1,C223*Calculations!$B$195*Calculations!$B$197),IMPRODUCT(COMPLEX(0,C223*Calculations!$B$184),COMPLEX((Calculations!$B$197+Calculations!$B$199),C223*Calculations!$B$195*Calculations!$B$197*Calculations!$B$199))))</f>
        <v>-0.0939015176826526+0.354016290703384i</v>
      </c>
      <c r="V223" s="98">
        <f t="shared" si="86"/>
        <v>-8.7242541595977006</v>
      </c>
      <c r="W223" s="98">
        <f t="shared" si="87"/>
        <v>104.85541319243102</v>
      </c>
      <c r="X223" s="98" t="str">
        <f t="shared" si="88"/>
        <v>-0.00286165525944424-0.00116725471925092i</v>
      </c>
      <c r="Y223" s="98">
        <f t="shared" si="89"/>
        <v>-50.199259463285102</v>
      </c>
      <c r="Z223" s="98">
        <f t="shared" si="90"/>
        <v>-157.80970079976822</v>
      </c>
    </row>
    <row r="224" spans="1:26">
      <c r="A224" s="82" t="s">
        <v>407</v>
      </c>
      <c r="B224" s="106">
        <f>Calculations!B189</f>
        <v>5500</v>
      </c>
      <c r="C224" s="107">
        <f t="shared" si="91"/>
        <v>34557.519189487721</v>
      </c>
      <c r="D224" s="108" t="str">
        <f t="shared" si="92"/>
        <v>0.00420365850624315-0.028309648661569i</v>
      </c>
      <c r="E224" s="107">
        <f t="shared" si="93"/>
        <v>-30.866593879729027</v>
      </c>
      <c r="F224" s="107">
        <f t="shared" ref="F224" si="100">IMARGUMENT(D224)*(180/PI())</f>
        <v>-81.553947546130658</v>
      </c>
      <c r="G224" s="107" t="str">
        <f t="shared" si="95"/>
        <v>4.25975275445884-647.185988688148i</v>
      </c>
      <c r="H224" s="107">
        <f t="shared" si="77"/>
        <v>56.220770270041726</v>
      </c>
      <c r="I224" s="107">
        <f t="shared" ref="I224" si="101">IMARGUMENT(G224)*(180/PI())</f>
        <v>-89.622886875694633</v>
      </c>
      <c r="J224" s="108" t="str">
        <f t="shared" si="96"/>
        <v>-6.92588928044175-0.0614245954642423i</v>
      </c>
      <c r="K224" s="107">
        <f t="shared" si="79"/>
        <v>16.809852476415021</v>
      </c>
      <c r="L224" s="107">
        <f t="shared" ref="L224" si="102">IMARGUMENT(J224)*(180/PI())</f>
        <v>-179.49186629085341</v>
      </c>
      <c r="M224" s="107">
        <f t="shared" si="97"/>
        <v>0.192</v>
      </c>
      <c r="N224" s="107">
        <f t="shared" si="98"/>
        <v>2.5000000000000001E-2</v>
      </c>
      <c r="O224" s="107" t="str">
        <f t="shared" si="99"/>
        <v>2.34544027777657-0.706468640685203i</v>
      </c>
      <c r="P224" s="107">
        <f t="shared" si="81"/>
        <v>7.7816486073419977</v>
      </c>
      <c r="Q224" s="107">
        <f t="shared" ref="Q224" si="103">IMARGUMENT(O224)*(180/PI())</f>
        <v>-16.762794681206891</v>
      </c>
      <c r="R224" s="107" t="str">
        <f t="shared" ref="R224" si="104">IMDIV(IMPRODUCT(O224,J224,COMPLEX(M224,0)),IMSUM(COMPLEX(1,0),IMPRODUCT(G224,O224,COMPLEX(M224,0),COMPLEX(N224,0))))</f>
        <v>-0.056223992987135-0.437187040116822i</v>
      </c>
      <c r="S224" s="107">
        <f t="shared" si="84"/>
        <v>-7.1154140319993262</v>
      </c>
      <c r="T224" s="107">
        <f t="shared" ref="T224" si="105">IMARGUMENT(R224)*(180/PI())</f>
        <v>-97.328241334360044</v>
      </c>
      <c r="U224" s="8" t="str">
        <f>IMPRODUCT(COMPLEX(-1,0),IMDIV(COMPLEX(1,C224*Calculations!$B$195*Calculations!$B$197),IMPRODUCT(COMPLEX(0,C224*Calculations!$B$184),COMPLEX((Calculations!$B$197+Calculations!$B$199),C224*Calculations!$B$195*Calculations!$B$197*Calculations!$B$199))))</f>
        <v>-1.42613712212177+0.0735009434846365i</v>
      </c>
      <c r="V224" s="8">
        <f t="shared" si="86"/>
        <v>3.0947461952574966</v>
      </c>
      <c r="W224" s="8">
        <f t="shared" si="87"/>
        <v>177.04967284211367</v>
      </c>
      <c r="X224" s="8" t="str">
        <f t="shared" si="88"/>
        <v>0.112316783480709+0.619356150690111i</v>
      </c>
      <c r="Y224" s="8">
        <f t="shared" si="89"/>
        <v>-4.0206678367418363</v>
      </c>
      <c r="Z224" s="9">
        <f t="shared" si="90"/>
        <v>79.72143150775365</v>
      </c>
    </row>
    <row r="225" spans="1:26">
      <c r="A225" t="s">
        <v>449</v>
      </c>
      <c r="B225" s="114">
        <f>Calculations!B200</f>
        <v>169.31376924669715</v>
      </c>
      <c r="C225" s="92">
        <f t="shared" si="91"/>
        <v>1063.8297872340424</v>
      </c>
      <c r="D225" s="93" t="str">
        <f t="shared" si="92"/>
        <v>0.21148307509615-0.870189004325921i</v>
      </c>
      <c r="E225" s="92">
        <f t="shared" si="93"/>
        <v>-0.95850545174594115</v>
      </c>
      <c r="F225" s="92">
        <f t="shared" ref="F225:F228" si="106">IMARGUMENT(D225)*(180/PI())</f>
        <v>-76.34016410798391</v>
      </c>
      <c r="G225" s="92" t="str">
        <f t="shared" si="95"/>
        <v>198.175738277481+402.147646254437i</v>
      </c>
      <c r="H225" s="92">
        <f t="shared" si="77"/>
        <v>53.031881765890468</v>
      </c>
      <c r="I225" s="92">
        <f t="shared" ref="I225:I228" si="107">IMARGUMENT(G225)*(180/PI())</f>
        <v>63.76622259575101</v>
      </c>
      <c r="J225" s="93" t="str">
        <f t="shared" si="96"/>
        <v>137.714820198496-1.88363366783449i</v>
      </c>
      <c r="K225" s="92">
        <f t="shared" si="79"/>
        <v>42.780425998518361</v>
      </c>
      <c r="L225" s="92">
        <f t="shared" ref="L225:L228" si="108">IMARGUMENT(J225)*(180/PI())</f>
        <v>-0.78363047414987441</v>
      </c>
      <c r="M225" s="92">
        <f t="shared" si="97"/>
        <v>0.192</v>
      </c>
      <c r="N225" s="92">
        <f t="shared" si="98"/>
        <v>2.5000000000000001E-2</v>
      </c>
      <c r="O225" s="92" t="str">
        <f t="shared" si="99"/>
        <v>2.34946985528727-19.7924730074301i</v>
      </c>
      <c r="P225" s="92">
        <f t="shared" si="81"/>
        <v>25.990770207196189</v>
      </c>
      <c r="Q225" s="92">
        <f t="shared" ref="Q225:Q228" si="109">IMARGUMENT(O225)*(180/PI())</f>
        <v>-83.230370095949752</v>
      </c>
      <c r="R225" s="92" t="str">
        <f t="shared" ref="R225:R228" si="110">IMDIV(IMPRODUCT(O225,J225,COMPLEX(M225,0)),IMSUM(COMPLEX(1,0),IMPRODUCT(G225,O225,COMPLEX(M225,0),COMPLEX(N225,0))))</f>
        <v>5.08413475079868-10.895707224466i</v>
      </c>
      <c r="S225" s="92">
        <f t="shared" si="84"/>
        <v>21.600627462312076</v>
      </c>
      <c r="T225" s="92">
        <f t="shared" ref="T225:T228" si="111">IMARGUMENT(R225)*(180/PI())</f>
        <v>-64.985389235024357</v>
      </c>
      <c r="U225" s="1" t="str">
        <f>IMPRODUCT(COMPLEX(-1,0),IMDIV(COMPLEX(1,C225*Calculations!$B$195*Calculations!$B$197),IMPRODUCT(COMPLEX(0,C225*Calculations!$B$184),COMPLEX((Calculations!$B$197+Calculations!$B$199),C225*Calculations!$B$195*Calculations!$B$197*Calculations!$B$199))))</f>
        <v>-1.42674888443286+1.42857026598746i</v>
      </c>
      <c r="V225" s="1">
        <f t="shared" si="86"/>
        <v>6.1027949729837649</v>
      </c>
      <c r="W225" s="1">
        <f t="shared" ref="W225:W228" si="112">IMARGUMENT(U225)*(180/PI())</f>
        <v>134.96345155959477</v>
      </c>
      <c r="X225" s="1" t="str">
        <f t="shared" ref="X225:X228" si="113">IMPRODUCT(U225,R225)</f>
        <v>8.31149978376853+22.8084818608785i</v>
      </c>
      <c r="Y225" s="1">
        <f t="shared" si="89"/>
        <v>27.703422435295849</v>
      </c>
      <c r="Z225" s="6">
        <f t="shared" ref="Z225:Z228" si="114">IMARGUMENT(X225)*(180/PI())</f>
        <v>69.978062324570445</v>
      </c>
    </row>
    <row r="226" spans="1:26">
      <c r="A226" t="s">
        <v>450</v>
      </c>
      <c r="B226" s="27">
        <f>Calculations!B201</f>
        <v>265258.23848649225</v>
      </c>
      <c r="C226" s="92">
        <f t="shared" si="91"/>
        <v>1666666.6666666667</v>
      </c>
      <c r="D226" s="93" t="str">
        <f t="shared" si="92"/>
        <v>0.00399594963015508-0.000587018348429727i</v>
      </c>
      <c r="E226" s="92">
        <f t="shared" si="93"/>
        <v>-47.874873562364655</v>
      </c>
      <c r="F226" s="92">
        <f t="shared" si="106"/>
        <v>-8.3571659776458063</v>
      </c>
      <c r="G226" s="92" t="str">
        <f t="shared" si="95"/>
        <v>0.00147545799787926-12.779431402693i</v>
      </c>
      <c r="H226" s="92">
        <f t="shared" si="77"/>
        <v>22.130230680244757</v>
      </c>
      <c r="I226" s="92">
        <f t="shared" si="107"/>
        <v>-89.993384876596792</v>
      </c>
      <c r="J226" s="93" t="str">
        <f t="shared" si="96"/>
        <v>-0.142634325182027+0.00163305967175047i</v>
      </c>
      <c r="K226" s="92">
        <f t="shared" si="79"/>
        <v>-16.914949703127455</v>
      </c>
      <c r="L226" s="92">
        <f t="shared" si="108"/>
        <v>179.34403350224827</v>
      </c>
      <c r="M226" s="92">
        <f t="shared" si="97"/>
        <v>0.192</v>
      </c>
      <c r="N226" s="92">
        <f t="shared" si="98"/>
        <v>2.5000000000000001E-2</v>
      </c>
      <c r="O226" s="92" t="str">
        <f t="shared" si="99"/>
        <v>0.469894736842106-0.952421052631578i</v>
      </c>
      <c r="P226" s="92">
        <f t="shared" si="81"/>
        <v>0.52273263178852558</v>
      </c>
      <c r="Q226" s="92">
        <f t="shared" si="109"/>
        <v>-63.739710733343024</v>
      </c>
      <c r="R226" s="92" t="str">
        <f t="shared" si="110"/>
        <v>-0.014189370388985+0.0274230884714669i</v>
      </c>
      <c r="S226" s="92">
        <f t="shared" si="84"/>
        <v>-30.207412454219952</v>
      </c>
      <c r="T226" s="92">
        <f t="shared" si="111"/>
        <v>117.35814037358628</v>
      </c>
      <c r="U226" s="1" t="str">
        <f>IMPRODUCT(COMPLEX(-1,0),IMDIV(COMPLEX(1,C226*Calculations!$B$195*Calculations!$B$197),IMPRODUCT(COMPLEX(0,C226*Calculations!$B$184),COMPLEX((Calculations!$B$197+Calculations!$B$199),C226*Calculations!$B$195*Calculations!$B$197*Calculations!$B$199))))</f>
        <v>-0.713829932742646+0.714285859701499i</v>
      </c>
      <c r="V226" s="1">
        <f t="shared" si="86"/>
        <v>8.4968920245855617E-2</v>
      </c>
      <c r="W226" s="1">
        <f t="shared" si="112"/>
        <v>134.98170828320838</v>
      </c>
      <c r="X226" s="1" t="str">
        <f t="shared" si="113"/>
        <v>-0.00945912701408235-0.029710688026102i</v>
      </c>
      <c r="Y226" s="1">
        <f t="shared" si="89"/>
        <v>-30.122443533974096</v>
      </c>
      <c r="Z226" s="6">
        <f t="shared" si="114"/>
        <v>-107.66015134320534</v>
      </c>
    </row>
    <row r="227" spans="1:26">
      <c r="A227" t="s">
        <v>451</v>
      </c>
      <c r="B227" s="27">
        <f>Calculations!B186</f>
        <v>80.825745609413531</v>
      </c>
      <c r="C227" s="92">
        <f t="shared" si="91"/>
        <v>507.84313725490205</v>
      </c>
      <c r="D227" s="93" t="str">
        <f t="shared" si="92"/>
        <v>0.774120241001162-1.54184445914168i</v>
      </c>
      <c r="E227" s="92">
        <f t="shared" si="93"/>
        <v>4.7371266916987569</v>
      </c>
      <c r="F227" s="92">
        <f t="shared" si="106"/>
        <v>-63.339955845126191</v>
      </c>
      <c r="G227" s="92" t="str">
        <f t="shared" si="95"/>
        <v>191.048778866026+189.067967911134i</v>
      </c>
      <c r="H227" s="92">
        <f t="shared" si="77"/>
        <v>48.588158049164505</v>
      </c>
      <c r="I227" s="92">
        <f t="shared" si="107"/>
        <v>44.701430990848124</v>
      </c>
      <c r="J227" s="93" t="str">
        <f t="shared" si="96"/>
        <v>135.615083734184-0.872258677604208i</v>
      </c>
      <c r="K227" s="92">
        <f t="shared" si="79"/>
        <v>42.646339588394177</v>
      </c>
      <c r="L227" s="92">
        <f t="shared" si="108"/>
        <v>-0.36851396134896164</v>
      </c>
      <c r="M227" s="92">
        <f t="shared" si="97"/>
        <v>0.192</v>
      </c>
      <c r="N227" s="92">
        <f t="shared" si="98"/>
        <v>2.5000000000000001E-2</v>
      </c>
      <c r="O227" s="92" t="str">
        <f t="shared" si="99"/>
        <v>2.34947281165697-41.4564206197822i</v>
      </c>
      <c r="P227" s="92">
        <f t="shared" si="81"/>
        <v>32.365762638902396</v>
      </c>
      <c r="Q227" s="92">
        <f t="shared" si="109"/>
        <v>-86.756327977857836</v>
      </c>
      <c r="R227" s="92" t="str">
        <f t="shared" si="110"/>
        <v>13.8827872487454-14.2642828233867i</v>
      </c>
      <c r="S227" s="92">
        <f t="shared" si="84"/>
        <v>25.97916166130986</v>
      </c>
      <c r="T227" s="92">
        <f t="shared" si="111"/>
        <v>-45.77651947315286</v>
      </c>
      <c r="U227" s="1" t="str">
        <f>IMPRODUCT(COMPLEX(-1,0),IMDIV(COMPLEX(1,C227*Calculations!$B$195*Calculations!$B$197),IMPRODUCT(COMPLEX(0,C227*Calculations!$B$184),COMPLEX((Calculations!$B$197+Calculations!$B$199),C227*Calculations!$B$195*Calculations!$B$197*Calculations!$B$199))))</f>
        <v>-1.42674933268492+2.99109690974998i</v>
      </c>
      <c r="V227" s="1">
        <f t="shared" si="86"/>
        <v>10.406922899495099</v>
      </c>
      <c r="W227" s="1">
        <f t="shared" si="112"/>
        <v>115.50108128541129</v>
      </c>
      <c r="X227" s="1" t="str">
        <f t="shared" si="113"/>
        <v>22.8585948298775+61.8763180379347i</v>
      </c>
      <c r="Y227" s="1">
        <f t="shared" si="89"/>
        <v>36.38608456080496</v>
      </c>
      <c r="Z227" s="6">
        <f t="shared" si="114"/>
        <v>69.724561812258386</v>
      </c>
    </row>
    <row r="228" spans="1:26" ht="15" thickBot="1">
      <c r="A228" t="s">
        <v>452</v>
      </c>
      <c r="B228" s="28">
        <f>Calculations!B187</f>
        <v>35797.768355015964</v>
      </c>
      <c r="C228" s="94">
        <f t="shared" si="91"/>
        <v>224924.01215805465</v>
      </c>
      <c r="D228" s="109" t="str">
        <f t="shared" si="92"/>
        <v>0.00400076573063866-0.00434974764595557i</v>
      </c>
      <c r="E228" s="94">
        <f t="shared" si="93"/>
        <v>-44.568457908211158</v>
      </c>
      <c r="F228" s="94">
        <f t="shared" si="106"/>
        <v>-47.393093853099984</v>
      </c>
      <c r="G228" s="94" t="str">
        <f t="shared" si="95"/>
        <v>0.0814287118553574-94.7992513320035i</v>
      </c>
      <c r="H228" s="94">
        <f t="shared" si="77"/>
        <v>39.536101355324384</v>
      </c>
      <c r="I228" s="94">
        <f t="shared" si="107"/>
        <v>-89.950785261407447</v>
      </c>
      <c r="J228" s="109" t="str">
        <f t="shared" si="96"/>
        <v>-0.292620717156904+0.011647472421772i</v>
      </c>
      <c r="K228" s="94">
        <f t="shared" si="79"/>
        <v>-10.667023259989231</v>
      </c>
      <c r="L228" s="94">
        <f t="shared" si="108"/>
        <v>177.72060258756281</v>
      </c>
      <c r="M228" s="94">
        <f t="shared" si="97"/>
        <v>0.192</v>
      </c>
      <c r="N228" s="94">
        <f t="shared" si="98"/>
        <v>2.5000000000000001E-2</v>
      </c>
      <c r="O228" s="94" t="str">
        <f t="shared" si="99"/>
        <v>2.18993522106276-0.684681681565123i</v>
      </c>
      <c r="P228" s="94">
        <f t="shared" si="81"/>
        <v>7.213658147958899</v>
      </c>
      <c r="Q228" s="94">
        <f t="shared" si="109"/>
        <v>-17.361816738799469</v>
      </c>
      <c r="R228" s="94" t="str">
        <f t="shared" si="110"/>
        <v>-0.0864579695952044-0.0621115558800969i</v>
      </c>
      <c r="S228" s="94">
        <f t="shared" si="84"/>
        <v>-19.456617837616804</v>
      </c>
      <c r="T228" s="94">
        <f t="shared" si="111"/>
        <v>-144.30646766843819</v>
      </c>
      <c r="U228" s="87" t="str">
        <f>IMPRODUCT(COMPLEX(-1,0),IMDIV(COMPLEX(1,C228*Calculations!$B$195*Calculations!$B$197),IMPRODUCT(COMPLEX(0,C228*Calculations!$B$184),COMPLEX((Calculations!$B$197+Calculations!$B$199),C228*Calculations!$B$195*Calculations!$B$197*Calculations!$B$199))))</f>
        <v>-1.40126127343262+0.195738202100122i</v>
      </c>
      <c r="V228" s="87">
        <f t="shared" si="86"/>
        <v>3.0143079479846735</v>
      </c>
      <c r="W228" s="87">
        <f t="shared" si="112"/>
        <v>172.04797043172297</v>
      </c>
      <c r="X228" s="87" t="str">
        <f t="shared" si="113"/>
        <v>0.133307808850986+0.0701113903616336i</v>
      </c>
      <c r="Y228" s="87">
        <f t="shared" si="89"/>
        <v>-16.442309889632142</v>
      </c>
      <c r="Z228" s="88">
        <f t="shared" si="114"/>
        <v>27.741502763284814</v>
      </c>
    </row>
  </sheetData>
  <mergeCells count="47">
    <mergeCell ref="B76:C77"/>
    <mergeCell ref="D77:F77"/>
    <mergeCell ref="J77:L77"/>
    <mergeCell ref="BC166:BN166"/>
    <mergeCell ref="BO166:BZ166"/>
    <mergeCell ref="BC167:BE167"/>
    <mergeCell ref="BF167:BH167"/>
    <mergeCell ref="BI167:BK167"/>
    <mergeCell ref="BL167:BN167"/>
    <mergeCell ref="BO167:BQ167"/>
    <mergeCell ref="BR167:BT167"/>
    <mergeCell ref="BU167:BW167"/>
    <mergeCell ref="BX167:BZ167"/>
    <mergeCell ref="CD166:CO166"/>
    <mergeCell ref="CA167:CC167"/>
    <mergeCell ref="CD167:CF167"/>
    <mergeCell ref="CG167:CI167"/>
    <mergeCell ref="CJ167:CL167"/>
    <mergeCell ref="CM167:CO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X167:Z167"/>
    <mergeCell ref="G77:I77"/>
    <mergeCell ref="M77:N77"/>
    <mergeCell ref="D76:T76"/>
    <mergeCell ref="O77:Q77"/>
    <mergeCell ref="R77:T77"/>
    <mergeCell ref="U77:W77"/>
    <mergeCell ref="R167:T167"/>
    <mergeCell ref="M166:N166"/>
    <mergeCell ref="O166:Q166"/>
    <mergeCell ref="R166:T166"/>
    <mergeCell ref="U167:W167"/>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197"/>
      <c r="C2" s="197"/>
      <c r="D2" s="197"/>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2025-07-04T10:22:08Z</dcterms:modified>
</cp:coreProperties>
</file>
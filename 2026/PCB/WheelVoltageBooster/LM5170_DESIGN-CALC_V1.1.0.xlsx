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omments3.xml" ContentType="application/vnd.openxmlformats-officedocument.spreadsheetml.comments+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omments4.xml" ContentType="application/vnd.openxmlformats-officedocument.spreadsheetml.comments+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26"/>
  <workbookPr codeName="ThisWorkbook" defaultThemeVersion="124226"/>
  <mc:AlternateContent xmlns:mc="http://schemas.openxmlformats.org/markup-compatibility/2006">
    <mc:Choice Requires="x15">
      <x15ac:absPath xmlns:x15ac="http://schemas.microsoft.com/office/spreadsheetml/2010/11/ac" url="/Users/tsukigake/Desktop/"/>
    </mc:Choice>
  </mc:AlternateContent>
  <xr:revisionPtr revIDLastSave="0" documentId="13_ncr:1_{C593AA7A-1D0B-F449-8DCB-F87C338EB97B}" xr6:coauthVersionLast="47" xr6:coauthVersionMax="47" xr10:uidLastSave="{00000000-0000-0000-0000-000000000000}"/>
  <workbookProtection workbookAlgorithmName="SHA-512" workbookHashValue="FTbea0zNh/M4QFFIjkWMzUxKnz4OFezzA9/BRwWSIIMWDYlyn+LFccWDum1tXS3mgTwJKFr3ZBSW6d5DYWBVMg==" workbookSaltValue="UMfWwVJIqsWZTSD9g7ReYQ==" workbookSpinCount="100000" lockStructure="1"/>
  <bookViews>
    <workbookView xWindow="1400" yWindow="880" windowWidth="32800" windowHeight="21360" xr2:uid="{00000000-000D-0000-FFFF-FFFF00000000}"/>
  </bookViews>
  <sheets>
    <sheet name="Design_Converter" sheetId="1" r:id="rId1"/>
    <sheet name="Licenses" sheetId="10" r:id="rId2"/>
    <sheet name="Calculations" sheetId="2" state="hidden" r:id="rId3"/>
    <sheet name="Compensation" sheetId="6" state="hidden" r:id="rId4"/>
    <sheet name="Comp_Compare" sheetId="8" state="hidden" r:id="rId5"/>
    <sheet name="Constants" sheetId="4" state="hidden" r:id="rId6"/>
    <sheet name="Lists" sheetId="7" state="hidden" r:id="rId7"/>
    <sheet name="Schematic" sheetId="5" state="hidden" r:id="rId8"/>
  </sheets>
  <externalReferences>
    <externalReference r:id="rId9"/>
  </externalReferences>
  <definedNames>
    <definedName name="_xlnm._FilterDatabase" localSheetId="5" hidden="1">Constants!$A$1:$E$33</definedName>
    <definedName name="Acs" localSheetId="1">[1]Constants!$C$5</definedName>
    <definedName name="Acs">Constants!$C$5</definedName>
    <definedName name="Fsw" localSheetId="1">[1]Calculations!$B$15</definedName>
    <definedName name="Fsw">Calculations!$B$15</definedName>
    <definedName name="gm" localSheetId="1">[1]Constants!$C$4</definedName>
    <definedName name="gm">Constants!$C$4</definedName>
    <definedName name="I_Channel" localSheetId="1">[1]Calculations!$B$32</definedName>
    <definedName name="I_Channel">Calculations!$B$29</definedName>
    <definedName name="I_Channel_Design" localSheetId="1">[1]Calculations!$B$25</definedName>
    <definedName name="I_Channel_Design">Calculations!$B$25</definedName>
    <definedName name="I_Channel_Peak_No_Ilimit" localSheetId="1">[1]Calculations!$B$75</definedName>
    <definedName name="I_Channel_Peak_No_Ilimit">Calculations!$B$65</definedName>
    <definedName name="I_Channel_Peak_Select" localSheetId="1">[1]Calculations!$B$77</definedName>
    <definedName name="I_Channel_Peak_Select">Calculations!$B$67</definedName>
    <definedName name="I_Channel_Select" localSheetId="1">[1]Compensation!#REF!</definedName>
    <definedName name="I_Channel_Select">Compensation!#REF!</definedName>
    <definedName name="I12_Select" localSheetId="1">[1]Design_Converter!#REF!</definedName>
    <definedName name="I12_Select">Design_Converter!#REF!</definedName>
    <definedName name="I48_Select" localSheetId="1">[1]Design_Converter!#REF!</definedName>
    <definedName name="I48_Select">Design_Converter!#REF!</definedName>
    <definedName name="IL_Comp_Ccomp" localSheetId="1">[1]Calculations!$B$156*(10^(-9))</definedName>
    <definedName name="IL_Comp_Ccomp">Calculations!$B$146*(10^(-9))</definedName>
    <definedName name="IL_Comp_Chf" localSheetId="1">[1]Calculations!$B$158*(10^-9)</definedName>
    <definedName name="IL_Comp_Chf">Calculations!$B$148*(10^-9)</definedName>
    <definedName name="IL_Comp_Rcomp" localSheetId="1">[1]Calculations!$B$154*1000</definedName>
    <definedName name="IL_Comp_Rcomp">Calculations!$B$144*1000</definedName>
    <definedName name="ISETA_Max">Constants!$C$46</definedName>
    <definedName name="Lm" localSheetId="1">[1]Calculations!$B$43*(10^-6)</definedName>
    <definedName name="Lm">Calculations!$B$38*(10^-6)</definedName>
    <definedName name="Lm_DCR" localSheetId="1">[1]Design_Converter!$B$39/(1000)</definedName>
    <definedName name="Lm_DCR">Design_Converter!$B$38/(1000)</definedName>
    <definedName name="np" localSheetId="1">[1]Calculations!$B$24</definedName>
    <definedName name="np">Calculations!$B$24</definedName>
    <definedName name="np_select" localSheetId="1">[1]Compensation!#REF!</definedName>
    <definedName name="np_select">Compensation!#REF!</definedName>
    <definedName name="Ramp_C" localSheetId="1">[1]Design_Converter!#REF!*(10^(-9))</definedName>
    <definedName name="Ramp_C">Design_Converter!$B$62*(10^(-9))</definedName>
    <definedName name="Ramp_R" localSheetId="1">[1]Design_Converter!#REF!*1000</definedName>
    <definedName name="Ramp_R">Design_Converter!$B$64*1000</definedName>
    <definedName name="Rcs" localSheetId="1">[1]Calculations!$B$31/1000</definedName>
    <definedName name="Rcs">Calculations!$B$28/1000</definedName>
    <definedName name="Schematic" localSheetId="1">INDIRECT(#REF!)</definedName>
    <definedName name="Schematic">INDIRECT(Schematic!$A$2)</definedName>
    <definedName name="schematic_1" localSheetId="1">#REF!</definedName>
    <definedName name="schematic_1">Schematic!$B$4</definedName>
    <definedName name="V12_Max" localSheetId="1">[1]Calculations!$B$13</definedName>
    <definedName name="V12_Max">Calculations!$B$13</definedName>
    <definedName name="V12_Min" localSheetId="1">[1]Calculations!$B$11</definedName>
    <definedName name="V12_Min">Calculations!$B$11</definedName>
    <definedName name="V12_Nom" localSheetId="1">[1]Calculations!$B$12</definedName>
    <definedName name="V12_Nom">Calculations!$B$12</definedName>
    <definedName name="V12_Select" localSheetId="1">[1]Compensation!#REF!</definedName>
    <definedName name="V12_Select">Compensation!#REF!</definedName>
    <definedName name="V12_Vripple" localSheetId="1">[1]Design_Converter!#REF!</definedName>
    <definedName name="V12_Vripple">Design_Converter!#REF!</definedName>
    <definedName name="V48_Max" localSheetId="1">[1]Calculations!$B$9</definedName>
    <definedName name="V48_Max">Calculations!$B$9</definedName>
    <definedName name="V48_Min" localSheetId="1">[1]Calculations!$B$7</definedName>
    <definedName name="V48_Min">Calculations!$B$7</definedName>
    <definedName name="V48_Nom" localSheetId="1">[1]Calculations!$B$8</definedName>
    <definedName name="V48_Nom">Calculations!$B$8</definedName>
    <definedName name="V48_Select" localSheetId="1">[1]Compensation!#REF!</definedName>
    <definedName name="V48_Select">Compensation!#REF!</definedName>
    <definedName name="V48_Vripple" localSheetId="1">[1]Design_Converter!#REF!</definedName>
    <definedName name="V48_Vripple">Design_Converter!#REF!</definedName>
    <definedName name="VCS_Max">50*(10^-3)</definedName>
    <definedName name="Vo_CompII_Boost_Ccomp" localSheetId="1">[1]Compensation!#REF!*(10^(-9))</definedName>
    <definedName name="Vo_CompII_Boost_Ccomp">Compensation!#REF!*(10^(-9))</definedName>
    <definedName name="Vo_CompII_Boost_Chf" localSheetId="1">[1]Compensation!#REF!*(10^(-9))</definedName>
    <definedName name="Vo_CompII_Boost_Chf">Compensation!#REF!*(10^(-9))</definedName>
    <definedName name="Vo_CompII_Boost_Rcomp" localSheetId="1">[1]Compensation!#REF!*1000</definedName>
    <definedName name="Vo_CompII_Boost_Rcomp">Compensation!#REF!*1000</definedName>
    <definedName name="Vo_CompII_Boost_Rfb_Bottom" localSheetId="1">[1]Compensation!#REF!*1000</definedName>
    <definedName name="Vo_CompII_Boost_Rfb_Bottom">Compensation!#REF!*1000</definedName>
    <definedName name="Vo_CompII_Boost_Rfb_Top" localSheetId="1">[1]Compensation!#REF!*1000</definedName>
    <definedName name="Vo_CompII_Boost_Rfb_Top">Compensation!#REF!*1000</definedName>
    <definedName name="Vo_CompII_Buck_Ccomp" localSheetId="1">[1]Compensation!#REF!*(10^(-9))</definedName>
    <definedName name="Vo_CompII_Buck_Ccomp">Compensation!#REF!*(10^(-9))</definedName>
    <definedName name="Vo_CompII_Buck_Chf" localSheetId="1">[1]Compensation!#REF!*(10^(-9))</definedName>
    <definedName name="Vo_CompII_Buck_Chf">Compensation!#REF!*(10^(-9))</definedName>
    <definedName name="Vo_CompII_Buck_Rcomp" localSheetId="1">[1]Compensation!#REF!*1000</definedName>
    <definedName name="Vo_CompII_Buck_Rcomp">Compensation!#REF!*1000</definedName>
    <definedName name="Vo_CompII_Buck_Rfb_Bottom" localSheetId="1">[1]Compensation!#REF!*1000</definedName>
    <definedName name="Vo_CompII_Buck_Rfb_Bottom">Compensation!#REF!*1000</definedName>
    <definedName name="Vo_CompII_Buck_Rfb_Top" localSheetId="1">[1]Compensation!#REF!*1000</definedName>
    <definedName name="Vo_CompII_Buck_Rfb_Top">Compensation!#REF!*1000</definedName>
    <definedName name="Zo_Boost_Cout" localSheetId="1">[1]Design_Converter!$B$56*(10^(-6))</definedName>
    <definedName name="Zo_Boost_Cout">Design_Converter!$B$56*(10^(-6))</definedName>
    <definedName name="Zo_Boost_Resr" localSheetId="1">[1]Design_Converter!$B$57/1000</definedName>
    <definedName name="Zo_Boost_Resr">Design_Converter!$B$57/1000</definedName>
    <definedName name="Zo_Buck_Cout" localSheetId="1">[1]Design_Converter!$B$53/(10^6)</definedName>
    <definedName name="Zo_Buck_Cout">Design_Converter!$B$53/(10^6)</definedName>
    <definedName name="Zo_Buck_Resr" localSheetId="1">[1]Design_Converter!$B$54/1000</definedName>
    <definedName name="Zo_Buck_Resr">Design_Converter!$B$54/1000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0" l="1"/>
  <c r="B189" i="2" l="1"/>
  <c r="B197" i="2"/>
  <c r="B175" i="2" l="1"/>
  <c r="B173" i="2"/>
  <c r="B171" i="2"/>
  <c r="B165" i="2"/>
  <c r="B134" i="6" s="1"/>
  <c r="C134" i="6" s="1"/>
  <c r="B163" i="2"/>
  <c r="B160" i="2"/>
  <c r="B158" i="2"/>
  <c r="B157" i="2"/>
  <c r="B199" i="2"/>
  <c r="B195" i="2"/>
  <c r="B181" i="2"/>
  <c r="B182" i="2"/>
  <c r="B184" i="2"/>
  <c r="U134" i="6" l="1"/>
  <c r="V134" i="6" s="1"/>
  <c r="B176" i="2"/>
  <c r="B177" i="2"/>
  <c r="B201" i="2"/>
  <c r="B224" i="6"/>
  <c r="C224" i="6" s="1"/>
  <c r="B165" i="1" l="1"/>
  <c r="B136" i="6"/>
  <c r="C136" i="6" s="1"/>
  <c r="U136" i="6" s="1"/>
  <c r="B164" i="1"/>
  <c r="B135" i="6"/>
  <c r="C135" i="6" s="1"/>
  <c r="U135" i="6" s="1"/>
  <c r="B184" i="1"/>
  <c r="B226" i="6"/>
  <c r="C226" i="6" s="1"/>
  <c r="W134" i="6"/>
  <c r="C79" i="6"/>
  <c r="U79" i="6" s="1"/>
  <c r="W79" i="6" s="1"/>
  <c r="C80" i="6"/>
  <c r="U80" i="6" s="1"/>
  <c r="V80" i="6" s="1"/>
  <c r="C81" i="6"/>
  <c r="U81" i="6" s="1"/>
  <c r="V81" i="6" s="1"/>
  <c r="C82" i="6"/>
  <c r="U82" i="6" s="1"/>
  <c r="W82" i="6" s="1"/>
  <c r="C83" i="6"/>
  <c r="U83" i="6" s="1"/>
  <c r="W83" i="6" s="1"/>
  <c r="C84" i="6"/>
  <c r="U84" i="6" s="1"/>
  <c r="V84" i="6" s="1"/>
  <c r="C85" i="6"/>
  <c r="U85" i="6" s="1"/>
  <c r="V85" i="6" s="1"/>
  <c r="C86" i="6"/>
  <c r="U86" i="6" s="1"/>
  <c r="W86" i="6" s="1"/>
  <c r="C87" i="6"/>
  <c r="U87" i="6" s="1"/>
  <c r="V87" i="6" s="1"/>
  <c r="C88" i="6"/>
  <c r="U88" i="6" s="1"/>
  <c r="W88" i="6" s="1"/>
  <c r="C89" i="6"/>
  <c r="U89" i="6" s="1"/>
  <c r="W89" i="6" s="1"/>
  <c r="C90" i="6"/>
  <c r="U90" i="6" s="1"/>
  <c r="V90" i="6" s="1"/>
  <c r="C91" i="6"/>
  <c r="U91" i="6" s="1"/>
  <c r="W91" i="6" s="1"/>
  <c r="C92" i="6"/>
  <c r="U92" i="6" s="1"/>
  <c r="W92" i="6" s="1"/>
  <c r="C93" i="6"/>
  <c r="U93" i="6" s="1"/>
  <c r="W93" i="6" s="1"/>
  <c r="C94" i="6"/>
  <c r="U94" i="6" s="1"/>
  <c r="V94" i="6" s="1"/>
  <c r="C95" i="6"/>
  <c r="U95" i="6" s="1"/>
  <c r="V95" i="6" s="1"/>
  <c r="C96" i="6"/>
  <c r="U96" i="6" s="1"/>
  <c r="V96" i="6" s="1"/>
  <c r="C97" i="6"/>
  <c r="U97" i="6" s="1"/>
  <c r="W97" i="6" s="1"/>
  <c r="C98" i="6"/>
  <c r="U98" i="6" s="1"/>
  <c r="V98" i="6" s="1"/>
  <c r="C99" i="6"/>
  <c r="U99" i="6" s="1"/>
  <c r="W99" i="6" s="1"/>
  <c r="C100" i="6"/>
  <c r="U100" i="6" s="1"/>
  <c r="V100" i="6" s="1"/>
  <c r="C101" i="6"/>
  <c r="U101" i="6" s="1"/>
  <c r="W101" i="6" s="1"/>
  <c r="C102" i="6"/>
  <c r="U102" i="6" s="1"/>
  <c r="V102" i="6" s="1"/>
  <c r="C103" i="6"/>
  <c r="U103" i="6" s="1"/>
  <c r="W103" i="6" s="1"/>
  <c r="C104" i="6"/>
  <c r="U104" i="6" s="1"/>
  <c r="V104" i="6" s="1"/>
  <c r="C105" i="6"/>
  <c r="U105" i="6" s="1"/>
  <c r="W105" i="6" s="1"/>
  <c r="C106" i="6"/>
  <c r="U106" i="6" s="1"/>
  <c r="V106" i="6" s="1"/>
  <c r="C107" i="6"/>
  <c r="U107" i="6" s="1"/>
  <c r="V107" i="6" s="1"/>
  <c r="C108" i="6"/>
  <c r="U108" i="6" s="1"/>
  <c r="V108" i="6" s="1"/>
  <c r="C109" i="6"/>
  <c r="U109" i="6" s="1"/>
  <c r="W109" i="6" s="1"/>
  <c r="C110" i="6"/>
  <c r="U110" i="6" s="1"/>
  <c r="V110" i="6" s="1"/>
  <c r="C111" i="6"/>
  <c r="U111" i="6" s="1"/>
  <c r="V111" i="6" s="1"/>
  <c r="C112" i="6"/>
  <c r="U112" i="6" s="1"/>
  <c r="V112" i="6" s="1"/>
  <c r="C113" i="6"/>
  <c r="U113" i="6" s="1"/>
  <c r="W113" i="6" s="1"/>
  <c r="C114" i="6"/>
  <c r="U114" i="6" s="1"/>
  <c r="V114" i="6" s="1"/>
  <c r="C115" i="6"/>
  <c r="U115" i="6" s="1"/>
  <c r="V115" i="6" s="1"/>
  <c r="C116" i="6"/>
  <c r="U116" i="6" s="1"/>
  <c r="V116" i="6" s="1"/>
  <c r="C117" i="6"/>
  <c r="U117" i="6" s="1"/>
  <c r="W117" i="6" s="1"/>
  <c r="C118" i="6"/>
  <c r="U118" i="6" s="1"/>
  <c r="V118" i="6" s="1"/>
  <c r="C119" i="6"/>
  <c r="U119" i="6" s="1"/>
  <c r="W119" i="6" s="1"/>
  <c r="C120" i="6"/>
  <c r="U120" i="6" s="1"/>
  <c r="V120" i="6" s="1"/>
  <c r="C121" i="6"/>
  <c r="U121" i="6" s="1"/>
  <c r="W121" i="6" s="1"/>
  <c r="C122" i="6"/>
  <c r="U122" i="6" s="1"/>
  <c r="V122" i="6" s="1"/>
  <c r="C123" i="6"/>
  <c r="U123" i="6" s="1"/>
  <c r="W123" i="6" s="1"/>
  <c r="C124" i="6"/>
  <c r="U124" i="6" s="1"/>
  <c r="V124" i="6" s="1"/>
  <c r="C125" i="6"/>
  <c r="U125" i="6" s="1"/>
  <c r="W125" i="6" s="1"/>
  <c r="C126" i="6"/>
  <c r="U126" i="6" s="1"/>
  <c r="V126" i="6" s="1"/>
  <c r="C127" i="6"/>
  <c r="U127" i="6" s="1"/>
  <c r="V127" i="6" s="1"/>
  <c r="C128" i="6"/>
  <c r="U128" i="6" s="1"/>
  <c r="V128" i="6" s="1"/>
  <c r="C129" i="6"/>
  <c r="U129" i="6" s="1"/>
  <c r="W129" i="6" s="1"/>
  <c r="C130" i="6"/>
  <c r="U130" i="6" s="1"/>
  <c r="V130" i="6" s="1"/>
  <c r="C131" i="6"/>
  <c r="U131" i="6" s="1"/>
  <c r="V131" i="6" s="1"/>
  <c r="C132" i="6"/>
  <c r="U132" i="6" s="1"/>
  <c r="W132" i="6" s="1"/>
  <c r="C133" i="6"/>
  <c r="U133" i="6" s="1"/>
  <c r="W133" i="6" s="1"/>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B66" i="2"/>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B148" i="2"/>
  <c r="B146" i="2"/>
  <c r="B144" i="2"/>
  <c r="B140" i="2"/>
  <c r="B164" i="2" s="1"/>
  <c r="B156" i="1" s="1"/>
  <c r="B135" i="2"/>
  <c r="C31" i="4"/>
  <c r="C32" i="4"/>
  <c r="B107" i="2"/>
  <c r="B105" i="2"/>
  <c r="B104" i="2"/>
  <c r="B130" i="2"/>
  <c r="C30" i="4"/>
  <c r="C29" i="4"/>
  <c r="C27" i="4"/>
  <c r="B128" i="2"/>
  <c r="B127" i="2"/>
  <c r="W116" i="6" l="1"/>
  <c r="W84" i="6"/>
  <c r="W108" i="6"/>
  <c r="W107" i="6"/>
  <c r="W100" i="6"/>
  <c r="V121" i="6"/>
  <c r="V91" i="6"/>
  <c r="W122" i="6"/>
  <c r="W104" i="6"/>
  <c r="W130" i="6"/>
  <c r="V129" i="6"/>
  <c r="V132" i="6"/>
  <c r="W124" i="6"/>
  <c r="W94" i="6"/>
  <c r="W131" i="6"/>
  <c r="W87" i="6"/>
  <c r="V79" i="6"/>
  <c r="V82" i="6"/>
  <c r="W120" i="6"/>
  <c r="V97" i="6"/>
  <c r="W115" i="6"/>
  <c r="V103" i="6"/>
  <c r="W127" i="6"/>
  <c r="V99" i="6"/>
  <c r="W81" i="6"/>
  <c r="V123" i="6"/>
  <c r="V93" i="6"/>
  <c r="V125" i="6"/>
  <c r="V117" i="6"/>
  <c r="V119" i="6"/>
  <c r="W106" i="6"/>
  <c r="W98" i="6"/>
  <c r="V113" i="6"/>
  <c r="V92" i="6"/>
  <c r="V83" i="6"/>
  <c r="V89" i="6"/>
  <c r="W114" i="6"/>
  <c r="V109" i="6"/>
  <c r="W118" i="6"/>
  <c r="W110" i="6"/>
  <c r="W102" i="6"/>
  <c r="W128" i="6"/>
  <c r="W90" i="6"/>
  <c r="W95" i="6"/>
  <c r="V133" i="6"/>
  <c r="V105" i="6"/>
  <c r="V88" i="6"/>
  <c r="W112" i="6"/>
  <c r="V86" i="6"/>
  <c r="W126" i="6"/>
  <c r="W85" i="6"/>
  <c r="W80" i="6"/>
  <c r="V101" i="6"/>
  <c r="W111" i="6"/>
  <c r="W96" i="6"/>
  <c r="V136" i="6"/>
  <c r="W136" i="6"/>
  <c r="W135" i="6"/>
  <c r="V135" i="6"/>
  <c r="B150" i="2"/>
  <c r="B149" i="2"/>
  <c r="D128" i="2"/>
  <c r="B121" i="2"/>
  <c r="B75" i="2"/>
  <c r="B69" i="2"/>
  <c r="C22" i="4"/>
  <c r="B144" i="1" l="1"/>
  <c r="AA10" i="6"/>
  <c r="AB10" i="6" s="1"/>
  <c r="B145" i="1"/>
  <c r="AA11" i="6"/>
  <c r="AB11" i="6" s="1"/>
  <c r="C48" i="4"/>
  <c r="B117" i="2"/>
  <c r="B115" i="2"/>
  <c r="B85" i="2"/>
  <c r="B122" i="2" l="1"/>
  <c r="B118" i="1" s="1"/>
  <c r="B120" i="2"/>
  <c r="B115" i="1" s="1"/>
  <c r="D115" i="2"/>
  <c r="C13" i="4"/>
  <c r="B103" i="2"/>
  <c r="B101" i="2"/>
  <c r="B100" i="2"/>
  <c r="B99" i="2"/>
  <c r="B109" i="2" l="1"/>
  <c r="B103" i="1" s="1"/>
  <c r="B108" i="2"/>
  <c r="B102" i="1" s="1"/>
  <c r="B106" i="2"/>
  <c r="B100" i="1" s="1"/>
  <c r="B111" i="2"/>
  <c r="B105" i="1" s="1"/>
  <c r="B102" i="2"/>
  <c r="B96" i="1" s="1"/>
  <c r="B95" i="2"/>
  <c r="B93" i="2"/>
  <c r="B94" i="2" s="1"/>
  <c r="B91" i="2"/>
  <c r="B92" i="2" s="1"/>
  <c r="C20" i="4"/>
  <c r="C19" i="4"/>
  <c r="B89" i="2"/>
  <c r="B90" i="2" l="1"/>
  <c r="B81" i="1" s="1"/>
  <c r="B110" i="2"/>
  <c r="B104" i="1" s="1"/>
  <c r="B86" i="1"/>
  <c r="B83" i="1"/>
  <c r="B96" i="2"/>
  <c r="B88" i="1" s="1"/>
  <c r="B38" i="2"/>
  <c r="B36" i="2"/>
  <c r="B28" i="2"/>
  <c r="B24" i="2"/>
  <c r="B22" i="2"/>
  <c r="B15" i="2"/>
  <c r="B76" i="2" l="1"/>
  <c r="N134" i="6"/>
  <c r="N227" i="6"/>
  <c r="N136" i="6"/>
  <c r="N226" i="6"/>
  <c r="N137" i="6"/>
  <c r="N135" i="6"/>
  <c r="N228" i="6"/>
  <c r="N225" i="6"/>
  <c r="B193" i="2"/>
  <c r="B169" i="2"/>
  <c r="N172" i="6"/>
  <c r="N180" i="6"/>
  <c r="N188" i="6"/>
  <c r="N196" i="6"/>
  <c r="N204" i="6"/>
  <c r="N212" i="6"/>
  <c r="N220" i="6"/>
  <c r="N81" i="6"/>
  <c r="N85" i="6"/>
  <c r="N89" i="6"/>
  <c r="N93" i="6"/>
  <c r="N97" i="6"/>
  <c r="N101" i="6"/>
  <c r="N105" i="6"/>
  <c r="N109" i="6"/>
  <c r="N113" i="6"/>
  <c r="N117" i="6"/>
  <c r="N121" i="6"/>
  <c r="N125" i="6"/>
  <c r="N129" i="6"/>
  <c r="N133" i="6"/>
  <c r="N173" i="6"/>
  <c r="N181" i="6"/>
  <c r="N189" i="6"/>
  <c r="N197" i="6"/>
  <c r="N205" i="6"/>
  <c r="N213" i="6"/>
  <c r="N221" i="6"/>
  <c r="N79" i="6"/>
  <c r="N174" i="6"/>
  <c r="N182" i="6"/>
  <c r="N190" i="6"/>
  <c r="N198" i="6"/>
  <c r="N206" i="6"/>
  <c r="N214" i="6"/>
  <c r="N222" i="6"/>
  <c r="N176" i="6"/>
  <c r="N184" i="6"/>
  <c r="N192" i="6"/>
  <c r="N200" i="6"/>
  <c r="N208" i="6"/>
  <c r="N216" i="6"/>
  <c r="N169" i="6"/>
  <c r="N83" i="6"/>
  <c r="N87" i="6"/>
  <c r="N91" i="6"/>
  <c r="N95" i="6"/>
  <c r="N99" i="6"/>
  <c r="N103" i="6"/>
  <c r="N107" i="6"/>
  <c r="N111" i="6"/>
  <c r="N115" i="6"/>
  <c r="N119" i="6"/>
  <c r="N123" i="6"/>
  <c r="N127" i="6"/>
  <c r="N131" i="6"/>
  <c r="N177" i="6"/>
  <c r="N185" i="6"/>
  <c r="N193" i="6"/>
  <c r="N201" i="6"/>
  <c r="N209" i="6"/>
  <c r="N217" i="6"/>
  <c r="N170" i="6"/>
  <c r="N178" i="6"/>
  <c r="N186" i="6"/>
  <c r="N194" i="6"/>
  <c r="N202" i="6"/>
  <c r="N210" i="6"/>
  <c r="N218" i="6"/>
  <c r="N80" i="6"/>
  <c r="N90" i="6"/>
  <c r="N106" i="6"/>
  <c r="N122" i="6"/>
  <c r="N175" i="6"/>
  <c r="N207" i="6"/>
  <c r="N92" i="6"/>
  <c r="N108" i="6"/>
  <c r="N124" i="6"/>
  <c r="N179" i="6"/>
  <c r="N211" i="6"/>
  <c r="N224" i="6"/>
  <c r="N94" i="6"/>
  <c r="N110" i="6"/>
  <c r="N126" i="6"/>
  <c r="N183" i="6"/>
  <c r="N215" i="6"/>
  <c r="N96" i="6"/>
  <c r="N112" i="6"/>
  <c r="N128" i="6"/>
  <c r="N187" i="6"/>
  <c r="N219" i="6"/>
  <c r="N82" i="6"/>
  <c r="N98" i="6"/>
  <c r="N114" i="6"/>
  <c r="N130" i="6"/>
  <c r="N191" i="6"/>
  <c r="N223" i="6"/>
  <c r="N84" i="6"/>
  <c r="N100" i="6"/>
  <c r="N116" i="6"/>
  <c r="N132" i="6"/>
  <c r="N195" i="6"/>
  <c r="N86" i="6"/>
  <c r="N102" i="6"/>
  <c r="N118" i="6"/>
  <c r="N199" i="6"/>
  <c r="N88" i="6"/>
  <c r="N104" i="6"/>
  <c r="N120" i="6"/>
  <c r="N171" i="6"/>
  <c r="N203" i="6"/>
  <c r="B70" i="2"/>
  <c r="B48" i="1" s="1"/>
  <c r="B137" i="2"/>
  <c r="AA9" i="6" s="1"/>
  <c r="AB9" i="6" s="1"/>
  <c r="B139" i="2"/>
  <c r="B136" i="1" s="1"/>
  <c r="B136" i="2"/>
  <c r="B142" i="2"/>
  <c r="B29" i="2"/>
  <c r="B12" i="2"/>
  <c r="B13" i="2"/>
  <c r="B11" i="2"/>
  <c r="B8" i="2"/>
  <c r="M228" i="6" s="1"/>
  <c r="B9" i="2"/>
  <c r="M137" i="6" s="1"/>
  <c r="B7" i="2"/>
  <c r="A2" i="5"/>
  <c r="B79" i="2" l="1"/>
  <c r="M135" i="6"/>
  <c r="M227" i="6"/>
  <c r="M225" i="6"/>
  <c r="M226" i="6"/>
  <c r="M136" i="6"/>
  <c r="B159" i="2"/>
  <c r="B154" i="1" s="1"/>
  <c r="M89" i="6"/>
  <c r="M134" i="6"/>
  <c r="M223" i="6"/>
  <c r="B183" i="2"/>
  <c r="B173" i="1" s="1"/>
  <c r="M189" i="6"/>
  <c r="M172" i="6"/>
  <c r="M184" i="6"/>
  <c r="M202" i="6"/>
  <c r="M193" i="6"/>
  <c r="M215" i="6"/>
  <c r="M190" i="6"/>
  <c r="M111" i="6"/>
  <c r="M118" i="6"/>
  <c r="M86" i="6"/>
  <c r="M113" i="6"/>
  <c r="M200" i="6"/>
  <c r="M219" i="6"/>
  <c r="M96" i="6"/>
  <c r="M194" i="6"/>
  <c r="M185" i="6"/>
  <c r="M107" i="6"/>
  <c r="M199" i="6"/>
  <c r="M114" i="6"/>
  <c r="M82" i="6"/>
  <c r="M182" i="6"/>
  <c r="M181" i="6"/>
  <c r="M109" i="6"/>
  <c r="B18" i="2"/>
  <c r="B52" i="2"/>
  <c r="M212" i="6"/>
  <c r="M196" i="6"/>
  <c r="M211" i="6"/>
  <c r="M124" i="6"/>
  <c r="M92" i="6"/>
  <c r="M186" i="6"/>
  <c r="M177" i="6"/>
  <c r="M103" i="6"/>
  <c r="M191" i="6"/>
  <c r="M110" i="6"/>
  <c r="M224" i="6"/>
  <c r="M174" i="6"/>
  <c r="M173" i="6"/>
  <c r="M105" i="6"/>
  <c r="B58" i="2"/>
  <c r="M180" i="6"/>
  <c r="M169" i="6"/>
  <c r="M203" i="6"/>
  <c r="M120" i="6"/>
  <c r="M88" i="6"/>
  <c r="M178" i="6"/>
  <c r="M131" i="6"/>
  <c r="M99" i="6"/>
  <c r="M183" i="6"/>
  <c r="M106" i="6"/>
  <c r="M207" i="6"/>
  <c r="M133" i="6"/>
  <c r="M101" i="6"/>
  <c r="M100" i="6"/>
  <c r="M81" i="6"/>
  <c r="B56" i="2"/>
  <c r="B57" i="2" s="1"/>
  <c r="B53" i="2"/>
  <c r="B54" i="2" s="1"/>
  <c r="B50" i="2"/>
  <c r="B51" i="2" s="1"/>
  <c r="M128" i="6"/>
  <c r="B55" i="2"/>
  <c r="B43" i="2"/>
  <c r="B46" i="2"/>
  <c r="B49" i="2"/>
  <c r="M192" i="6"/>
  <c r="M116" i="6"/>
  <c r="M170" i="6"/>
  <c r="M95" i="6"/>
  <c r="M102" i="6"/>
  <c r="M221" i="6"/>
  <c r="M129" i="6"/>
  <c r="M176" i="6"/>
  <c r="M220" i="6"/>
  <c r="M187" i="6"/>
  <c r="M112" i="6"/>
  <c r="M80" i="6"/>
  <c r="M217" i="6"/>
  <c r="M123" i="6"/>
  <c r="M91" i="6"/>
  <c r="M130" i="6"/>
  <c r="M98" i="6"/>
  <c r="M214" i="6"/>
  <c r="M213" i="6"/>
  <c r="M125" i="6"/>
  <c r="M93" i="6"/>
  <c r="M79" i="6"/>
  <c r="M188" i="6"/>
  <c r="M179" i="6"/>
  <c r="M108" i="6"/>
  <c r="M218" i="6"/>
  <c r="M209" i="6"/>
  <c r="M119" i="6"/>
  <c r="M87" i="6"/>
  <c r="M126" i="6"/>
  <c r="M94" i="6"/>
  <c r="M206" i="6"/>
  <c r="M205" i="6"/>
  <c r="M121" i="6"/>
  <c r="O99" i="2"/>
  <c r="O83" i="2"/>
  <c r="O68" i="2"/>
  <c r="B47" i="2"/>
  <c r="O67" i="2"/>
  <c r="O105" i="2"/>
  <c r="O81" i="2"/>
  <c r="O69" i="2"/>
  <c r="O98" i="2"/>
  <c r="O74" i="2"/>
  <c r="O89" i="2"/>
  <c r="O66" i="2"/>
  <c r="O104" i="2"/>
  <c r="O80" i="2"/>
  <c r="O107" i="2"/>
  <c r="O75" i="2"/>
  <c r="O90" i="2"/>
  <c r="O88" i="2"/>
  <c r="O65" i="2"/>
  <c r="O111" i="2"/>
  <c r="O103" i="2"/>
  <c r="O95" i="2"/>
  <c r="O87" i="2"/>
  <c r="O79" i="2"/>
  <c r="O72" i="2"/>
  <c r="O64" i="2"/>
  <c r="O110" i="2"/>
  <c r="O102" i="2"/>
  <c r="O94" i="2"/>
  <c r="O86" i="2"/>
  <c r="O78" i="2"/>
  <c r="O71" i="2"/>
  <c r="O63" i="2"/>
  <c r="O109" i="2"/>
  <c r="O101" i="2"/>
  <c r="O93" i="2"/>
  <c r="O85" i="2"/>
  <c r="O77" i="2"/>
  <c r="O70" i="2"/>
  <c r="O62" i="2"/>
  <c r="O108" i="2"/>
  <c r="O100" i="2"/>
  <c r="O92" i="2"/>
  <c r="O84" i="2"/>
  <c r="O76" i="2"/>
  <c r="B64" i="2"/>
  <c r="B123" i="2" s="1"/>
  <c r="B117" i="1" s="1"/>
  <c r="O91" i="2"/>
  <c r="O106" i="2"/>
  <c r="O82" i="2"/>
  <c r="O97" i="2"/>
  <c r="O73" i="2"/>
  <c r="O96" i="2"/>
  <c r="B80" i="2"/>
  <c r="M132" i="6"/>
  <c r="M208" i="6"/>
  <c r="M195" i="6"/>
  <c r="M84" i="6"/>
  <c r="M127" i="6"/>
  <c r="M175" i="6"/>
  <c r="M222" i="6"/>
  <c r="M97" i="6"/>
  <c r="M204" i="6"/>
  <c r="M216" i="6"/>
  <c r="M171" i="6"/>
  <c r="M104" i="6"/>
  <c r="M210" i="6"/>
  <c r="M201" i="6"/>
  <c r="M115" i="6"/>
  <c r="M83" i="6"/>
  <c r="M122" i="6"/>
  <c r="M90" i="6"/>
  <c r="M198" i="6"/>
  <c r="M197" i="6"/>
  <c r="M117" i="6"/>
  <c r="M85" i="6"/>
  <c r="B31" i="2"/>
  <c r="B30" i="1" s="1"/>
  <c r="D21" i="6"/>
  <c r="D45" i="6"/>
  <c r="D14" i="6"/>
  <c r="D22" i="6"/>
  <c r="D30" i="6"/>
  <c r="D38" i="6"/>
  <c r="D46" i="6"/>
  <c r="D54" i="6"/>
  <c r="D62" i="6"/>
  <c r="D25" i="6"/>
  <c r="D10" i="6"/>
  <c r="D34" i="6"/>
  <c r="D50" i="6"/>
  <c r="D58" i="6"/>
  <c r="D11" i="6"/>
  <c r="D15" i="6"/>
  <c r="D19" i="6"/>
  <c r="D23" i="6"/>
  <c r="D27" i="6"/>
  <c r="D31" i="6"/>
  <c r="D35" i="6"/>
  <c r="D39" i="6"/>
  <c r="D43" i="6"/>
  <c r="D47" i="6"/>
  <c r="D51" i="6"/>
  <c r="D55" i="6"/>
  <c r="D59" i="6"/>
  <c r="B138" i="2"/>
  <c r="D13" i="6"/>
  <c r="D29" i="6"/>
  <c r="D42" i="6"/>
  <c r="D53" i="6"/>
  <c r="D61" i="6"/>
  <c r="D8" i="6"/>
  <c r="D12" i="6"/>
  <c r="D16" i="6"/>
  <c r="D20" i="6"/>
  <c r="D24" i="6"/>
  <c r="D28" i="6"/>
  <c r="D32" i="6"/>
  <c r="D36" i="6"/>
  <c r="D40" i="6"/>
  <c r="D44" i="6"/>
  <c r="D48" i="6"/>
  <c r="D52" i="6"/>
  <c r="D56" i="6"/>
  <c r="D60" i="6"/>
  <c r="D9" i="6"/>
  <c r="D17" i="6"/>
  <c r="D33" i="6"/>
  <c r="D41" i="6"/>
  <c r="D49" i="6"/>
  <c r="D57" i="6"/>
  <c r="D18" i="6"/>
  <c r="D26" i="6"/>
  <c r="D37" i="6"/>
  <c r="B135" i="1"/>
  <c r="B141" i="2"/>
  <c r="B30" i="2"/>
  <c r="B32" i="2" s="1"/>
  <c r="B23" i="2"/>
  <c r="B83" i="2"/>
  <c r="C33" i="4"/>
  <c r="B86" i="2" s="1"/>
  <c r="B75" i="1" s="1"/>
  <c r="B84" i="2" l="1"/>
  <c r="F13" i="6"/>
  <c r="E13" i="6"/>
  <c r="E41" i="6"/>
  <c r="F41" i="6"/>
  <c r="E48" i="6"/>
  <c r="F48" i="6"/>
  <c r="E16" i="6"/>
  <c r="F16" i="6"/>
  <c r="E31" i="6"/>
  <c r="F31" i="6"/>
  <c r="E34" i="6"/>
  <c r="F34" i="6"/>
  <c r="E22" i="6"/>
  <c r="F22" i="6"/>
  <c r="E33" i="6"/>
  <c r="F33" i="6"/>
  <c r="E44" i="6"/>
  <c r="F44" i="6"/>
  <c r="E12" i="6"/>
  <c r="F12" i="6"/>
  <c r="E59" i="6"/>
  <c r="F59" i="6"/>
  <c r="E27" i="6"/>
  <c r="F27" i="6"/>
  <c r="E10" i="6"/>
  <c r="F10" i="6"/>
  <c r="E14" i="6"/>
  <c r="F14" i="6"/>
  <c r="E52" i="6"/>
  <c r="F52" i="6"/>
  <c r="E50" i="6"/>
  <c r="F50" i="6"/>
  <c r="F8" i="6"/>
  <c r="E8" i="6"/>
  <c r="E25" i="6"/>
  <c r="F25" i="6"/>
  <c r="E9" i="6"/>
  <c r="F9" i="6"/>
  <c r="F51" i="6"/>
  <c r="E51" i="6"/>
  <c r="F21" i="6"/>
  <c r="E21" i="6"/>
  <c r="E26" i="6"/>
  <c r="F26" i="6"/>
  <c r="E32" i="6"/>
  <c r="F32" i="6"/>
  <c r="F53" i="6"/>
  <c r="E53" i="6"/>
  <c r="E47" i="6"/>
  <c r="F47" i="6"/>
  <c r="F15" i="6"/>
  <c r="E15" i="6"/>
  <c r="E54" i="6"/>
  <c r="F54" i="6"/>
  <c r="E49" i="6"/>
  <c r="F49" i="6"/>
  <c r="F35" i="6"/>
  <c r="E35" i="6"/>
  <c r="E40" i="6"/>
  <c r="F40" i="6"/>
  <c r="E23" i="6"/>
  <c r="F23" i="6"/>
  <c r="E36" i="6"/>
  <c r="F36" i="6"/>
  <c r="F19" i="6"/>
  <c r="E19" i="6"/>
  <c r="E18" i="6"/>
  <c r="F18" i="6"/>
  <c r="E60" i="6"/>
  <c r="F60" i="6"/>
  <c r="E28" i="6"/>
  <c r="F28" i="6"/>
  <c r="E42" i="6"/>
  <c r="F42" i="6"/>
  <c r="E43" i="6"/>
  <c r="F43" i="6"/>
  <c r="F11" i="6"/>
  <c r="E11" i="6"/>
  <c r="E46" i="6"/>
  <c r="F46" i="6"/>
  <c r="E20" i="6"/>
  <c r="F20" i="6"/>
  <c r="E30" i="6"/>
  <c r="F30" i="6"/>
  <c r="E17" i="6"/>
  <c r="F17" i="6"/>
  <c r="F55" i="6"/>
  <c r="E55" i="6"/>
  <c r="F45" i="6"/>
  <c r="E45" i="6"/>
  <c r="F37" i="6"/>
  <c r="E37" i="6"/>
  <c r="F61" i="6"/>
  <c r="E61" i="6"/>
  <c r="E62" i="6"/>
  <c r="F62" i="6"/>
  <c r="E57" i="6"/>
  <c r="F57" i="6"/>
  <c r="E56" i="6"/>
  <c r="F56" i="6"/>
  <c r="E24" i="6"/>
  <c r="F24" i="6"/>
  <c r="F29" i="6"/>
  <c r="E29" i="6"/>
  <c r="E39" i="6"/>
  <c r="F39" i="6"/>
  <c r="E58" i="6"/>
  <c r="F58" i="6"/>
  <c r="E38" i="6"/>
  <c r="F38" i="6"/>
  <c r="B73" i="1"/>
  <c r="B63" i="1" l="1"/>
  <c r="B78" i="2"/>
  <c r="B17" i="2"/>
  <c r="D15" i="2"/>
  <c r="B48" i="2"/>
  <c r="B41" i="2"/>
  <c r="B42" i="2" s="1"/>
  <c r="B44" i="2"/>
  <c r="B45" i="2" s="1"/>
  <c r="B39" i="2"/>
  <c r="AD63" i="2"/>
  <c r="AD64" i="2"/>
  <c r="AD65" i="2"/>
  <c r="AD66" i="2"/>
  <c r="AD67" i="2"/>
  <c r="AD68" i="2"/>
  <c r="AD69" i="2"/>
  <c r="AD70" i="2"/>
  <c r="AD71" i="2"/>
  <c r="AD72" i="2"/>
  <c r="AD73" i="2"/>
  <c r="AD74" i="2"/>
  <c r="AD75" i="2"/>
  <c r="AD76" i="2"/>
  <c r="AD77" i="2"/>
  <c r="AD78" i="2"/>
  <c r="AD79" i="2"/>
  <c r="AD80" i="2"/>
  <c r="AD81" i="2"/>
  <c r="AD82" i="2"/>
  <c r="AD83" i="2"/>
  <c r="AD84" i="2"/>
  <c r="AD85" i="2"/>
  <c r="AD86" i="2"/>
  <c r="AD87" i="2"/>
  <c r="AD88" i="2"/>
  <c r="AD89" i="2"/>
  <c r="AD90" i="2"/>
  <c r="AD91" i="2"/>
  <c r="AD92" i="2"/>
  <c r="AD93" i="2"/>
  <c r="AD94" i="2"/>
  <c r="AD95" i="2"/>
  <c r="AD96" i="2"/>
  <c r="AD97" i="2"/>
  <c r="AD98" i="2"/>
  <c r="AD99" i="2"/>
  <c r="AD100" i="2"/>
  <c r="AD101" i="2"/>
  <c r="AD102" i="2"/>
  <c r="AD103" i="2"/>
  <c r="AD104" i="2"/>
  <c r="AD105" i="2"/>
  <c r="AD106" i="2"/>
  <c r="AD107" i="2"/>
  <c r="AD108" i="2"/>
  <c r="AD109" i="2"/>
  <c r="AD110" i="2"/>
  <c r="AD111" i="2"/>
  <c r="AD62" i="2"/>
  <c r="AD61" i="2"/>
  <c r="B29" i="1"/>
  <c r="AN84" i="2" l="1"/>
  <c r="AM84" i="2"/>
  <c r="AO84" i="2" s="1"/>
  <c r="AP84" i="2" s="1"/>
  <c r="AM107" i="2"/>
  <c r="AO107" i="2" s="1"/>
  <c r="AP107" i="2" s="1"/>
  <c r="AN107" i="2"/>
  <c r="AM99" i="2"/>
  <c r="AO99" i="2" s="1"/>
  <c r="AP99" i="2" s="1"/>
  <c r="AN99" i="2"/>
  <c r="AN91" i="2"/>
  <c r="AM91" i="2"/>
  <c r="AO91" i="2" s="1"/>
  <c r="AP91" i="2" s="1"/>
  <c r="AN83" i="2"/>
  <c r="AM83" i="2"/>
  <c r="AO83" i="2" s="1"/>
  <c r="AP83" i="2" s="1"/>
  <c r="AN75" i="2"/>
  <c r="AM75" i="2"/>
  <c r="AO75" i="2" s="1"/>
  <c r="AP75" i="2" s="1"/>
  <c r="AM67" i="2"/>
  <c r="AO67" i="2" s="1"/>
  <c r="AP67" i="2" s="1"/>
  <c r="AN67" i="2"/>
  <c r="AN93" i="2"/>
  <c r="AM93" i="2"/>
  <c r="AO93" i="2" s="1"/>
  <c r="AP93" i="2" s="1"/>
  <c r="AN69" i="2"/>
  <c r="AM69" i="2"/>
  <c r="AO69" i="2" s="1"/>
  <c r="AP69" i="2" s="1"/>
  <c r="AM90" i="2"/>
  <c r="AO90" i="2" s="1"/>
  <c r="AP90" i="2" s="1"/>
  <c r="AN90" i="2"/>
  <c r="AN66" i="2"/>
  <c r="AM66" i="2"/>
  <c r="AO66" i="2" s="1"/>
  <c r="AP66" i="2" s="1"/>
  <c r="AM61" i="2"/>
  <c r="AO61" i="2" s="1"/>
  <c r="AP61" i="2" s="1"/>
  <c r="AN61" i="2"/>
  <c r="AM89" i="2"/>
  <c r="AO89" i="2" s="1"/>
  <c r="AP89" i="2" s="1"/>
  <c r="AN89" i="2"/>
  <c r="AN65" i="2"/>
  <c r="AM65" i="2"/>
  <c r="AO65" i="2" s="1"/>
  <c r="AP65" i="2" s="1"/>
  <c r="AM96" i="2"/>
  <c r="AO96" i="2" s="1"/>
  <c r="AP96" i="2" s="1"/>
  <c r="AN96" i="2"/>
  <c r="AN101" i="2"/>
  <c r="AM101" i="2"/>
  <c r="AO101" i="2" s="1"/>
  <c r="AP101" i="2" s="1"/>
  <c r="AN77" i="2"/>
  <c r="AM77" i="2"/>
  <c r="AO77" i="2" s="1"/>
  <c r="AP77" i="2" s="1"/>
  <c r="AM108" i="2"/>
  <c r="AO108" i="2" s="1"/>
  <c r="AP108" i="2" s="1"/>
  <c r="AN108" i="2"/>
  <c r="AM92" i="2"/>
  <c r="AO92" i="2" s="1"/>
  <c r="AP92" i="2" s="1"/>
  <c r="AN92" i="2"/>
  <c r="AM76" i="2"/>
  <c r="AO76" i="2" s="1"/>
  <c r="AP76" i="2" s="1"/>
  <c r="AN76" i="2"/>
  <c r="AN106" i="2"/>
  <c r="AM106" i="2"/>
  <c r="AO106" i="2" s="1"/>
  <c r="AP106" i="2" s="1"/>
  <c r="AM82" i="2"/>
  <c r="AO82" i="2" s="1"/>
  <c r="AP82" i="2" s="1"/>
  <c r="AN82" i="2"/>
  <c r="AN74" i="2"/>
  <c r="AM74" i="2"/>
  <c r="AO74" i="2" s="1"/>
  <c r="AP74" i="2" s="1"/>
  <c r="AM97" i="2"/>
  <c r="AO97" i="2" s="1"/>
  <c r="AP97" i="2" s="1"/>
  <c r="AN97" i="2"/>
  <c r="AN73" i="2"/>
  <c r="AM73" i="2"/>
  <c r="AO73" i="2" s="1"/>
  <c r="AP73" i="2" s="1"/>
  <c r="AN88" i="2"/>
  <c r="AM88" i="2"/>
  <c r="AO88" i="2" s="1"/>
  <c r="AP88" i="2" s="1"/>
  <c r="AM111" i="2"/>
  <c r="AO111" i="2" s="1"/>
  <c r="AP111" i="2" s="1"/>
  <c r="AN111" i="2"/>
  <c r="AN103" i="2"/>
  <c r="AM103" i="2"/>
  <c r="AO103" i="2" s="1"/>
  <c r="AP103" i="2" s="1"/>
  <c r="AM95" i="2"/>
  <c r="AO95" i="2" s="1"/>
  <c r="AP95" i="2" s="1"/>
  <c r="AN95" i="2"/>
  <c r="AN87" i="2"/>
  <c r="AM87" i="2"/>
  <c r="AO87" i="2" s="1"/>
  <c r="AP87" i="2" s="1"/>
  <c r="AM79" i="2"/>
  <c r="AO79" i="2" s="1"/>
  <c r="AP79" i="2" s="1"/>
  <c r="AN79" i="2"/>
  <c r="AM71" i="2"/>
  <c r="AO71" i="2" s="1"/>
  <c r="AP71" i="2" s="1"/>
  <c r="AN71" i="2"/>
  <c r="AN63" i="2"/>
  <c r="AM63" i="2"/>
  <c r="AO63" i="2" s="1"/>
  <c r="AP63" i="2" s="1"/>
  <c r="AN109" i="2"/>
  <c r="AM109" i="2"/>
  <c r="AO109" i="2" s="1"/>
  <c r="AP109" i="2" s="1"/>
  <c r="AM85" i="2"/>
  <c r="AO85" i="2" s="1"/>
  <c r="AP85" i="2" s="1"/>
  <c r="AN85" i="2"/>
  <c r="AM100" i="2"/>
  <c r="AO100" i="2" s="1"/>
  <c r="AP100" i="2" s="1"/>
  <c r="AN100" i="2"/>
  <c r="AM68" i="2"/>
  <c r="AO68" i="2" s="1"/>
  <c r="AP68" i="2" s="1"/>
  <c r="AN68" i="2"/>
  <c r="AN98" i="2"/>
  <c r="AM98" i="2"/>
  <c r="AO98" i="2" s="1"/>
  <c r="AP98" i="2" s="1"/>
  <c r="AN105" i="2"/>
  <c r="AM105" i="2"/>
  <c r="AO105" i="2" s="1"/>
  <c r="AP105" i="2" s="1"/>
  <c r="AM81" i="2"/>
  <c r="AO81" i="2" s="1"/>
  <c r="AP81" i="2" s="1"/>
  <c r="AN81" i="2"/>
  <c r="AN62" i="2"/>
  <c r="AM62" i="2"/>
  <c r="AO62" i="2" s="1"/>
  <c r="AP62" i="2" s="1"/>
  <c r="AM104" i="2"/>
  <c r="AO104" i="2" s="1"/>
  <c r="AP104" i="2" s="1"/>
  <c r="AN104" i="2"/>
  <c r="AN80" i="2"/>
  <c r="AM80" i="2"/>
  <c r="AO80" i="2" s="1"/>
  <c r="AP80" i="2" s="1"/>
  <c r="AN72" i="2"/>
  <c r="AM72" i="2"/>
  <c r="AO72" i="2" s="1"/>
  <c r="AP72" i="2" s="1"/>
  <c r="AM64" i="2"/>
  <c r="AO64" i="2" s="1"/>
  <c r="AP64" i="2" s="1"/>
  <c r="AN64" i="2"/>
  <c r="AN110" i="2"/>
  <c r="AM110" i="2"/>
  <c r="AO110" i="2" s="1"/>
  <c r="AP110" i="2" s="1"/>
  <c r="AN102" i="2"/>
  <c r="AM102" i="2"/>
  <c r="AO102" i="2" s="1"/>
  <c r="AP102" i="2" s="1"/>
  <c r="AN94" i="2"/>
  <c r="AM94" i="2"/>
  <c r="AO94" i="2" s="1"/>
  <c r="AP94" i="2" s="1"/>
  <c r="AN86" i="2"/>
  <c r="AM86" i="2"/>
  <c r="AO86" i="2" s="1"/>
  <c r="AP86" i="2" s="1"/>
  <c r="AN78" i="2"/>
  <c r="AM78" i="2"/>
  <c r="AO78" i="2" s="1"/>
  <c r="AP78" i="2" s="1"/>
  <c r="AN70" i="2"/>
  <c r="AM70" i="2"/>
  <c r="AO70" i="2" s="1"/>
  <c r="AP70" i="2" s="1"/>
  <c r="D80" i="2"/>
  <c r="B67" i="1"/>
  <c r="D78" i="2"/>
  <c r="B65" i="1"/>
  <c r="D79" i="2"/>
  <c r="B66" i="1"/>
  <c r="C9" i="4" l="1"/>
  <c r="C23" i="4"/>
  <c r="C26" i="4"/>
  <c r="C15" i="4"/>
  <c r="C25" i="4"/>
  <c r="C24" i="4"/>
  <c r="C21" i="4"/>
  <c r="B116" i="2" l="1"/>
  <c r="B111" i="1" s="1"/>
  <c r="B118" i="2"/>
  <c r="B119" i="2"/>
  <c r="B114" i="1" s="1"/>
  <c r="B132" i="2"/>
  <c r="B128" i="1" s="1"/>
  <c r="B131" i="2"/>
  <c r="B127" i="1" s="1"/>
  <c r="B129" i="2"/>
  <c r="B125" i="1" s="1"/>
  <c r="C17" i="4"/>
  <c r="B16" i="2" s="1"/>
  <c r="B22" i="1" s="1"/>
  <c r="B113" i="1" l="1"/>
  <c r="D118" i="2"/>
  <c r="C4" i="4"/>
  <c r="O226" i="6" l="1"/>
  <c r="O219" i="6"/>
  <c r="O210" i="6"/>
  <c r="O201" i="6"/>
  <c r="O190" i="6"/>
  <c r="O204" i="6"/>
  <c r="O173" i="6"/>
  <c r="O89" i="6"/>
  <c r="O97" i="6"/>
  <c r="O124" i="6"/>
  <c r="O115" i="6"/>
  <c r="O104" i="6"/>
  <c r="O95" i="6"/>
  <c r="O94" i="6"/>
  <c r="O85" i="6"/>
  <c r="O128" i="6"/>
  <c r="O205" i="6"/>
  <c r="O110" i="6"/>
  <c r="O209" i="6"/>
  <c r="O113" i="6"/>
  <c r="O102" i="6"/>
  <c r="O224" i="6"/>
  <c r="O211" i="6"/>
  <c r="O202" i="6"/>
  <c r="O193" i="6"/>
  <c r="O174" i="6"/>
  <c r="O196" i="6"/>
  <c r="O122" i="6"/>
  <c r="O213" i="6"/>
  <c r="O81" i="6"/>
  <c r="O116" i="6"/>
  <c r="O107" i="6"/>
  <c r="O96" i="6"/>
  <c r="O87" i="6"/>
  <c r="O86" i="6"/>
  <c r="O109" i="6"/>
  <c r="O217" i="6"/>
  <c r="O131" i="6"/>
  <c r="O212" i="6"/>
  <c r="O112" i="6"/>
  <c r="O184" i="6"/>
  <c r="O203" i="6"/>
  <c r="O194" i="6"/>
  <c r="O185" i="6"/>
  <c r="O214" i="6"/>
  <c r="O188" i="6"/>
  <c r="O114" i="6"/>
  <c r="O197" i="6"/>
  <c r="O223" i="6"/>
  <c r="O108" i="6"/>
  <c r="O99" i="6"/>
  <c r="O88" i="6"/>
  <c r="O79" i="6"/>
  <c r="O133" i="6"/>
  <c r="O200" i="6"/>
  <c r="O175" i="6"/>
  <c r="O221" i="6"/>
  <c r="O199" i="6"/>
  <c r="O119" i="6"/>
  <c r="O136" i="6"/>
  <c r="O171" i="6"/>
  <c r="O220" i="6"/>
  <c r="O129" i="6"/>
  <c r="O111" i="6"/>
  <c r="O123" i="6"/>
  <c r="O134" i="6"/>
  <c r="O216" i="6"/>
  <c r="O195" i="6"/>
  <c r="O186" i="6"/>
  <c r="O177" i="6"/>
  <c r="O198" i="6"/>
  <c r="O180" i="6"/>
  <c r="O98" i="6"/>
  <c r="O181" i="6"/>
  <c r="O215" i="6"/>
  <c r="O100" i="6"/>
  <c r="O91" i="6"/>
  <c r="O80" i="6"/>
  <c r="O125" i="6"/>
  <c r="O179" i="6"/>
  <c r="O183" i="6"/>
  <c r="O82" i="6"/>
  <c r="O84" i="6"/>
  <c r="O118" i="6"/>
  <c r="O192" i="6"/>
  <c r="O222" i="6"/>
  <c r="O121" i="6"/>
  <c r="O120" i="6"/>
  <c r="O101" i="6"/>
  <c r="O105" i="6"/>
  <c r="O93" i="6"/>
  <c r="O208" i="6"/>
  <c r="O187" i="6"/>
  <c r="O178" i="6"/>
  <c r="O169" i="6"/>
  <c r="O182" i="6"/>
  <c r="O172" i="6"/>
  <c r="O90" i="6"/>
  <c r="O130" i="6"/>
  <c r="O207" i="6"/>
  <c r="O92" i="6"/>
  <c r="O83" i="6"/>
  <c r="O127" i="6"/>
  <c r="O126" i="6"/>
  <c r="O117" i="6"/>
  <c r="O170" i="6"/>
  <c r="O106" i="6"/>
  <c r="O191" i="6"/>
  <c r="O135" i="6"/>
  <c r="O176" i="6"/>
  <c r="O218" i="6"/>
  <c r="O206" i="6"/>
  <c r="O189" i="6"/>
  <c r="O132" i="6"/>
  <c r="O103" i="6"/>
  <c r="G15" i="6"/>
  <c r="G41" i="6"/>
  <c r="G24" i="6"/>
  <c r="G50" i="6"/>
  <c r="G47" i="6"/>
  <c r="G48" i="6"/>
  <c r="G58" i="6"/>
  <c r="G36" i="6"/>
  <c r="G25" i="6"/>
  <c r="G9" i="6"/>
  <c r="G14" i="6"/>
  <c r="G44" i="6"/>
  <c r="G52" i="6"/>
  <c r="G62" i="6"/>
  <c r="G61" i="6"/>
  <c r="G43" i="6"/>
  <c r="G56" i="6"/>
  <c r="G21" i="6"/>
  <c r="G17" i="6"/>
  <c r="G12" i="6"/>
  <c r="G29" i="6"/>
  <c r="G46" i="6"/>
  <c r="G19" i="6"/>
  <c r="G51" i="6"/>
  <c r="G38" i="6"/>
  <c r="G23" i="6"/>
  <c r="G42" i="6"/>
  <c r="G26" i="6"/>
  <c r="G16" i="6"/>
  <c r="G57" i="6"/>
  <c r="G34" i="6"/>
  <c r="G11" i="6"/>
  <c r="G27" i="6"/>
  <c r="G35" i="6"/>
  <c r="G40" i="6"/>
  <c r="G20" i="6"/>
  <c r="G10" i="6"/>
  <c r="G53" i="6"/>
  <c r="G18" i="6"/>
  <c r="G13" i="6"/>
  <c r="G31" i="6"/>
  <c r="G22" i="6"/>
  <c r="G32" i="6"/>
  <c r="G45" i="6"/>
  <c r="G55" i="6"/>
  <c r="G28" i="6"/>
  <c r="G59" i="6"/>
  <c r="G8" i="6"/>
  <c r="G33" i="6"/>
  <c r="G49" i="6"/>
  <c r="G30" i="6"/>
  <c r="G37" i="6"/>
  <c r="G39" i="6"/>
  <c r="G54" i="6"/>
  <c r="G60" i="6"/>
  <c r="AC10" i="6"/>
  <c r="AD10" i="6" s="1"/>
  <c r="AC11" i="6"/>
  <c r="AD11" i="6" s="1"/>
  <c r="AC9" i="6"/>
  <c r="AD9" i="6" s="1"/>
  <c r="B143" i="2"/>
  <c r="O61" i="2"/>
  <c r="I16" i="6" l="1"/>
  <c r="H16" i="6"/>
  <c r="J16" i="6"/>
  <c r="Q120" i="6"/>
  <c r="P120" i="6"/>
  <c r="P128" i="6"/>
  <c r="Q128" i="6"/>
  <c r="I20" i="6"/>
  <c r="H20" i="6"/>
  <c r="J20" i="6"/>
  <c r="H12" i="6"/>
  <c r="I12" i="6"/>
  <c r="J12" i="6"/>
  <c r="H44" i="6"/>
  <c r="I44" i="6"/>
  <c r="J44" i="6"/>
  <c r="H50" i="6"/>
  <c r="I50" i="6"/>
  <c r="J50" i="6"/>
  <c r="Q218" i="6"/>
  <c r="P218" i="6"/>
  <c r="P127" i="6"/>
  <c r="Q127" i="6"/>
  <c r="P169" i="6"/>
  <c r="Q169" i="6"/>
  <c r="P121" i="6"/>
  <c r="Q121" i="6"/>
  <c r="Q125" i="6"/>
  <c r="P125" i="6"/>
  <c r="Q198" i="6"/>
  <c r="P198" i="6"/>
  <c r="Q129" i="6"/>
  <c r="P129" i="6"/>
  <c r="P200" i="6"/>
  <c r="Q200" i="6"/>
  <c r="P114" i="6"/>
  <c r="Q114" i="6"/>
  <c r="P212" i="6"/>
  <c r="Q212" i="6"/>
  <c r="Q116" i="6"/>
  <c r="P116" i="6"/>
  <c r="P211" i="6"/>
  <c r="Q211" i="6"/>
  <c r="P85" i="6"/>
  <c r="Q85" i="6"/>
  <c r="P173" i="6"/>
  <c r="Q173" i="6"/>
  <c r="H55" i="6"/>
  <c r="I55" i="6"/>
  <c r="J55" i="6"/>
  <c r="P126" i="6"/>
  <c r="Q126" i="6"/>
  <c r="P175" i="6"/>
  <c r="Q175" i="6"/>
  <c r="P202" i="6"/>
  <c r="Q202" i="6"/>
  <c r="H45" i="6"/>
  <c r="I45" i="6"/>
  <c r="J45" i="6"/>
  <c r="I26" i="6"/>
  <c r="H26" i="6"/>
  <c r="J26" i="6"/>
  <c r="B138" i="1"/>
  <c r="B145" i="2"/>
  <c r="I30" i="6"/>
  <c r="H30" i="6"/>
  <c r="J30" i="6"/>
  <c r="H32" i="6"/>
  <c r="I32" i="6"/>
  <c r="J32" i="6"/>
  <c r="I40" i="6"/>
  <c r="H40" i="6"/>
  <c r="J40" i="6"/>
  <c r="H42" i="6"/>
  <c r="I42" i="6"/>
  <c r="J42" i="6"/>
  <c r="I17" i="6"/>
  <c r="H17" i="6"/>
  <c r="J17" i="6"/>
  <c r="H14" i="6"/>
  <c r="I14" i="6"/>
  <c r="J14" i="6"/>
  <c r="H24" i="6"/>
  <c r="I24" i="6"/>
  <c r="J24" i="6"/>
  <c r="P176" i="6"/>
  <c r="Q176" i="6"/>
  <c r="Q83" i="6"/>
  <c r="P83" i="6"/>
  <c r="P178" i="6"/>
  <c r="Q178" i="6"/>
  <c r="Q222" i="6"/>
  <c r="P222" i="6"/>
  <c r="P80" i="6"/>
  <c r="Q80" i="6"/>
  <c r="P177" i="6"/>
  <c r="Q177" i="6"/>
  <c r="P220" i="6"/>
  <c r="Q220" i="6"/>
  <c r="P133" i="6"/>
  <c r="Q133" i="6"/>
  <c r="P188" i="6"/>
  <c r="Q188" i="6"/>
  <c r="Q131" i="6"/>
  <c r="P131" i="6"/>
  <c r="P81" i="6"/>
  <c r="Q81" i="6"/>
  <c r="Q224" i="6"/>
  <c r="P224" i="6"/>
  <c r="P94" i="6"/>
  <c r="Q94" i="6"/>
  <c r="Q204" i="6"/>
  <c r="P204" i="6"/>
  <c r="H39" i="6"/>
  <c r="I39" i="6"/>
  <c r="J39" i="6"/>
  <c r="P206" i="6"/>
  <c r="Q206" i="6"/>
  <c r="Q111" i="6"/>
  <c r="P111" i="6"/>
  <c r="Q89" i="6"/>
  <c r="P89" i="6"/>
  <c r="I49" i="6"/>
  <c r="H49" i="6"/>
  <c r="J49" i="6"/>
  <c r="H23" i="6"/>
  <c r="I23" i="6"/>
  <c r="J23" i="6"/>
  <c r="I21" i="6"/>
  <c r="H21" i="6"/>
  <c r="J21" i="6"/>
  <c r="H9" i="6"/>
  <c r="I9" i="6"/>
  <c r="J9" i="6"/>
  <c r="I41" i="6"/>
  <c r="H41" i="6"/>
  <c r="J41" i="6"/>
  <c r="Q135" i="6"/>
  <c r="P135" i="6"/>
  <c r="Q92" i="6"/>
  <c r="P92" i="6"/>
  <c r="P187" i="6"/>
  <c r="Q187" i="6"/>
  <c r="Q192" i="6"/>
  <c r="P192" i="6"/>
  <c r="P91" i="6"/>
  <c r="Q91" i="6"/>
  <c r="Q186" i="6"/>
  <c r="P186" i="6"/>
  <c r="Q171" i="6"/>
  <c r="P171" i="6"/>
  <c r="P79" i="6"/>
  <c r="Q79" i="6"/>
  <c r="Q214" i="6"/>
  <c r="P214" i="6"/>
  <c r="Q217" i="6"/>
  <c r="P217" i="6"/>
  <c r="P213" i="6"/>
  <c r="Q213" i="6"/>
  <c r="Q102" i="6"/>
  <c r="P102" i="6"/>
  <c r="Q95" i="6"/>
  <c r="P95" i="6"/>
  <c r="P190" i="6"/>
  <c r="Q190" i="6"/>
  <c r="H29" i="6"/>
  <c r="I29" i="6"/>
  <c r="J29" i="6"/>
  <c r="P180" i="6"/>
  <c r="Q180" i="6"/>
  <c r="Q107" i="6"/>
  <c r="P107" i="6"/>
  <c r="H33" i="6"/>
  <c r="I33" i="6"/>
  <c r="J33" i="6"/>
  <c r="I31" i="6"/>
  <c r="H31" i="6"/>
  <c r="J31" i="6"/>
  <c r="I27" i="6"/>
  <c r="H27" i="6"/>
  <c r="J27" i="6"/>
  <c r="J38" i="6"/>
  <c r="H38" i="6"/>
  <c r="I38" i="6"/>
  <c r="H56" i="6"/>
  <c r="I56" i="6"/>
  <c r="J56" i="6"/>
  <c r="I25" i="6"/>
  <c r="H25" i="6"/>
  <c r="J25" i="6"/>
  <c r="I15" i="6"/>
  <c r="H15" i="6"/>
  <c r="J15" i="6"/>
  <c r="P191" i="6"/>
  <c r="Q191" i="6"/>
  <c r="P207" i="6"/>
  <c r="Q207" i="6"/>
  <c r="P208" i="6"/>
  <c r="Q208" i="6"/>
  <c r="P118" i="6"/>
  <c r="Q118" i="6"/>
  <c r="P100" i="6"/>
  <c r="Q100" i="6"/>
  <c r="Q195" i="6"/>
  <c r="P195" i="6"/>
  <c r="P136" i="6"/>
  <c r="Q136" i="6"/>
  <c r="P88" i="6"/>
  <c r="Q88" i="6"/>
  <c r="P185" i="6"/>
  <c r="Q185" i="6"/>
  <c r="P109" i="6"/>
  <c r="Q109" i="6"/>
  <c r="Q122" i="6"/>
  <c r="P122" i="6"/>
  <c r="P113" i="6"/>
  <c r="Q113" i="6"/>
  <c r="P104" i="6"/>
  <c r="Q104" i="6"/>
  <c r="P201" i="6"/>
  <c r="Q201" i="6"/>
  <c r="I47" i="6"/>
  <c r="H47" i="6"/>
  <c r="J47" i="6"/>
  <c r="Q179" i="6"/>
  <c r="P179" i="6"/>
  <c r="P112" i="6"/>
  <c r="Q112" i="6"/>
  <c r="I8" i="6"/>
  <c r="H8" i="6"/>
  <c r="J8" i="6"/>
  <c r="H13" i="6"/>
  <c r="I13" i="6"/>
  <c r="J13" i="6"/>
  <c r="I11" i="6"/>
  <c r="H11" i="6"/>
  <c r="J11" i="6"/>
  <c r="H51" i="6"/>
  <c r="I51" i="6"/>
  <c r="J51" i="6"/>
  <c r="H43" i="6"/>
  <c r="I43" i="6"/>
  <c r="J43" i="6"/>
  <c r="H36" i="6"/>
  <c r="I36" i="6"/>
  <c r="J36" i="6"/>
  <c r="P103" i="6"/>
  <c r="Q103" i="6"/>
  <c r="P106" i="6"/>
  <c r="Q106" i="6"/>
  <c r="Q130" i="6"/>
  <c r="P130" i="6"/>
  <c r="P93" i="6"/>
  <c r="Q93" i="6"/>
  <c r="P84" i="6"/>
  <c r="Q84" i="6"/>
  <c r="P215" i="6"/>
  <c r="Q215" i="6"/>
  <c r="P216" i="6"/>
  <c r="Q216" i="6"/>
  <c r="P119" i="6"/>
  <c r="Q119" i="6"/>
  <c r="Q99" i="6"/>
  <c r="P99" i="6"/>
  <c r="Q194" i="6"/>
  <c r="P194" i="6"/>
  <c r="P86" i="6"/>
  <c r="Q86" i="6"/>
  <c r="P196" i="6"/>
  <c r="Q196" i="6"/>
  <c r="P209" i="6"/>
  <c r="Q209" i="6"/>
  <c r="P115" i="6"/>
  <c r="Q115" i="6"/>
  <c r="P210" i="6"/>
  <c r="Q210" i="6"/>
  <c r="I52" i="6"/>
  <c r="H52" i="6"/>
  <c r="J52" i="6"/>
  <c r="H35" i="6"/>
  <c r="I35" i="6"/>
  <c r="J35" i="6"/>
  <c r="I60" i="6"/>
  <c r="H60" i="6"/>
  <c r="J60" i="6"/>
  <c r="I59" i="6"/>
  <c r="H59" i="6"/>
  <c r="J59" i="6"/>
  <c r="H18" i="6"/>
  <c r="I18" i="6"/>
  <c r="J18" i="6"/>
  <c r="I34" i="6"/>
  <c r="H34" i="6"/>
  <c r="J34" i="6"/>
  <c r="H19" i="6"/>
  <c r="I19" i="6"/>
  <c r="J19" i="6"/>
  <c r="I61" i="6"/>
  <c r="H61" i="6"/>
  <c r="J61" i="6"/>
  <c r="I58" i="6"/>
  <c r="H58" i="6"/>
  <c r="J58" i="6"/>
  <c r="Q132" i="6"/>
  <c r="P132" i="6"/>
  <c r="Q170" i="6"/>
  <c r="P170" i="6"/>
  <c r="Q90" i="6"/>
  <c r="P90" i="6"/>
  <c r="P105" i="6"/>
  <c r="Q105" i="6"/>
  <c r="Q82" i="6"/>
  <c r="P82" i="6"/>
  <c r="P181" i="6"/>
  <c r="Q181" i="6"/>
  <c r="Q134" i="6"/>
  <c r="P134" i="6"/>
  <c r="Q199" i="6"/>
  <c r="P199" i="6"/>
  <c r="P108" i="6"/>
  <c r="Q108" i="6"/>
  <c r="Q203" i="6"/>
  <c r="P203" i="6"/>
  <c r="P87" i="6"/>
  <c r="Q87" i="6"/>
  <c r="P174" i="6"/>
  <c r="Q174" i="6"/>
  <c r="P110" i="6"/>
  <c r="Q110" i="6"/>
  <c r="P124" i="6"/>
  <c r="Q124" i="6"/>
  <c r="P219" i="6"/>
  <c r="Q219" i="6"/>
  <c r="H10" i="6"/>
  <c r="I10" i="6"/>
  <c r="J10" i="6"/>
  <c r="P182" i="6"/>
  <c r="Q182" i="6"/>
  <c r="P197" i="6"/>
  <c r="Q197" i="6"/>
  <c r="I37" i="6"/>
  <c r="H37" i="6"/>
  <c r="J37" i="6"/>
  <c r="I22" i="6"/>
  <c r="H22" i="6"/>
  <c r="J22" i="6"/>
  <c r="H54" i="6"/>
  <c r="I54" i="6"/>
  <c r="J54" i="6"/>
  <c r="H28" i="6"/>
  <c r="I28" i="6"/>
  <c r="J28" i="6"/>
  <c r="H53" i="6"/>
  <c r="I53" i="6"/>
  <c r="J53" i="6"/>
  <c r="H57" i="6"/>
  <c r="I57" i="6"/>
  <c r="J57" i="6"/>
  <c r="H46" i="6"/>
  <c r="I46" i="6"/>
  <c r="J46" i="6"/>
  <c r="H62" i="6"/>
  <c r="I62" i="6"/>
  <c r="J62" i="6"/>
  <c r="I48" i="6"/>
  <c r="H48" i="6"/>
  <c r="J48" i="6"/>
  <c r="P189" i="6"/>
  <c r="Q189" i="6"/>
  <c r="Q117" i="6"/>
  <c r="P117" i="6"/>
  <c r="Q172" i="6"/>
  <c r="P172" i="6"/>
  <c r="Q101" i="6"/>
  <c r="P101" i="6"/>
  <c r="Q183" i="6"/>
  <c r="P183" i="6"/>
  <c r="P98" i="6"/>
  <c r="Q98" i="6"/>
  <c r="P123" i="6"/>
  <c r="Q123" i="6"/>
  <c r="P221" i="6"/>
  <c r="Q221" i="6"/>
  <c r="P223" i="6"/>
  <c r="Q223" i="6"/>
  <c r="P184" i="6"/>
  <c r="Q184" i="6"/>
  <c r="Q96" i="6"/>
  <c r="P96" i="6"/>
  <c r="Q193" i="6"/>
  <c r="P193" i="6"/>
  <c r="Q205" i="6"/>
  <c r="P205" i="6"/>
  <c r="P97" i="6"/>
  <c r="Q97" i="6"/>
  <c r="Q226" i="6"/>
  <c r="P226" i="6"/>
  <c r="C3" i="4"/>
  <c r="L28" i="6" l="1"/>
  <c r="K28" i="6"/>
  <c r="K51" i="6"/>
  <c r="L51" i="6"/>
  <c r="K57" i="6"/>
  <c r="L57" i="6"/>
  <c r="L34" i="6"/>
  <c r="K34" i="6"/>
  <c r="K36" i="6"/>
  <c r="L36" i="6"/>
  <c r="K25" i="6"/>
  <c r="L25" i="6"/>
  <c r="K38" i="6"/>
  <c r="L38" i="6"/>
  <c r="K9" i="6"/>
  <c r="L9" i="6"/>
  <c r="K32" i="6"/>
  <c r="L32" i="6"/>
  <c r="K26" i="6"/>
  <c r="L26" i="6"/>
  <c r="K47" i="6"/>
  <c r="L47" i="6"/>
  <c r="L54" i="6"/>
  <c r="K54" i="6"/>
  <c r="K60" i="6"/>
  <c r="L60" i="6"/>
  <c r="L11" i="6"/>
  <c r="K11" i="6"/>
  <c r="L27" i="6"/>
  <c r="K27" i="6"/>
  <c r="L49" i="6"/>
  <c r="K49" i="6"/>
  <c r="L24" i="6"/>
  <c r="K24" i="6"/>
  <c r="L12" i="6"/>
  <c r="K12" i="6"/>
  <c r="K59" i="6"/>
  <c r="L59" i="6"/>
  <c r="L29" i="6"/>
  <c r="K29" i="6"/>
  <c r="K44" i="6"/>
  <c r="L44" i="6"/>
  <c r="K58" i="6"/>
  <c r="L58" i="6"/>
  <c r="L62" i="6"/>
  <c r="K62" i="6"/>
  <c r="K61" i="6"/>
  <c r="L61" i="6"/>
  <c r="K39" i="6"/>
  <c r="L39" i="6"/>
  <c r="L42" i="6"/>
  <c r="K42" i="6"/>
  <c r="L10" i="6"/>
  <c r="K10" i="6"/>
  <c r="B147" i="2"/>
  <c r="B142" i="1" s="1"/>
  <c r="B140" i="1"/>
  <c r="K48" i="6"/>
  <c r="L48" i="6"/>
  <c r="K8" i="6"/>
  <c r="L8" i="6"/>
  <c r="K53" i="6"/>
  <c r="L53" i="6"/>
  <c r="L18" i="6"/>
  <c r="K18" i="6"/>
  <c r="K43" i="6"/>
  <c r="L43" i="6"/>
  <c r="L56" i="6"/>
  <c r="K56" i="6"/>
  <c r="K21" i="6"/>
  <c r="L21" i="6"/>
  <c r="K30" i="6"/>
  <c r="L30" i="6"/>
  <c r="K45" i="6"/>
  <c r="L45" i="6"/>
  <c r="K50" i="6"/>
  <c r="L50" i="6"/>
  <c r="K16" i="6"/>
  <c r="L16" i="6"/>
  <c r="K23" i="6"/>
  <c r="L23" i="6"/>
  <c r="K37" i="6"/>
  <c r="L37" i="6"/>
  <c r="K33" i="6"/>
  <c r="L33" i="6"/>
  <c r="K17" i="6"/>
  <c r="L17" i="6"/>
  <c r="L22" i="6"/>
  <c r="K22" i="6"/>
  <c r="L35" i="6"/>
  <c r="K35" i="6"/>
  <c r="L13" i="6"/>
  <c r="K13" i="6"/>
  <c r="K31" i="6"/>
  <c r="L31" i="6"/>
  <c r="K14" i="6"/>
  <c r="L14" i="6"/>
  <c r="L55" i="6"/>
  <c r="K55" i="6"/>
  <c r="L20" i="6"/>
  <c r="K20" i="6"/>
  <c r="L52" i="6"/>
  <c r="K52" i="6"/>
  <c r="K46" i="6"/>
  <c r="L46" i="6"/>
  <c r="K19" i="6"/>
  <c r="L19" i="6"/>
  <c r="L15" i="6"/>
  <c r="K15" i="6"/>
  <c r="L41" i="6"/>
  <c r="K41" i="6"/>
  <c r="K40" i="6"/>
  <c r="L40" i="6"/>
  <c r="D18" i="2"/>
  <c r="D17"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AJ52" i="2" l="1"/>
  <c r="AL52" i="2" s="1"/>
  <c r="AM52" i="2" s="1"/>
  <c r="AK52" i="2"/>
  <c r="Y52" i="2"/>
  <c r="X52" i="2"/>
  <c r="Z52" i="2" s="1"/>
  <c r="AA52" i="2" s="1"/>
  <c r="AJ44" i="2"/>
  <c r="AL44" i="2" s="1"/>
  <c r="AM44" i="2" s="1"/>
  <c r="AK44" i="2"/>
  <c r="X44" i="2"/>
  <c r="Z44" i="2" s="1"/>
  <c r="AA44" i="2" s="1"/>
  <c r="Y44" i="2"/>
  <c r="AJ36" i="2"/>
  <c r="AL36" i="2" s="1"/>
  <c r="AM36" i="2" s="1"/>
  <c r="AK36" i="2"/>
  <c r="Y36" i="2"/>
  <c r="X36" i="2"/>
  <c r="Z36" i="2" s="1"/>
  <c r="AA36" i="2" s="1"/>
  <c r="AJ28" i="2"/>
  <c r="AL28" i="2" s="1"/>
  <c r="AM28" i="2" s="1"/>
  <c r="AK28" i="2"/>
  <c r="Y28" i="2"/>
  <c r="X28" i="2"/>
  <c r="Z28" i="2" s="1"/>
  <c r="AA28" i="2" s="1"/>
  <c r="AJ20" i="2"/>
  <c r="AL20" i="2" s="1"/>
  <c r="AM20" i="2" s="1"/>
  <c r="AK20" i="2"/>
  <c r="Y20" i="2"/>
  <c r="X20" i="2"/>
  <c r="Z20" i="2" s="1"/>
  <c r="AA20" i="2" s="1"/>
  <c r="AK12" i="2"/>
  <c r="X12" i="2"/>
  <c r="Y12" i="2"/>
  <c r="AJ12" i="2"/>
  <c r="AL12" i="2" s="1"/>
  <c r="AK51" i="2"/>
  <c r="AJ51" i="2"/>
  <c r="AL51" i="2" s="1"/>
  <c r="AM51" i="2" s="1"/>
  <c r="X51" i="2"/>
  <c r="Z51" i="2" s="1"/>
  <c r="AA51" i="2" s="1"/>
  <c r="Y51" i="2"/>
  <c r="AJ43" i="2"/>
  <c r="AL43" i="2" s="1"/>
  <c r="AM43" i="2" s="1"/>
  <c r="Y43" i="2"/>
  <c r="AK43" i="2"/>
  <c r="X43" i="2"/>
  <c r="Z43" i="2" s="1"/>
  <c r="AA43" i="2" s="1"/>
  <c r="Y35" i="2"/>
  <c r="AK35" i="2"/>
  <c r="AJ35" i="2"/>
  <c r="AL35" i="2" s="1"/>
  <c r="AM35" i="2" s="1"/>
  <c r="X35" i="2"/>
  <c r="Z35" i="2" s="1"/>
  <c r="AA35" i="2" s="1"/>
  <c r="AK27" i="2"/>
  <c r="Y27" i="2"/>
  <c r="X27" i="2"/>
  <c r="Z27" i="2" s="1"/>
  <c r="AA27" i="2" s="1"/>
  <c r="AJ27" i="2"/>
  <c r="AL27" i="2" s="1"/>
  <c r="AM27" i="2" s="1"/>
  <c r="Y19" i="2"/>
  <c r="X19" i="2"/>
  <c r="Z19" i="2" s="1"/>
  <c r="AA19" i="2" s="1"/>
  <c r="AJ19" i="2"/>
  <c r="AL19" i="2" s="1"/>
  <c r="AM19" i="2" s="1"/>
  <c r="AK19" i="2"/>
  <c r="Y11" i="2"/>
  <c r="AJ11" i="2"/>
  <c r="AL11" i="2" s="1"/>
  <c r="AK11" i="2"/>
  <c r="X11" i="2"/>
  <c r="Y50" i="2"/>
  <c r="X50" i="2"/>
  <c r="Z50" i="2" s="1"/>
  <c r="AA50" i="2" s="1"/>
  <c r="AJ50" i="2"/>
  <c r="AL50" i="2" s="1"/>
  <c r="AM50" i="2" s="1"/>
  <c r="AK50" i="2"/>
  <c r="AK42" i="2"/>
  <c r="Y42" i="2"/>
  <c r="X42" i="2"/>
  <c r="Z42" i="2" s="1"/>
  <c r="AA42" i="2" s="1"/>
  <c r="AJ42" i="2"/>
  <c r="AL42" i="2" s="1"/>
  <c r="AM42" i="2" s="1"/>
  <c r="X34" i="2"/>
  <c r="Z34" i="2" s="1"/>
  <c r="AA34" i="2" s="1"/>
  <c r="AK34" i="2"/>
  <c r="AJ34" i="2"/>
  <c r="AL34" i="2" s="1"/>
  <c r="AM34" i="2" s="1"/>
  <c r="Y34" i="2"/>
  <c r="X26" i="2"/>
  <c r="Z26" i="2" s="1"/>
  <c r="AA26" i="2" s="1"/>
  <c r="AK26" i="2"/>
  <c r="AJ26" i="2"/>
  <c r="AL26" i="2" s="1"/>
  <c r="AM26" i="2" s="1"/>
  <c r="Y26" i="2"/>
  <c r="X18" i="2"/>
  <c r="Z18" i="2" s="1"/>
  <c r="AA18" i="2" s="1"/>
  <c r="AJ18" i="2"/>
  <c r="AL18" i="2" s="1"/>
  <c r="AK18" i="2"/>
  <c r="Y18" i="2"/>
  <c r="AJ10" i="2"/>
  <c r="AL10" i="2" s="1"/>
  <c r="Y10" i="2"/>
  <c r="AK10" i="2"/>
  <c r="X10" i="2"/>
  <c r="X49" i="2"/>
  <c r="Z49" i="2" s="1"/>
  <c r="AA49" i="2" s="1"/>
  <c r="AJ49" i="2"/>
  <c r="AL49" i="2" s="1"/>
  <c r="AM49" i="2" s="1"/>
  <c r="AK49" i="2"/>
  <c r="Y49" i="2"/>
  <c r="AJ41" i="2"/>
  <c r="AL41" i="2" s="1"/>
  <c r="AM41" i="2" s="1"/>
  <c r="AK41" i="2"/>
  <c r="Y41" i="2"/>
  <c r="X41" i="2"/>
  <c r="Z41" i="2" s="1"/>
  <c r="AA41" i="2" s="1"/>
  <c r="Y33" i="2"/>
  <c r="AJ33" i="2"/>
  <c r="AL33" i="2" s="1"/>
  <c r="AM33" i="2" s="1"/>
  <c r="X33" i="2"/>
  <c r="Z33" i="2" s="1"/>
  <c r="AA33" i="2" s="1"/>
  <c r="AK33" i="2"/>
  <c r="Y25" i="2"/>
  <c r="AJ25" i="2"/>
  <c r="AL25" i="2" s="1"/>
  <c r="AM25" i="2" s="1"/>
  <c r="X25" i="2"/>
  <c r="Z25" i="2" s="1"/>
  <c r="AA25" i="2" s="1"/>
  <c r="AK25" i="2"/>
  <c r="AJ17" i="2"/>
  <c r="AL17" i="2" s="1"/>
  <c r="AK17" i="2"/>
  <c r="Y17" i="2"/>
  <c r="X17" i="2"/>
  <c r="AJ9" i="2"/>
  <c r="AL9" i="2" s="1"/>
  <c r="Y9" i="2"/>
  <c r="AK9" i="2"/>
  <c r="X9" i="2"/>
  <c r="AJ56" i="2"/>
  <c r="AL56" i="2" s="1"/>
  <c r="AM56" i="2" s="1"/>
  <c r="AK56" i="2"/>
  <c r="Y56" i="2"/>
  <c r="X56" i="2"/>
  <c r="Z56" i="2" s="1"/>
  <c r="AA56" i="2" s="1"/>
  <c r="AJ48" i="2"/>
  <c r="AL48" i="2" s="1"/>
  <c r="AM48" i="2" s="1"/>
  <c r="AK48" i="2"/>
  <c r="Y48" i="2"/>
  <c r="X48" i="2"/>
  <c r="Z48" i="2" s="1"/>
  <c r="AA48" i="2" s="1"/>
  <c r="AJ40" i="2"/>
  <c r="AL40" i="2" s="1"/>
  <c r="AM40" i="2" s="1"/>
  <c r="X40" i="2"/>
  <c r="Z40" i="2" s="1"/>
  <c r="AA40" i="2" s="1"/>
  <c r="AK40" i="2"/>
  <c r="Y40" i="2"/>
  <c r="AJ32" i="2"/>
  <c r="AL32" i="2" s="1"/>
  <c r="AM32" i="2" s="1"/>
  <c r="AK32" i="2"/>
  <c r="X32" i="2"/>
  <c r="Z32" i="2" s="1"/>
  <c r="AA32" i="2" s="1"/>
  <c r="Y32" i="2"/>
  <c r="AJ24" i="2"/>
  <c r="AL24" i="2" s="1"/>
  <c r="AM24" i="2" s="1"/>
  <c r="AK24" i="2"/>
  <c r="X24" i="2"/>
  <c r="Z24" i="2" s="1"/>
  <c r="AA24" i="2" s="1"/>
  <c r="Y24" i="2"/>
  <c r="AK16" i="2"/>
  <c r="Y16" i="2"/>
  <c r="X16" i="2"/>
  <c r="AJ16" i="2"/>
  <c r="AL16" i="2" s="1"/>
  <c r="Y8" i="2"/>
  <c r="X8" i="2"/>
  <c r="AJ8" i="2"/>
  <c r="AL8" i="2" s="1"/>
  <c r="AK8" i="2"/>
  <c r="AJ55" i="2"/>
  <c r="AL55" i="2" s="1"/>
  <c r="AM55" i="2" s="1"/>
  <c r="Y55" i="2"/>
  <c r="X55" i="2"/>
  <c r="Z55" i="2" s="1"/>
  <c r="AA55" i="2" s="1"/>
  <c r="AK55" i="2"/>
  <c r="AK47" i="2"/>
  <c r="AJ47" i="2"/>
  <c r="AL47" i="2" s="1"/>
  <c r="AM47" i="2" s="1"/>
  <c r="Y47" i="2"/>
  <c r="X47" i="2"/>
  <c r="Z47" i="2" s="1"/>
  <c r="AA47" i="2" s="1"/>
  <c r="AK39" i="2"/>
  <c r="AJ39" i="2"/>
  <c r="AL39" i="2" s="1"/>
  <c r="AM39" i="2" s="1"/>
  <c r="Y39" i="2"/>
  <c r="X39" i="2"/>
  <c r="Z39" i="2" s="1"/>
  <c r="AA39" i="2" s="1"/>
  <c r="AJ31" i="2"/>
  <c r="AL31" i="2" s="1"/>
  <c r="AM31" i="2" s="1"/>
  <c r="AK31" i="2"/>
  <c r="X31" i="2"/>
  <c r="Z31" i="2" s="1"/>
  <c r="AA31" i="2" s="1"/>
  <c r="Y31" i="2"/>
  <c r="Y23" i="2"/>
  <c r="AJ23" i="2"/>
  <c r="AL23" i="2" s="1"/>
  <c r="AM23" i="2" s="1"/>
  <c r="X23" i="2"/>
  <c r="Z23" i="2" s="1"/>
  <c r="AA23" i="2" s="1"/>
  <c r="AK23" i="2"/>
  <c r="AJ15" i="2"/>
  <c r="AL15" i="2" s="1"/>
  <c r="AK15" i="2"/>
  <c r="Y15" i="2"/>
  <c r="X15" i="2"/>
  <c r="AJ7" i="2"/>
  <c r="AL7" i="2" s="1"/>
  <c r="AK7" i="2"/>
  <c r="Y7" i="2"/>
  <c r="X7" i="2"/>
  <c r="AK54" i="2"/>
  <c r="Y54" i="2"/>
  <c r="AJ54" i="2"/>
  <c r="AL54" i="2" s="1"/>
  <c r="AM54" i="2" s="1"/>
  <c r="X54" i="2"/>
  <c r="Z54" i="2" s="1"/>
  <c r="AA54" i="2" s="1"/>
  <c r="Y46" i="2"/>
  <c r="X46" i="2"/>
  <c r="Z46" i="2" s="1"/>
  <c r="AA46" i="2" s="1"/>
  <c r="AK46" i="2"/>
  <c r="AJ46" i="2"/>
  <c r="AL46" i="2" s="1"/>
  <c r="AM46" i="2" s="1"/>
  <c r="X38" i="2"/>
  <c r="Z38" i="2" s="1"/>
  <c r="AA38" i="2" s="1"/>
  <c r="Y38" i="2"/>
  <c r="AJ38" i="2"/>
  <c r="AL38" i="2" s="1"/>
  <c r="AM38" i="2" s="1"/>
  <c r="AK38" i="2"/>
  <c r="X30" i="2"/>
  <c r="Z30" i="2" s="1"/>
  <c r="AA30" i="2" s="1"/>
  <c r="AK30" i="2"/>
  <c r="AJ30" i="2"/>
  <c r="AL30" i="2" s="1"/>
  <c r="AM30" i="2" s="1"/>
  <c r="Y30" i="2"/>
  <c r="X22" i="2"/>
  <c r="Z22" i="2" s="1"/>
  <c r="AA22" i="2" s="1"/>
  <c r="AK22" i="2"/>
  <c r="AJ22" i="2"/>
  <c r="AL22" i="2" s="1"/>
  <c r="AM22" i="2" s="1"/>
  <c r="Y22" i="2"/>
  <c r="Y14" i="2"/>
  <c r="X14" i="2"/>
  <c r="AJ14" i="2"/>
  <c r="AL14" i="2" s="1"/>
  <c r="AK14" i="2"/>
  <c r="X53" i="2"/>
  <c r="Z53" i="2" s="1"/>
  <c r="AA53" i="2" s="1"/>
  <c r="AJ53" i="2"/>
  <c r="AL53" i="2" s="1"/>
  <c r="AM53" i="2" s="1"/>
  <c r="AK53" i="2"/>
  <c r="Y53" i="2"/>
  <c r="X45" i="2"/>
  <c r="Z45" i="2" s="1"/>
  <c r="AA45" i="2" s="1"/>
  <c r="AJ45" i="2"/>
  <c r="AL45" i="2" s="1"/>
  <c r="AM45" i="2" s="1"/>
  <c r="AK45" i="2"/>
  <c r="Y45" i="2"/>
  <c r="Y37" i="2"/>
  <c r="X37" i="2"/>
  <c r="Z37" i="2" s="1"/>
  <c r="AA37" i="2" s="1"/>
  <c r="AJ37" i="2"/>
  <c r="AL37" i="2" s="1"/>
  <c r="AM37" i="2" s="1"/>
  <c r="AK37" i="2"/>
  <c r="Y29" i="2"/>
  <c r="AJ29" i="2"/>
  <c r="AL29" i="2" s="1"/>
  <c r="AM29" i="2" s="1"/>
  <c r="X29" i="2"/>
  <c r="Z29" i="2" s="1"/>
  <c r="AA29" i="2" s="1"/>
  <c r="AK29" i="2"/>
  <c r="Y21" i="2"/>
  <c r="AJ21" i="2"/>
  <c r="AL21" i="2" s="1"/>
  <c r="AM21" i="2" s="1"/>
  <c r="X21" i="2"/>
  <c r="Z21" i="2" s="1"/>
  <c r="AA21" i="2" s="1"/>
  <c r="AK21" i="2"/>
  <c r="AK13" i="2"/>
  <c r="AJ13" i="2"/>
  <c r="AL13" i="2" s="1"/>
  <c r="Y13" i="2"/>
  <c r="X13" i="2"/>
  <c r="P50" i="2"/>
  <c r="R50" i="2" s="1"/>
  <c r="S50" i="2" s="1"/>
  <c r="Q50" i="2"/>
  <c r="AB50" i="2"/>
  <c r="AD50" i="2" s="1"/>
  <c r="AE50" i="2" s="1"/>
  <c r="AC50" i="2"/>
  <c r="T50" i="2"/>
  <c r="V50" i="2" s="1"/>
  <c r="W50" i="2" s="1"/>
  <c r="U50" i="2"/>
  <c r="AF50" i="2"/>
  <c r="AH50" i="2" s="1"/>
  <c r="AI50" i="2" s="1"/>
  <c r="AG50" i="2"/>
  <c r="U42" i="2"/>
  <c r="AG42" i="2"/>
  <c r="AB42" i="2"/>
  <c r="AD42" i="2" s="1"/>
  <c r="AE42" i="2" s="1"/>
  <c r="T42" i="2"/>
  <c r="V42" i="2" s="1"/>
  <c r="W42" i="2" s="1"/>
  <c r="Q42" i="2"/>
  <c r="AF42" i="2"/>
  <c r="AH42" i="2" s="1"/>
  <c r="AI42" i="2" s="1"/>
  <c r="P42" i="2"/>
  <c r="R42" i="2" s="1"/>
  <c r="S42" i="2" s="1"/>
  <c r="AC42" i="2"/>
  <c r="Q34" i="2"/>
  <c r="AF34" i="2"/>
  <c r="AH34" i="2" s="1"/>
  <c r="AI34" i="2" s="1"/>
  <c r="T34" i="2"/>
  <c r="V34" i="2" s="1"/>
  <c r="W34" i="2" s="1"/>
  <c r="AG34" i="2"/>
  <c r="AB34" i="2"/>
  <c r="AD34" i="2" s="1"/>
  <c r="AE34" i="2" s="1"/>
  <c r="U34" i="2"/>
  <c r="AC34" i="2"/>
  <c r="P34" i="2"/>
  <c r="R34" i="2" s="1"/>
  <c r="S34" i="2" s="1"/>
  <c r="AB26" i="2"/>
  <c r="AD26" i="2" s="1"/>
  <c r="AE26" i="2" s="1"/>
  <c r="P26" i="2"/>
  <c r="R26" i="2" s="1"/>
  <c r="S26" i="2" s="1"/>
  <c r="AC26" i="2"/>
  <c r="Q26" i="2"/>
  <c r="AF26" i="2"/>
  <c r="AH26" i="2" s="1"/>
  <c r="AI26" i="2" s="1"/>
  <c r="AG26" i="2"/>
  <c r="U26" i="2"/>
  <c r="T26" i="2"/>
  <c r="V26" i="2" s="1"/>
  <c r="W26" i="2" s="1"/>
  <c r="AC18" i="2"/>
  <c r="P18" i="2"/>
  <c r="R18" i="2" s="1"/>
  <c r="S18" i="2" s="1"/>
  <c r="Q18" i="2"/>
  <c r="AF18" i="2"/>
  <c r="AH18" i="2" s="1"/>
  <c r="AI18" i="2" s="1"/>
  <c r="AG18" i="2"/>
  <c r="U18" i="2"/>
  <c r="AB18" i="2"/>
  <c r="AD18" i="2" s="1"/>
  <c r="AE18" i="2" s="1"/>
  <c r="T18" i="2"/>
  <c r="V18" i="2" s="1"/>
  <c r="W18" i="2" s="1"/>
  <c r="AB10" i="2"/>
  <c r="AD10" i="2" s="1"/>
  <c r="AE10" i="2" s="1"/>
  <c r="P10" i="2"/>
  <c r="R10" i="2" s="1"/>
  <c r="AC10" i="2"/>
  <c r="U10" i="2"/>
  <c r="Q10" i="2"/>
  <c r="T10" i="2"/>
  <c r="V10" i="2" s="1"/>
  <c r="AG10" i="2"/>
  <c r="AF10" i="2"/>
  <c r="AH10" i="2" s="1"/>
  <c r="AG49" i="2"/>
  <c r="AC49" i="2"/>
  <c r="T49" i="2"/>
  <c r="V49" i="2" s="1"/>
  <c r="W49" i="2" s="1"/>
  <c r="U49" i="2"/>
  <c r="AF49" i="2"/>
  <c r="AH49" i="2" s="1"/>
  <c r="AI49" i="2" s="1"/>
  <c r="Q49" i="2"/>
  <c r="AB49" i="2"/>
  <c r="AD49" i="2" s="1"/>
  <c r="AE49" i="2" s="1"/>
  <c r="P49" i="2"/>
  <c r="R49" i="2" s="1"/>
  <c r="S49" i="2" s="1"/>
  <c r="U41" i="2"/>
  <c r="AF41" i="2"/>
  <c r="AH41" i="2" s="1"/>
  <c r="AI41" i="2" s="1"/>
  <c r="Q41" i="2"/>
  <c r="AG41" i="2"/>
  <c r="T41" i="2"/>
  <c r="V41" i="2" s="1"/>
  <c r="W41" i="2" s="1"/>
  <c r="AB41" i="2"/>
  <c r="AD41" i="2" s="1"/>
  <c r="AE41" i="2" s="1"/>
  <c r="P41" i="2"/>
  <c r="R41" i="2" s="1"/>
  <c r="S41" i="2" s="1"/>
  <c r="AC41" i="2"/>
  <c r="P33" i="2"/>
  <c r="R33" i="2" s="1"/>
  <c r="S33" i="2" s="1"/>
  <c r="Q33" i="2"/>
  <c r="AB33" i="2"/>
  <c r="AD33" i="2" s="1"/>
  <c r="AE33" i="2" s="1"/>
  <c r="AC33" i="2"/>
  <c r="T33" i="2"/>
  <c r="V33" i="2" s="1"/>
  <c r="W33" i="2" s="1"/>
  <c r="U33" i="2"/>
  <c r="AF33" i="2"/>
  <c r="AH33" i="2" s="1"/>
  <c r="AI33" i="2" s="1"/>
  <c r="AG33" i="2"/>
  <c r="P25" i="2"/>
  <c r="R25" i="2" s="1"/>
  <c r="S25" i="2" s="1"/>
  <c r="T25" i="2"/>
  <c r="V25" i="2" s="1"/>
  <c r="W25" i="2" s="1"/>
  <c r="AG25" i="2"/>
  <c r="AB25" i="2"/>
  <c r="AD25" i="2" s="1"/>
  <c r="AE25" i="2" s="1"/>
  <c r="AC25" i="2"/>
  <c r="AF25" i="2"/>
  <c r="AH25" i="2" s="1"/>
  <c r="AI25" i="2" s="1"/>
  <c r="U25" i="2"/>
  <c r="Q25" i="2"/>
  <c r="AB17" i="2"/>
  <c r="AD17" i="2" s="1"/>
  <c r="AE17" i="2" s="1"/>
  <c r="P17" i="2"/>
  <c r="R17" i="2" s="1"/>
  <c r="S17" i="2" s="1"/>
  <c r="AC17" i="2"/>
  <c r="AF17" i="2"/>
  <c r="AH17" i="2" s="1"/>
  <c r="AI17" i="2" s="1"/>
  <c r="AG17" i="2"/>
  <c r="U17" i="2"/>
  <c r="T17" i="2"/>
  <c r="V17" i="2" s="1"/>
  <c r="W17" i="2" s="1"/>
  <c r="Q17" i="2"/>
  <c r="P9" i="2"/>
  <c r="R9" i="2" s="1"/>
  <c r="AB9" i="2"/>
  <c r="AD9" i="2" s="1"/>
  <c r="AE9" i="2" s="1"/>
  <c r="U9" i="2"/>
  <c r="AG9" i="2"/>
  <c r="Q9" i="2"/>
  <c r="T9" i="2"/>
  <c r="V9" i="2" s="1"/>
  <c r="AF9" i="2"/>
  <c r="AH9" i="2" s="1"/>
  <c r="AC9" i="2"/>
  <c r="T56" i="2"/>
  <c r="V56" i="2" s="1"/>
  <c r="W56" i="2" s="1"/>
  <c r="AC56" i="2"/>
  <c r="AB56" i="2"/>
  <c r="AD56" i="2" s="1"/>
  <c r="AE56" i="2" s="1"/>
  <c r="U56" i="2"/>
  <c r="AF56" i="2"/>
  <c r="AH56" i="2" s="1"/>
  <c r="AI56" i="2" s="1"/>
  <c r="P56" i="2"/>
  <c r="R56" i="2" s="1"/>
  <c r="S56" i="2" s="1"/>
  <c r="Q56" i="2"/>
  <c r="AG56" i="2"/>
  <c r="AG48" i="2"/>
  <c r="T48" i="2"/>
  <c r="V48" i="2" s="1"/>
  <c r="W48" i="2" s="1"/>
  <c r="AC48" i="2"/>
  <c r="AF48" i="2"/>
  <c r="AH48" i="2" s="1"/>
  <c r="AI48" i="2" s="1"/>
  <c r="U48" i="2"/>
  <c r="Q48" i="2"/>
  <c r="AB48" i="2"/>
  <c r="AD48" i="2" s="1"/>
  <c r="AE48" i="2" s="1"/>
  <c r="P48" i="2"/>
  <c r="R48" i="2" s="1"/>
  <c r="S48" i="2" s="1"/>
  <c r="AG40" i="2"/>
  <c r="Q40" i="2"/>
  <c r="AB40" i="2"/>
  <c r="AD40" i="2" s="1"/>
  <c r="AE40" i="2" s="1"/>
  <c r="AF40" i="2"/>
  <c r="AH40" i="2" s="1"/>
  <c r="AI40" i="2" s="1"/>
  <c r="AC40" i="2"/>
  <c r="P40" i="2"/>
  <c r="R40" i="2" s="1"/>
  <c r="S40" i="2" s="1"/>
  <c r="U40" i="2"/>
  <c r="T40" i="2"/>
  <c r="V40" i="2" s="1"/>
  <c r="W40" i="2" s="1"/>
  <c r="P32" i="2"/>
  <c r="R32" i="2" s="1"/>
  <c r="S32" i="2" s="1"/>
  <c r="AB32" i="2"/>
  <c r="AD32" i="2" s="1"/>
  <c r="AE32" i="2" s="1"/>
  <c r="AC32" i="2"/>
  <c r="Q32" i="2"/>
  <c r="AF32" i="2"/>
  <c r="AH32" i="2" s="1"/>
  <c r="AI32" i="2" s="1"/>
  <c r="T32" i="2"/>
  <c r="V32" i="2" s="1"/>
  <c r="W32" i="2" s="1"/>
  <c r="U32" i="2"/>
  <c r="AG32" i="2"/>
  <c r="AB24" i="2"/>
  <c r="AD24" i="2" s="1"/>
  <c r="AE24" i="2" s="1"/>
  <c r="U24" i="2"/>
  <c r="AC24" i="2"/>
  <c r="AF24" i="2"/>
  <c r="AH24" i="2" s="1"/>
  <c r="AI24" i="2" s="1"/>
  <c r="AG24" i="2"/>
  <c r="T24" i="2"/>
  <c r="V24" i="2" s="1"/>
  <c r="W24" i="2" s="1"/>
  <c r="P24" i="2"/>
  <c r="R24" i="2" s="1"/>
  <c r="S24" i="2" s="1"/>
  <c r="Q24" i="2"/>
  <c r="T16" i="2"/>
  <c r="V16" i="2" s="1"/>
  <c r="AF16" i="2"/>
  <c r="AH16" i="2" s="1"/>
  <c r="AB16" i="2"/>
  <c r="AD16" i="2" s="1"/>
  <c r="AE16" i="2" s="1"/>
  <c r="AC16" i="2"/>
  <c r="AG16" i="2"/>
  <c r="Q16" i="2"/>
  <c r="U16" i="2"/>
  <c r="P16" i="2"/>
  <c r="R16" i="2" s="1"/>
  <c r="S16" i="2" s="1"/>
  <c r="Q8" i="2"/>
  <c r="U8" i="2"/>
  <c r="AG8" i="2"/>
  <c r="P8" i="2"/>
  <c r="R8" i="2" s="1"/>
  <c r="T8" i="2"/>
  <c r="V8" i="2" s="1"/>
  <c r="AF8" i="2"/>
  <c r="AC8" i="2"/>
  <c r="AB8" i="2"/>
  <c r="AD8" i="2" s="1"/>
  <c r="Q55" i="2"/>
  <c r="U55" i="2"/>
  <c r="AF55" i="2"/>
  <c r="AH55" i="2" s="1"/>
  <c r="AI55" i="2" s="1"/>
  <c r="AG55" i="2"/>
  <c r="AC55" i="2"/>
  <c r="T55" i="2"/>
  <c r="V55" i="2" s="1"/>
  <c r="W55" i="2" s="1"/>
  <c r="P55" i="2"/>
  <c r="R55" i="2" s="1"/>
  <c r="S55" i="2" s="1"/>
  <c r="AB55" i="2"/>
  <c r="AD55" i="2" s="1"/>
  <c r="AE55" i="2" s="1"/>
  <c r="T47" i="2"/>
  <c r="V47" i="2" s="1"/>
  <c r="W47" i="2" s="1"/>
  <c r="AC47" i="2"/>
  <c r="Q47" i="2"/>
  <c r="AF47" i="2"/>
  <c r="AH47" i="2" s="1"/>
  <c r="AI47" i="2" s="1"/>
  <c r="U47" i="2"/>
  <c r="AG47" i="2"/>
  <c r="P47" i="2"/>
  <c r="R47" i="2" s="1"/>
  <c r="S47" i="2" s="1"/>
  <c r="AB47" i="2"/>
  <c r="AD47" i="2" s="1"/>
  <c r="AE47" i="2" s="1"/>
  <c r="T39" i="2"/>
  <c r="V39" i="2" s="1"/>
  <c r="W39" i="2" s="1"/>
  <c r="AC39" i="2"/>
  <c r="U39" i="2"/>
  <c r="AF39" i="2"/>
  <c r="AH39" i="2" s="1"/>
  <c r="AI39" i="2" s="1"/>
  <c r="AG39" i="2"/>
  <c r="Q39" i="2"/>
  <c r="P39" i="2"/>
  <c r="R39" i="2" s="1"/>
  <c r="S39" i="2" s="1"/>
  <c r="AB39" i="2"/>
  <c r="AD39" i="2" s="1"/>
  <c r="AE39" i="2" s="1"/>
  <c r="P31" i="2"/>
  <c r="R31" i="2" s="1"/>
  <c r="S31" i="2" s="1"/>
  <c r="AB31" i="2"/>
  <c r="AD31" i="2" s="1"/>
  <c r="AE31" i="2" s="1"/>
  <c r="U31" i="2"/>
  <c r="AG31" i="2"/>
  <c r="Q31" i="2"/>
  <c r="T31" i="2"/>
  <c r="V31" i="2" s="1"/>
  <c r="W31" i="2" s="1"/>
  <c r="AF31" i="2"/>
  <c r="AH31" i="2" s="1"/>
  <c r="AI31" i="2" s="1"/>
  <c r="AC31" i="2"/>
  <c r="T23" i="2"/>
  <c r="V23" i="2" s="1"/>
  <c r="W23" i="2" s="1"/>
  <c r="AG23" i="2"/>
  <c r="U23" i="2"/>
  <c r="Q23" i="2"/>
  <c r="AC23" i="2"/>
  <c r="AF23" i="2"/>
  <c r="AH23" i="2" s="1"/>
  <c r="AI23" i="2" s="1"/>
  <c r="AB23" i="2"/>
  <c r="AD23" i="2" s="1"/>
  <c r="AE23" i="2" s="1"/>
  <c r="P23" i="2"/>
  <c r="R23" i="2" s="1"/>
  <c r="S23" i="2" s="1"/>
  <c r="T15" i="2"/>
  <c r="V15" i="2" s="1"/>
  <c r="AG15" i="2"/>
  <c r="U15" i="2"/>
  <c r="Q15" i="2"/>
  <c r="AC15" i="2"/>
  <c r="AF15" i="2"/>
  <c r="AH15" i="2" s="1"/>
  <c r="AB15" i="2"/>
  <c r="AD15" i="2" s="1"/>
  <c r="AE15" i="2" s="1"/>
  <c r="P15" i="2"/>
  <c r="R15" i="2" s="1"/>
  <c r="S15" i="2" s="1"/>
  <c r="AF7" i="2"/>
  <c r="P7" i="2"/>
  <c r="R7" i="2" s="1"/>
  <c r="Q7" i="2"/>
  <c r="AB7" i="2"/>
  <c r="AD7" i="2" s="1"/>
  <c r="T7" i="2"/>
  <c r="V7" i="2" s="1"/>
  <c r="U7" i="2"/>
  <c r="AG7" i="2"/>
  <c r="AC7" i="2"/>
  <c r="AF54" i="2"/>
  <c r="AH54" i="2" s="1"/>
  <c r="AI54" i="2" s="1"/>
  <c r="P54" i="2"/>
  <c r="R54" i="2" s="1"/>
  <c r="S54" i="2" s="1"/>
  <c r="Q54" i="2"/>
  <c r="U54" i="2"/>
  <c r="AG54" i="2"/>
  <c r="AC54" i="2"/>
  <c r="T54" i="2"/>
  <c r="V54" i="2" s="1"/>
  <c r="W54" i="2" s="1"/>
  <c r="AB54" i="2"/>
  <c r="AD54" i="2" s="1"/>
  <c r="AE54" i="2" s="1"/>
  <c r="Q46" i="2"/>
  <c r="AF46" i="2"/>
  <c r="AH46" i="2" s="1"/>
  <c r="AI46" i="2" s="1"/>
  <c r="T46" i="2"/>
  <c r="V46" i="2" s="1"/>
  <c r="W46" i="2" s="1"/>
  <c r="AG46" i="2"/>
  <c r="U46" i="2"/>
  <c r="P46" i="2"/>
  <c r="R46" i="2" s="1"/>
  <c r="S46" i="2" s="1"/>
  <c r="AB46" i="2"/>
  <c r="AD46" i="2" s="1"/>
  <c r="AE46" i="2" s="1"/>
  <c r="AC46" i="2"/>
  <c r="Q38" i="2"/>
  <c r="AG38" i="2"/>
  <c r="T38" i="2"/>
  <c r="V38" i="2" s="1"/>
  <c r="W38" i="2" s="1"/>
  <c r="P38" i="2"/>
  <c r="R38" i="2" s="1"/>
  <c r="S38" i="2" s="1"/>
  <c r="U38" i="2"/>
  <c r="AC38" i="2"/>
  <c r="AF38" i="2"/>
  <c r="AH38" i="2" s="1"/>
  <c r="AI38" i="2" s="1"/>
  <c r="AB38" i="2"/>
  <c r="AD38" i="2" s="1"/>
  <c r="AE38" i="2" s="1"/>
  <c r="AB30" i="2"/>
  <c r="AD30" i="2" s="1"/>
  <c r="AE30" i="2" s="1"/>
  <c r="T30" i="2"/>
  <c r="V30" i="2" s="1"/>
  <c r="W30" i="2" s="1"/>
  <c r="AF30" i="2"/>
  <c r="AH30" i="2" s="1"/>
  <c r="AI30" i="2" s="1"/>
  <c r="P30" i="2"/>
  <c r="R30" i="2" s="1"/>
  <c r="S30" i="2" s="1"/>
  <c r="Q30" i="2"/>
  <c r="U30" i="2"/>
  <c r="AC30" i="2"/>
  <c r="AG30" i="2"/>
  <c r="P22" i="2"/>
  <c r="R22" i="2" s="1"/>
  <c r="S22" i="2" s="1"/>
  <c r="Q22" i="2"/>
  <c r="AF22" i="2"/>
  <c r="AH22" i="2" s="1"/>
  <c r="AI22" i="2" s="1"/>
  <c r="AG22" i="2"/>
  <c r="AB22" i="2"/>
  <c r="AD22" i="2" s="1"/>
  <c r="AE22" i="2" s="1"/>
  <c r="T22" i="2"/>
  <c r="V22" i="2" s="1"/>
  <c r="W22" i="2" s="1"/>
  <c r="U22" i="2"/>
  <c r="AC22" i="2"/>
  <c r="P14" i="2"/>
  <c r="R14" i="2" s="1"/>
  <c r="AB14" i="2"/>
  <c r="AD14" i="2" s="1"/>
  <c r="AE14" i="2" s="1"/>
  <c r="AF14" i="2"/>
  <c r="AH14" i="2" s="1"/>
  <c r="T14" i="2"/>
  <c r="V14" i="2" s="1"/>
  <c r="AG14" i="2"/>
  <c r="U14" i="2"/>
  <c r="AC14" i="2"/>
  <c r="Q14" i="2"/>
  <c r="AB53" i="2"/>
  <c r="AD53" i="2" s="1"/>
  <c r="AE53" i="2" s="1"/>
  <c r="Q53" i="2"/>
  <c r="AC53" i="2"/>
  <c r="T53" i="2"/>
  <c r="V53" i="2" s="1"/>
  <c r="W53" i="2" s="1"/>
  <c r="P53" i="2"/>
  <c r="R53" i="2" s="1"/>
  <c r="S53" i="2" s="1"/>
  <c r="AF53" i="2"/>
  <c r="AH53" i="2" s="1"/>
  <c r="AI53" i="2" s="1"/>
  <c r="AG53" i="2"/>
  <c r="U53" i="2"/>
  <c r="AF45" i="2"/>
  <c r="AH45" i="2" s="1"/>
  <c r="AI45" i="2" s="1"/>
  <c r="AB45" i="2"/>
  <c r="AD45" i="2" s="1"/>
  <c r="AE45" i="2" s="1"/>
  <c r="T45" i="2"/>
  <c r="V45" i="2" s="1"/>
  <c r="W45" i="2" s="1"/>
  <c r="AG45" i="2"/>
  <c r="U45" i="2"/>
  <c r="P45" i="2"/>
  <c r="R45" i="2" s="1"/>
  <c r="S45" i="2" s="1"/>
  <c r="Q45" i="2"/>
  <c r="AC45" i="2"/>
  <c r="AF37" i="2"/>
  <c r="AH37" i="2" s="1"/>
  <c r="AI37" i="2" s="1"/>
  <c r="P37" i="2"/>
  <c r="R37" i="2" s="1"/>
  <c r="S37" i="2" s="1"/>
  <c r="Q37" i="2"/>
  <c r="AB37" i="2"/>
  <c r="AD37" i="2" s="1"/>
  <c r="AE37" i="2" s="1"/>
  <c r="T37" i="2"/>
  <c r="V37" i="2" s="1"/>
  <c r="W37" i="2" s="1"/>
  <c r="U37" i="2"/>
  <c r="AG37" i="2"/>
  <c r="AC37" i="2"/>
  <c r="T29" i="2"/>
  <c r="V29" i="2" s="1"/>
  <c r="W29" i="2" s="1"/>
  <c r="AF29" i="2"/>
  <c r="AH29" i="2" s="1"/>
  <c r="AI29" i="2" s="1"/>
  <c r="U29" i="2"/>
  <c r="P29" i="2"/>
  <c r="R29" i="2" s="1"/>
  <c r="S29" i="2" s="1"/>
  <c r="Q29" i="2"/>
  <c r="AC29" i="2"/>
  <c r="AG29" i="2"/>
  <c r="AB29" i="2"/>
  <c r="AD29" i="2" s="1"/>
  <c r="AE29" i="2" s="1"/>
  <c r="AB21" i="2"/>
  <c r="AD21" i="2" s="1"/>
  <c r="AE21" i="2" s="1"/>
  <c r="AC21" i="2"/>
  <c r="P21" i="2"/>
  <c r="R21" i="2" s="1"/>
  <c r="S21" i="2" s="1"/>
  <c r="Q21" i="2"/>
  <c r="T21" i="2"/>
  <c r="V21" i="2" s="1"/>
  <c r="W21" i="2" s="1"/>
  <c r="U21" i="2"/>
  <c r="AG21" i="2"/>
  <c r="AF21" i="2"/>
  <c r="AH21" i="2" s="1"/>
  <c r="AI21" i="2" s="1"/>
  <c r="AC13" i="2"/>
  <c r="Q13" i="2"/>
  <c r="T13" i="2"/>
  <c r="V13" i="2" s="1"/>
  <c r="AF13" i="2"/>
  <c r="AH13" i="2" s="1"/>
  <c r="U13" i="2"/>
  <c r="AG13" i="2"/>
  <c r="AB13" i="2"/>
  <c r="AD13" i="2" s="1"/>
  <c r="AE13" i="2" s="1"/>
  <c r="P13" i="2"/>
  <c r="R13" i="2" s="1"/>
  <c r="P52" i="2"/>
  <c r="R52" i="2" s="1"/>
  <c r="S52" i="2" s="1"/>
  <c r="T52" i="2"/>
  <c r="V52" i="2" s="1"/>
  <c r="W52" i="2" s="1"/>
  <c r="U52" i="2"/>
  <c r="AF52" i="2"/>
  <c r="AH52" i="2" s="1"/>
  <c r="AI52" i="2" s="1"/>
  <c r="AG52" i="2"/>
  <c r="AB52" i="2"/>
  <c r="AD52" i="2" s="1"/>
  <c r="AE52" i="2" s="1"/>
  <c r="AC52" i="2"/>
  <c r="Q52" i="2"/>
  <c r="AB44" i="2"/>
  <c r="AD44" i="2" s="1"/>
  <c r="AE44" i="2" s="1"/>
  <c r="P44" i="2"/>
  <c r="R44" i="2" s="1"/>
  <c r="S44" i="2" s="1"/>
  <c r="AG44" i="2"/>
  <c r="AC44" i="2"/>
  <c r="Q44" i="2"/>
  <c r="AF44" i="2"/>
  <c r="AH44" i="2" s="1"/>
  <c r="AI44" i="2" s="1"/>
  <c r="T44" i="2"/>
  <c r="V44" i="2" s="1"/>
  <c r="W44" i="2" s="1"/>
  <c r="U44" i="2"/>
  <c r="AB36" i="2"/>
  <c r="AD36" i="2" s="1"/>
  <c r="AE36" i="2" s="1"/>
  <c r="AC36" i="2"/>
  <c r="T36" i="2"/>
  <c r="V36" i="2" s="1"/>
  <c r="W36" i="2" s="1"/>
  <c r="U36" i="2"/>
  <c r="AF36" i="2"/>
  <c r="AH36" i="2" s="1"/>
  <c r="AI36" i="2" s="1"/>
  <c r="P36" i="2"/>
  <c r="R36" i="2" s="1"/>
  <c r="S36" i="2" s="1"/>
  <c r="Q36" i="2"/>
  <c r="AG36" i="2"/>
  <c r="AF28" i="2"/>
  <c r="AH28" i="2" s="1"/>
  <c r="AI28" i="2" s="1"/>
  <c r="Q28" i="2"/>
  <c r="AG28" i="2"/>
  <c r="T28" i="2"/>
  <c r="V28" i="2" s="1"/>
  <c r="W28" i="2" s="1"/>
  <c r="AB28" i="2"/>
  <c r="AD28" i="2" s="1"/>
  <c r="AE28" i="2" s="1"/>
  <c r="P28" i="2"/>
  <c r="R28" i="2" s="1"/>
  <c r="S28" i="2" s="1"/>
  <c r="AC28" i="2"/>
  <c r="U28" i="2"/>
  <c r="T20" i="2"/>
  <c r="V20" i="2" s="1"/>
  <c r="W20" i="2" s="1"/>
  <c r="AF20" i="2"/>
  <c r="AH20" i="2" s="1"/>
  <c r="AI20" i="2" s="1"/>
  <c r="P20" i="2"/>
  <c r="R20" i="2" s="1"/>
  <c r="S20" i="2" s="1"/>
  <c r="U20" i="2"/>
  <c r="Q20" i="2"/>
  <c r="AG20" i="2"/>
  <c r="AB20" i="2"/>
  <c r="AD20" i="2" s="1"/>
  <c r="AE20" i="2" s="1"/>
  <c r="AC20" i="2"/>
  <c r="T12" i="2"/>
  <c r="V12" i="2" s="1"/>
  <c r="P12" i="2"/>
  <c r="R12" i="2" s="1"/>
  <c r="AB12" i="2"/>
  <c r="AD12" i="2" s="1"/>
  <c r="AE12" i="2" s="1"/>
  <c r="Q12" i="2"/>
  <c r="AC12" i="2"/>
  <c r="AF12" i="2"/>
  <c r="AH12" i="2" s="1"/>
  <c r="U12" i="2"/>
  <c r="AG12" i="2"/>
  <c r="U51" i="2"/>
  <c r="P51" i="2"/>
  <c r="R51" i="2" s="1"/>
  <c r="S51" i="2" s="1"/>
  <c r="T51" i="2"/>
  <c r="V51" i="2" s="1"/>
  <c r="W51" i="2" s="1"/>
  <c r="AF51" i="2"/>
  <c r="AH51" i="2" s="1"/>
  <c r="AI51" i="2" s="1"/>
  <c r="AG51" i="2"/>
  <c r="AB51" i="2"/>
  <c r="AD51" i="2" s="1"/>
  <c r="AE51" i="2" s="1"/>
  <c r="Q51" i="2"/>
  <c r="AC51" i="2"/>
  <c r="P43" i="2"/>
  <c r="R43" i="2" s="1"/>
  <c r="S43" i="2" s="1"/>
  <c r="AC43" i="2"/>
  <c r="Q43" i="2"/>
  <c r="AB43" i="2"/>
  <c r="AD43" i="2" s="1"/>
  <c r="AE43" i="2" s="1"/>
  <c r="U43" i="2"/>
  <c r="T43" i="2"/>
  <c r="V43" i="2" s="1"/>
  <c r="W43" i="2" s="1"/>
  <c r="AG43" i="2"/>
  <c r="AF43" i="2"/>
  <c r="AH43" i="2" s="1"/>
  <c r="AI43" i="2" s="1"/>
  <c r="T35" i="2"/>
  <c r="V35" i="2" s="1"/>
  <c r="W35" i="2" s="1"/>
  <c r="AF35" i="2"/>
  <c r="AH35" i="2" s="1"/>
  <c r="AI35" i="2" s="1"/>
  <c r="U35" i="2"/>
  <c r="AG35" i="2"/>
  <c r="Q35" i="2"/>
  <c r="AC35" i="2"/>
  <c r="AB35" i="2"/>
  <c r="AD35" i="2" s="1"/>
  <c r="AE35" i="2" s="1"/>
  <c r="P35" i="2"/>
  <c r="R35" i="2" s="1"/>
  <c r="S35" i="2" s="1"/>
  <c r="AG27" i="2"/>
  <c r="Q27" i="2"/>
  <c r="AC27" i="2"/>
  <c r="T27" i="2"/>
  <c r="V27" i="2" s="1"/>
  <c r="W27" i="2" s="1"/>
  <c r="AF27" i="2"/>
  <c r="AH27" i="2" s="1"/>
  <c r="AI27" i="2" s="1"/>
  <c r="P27" i="2"/>
  <c r="R27" i="2" s="1"/>
  <c r="S27" i="2" s="1"/>
  <c r="AB27" i="2"/>
  <c r="AD27" i="2" s="1"/>
  <c r="AE27" i="2" s="1"/>
  <c r="U27" i="2"/>
  <c r="AF19" i="2"/>
  <c r="AH19" i="2" s="1"/>
  <c r="AI19" i="2" s="1"/>
  <c r="T19" i="2"/>
  <c r="V19" i="2" s="1"/>
  <c r="W19" i="2" s="1"/>
  <c r="AG19" i="2"/>
  <c r="U19" i="2"/>
  <c r="P19" i="2"/>
  <c r="R19" i="2" s="1"/>
  <c r="S19" i="2" s="1"/>
  <c r="AB19" i="2"/>
  <c r="AD19" i="2" s="1"/>
  <c r="AE19" i="2" s="1"/>
  <c r="Q19" i="2"/>
  <c r="AC19" i="2"/>
  <c r="U11" i="2"/>
  <c r="AG11" i="2"/>
  <c r="P11" i="2"/>
  <c r="R11" i="2" s="1"/>
  <c r="AB11" i="2"/>
  <c r="AD11" i="2" s="1"/>
  <c r="AE11" i="2" s="1"/>
  <c r="Q11" i="2"/>
  <c r="AC11" i="2"/>
  <c r="T11" i="2"/>
  <c r="V11" i="2" s="1"/>
  <c r="AF11" i="2"/>
  <c r="AH11" i="2" s="1"/>
  <c r="O6" i="2"/>
  <c r="Z15" i="2" l="1"/>
  <c r="AA15" i="2" s="1"/>
  <c r="AM15" i="2"/>
  <c r="AM17" i="2"/>
  <c r="W12" i="2"/>
  <c r="AM7" i="2"/>
  <c r="Z8" i="2"/>
  <c r="AA8" i="2" s="1"/>
  <c r="W16" i="2"/>
  <c r="S12" i="2"/>
  <c r="Z9" i="2"/>
  <c r="AA9" i="2" s="1"/>
  <c r="AM8" i="2"/>
  <c r="AM14" i="2"/>
  <c r="AM18" i="2"/>
  <c r="W8" i="2"/>
  <c r="AM13" i="2"/>
  <c r="AM10" i="2"/>
  <c r="Z11" i="2"/>
  <c r="AA11" i="2" s="1"/>
  <c r="Z13" i="2"/>
  <c r="AA13" i="2" s="1"/>
  <c r="Y6" i="2"/>
  <c r="X6" i="2"/>
  <c r="AK6" i="2"/>
  <c r="AJ6" i="2"/>
  <c r="AI12" i="2"/>
  <c r="AI15" i="2"/>
  <c r="AI9" i="2"/>
  <c r="Z14" i="2"/>
  <c r="AA14" i="2" s="1"/>
  <c r="AM9" i="2"/>
  <c r="AM11" i="2"/>
  <c r="AM12" i="2"/>
  <c r="Z16" i="2"/>
  <c r="AA16" i="2" s="1"/>
  <c r="Z12" i="2"/>
  <c r="AA12" i="2" s="1"/>
  <c r="AE7" i="2"/>
  <c r="AH8" i="2"/>
  <c r="AI8" i="2" s="1"/>
  <c r="Z7" i="2"/>
  <c r="AA7" i="2" s="1"/>
  <c r="AM16" i="2"/>
  <c r="Z17" i="2"/>
  <c r="AA17" i="2" s="1"/>
  <c r="Z10" i="2"/>
  <c r="AA10" i="2" s="1"/>
  <c r="AH7" i="2"/>
  <c r="AI7" i="2" s="1"/>
  <c r="W7" i="2"/>
  <c r="S14" i="2"/>
  <c r="W15" i="2"/>
  <c r="S7" i="2"/>
  <c r="S8" i="2"/>
  <c r="S9" i="2"/>
  <c r="S10" i="2"/>
  <c r="W14" i="2"/>
  <c r="W11" i="2"/>
  <c r="AI13" i="2"/>
  <c r="S13" i="2"/>
  <c r="AI14" i="2"/>
  <c r="AE8" i="2"/>
  <c r="AI16" i="2"/>
  <c r="S11" i="2"/>
  <c r="AI11" i="2"/>
  <c r="W10" i="2"/>
  <c r="AI10" i="2"/>
  <c r="U6" i="2"/>
  <c r="AC6" i="2"/>
  <c r="Q6" i="2"/>
  <c r="AB6" i="2"/>
  <c r="P6" i="2"/>
  <c r="R6" i="2" s="1"/>
  <c r="T6" i="2"/>
  <c r="W9" i="2"/>
  <c r="W13" i="2"/>
  <c r="AF6" i="2"/>
  <c r="AH6" i="2" s="1"/>
  <c r="AG6" i="2"/>
  <c r="AL6" i="2" l="1"/>
  <c r="AM6" i="2" s="1"/>
  <c r="Z6" i="2"/>
  <c r="AA6" i="2" s="1"/>
  <c r="AD6" i="2"/>
  <c r="AE6" i="2" s="1"/>
  <c r="V6" i="2"/>
  <c r="W6" i="2" s="1"/>
  <c r="S6" i="2"/>
  <c r="AI6" i="2"/>
  <c r="B25" i="2" l="1"/>
  <c r="D134" i="6" l="1"/>
  <c r="F134" i="6" s="1"/>
  <c r="D136" i="6"/>
  <c r="D226" i="6"/>
  <c r="G226" i="6" s="1"/>
  <c r="D135" i="6"/>
  <c r="D182" i="6"/>
  <c r="G182" i="6" s="1"/>
  <c r="D202" i="6"/>
  <c r="G202" i="6" s="1"/>
  <c r="D174" i="6"/>
  <c r="G174" i="6" s="1"/>
  <c r="D218" i="6"/>
  <c r="G218" i="6" s="1"/>
  <c r="D215" i="6"/>
  <c r="G215" i="6" s="1"/>
  <c r="D193" i="6"/>
  <c r="D199" i="6"/>
  <c r="G199" i="6" s="1"/>
  <c r="D169" i="6"/>
  <c r="G169" i="6" s="1"/>
  <c r="D114" i="6"/>
  <c r="D102" i="6"/>
  <c r="D106" i="6"/>
  <c r="D94" i="6"/>
  <c r="D98" i="6"/>
  <c r="D90" i="6"/>
  <c r="D103" i="6"/>
  <c r="D185" i="6"/>
  <c r="G185" i="6" s="1"/>
  <c r="D192" i="6"/>
  <c r="G192" i="6" s="1"/>
  <c r="D105" i="6"/>
  <c r="D92" i="6"/>
  <c r="B185" i="2"/>
  <c r="D187" i="6"/>
  <c r="D206" i="6"/>
  <c r="G206" i="6" s="1"/>
  <c r="D208" i="6"/>
  <c r="D184" i="6"/>
  <c r="G184" i="6" s="1"/>
  <c r="D221" i="6"/>
  <c r="G221" i="6" s="1"/>
  <c r="D170" i="6"/>
  <c r="G170" i="6" s="1"/>
  <c r="D219" i="6"/>
  <c r="D194" i="6"/>
  <c r="D220" i="6"/>
  <c r="G220" i="6" s="1"/>
  <c r="D207" i="6"/>
  <c r="G207" i="6" s="1"/>
  <c r="D177" i="6"/>
  <c r="G177" i="6" s="1"/>
  <c r="D189" i="6"/>
  <c r="G189" i="6" s="1"/>
  <c r="D173" i="6"/>
  <c r="G173" i="6" s="1"/>
  <c r="D129" i="6"/>
  <c r="D117" i="6"/>
  <c r="D120" i="6"/>
  <c r="D116" i="6"/>
  <c r="D113" i="6"/>
  <c r="D131" i="6"/>
  <c r="D118" i="6"/>
  <c r="D224" i="6"/>
  <c r="G224" i="6" s="1"/>
  <c r="D209" i="6"/>
  <c r="G209" i="6" s="1"/>
  <c r="D104" i="6"/>
  <c r="D133" i="6"/>
  <c r="D216" i="6"/>
  <c r="G216" i="6" s="1"/>
  <c r="D186" i="6"/>
  <c r="G186" i="6" s="1"/>
  <c r="D203" i="6"/>
  <c r="G203" i="6" s="1"/>
  <c r="D211" i="6"/>
  <c r="G211" i="6" s="1"/>
  <c r="D204" i="6"/>
  <c r="G204" i="6" s="1"/>
  <c r="D176" i="6"/>
  <c r="G176" i="6" s="1"/>
  <c r="D223" i="6"/>
  <c r="G223" i="6" s="1"/>
  <c r="D132" i="6"/>
  <c r="D85" i="6"/>
  <c r="D88" i="6"/>
  <c r="D84" i="6"/>
  <c r="D124" i="6"/>
  <c r="D128" i="6"/>
  <c r="D86" i="6"/>
  <c r="B37" i="2"/>
  <c r="B36" i="1" s="1"/>
  <c r="D222" i="6"/>
  <c r="D188" i="6"/>
  <c r="D183" i="6"/>
  <c r="B161" i="2"/>
  <c r="B162" i="2" s="1"/>
  <c r="D100" i="6"/>
  <c r="D99" i="6"/>
  <c r="D122" i="6"/>
  <c r="D178" i="6"/>
  <c r="G178" i="6" s="1"/>
  <c r="D217" i="6"/>
  <c r="G217" i="6" s="1"/>
  <c r="D175" i="6"/>
  <c r="G175" i="6" s="1"/>
  <c r="D171" i="6"/>
  <c r="D190" i="6"/>
  <c r="D179" i="6"/>
  <c r="G179" i="6" s="1"/>
  <c r="D200" i="6"/>
  <c r="D213" i="6"/>
  <c r="D191" i="6"/>
  <c r="D181" i="6"/>
  <c r="G181" i="6" s="1"/>
  <c r="D201" i="6"/>
  <c r="D119" i="6"/>
  <c r="D91" i="6"/>
  <c r="D79" i="6"/>
  <c r="D125" i="6"/>
  <c r="D109" i="6"/>
  <c r="D123" i="6"/>
  <c r="D127" i="6"/>
  <c r="D214" i="6"/>
  <c r="G214" i="6" s="1"/>
  <c r="D210" i="6"/>
  <c r="G210" i="6" s="1"/>
  <c r="D198" i="6"/>
  <c r="G198" i="6" s="1"/>
  <c r="D197" i="6"/>
  <c r="G197" i="6" s="1"/>
  <c r="D87" i="6"/>
  <c r="D121" i="6"/>
  <c r="D126" i="6"/>
  <c r="D93" i="6"/>
  <c r="D89" i="6"/>
  <c r="D96" i="6"/>
  <c r="D97" i="6"/>
  <c r="D108" i="6"/>
  <c r="D112" i="6"/>
  <c r="D82" i="6"/>
  <c r="D195" i="6"/>
  <c r="D95" i="6"/>
  <c r="D107" i="6"/>
  <c r="D180" i="6"/>
  <c r="D172" i="6"/>
  <c r="G172" i="6" s="1"/>
  <c r="D212" i="6"/>
  <c r="G212" i="6" s="1"/>
  <c r="D80" i="6"/>
  <c r="D81" i="6"/>
  <c r="D196" i="6"/>
  <c r="D205" i="6"/>
  <c r="G205" i="6" s="1"/>
  <c r="D115" i="6"/>
  <c r="D83" i="6"/>
  <c r="D111" i="6"/>
  <c r="D110" i="6"/>
  <c r="B186" i="2"/>
  <c r="B227" i="6" s="1"/>
  <c r="C227" i="6" s="1"/>
  <c r="D130" i="6"/>
  <c r="D101" i="6"/>
  <c r="B27" i="2"/>
  <c r="B27" i="1" s="1"/>
  <c r="B26" i="2"/>
  <c r="B65" i="2"/>
  <c r="AI90" i="2"/>
  <c r="AK90" i="2" s="1"/>
  <c r="AL90" i="2" s="1"/>
  <c r="AE109" i="2"/>
  <c r="AG109" i="2" s="1"/>
  <c r="AH109" i="2" s="1"/>
  <c r="AE105" i="2"/>
  <c r="AG105" i="2" s="1"/>
  <c r="AJ109" i="2"/>
  <c r="AE63" i="2"/>
  <c r="AG63" i="2" s="1"/>
  <c r="AH63" i="2" s="1"/>
  <c r="AE94" i="2"/>
  <c r="AG94" i="2" s="1"/>
  <c r="AH94" i="2" s="1"/>
  <c r="AF75" i="2"/>
  <c r="AI77" i="2"/>
  <c r="AK77" i="2" s="1"/>
  <c r="AL77" i="2" s="1"/>
  <c r="AF67" i="2"/>
  <c r="X102" i="2"/>
  <c r="Z102" i="2" s="1"/>
  <c r="AA102" i="2" s="1"/>
  <c r="AJ72" i="2"/>
  <c r="AI73" i="2"/>
  <c r="AK73" i="2" s="1"/>
  <c r="AL73" i="2" s="1"/>
  <c r="AE99" i="2"/>
  <c r="AG99" i="2" s="1"/>
  <c r="AH99" i="2" s="1"/>
  <c r="AJ103" i="2"/>
  <c r="Y79" i="2"/>
  <c r="U97" i="2"/>
  <c r="Y106" i="2"/>
  <c r="AI108" i="2"/>
  <c r="AK108" i="2" s="1"/>
  <c r="AL108" i="2" s="1"/>
  <c r="AE78" i="2"/>
  <c r="AG78" i="2" s="1"/>
  <c r="AH78" i="2" s="1"/>
  <c r="AI105" i="2"/>
  <c r="AK105" i="2" s="1"/>
  <c r="AL105" i="2" s="1"/>
  <c r="Q111" i="2"/>
  <c r="U87" i="2"/>
  <c r="P106" i="2"/>
  <c r="R106" i="2" s="1"/>
  <c r="S106" i="2" s="1"/>
  <c r="AF91" i="2"/>
  <c r="AI109" i="2"/>
  <c r="AK109" i="2" s="1"/>
  <c r="AE71" i="2"/>
  <c r="AG71" i="2" s="1"/>
  <c r="AH71" i="2" s="1"/>
  <c r="Q93" i="2"/>
  <c r="Y67" i="2"/>
  <c r="AJ62" i="2"/>
  <c r="AJ85" i="2"/>
  <c r="AE88" i="2"/>
  <c r="AG88" i="2" s="1"/>
  <c r="AE106" i="2"/>
  <c r="AG106" i="2" s="1"/>
  <c r="AH106" i="2" s="1"/>
  <c r="P76" i="2"/>
  <c r="R76" i="2" s="1"/>
  <c r="S76" i="2" s="1"/>
  <c r="P87" i="2"/>
  <c r="R87" i="2" s="1"/>
  <c r="S87" i="2" s="1"/>
  <c r="P63" i="2"/>
  <c r="R63" i="2" s="1"/>
  <c r="S63" i="2" s="1"/>
  <c r="T93" i="2"/>
  <c r="V93" i="2" s="1"/>
  <c r="W93" i="2" s="1"/>
  <c r="AJ81" i="2"/>
  <c r="AE70" i="2"/>
  <c r="X111" i="2"/>
  <c r="Z111" i="2" s="1"/>
  <c r="AA111" i="2" s="1"/>
  <c r="Y98" i="2"/>
  <c r="Q63" i="2"/>
  <c r="T82" i="2"/>
  <c r="V82" i="2" s="1"/>
  <c r="W82" i="2" s="1"/>
  <c r="AF82" i="2"/>
  <c r="AI97" i="2"/>
  <c r="AK97" i="2" s="1"/>
  <c r="AL97" i="2" s="1"/>
  <c r="AF73" i="2"/>
  <c r="AJ94" i="2"/>
  <c r="AJ106" i="2"/>
  <c r="AI96" i="2"/>
  <c r="AK96" i="2" s="1"/>
  <c r="AL96" i="2" s="1"/>
  <c r="AE111" i="2"/>
  <c r="AG111" i="2" s="1"/>
  <c r="AH111" i="2" s="1"/>
  <c r="AF111" i="2"/>
  <c r="AE96" i="2"/>
  <c r="AG96" i="2" s="1"/>
  <c r="U106" i="2"/>
  <c r="AF105" i="2"/>
  <c r="AE68" i="2"/>
  <c r="AG68" i="2" s="1"/>
  <c r="AH68" i="2" s="1"/>
  <c r="AE108" i="2"/>
  <c r="AG108" i="2" s="1"/>
  <c r="AH108" i="2" s="1"/>
  <c r="AI103" i="2"/>
  <c r="AK103" i="2" s="1"/>
  <c r="AL103" i="2" s="1"/>
  <c r="AF83" i="2"/>
  <c r="X76" i="2"/>
  <c r="Z76" i="2" s="1"/>
  <c r="AA76" i="2" s="1"/>
  <c r="Y62" i="2"/>
  <c r="AE101" i="2"/>
  <c r="AG101" i="2" s="1"/>
  <c r="AH101" i="2" s="1"/>
  <c r="P75" i="2"/>
  <c r="Q109" i="2"/>
  <c r="Q97" i="2"/>
  <c r="AE104" i="2"/>
  <c r="AG104" i="2" s="1"/>
  <c r="AH104" i="2" s="1"/>
  <c r="Q92" i="2"/>
  <c r="AJ96" i="2"/>
  <c r="AF71" i="2"/>
  <c r="AJ102" i="2"/>
  <c r="Q67" i="2"/>
  <c r="Y70" i="2"/>
  <c r="X81" i="2"/>
  <c r="Z81" i="2" s="1"/>
  <c r="AA81" i="2" s="1"/>
  <c r="AE69" i="2"/>
  <c r="AG69" i="2" s="1"/>
  <c r="AH69" i="2" s="1"/>
  <c r="AF107" i="2"/>
  <c r="Y63" i="2"/>
  <c r="Q65" i="2"/>
  <c r="AI74" i="2"/>
  <c r="AK74" i="2" s="1"/>
  <c r="AJ101" i="2"/>
  <c r="AJ107" i="2"/>
  <c r="AI81" i="2"/>
  <c r="AK81" i="2" s="1"/>
  <c r="AL81" i="2" s="1"/>
  <c r="AF99" i="2"/>
  <c r="X64" i="2"/>
  <c r="Z64" i="2" s="1"/>
  <c r="AA64" i="2" s="1"/>
  <c r="AE81" i="2"/>
  <c r="AG81" i="2" s="1"/>
  <c r="AE100" i="2"/>
  <c r="T71" i="2"/>
  <c r="V71" i="2" s="1"/>
  <c r="W71" i="2" s="1"/>
  <c r="Y99" i="2"/>
  <c r="P82" i="2"/>
  <c r="R82" i="2" s="1"/>
  <c r="S82" i="2" s="1"/>
  <c r="Q85" i="2"/>
  <c r="P65" i="2"/>
  <c r="R65" i="2" s="1"/>
  <c r="S65" i="2" s="1"/>
  <c r="Y88" i="2"/>
  <c r="Y91" i="2"/>
  <c r="T75" i="2"/>
  <c r="V75" i="2" s="1"/>
  <c r="W75" i="2" s="1"/>
  <c r="AI100" i="2"/>
  <c r="AK100" i="2" s="1"/>
  <c r="AL100" i="2" s="1"/>
  <c r="P100" i="2"/>
  <c r="R100" i="2" s="1"/>
  <c r="S100" i="2" s="1"/>
  <c r="AI76" i="2"/>
  <c r="AK76" i="2" s="1"/>
  <c r="AL76" i="2" s="1"/>
  <c r="AI65" i="2"/>
  <c r="AK65" i="2" s="1"/>
  <c r="AL65" i="2" s="1"/>
  <c r="X90" i="2"/>
  <c r="Z90" i="2" s="1"/>
  <c r="AA90" i="2" s="1"/>
  <c r="T106" i="2"/>
  <c r="V106" i="2" s="1"/>
  <c r="W106" i="2" s="1"/>
  <c r="Q80" i="2"/>
  <c r="AI80" i="2"/>
  <c r="AK80" i="2" s="1"/>
  <c r="AL80" i="2" s="1"/>
  <c r="X92" i="2"/>
  <c r="Z92" i="2" s="1"/>
  <c r="AA92" i="2" s="1"/>
  <c r="Y111" i="2"/>
  <c r="P94" i="2"/>
  <c r="R94" i="2" s="1"/>
  <c r="S94" i="2" s="1"/>
  <c r="Q83" i="2"/>
  <c r="AF110" i="2"/>
  <c r="AE87" i="2"/>
  <c r="AG87" i="2" s="1"/>
  <c r="AH87" i="2" s="1"/>
  <c r="AI94" i="2"/>
  <c r="AK94" i="2" s="1"/>
  <c r="AJ88" i="2"/>
  <c r="AI79" i="2"/>
  <c r="AK79" i="2" s="1"/>
  <c r="AL79" i="2" s="1"/>
  <c r="P64" i="2"/>
  <c r="R64" i="2" s="1"/>
  <c r="S64" i="2" s="1"/>
  <c r="AJ95" i="2"/>
  <c r="AF66" i="2"/>
  <c r="AE85" i="2"/>
  <c r="AG85" i="2" s="1"/>
  <c r="AH85" i="2" s="1"/>
  <c r="AE82" i="2"/>
  <c r="AG82" i="2" s="1"/>
  <c r="X91" i="2"/>
  <c r="Z91" i="2" s="1"/>
  <c r="AA91" i="2" s="1"/>
  <c r="X77" i="2"/>
  <c r="Z77" i="2" s="1"/>
  <c r="AA77" i="2" s="1"/>
  <c r="U79" i="2"/>
  <c r="U75" i="2"/>
  <c r="P103" i="2"/>
  <c r="R103" i="2" s="1"/>
  <c r="S103" i="2" s="1"/>
  <c r="X68" i="2"/>
  <c r="Z68" i="2" s="1"/>
  <c r="AA68" i="2" s="1"/>
  <c r="AF86" i="2"/>
  <c r="P102" i="2"/>
  <c r="R102" i="2" s="1"/>
  <c r="S102" i="2" s="1"/>
  <c r="T68" i="2"/>
  <c r="V68" i="2" s="1"/>
  <c r="W68" i="2" s="1"/>
  <c r="Y83" i="2"/>
  <c r="AI83" i="2"/>
  <c r="AK83" i="2" s="1"/>
  <c r="AL83" i="2" s="1"/>
  <c r="AI69" i="2"/>
  <c r="AK69" i="2" s="1"/>
  <c r="AL69" i="2" s="1"/>
  <c r="AF61" i="2"/>
  <c r="AE83" i="2"/>
  <c r="AG83" i="2" s="1"/>
  <c r="AH83" i="2" s="1"/>
  <c r="Q72" i="2"/>
  <c r="AF108" i="2"/>
  <c r="X78" i="2"/>
  <c r="Z78" i="2" s="1"/>
  <c r="AA78" i="2" s="1"/>
  <c r="P83" i="2"/>
  <c r="R83" i="2" s="1"/>
  <c r="S83" i="2" s="1"/>
  <c r="X98" i="2"/>
  <c r="Z98" i="2" s="1"/>
  <c r="AA98" i="2" s="1"/>
  <c r="T86" i="2"/>
  <c r="V86" i="2" s="1"/>
  <c r="W86" i="2" s="1"/>
  <c r="AE67" i="2"/>
  <c r="AG67" i="2" s="1"/>
  <c r="AH67" i="2" s="1"/>
  <c r="T78" i="2"/>
  <c r="V78" i="2" s="1"/>
  <c r="W78" i="2" s="1"/>
  <c r="Q100" i="2"/>
  <c r="Y84" i="2"/>
  <c r="Y82" i="2"/>
  <c r="AE80" i="2"/>
  <c r="AG80" i="2" s="1"/>
  <c r="AH80" i="2" s="1"/>
  <c r="AE79" i="2"/>
  <c r="AG79" i="2" s="1"/>
  <c r="AH79" i="2" s="1"/>
  <c r="AF96" i="2"/>
  <c r="AI93" i="2"/>
  <c r="AK93" i="2" s="1"/>
  <c r="AL93" i="2" s="1"/>
  <c r="X95" i="2"/>
  <c r="AF101" i="2"/>
  <c r="AF94" i="2"/>
  <c r="P89" i="2"/>
  <c r="R89" i="2" s="1"/>
  <c r="S89" i="2" s="1"/>
  <c r="Y77" i="2"/>
  <c r="P67" i="2"/>
  <c r="R67" i="2" s="1"/>
  <c r="S67" i="2" s="1"/>
  <c r="P105" i="2"/>
  <c r="R105" i="2" s="1"/>
  <c r="S105" i="2" s="1"/>
  <c r="AJ70" i="2"/>
  <c r="AF88" i="2"/>
  <c r="X100" i="2"/>
  <c r="Z100" i="2" s="1"/>
  <c r="AA100" i="2" s="1"/>
  <c r="AJ74" i="2"/>
  <c r="X99" i="2"/>
  <c r="Z99" i="2" s="1"/>
  <c r="AA99" i="2" s="1"/>
  <c r="AJ83" i="2"/>
  <c r="AI106" i="2"/>
  <c r="AK106" i="2" s="1"/>
  <c r="AL106" i="2" s="1"/>
  <c r="U74" i="2"/>
  <c r="U103" i="2"/>
  <c r="U101" i="2"/>
  <c r="P95" i="2"/>
  <c r="R95" i="2" s="1"/>
  <c r="S95" i="2" s="1"/>
  <c r="P96" i="2"/>
  <c r="R96" i="2" s="1"/>
  <c r="S96" i="2" s="1"/>
  <c r="Q75" i="2"/>
  <c r="AJ61" i="2"/>
  <c r="Y94" i="2"/>
  <c r="Q87" i="2"/>
  <c r="AJ73" i="2"/>
  <c r="AJ97" i="2"/>
  <c r="Y100" i="2"/>
  <c r="T95" i="2"/>
  <c r="V95" i="2" s="1"/>
  <c r="AJ89" i="2"/>
  <c r="U110" i="2"/>
  <c r="X85" i="2"/>
  <c r="Z85" i="2" s="1"/>
  <c r="AA85" i="2" s="1"/>
  <c r="P72" i="2"/>
  <c r="R72" i="2" s="1"/>
  <c r="S72" i="2" s="1"/>
  <c r="AE72" i="2"/>
  <c r="AI70" i="2"/>
  <c r="AK70" i="2" s="1"/>
  <c r="AL70" i="2" s="1"/>
  <c r="AJ99" i="2"/>
  <c r="AF85" i="2"/>
  <c r="T63" i="2"/>
  <c r="V63" i="2" s="1"/>
  <c r="W63" i="2" s="1"/>
  <c r="AF95" i="2"/>
  <c r="Y102" i="2"/>
  <c r="P97" i="2"/>
  <c r="R97" i="2" s="1"/>
  <c r="S97" i="2" s="1"/>
  <c r="Q86" i="2"/>
  <c r="U62" i="2"/>
  <c r="AJ78" i="2"/>
  <c r="U67" i="2"/>
  <c r="AI82" i="2"/>
  <c r="AK82" i="2" s="1"/>
  <c r="AL82" i="2" s="1"/>
  <c r="AJ86" i="2"/>
  <c r="AJ105" i="2"/>
  <c r="AJ84" i="2"/>
  <c r="X94" i="2"/>
  <c r="Z94" i="2" s="1"/>
  <c r="AA94" i="2" s="1"/>
  <c r="X96" i="2"/>
  <c r="Z96" i="2" s="1"/>
  <c r="AA96" i="2" s="1"/>
  <c r="Q99" i="2"/>
  <c r="X82" i="2"/>
  <c r="Z82" i="2" s="1"/>
  <c r="AA82" i="2" s="1"/>
  <c r="T99" i="2"/>
  <c r="V99" i="2" s="1"/>
  <c r="W99" i="2" s="1"/>
  <c r="AF93" i="2"/>
  <c r="AI102" i="2"/>
  <c r="AK102" i="2" s="1"/>
  <c r="AL102" i="2" s="1"/>
  <c r="T73" i="2"/>
  <c r="V73" i="2" s="1"/>
  <c r="W73" i="2" s="1"/>
  <c r="T66" i="2"/>
  <c r="V66" i="2" s="1"/>
  <c r="W66" i="2" s="1"/>
  <c r="AI67" i="2"/>
  <c r="AK67" i="2" s="1"/>
  <c r="AL67" i="2" s="1"/>
  <c r="X72" i="2"/>
  <c r="Q61" i="2"/>
  <c r="Y76" i="2"/>
  <c r="U108" i="2"/>
  <c r="X86" i="2"/>
  <c r="Z86" i="2" s="1"/>
  <c r="AA86" i="2" s="1"/>
  <c r="AI104" i="2"/>
  <c r="AE65" i="2"/>
  <c r="AG65" i="2" s="1"/>
  <c r="AH65" i="2" s="1"/>
  <c r="AJ63" i="2"/>
  <c r="Q102" i="2"/>
  <c r="X80" i="2"/>
  <c r="Z80" i="2" s="1"/>
  <c r="AA80" i="2" s="1"/>
  <c r="Y71" i="2"/>
  <c r="AE76" i="2"/>
  <c r="AG76" i="2" s="1"/>
  <c r="AH76" i="2" s="1"/>
  <c r="AJ80" i="2"/>
  <c r="AF106" i="2"/>
  <c r="AJ82" i="2"/>
  <c r="T72" i="2"/>
  <c r="V72" i="2" s="1"/>
  <c r="W72" i="2" s="1"/>
  <c r="AI107" i="2"/>
  <c r="AK107" i="2" s="1"/>
  <c r="AL107" i="2" s="1"/>
  <c r="AJ108" i="2"/>
  <c r="P85" i="2"/>
  <c r="R85" i="2" s="1"/>
  <c r="S85" i="2" s="1"/>
  <c r="Y64" i="2"/>
  <c r="AJ79" i="2"/>
  <c r="T62" i="2"/>
  <c r="V62" i="2" s="1"/>
  <c r="W62" i="2" s="1"/>
  <c r="U93" i="2"/>
  <c r="AF65" i="2"/>
  <c r="U99" i="2"/>
  <c r="Y90" i="2"/>
  <c r="T67" i="2"/>
  <c r="V67" i="2" s="1"/>
  <c r="W67" i="2" s="1"/>
  <c r="U96" i="2"/>
  <c r="Q106" i="2"/>
  <c r="U76" i="2"/>
  <c r="AE75" i="2"/>
  <c r="AG75" i="2" s="1"/>
  <c r="AH75" i="2" s="1"/>
  <c r="P92" i="2"/>
  <c r="R92" i="2" s="1"/>
  <c r="S92" i="2" s="1"/>
  <c r="T102" i="2"/>
  <c r="V102" i="2" s="1"/>
  <c r="W102" i="2" s="1"/>
  <c r="AI78" i="2"/>
  <c r="AK78" i="2" s="1"/>
  <c r="AL78" i="2" s="1"/>
  <c r="U70" i="2"/>
  <c r="AI62" i="2"/>
  <c r="AK62" i="2" s="1"/>
  <c r="AL62" i="2" s="1"/>
  <c r="AI84" i="2"/>
  <c r="AK84" i="2" s="1"/>
  <c r="AL84" i="2" s="1"/>
  <c r="AJ71" i="2"/>
  <c r="X110" i="2"/>
  <c r="Z110" i="2" s="1"/>
  <c r="AA110" i="2" s="1"/>
  <c r="Q78" i="2"/>
  <c r="X69" i="2"/>
  <c r="Z69" i="2" s="1"/>
  <c r="AA69" i="2" s="1"/>
  <c r="Q88" i="2"/>
  <c r="AJ64" i="2"/>
  <c r="U80" i="2"/>
  <c r="T84" i="2"/>
  <c r="V84" i="2" s="1"/>
  <c r="W84" i="2" s="1"/>
  <c r="AE103" i="2"/>
  <c r="AG103" i="2" s="1"/>
  <c r="AH103" i="2" s="1"/>
  <c r="AJ77" i="2"/>
  <c r="Y81" i="2"/>
  <c r="U90" i="2"/>
  <c r="U94" i="2"/>
  <c r="X105" i="2"/>
  <c r="Z105" i="2" s="1"/>
  <c r="AA105" i="2" s="1"/>
  <c r="T89" i="2"/>
  <c r="V89" i="2" s="1"/>
  <c r="W89" i="2" s="1"/>
  <c r="T111" i="2"/>
  <c r="V111" i="2" s="1"/>
  <c r="W111" i="2" s="1"/>
  <c r="AE97" i="2"/>
  <c r="AG97" i="2" s="1"/>
  <c r="AH97" i="2" s="1"/>
  <c r="Y110" i="2"/>
  <c r="U92" i="2"/>
  <c r="Q108" i="2"/>
  <c r="P98" i="2"/>
  <c r="R98" i="2" s="1"/>
  <c r="S98" i="2" s="1"/>
  <c r="U61" i="2"/>
  <c r="X62" i="2"/>
  <c r="T104" i="2"/>
  <c r="V104" i="2" s="1"/>
  <c r="W104" i="2" s="1"/>
  <c r="T88" i="2"/>
  <c r="V88" i="2" s="1"/>
  <c r="W88" i="2" s="1"/>
  <c r="P78" i="2"/>
  <c r="R78" i="2" s="1"/>
  <c r="S78" i="2" s="1"/>
  <c r="T109" i="2"/>
  <c r="V109" i="2" s="1"/>
  <c r="W109" i="2" s="1"/>
  <c r="X66" i="2"/>
  <c r="Z66" i="2" s="1"/>
  <c r="AA66" i="2" s="1"/>
  <c r="AF64" i="2"/>
  <c r="X109" i="2"/>
  <c r="Z109" i="2" s="1"/>
  <c r="AA109" i="2" s="1"/>
  <c r="Y101" i="2"/>
  <c r="Y97" i="2"/>
  <c r="U71" i="2"/>
  <c r="P90" i="2"/>
  <c r="R90" i="2" s="1"/>
  <c r="S90" i="2" s="1"/>
  <c r="P81" i="2"/>
  <c r="R81" i="2" s="1"/>
  <c r="S81" i="2" s="1"/>
  <c r="Y108" i="2"/>
  <c r="T94" i="2"/>
  <c r="V94" i="2" s="1"/>
  <c r="W94" i="2" s="1"/>
  <c r="P70" i="2"/>
  <c r="R70" i="2" s="1"/>
  <c r="S70" i="2" s="1"/>
  <c r="AE90" i="2"/>
  <c r="AG90" i="2" s="1"/>
  <c r="AH90" i="2" s="1"/>
  <c r="AI99" i="2"/>
  <c r="AK99" i="2" s="1"/>
  <c r="AL99" i="2" s="1"/>
  <c r="AE64" i="2"/>
  <c r="AG64" i="2" s="1"/>
  <c r="AH64" i="2" s="1"/>
  <c r="AF80" i="2"/>
  <c r="AI91" i="2"/>
  <c r="AK91" i="2" s="1"/>
  <c r="AL91" i="2" s="1"/>
  <c r="X65" i="2"/>
  <c r="Z65" i="2" s="1"/>
  <c r="AA65" i="2" s="1"/>
  <c r="AI75" i="2"/>
  <c r="AK75" i="2" s="1"/>
  <c r="AL75" i="2" s="1"/>
  <c r="Y61" i="2"/>
  <c r="AF70" i="2"/>
  <c r="P77" i="2"/>
  <c r="R77" i="2" s="1"/>
  <c r="S77" i="2" s="1"/>
  <c r="T91" i="2"/>
  <c r="V91" i="2" s="1"/>
  <c r="W91" i="2" s="1"/>
  <c r="AJ69" i="2"/>
  <c r="X61" i="2"/>
  <c r="Z61" i="2" s="1"/>
  <c r="AA61" i="2" s="1"/>
  <c r="U91" i="2"/>
  <c r="T97" i="2"/>
  <c r="V97" i="2" s="1"/>
  <c r="W97" i="2" s="1"/>
  <c r="X63" i="2"/>
  <c r="Z63" i="2" s="1"/>
  <c r="AA63" i="2" s="1"/>
  <c r="AE95" i="2"/>
  <c r="AG95" i="2" s="1"/>
  <c r="AH95" i="2" s="1"/>
  <c r="X103" i="2"/>
  <c r="Z103" i="2" s="1"/>
  <c r="AA103" i="2" s="1"/>
  <c r="T81" i="2"/>
  <c r="V81" i="2" s="1"/>
  <c r="W81" i="2" s="1"/>
  <c r="T107" i="2"/>
  <c r="V107" i="2" s="1"/>
  <c r="W107" i="2" s="1"/>
  <c r="AI85" i="2"/>
  <c r="AK85" i="2" s="1"/>
  <c r="AL85" i="2" s="1"/>
  <c r="Q101" i="2"/>
  <c r="Q107" i="2"/>
  <c r="Y78" i="2"/>
  <c r="U78" i="2"/>
  <c r="X83" i="2"/>
  <c r="Z83" i="2" s="1"/>
  <c r="AA83" i="2" s="1"/>
  <c r="Y103" i="2"/>
  <c r="AE89" i="2"/>
  <c r="AG89" i="2" s="1"/>
  <c r="AH89" i="2" s="1"/>
  <c r="P86" i="2"/>
  <c r="R86" i="2" s="1"/>
  <c r="S86" i="2" s="1"/>
  <c r="Y85" i="2"/>
  <c r="Q64" i="2"/>
  <c r="AJ87" i="2"/>
  <c r="AI87" i="2"/>
  <c r="AK87" i="2" s="1"/>
  <c r="AL87" i="2" s="1"/>
  <c r="AE74" i="2"/>
  <c r="AG74" i="2" s="1"/>
  <c r="AH74" i="2" s="1"/>
  <c r="X88" i="2"/>
  <c r="Z88" i="2" s="1"/>
  <c r="AA88" i="2" s="1"/>
  <c r="AF72" i="2"/>
  <c r="AF90" i="2"/>
  <c r="AF79" i="2"/>
  <c r="AF100" i="2"/>
  <c r="AJ110" i="2"/>
  <c r="Q71" i="2"/>
  <c r="AE62" i="2"/>
  <c r="AG62" i="2" s="1"/>
  <c r="AH62" i="2" s="1"/>
  <c r="Y72" i="2"/>
  <c r="AE92" i="2"/>
  <c r="AG92" i="2" s="1"/>
  <c r="AH92" i="2" s="1"/>
  <c r="P101" i="2"/>
  <c r="R101" i="2" s="1"/>
  <c r="S101" i="2" s="1"/>
  <c r="X106" i="2"/>
  <c r="Z106" i="2" s="1"/>
  <c r="AA106" i="2" s="1"/>
  <c r="U66" i="2"/>
  <c r="Q90" i="2"/>
  <c r="AI64" i="2"/>
  <c r="AK64" i="2" s="1"/>
  <c r="AL64" i="2" s="1"/>
  <c r="Q68" i="2"/>
  <c r="T100" i="2"/>
  <c r="V100" i="2" s="1"/>
  <c r="W100" i="2" s="1"/>
  <c r="AF104" i="2"/>
  <c r="U88" i="2"/>
  <c r="T105" i="2"/>
  <c r="V105" i="2" s="1"/>
  <c r="W105" i="2" s="1"/>
  <c r="Y69" i="2"/>
  <c r="AI101" i="2"/>
  <c r="AK101" i="2" s="1"/>
  <c r="AL101" i="2" s="1"/>
  <c r="P88" i="2"/>
  <c r="R88" i="2" s="1"/>
  <c r="S88" i="2" s="1"/>
  <c r="X97" i="2"/>
  <c r="Z97" i="2" s="1"/>
  <c r="AA97" i="2" s="1"/>
  <c r="U63" i="2"/>
  <c r="Y96" i="2"/>
  <c r="U104" i="2"/>
  <c r="Q89" i="2"/>
  <c r="Y74" i="2"/>
  <c r="AI110" i="2"/>
  <c r="AK110" i="2" s="1"/>
  <c r="AL110" i="2" s="1"/>
  <c r="AE91" i="2"/>
  <c r="AG91" i="2" s="1"/>
  <c r="AH91" i="2" s="1"/>
  <c r="AJ68" i="2"/>
  <c r="U65" i="2"/>
  <c r="Q104" i="2"/>
  <c r="AF77" i="2"/>
  <c r="AI63" i="2"/>
  <c r="AK63" i="2" s="1"/>
  <c r="AL63" i="2" s="1"/>
  <c r="AF68" i="2"/>
  <c r="T69" i="2"/>
  <c r="V69" i="2" s="1"/>
  <c r="W69" i="2" s="1"/>
  <c r="U81" i="2"/>
  <c r="T96" i="2"/>
  <c r="V96" i="2" s="1"/>
  <c r="W96" i="2" s="1"/>
  <c r="Q62" i="2"/>
  <c r="T98" i="2"/>
  <c r="V98" i="2" s="1"/>
  <c r="W98" i="2" s="1"/>
  <c r="P71" i="2"/>
  <c r="R71" i="2" s="1"/>
  <c r="S71" i="2" s="1"/>
  <c r="U111" i="2"/>
  <c r="AE107" i="2"/>
  <c r="AG107" i="2" s="1"/>
  <c r="AH107" i="2" s="1"/>
  <c r="T103" i="2"/>
  <c r="V103" i="2" s="1"/>
  <c r="W103" i="2" s="1"/>
  <c r="P68" i="2"/>
  <c r="R68" i="2" s="1"/>
  <c r="S68" i="2" s="1"/>
  <c r="AI86" i="2"/>
  <c r="AK86" i="2" s="1"/>
  <c r="AL86" i="2" s="1"/>
  <c r="T76" i="2"/>
  <c r="V76" i="2" s="1"/>
  <c r="W76" i="2" s="1"/>
  <c r="X101" i="2"/>
  <c r="Z101" i="2" s="1"/>
  <c r="AA101" i="2" s="1"/>
  <c r="Y93" i="2"/>
  <c r="X75" i="2"/>
  <c r="Z75" i="2" s="1"/>
  <c r="AA75" i="2" s="1"/>
  <c r="AJ111" i="2"/>
  <c r="T80" i="2"/>
  <c r="V80" i="2" s="1"/>
  <c r="W80" i="2" s="1"/>
  <c r="U68" i="2"/>
  <c r="U84" i="2"/>
  <c r="AI71" i="2"/>
  <c r="AK71" i="2" s="1"/>
  <c r="AL71" i="2" s="1"/>
  <c r="AI66" i="2"/>
  <c r="AK66" i="2" s="1"/>
  <c r="AL66" i="2" s="1"/>
  <c r="AF97" i="2"/>
  <c r="X79" i="2"/>
  <c r="Z79" i="2" s="1"/>
  <c r="AA79" i="2" s="1"/>
  <c r="AE66" i="2"/>
  <c r="AG66" i="2" s="1"/>
  <c r="AH66" i="2" s="1"/>
  <c r="X108" i="2"/>
  <c r="Z108" i="2" s="1"/>
  <c r="Y66" i="2"/>
  <c r="AI95" i="2"/>
  <c r="AK95" i="2" s="1"/>
  <c r="AL95" i="2" s="1"/>
  <c r="T79" i="2"/>
  <c r="V79" i="2" s="1"/>
  <c r="W79" i="2" s="1"/>
  <c r="AE86" i="2"/>
  <c r="AG86" i="2" s="1"/>
  <c r="AH86" i="2" s="1"/>
  <c r="AI98" i="2"/>
  <c r="AK98" i="2" s="1"/>
  <c r="AL98" i="2" s="1"/>
  <c r="P69" i="2"/>
  <c r="R69" i="2" s="1"/>
  <c r="S69" i="2" s="1"/>
  <c r="Q69" i="2"/>
  <c r="AF62" i="2"/>
  <c r="P66" i="2"/>
  <c r="R66" i="2" s="1"/>
  <c r="S66" i="2" s="1"/>
  <c r="U89" i="2"/>
  <c r="U109" i="2"/>
  <c r="X70" i="2"/>
  <c r="Z70" i="2" s="1"/>
  <c r="AA70" i="2" s="1"/>
  <c r="Q84" i="2"/>
  <c r="T77" i="2"/>
  <c r="V77" i="2" s="1"/>
  <c r="P111" i="2"/>
  <c r="R111" i="2" s="1"/>
  <c r="S111" i="2" s="1"/>
  <c r="AI61" i="2"/>
  <c r="AK61" i="2" s="1"/>
  <c r="AL61" i="2" s="1"/>
  <c r="AJ104" i="2"/>
  <c r="Y104" i="2"/>
  <c r="Q105" i="2"/>
  <c r="T108" i="2"/>
  <c r="V108" i="2" s="1"/>
  <c r="W108" i="2" s="1"/>
  <c r="Y65" i="2"/>
  <c r="Q70" i="2"/>
  <c r="AF102" i="2"/>
  <c r="Y105" i="2"/>
  <c r="AJ67" i="2"/>
  <c r="Q73" i="2"/>
  <c r="U95" i="2"/>
  <c r="AE98" i="2"/>
  <c r="AG98" i="2" s="1"/>
  <c r="AH98" i="2" s="1"/>
  <c r="U82" i="2"/>
  <c r="AJ75" i="2"/>
  <c r="AJ65" i="2"/>
  <c r="P62" i="2"/>
  <c r="R62" i="2" s="1"/>
  <c r="S62" i="2" s="1"/>
  <c r="AE102" i="2"/>
  <c r="AG102" i="2" s="1"/>
  <c r="AH102" i="2" s="1"/>
  <c r="P74" i="2"/>
  <c r="R74" i="2" s="1"/>
  <c r="S74" i="2" s="1"/>
  <c r="AI72" i="2"/>
  <c r="AK72" i="2" s="1"/>
  <c r="AL72" i="2" s="1"/>
  <c r="P110" i="2"/>
  <c r="R110" i="2" s="1"/>
  <c r="S110" i="2" s="1"/>
  <c r="Q96" i="2"/>
  <c r="Y95" i="2"/>
  <c r="X93" i="2"/>
  <c r="Z93" i="2" s="1"/>
  <c r="AA93" i="2" s="1"/>
  <c r="T110" i="2"/>
  <c r="V110" i="2" s="1"/>
  <c r="W110" i="2" s="1"/>
  <c r="T65" i="2"/>
  <c r="V65" i="2" s="1"/>
  <c r="W65" i="2" s="1"/>
  <c r="T90" i="2"/>
  <c r="V90" i="2" s="1"/>
  <c r="W90" i="2" s="1"/>
  <c r="Q98" i="2"/>
  <c r="AJ92" i="2"/>
  <c r="X71" i="2"/>
  <c r="Z71" i="2" s="1"/>
  <c r="AA71" i="2" s="1"/>
  <c r="P109" i="2"/>
  <c r="R109" i="2" s="1"/>
  <c r="S109" i="2" s="1"/>
  <c r="AF84" i="2"/>
  <c r="P79" i="2"/>
  <c r="R79" i="2" s="1"/>
  <c r="S79" i="2" s="1"/>
  <c r="AI89" i="2"/>
  <c r="AK89" i="2" s="1"/>
  <c r="AL89" i="2" s="1"/>
  <c r="P84" i="2"/>
  <c r="R84" i="2" s="1"/>
  <c r="S84" i="2" s="1"/>
  <c r="X107" i="2"/>
  <c r="Z107" i="2" s="1"/>
  <c r="AA107" i="2" s="1"/>
  <c r="U83" i="2"/>
  <c r="P93" i="2"/>
  <c r="R93" i="2" s="1"/>
  <c r="S93" i="2" s="1"/>
  <c r="P61" i="2"/>
  <c r="R61" i="2" s="1"/>
  <c r="S61" i="2" s="1"/>
  <c r="AJ98" i="2"/>
  <c r="U73" i="2"/>
  <c r="AF74" i="2"/>
  <c r="T83" i="2"/>
  <c r="V83" i="2" s="1"/>
  <c r="W83" i="2" s="1"/>
  <c r="AF98" i="2"/>
  <c r="P73" i="2"/>
  <c r="R73" i="2" s="1"/>
  <c r="S73" i="2" s="1"/>
  <c r="Y86" i="2"/>
  <c r="U64" i="2"/>
  <c r="AF63" i="2"/>
  <c r="Y80" i="2"/>
  <c r="T101" i="2"/>
  <c r="V101" i="2" s="1"/>
  <c r="W101" i="2" s="1"/>
  <c r="AJ90" i="2"/>
  <c r="U98" i="2"/>
  <c r="U69" i="2"/>
  <c r="AF81" i="2"/>
  <c r="T87" i="2"/>
  <c r="V87" i="2" s="1"/>
  <c r="W87" i="2" s="1"/>
  <c r="T85" i="2"/>
  <c r="V85" i="2" s="1"/>
  <c r="W85" i="2" s="1"/>
  <c r="AF76" i="2"/>
  <c r="Q81" i="2"/>
  <c r="U100" i="2"/>
  <c r="Y73" i="2"/>
  <c r="T64" i="2"/>
  <c r="V64" i="2" s="1"/>
  <c r="W64" i="2" s="1"/>
  <c r="Q103" i="2"/>
  <c r="X87" i="2"/>
  <c r="Z87" i="2" s="1"/>
  <c r="AA87" i="2" s="1"/>
  <c r="AF89" i="2"/>
  <c r="X84" i="2"/>
  <c r="Z84" i="2" s="1"/>
  <c r="AA84" i="2" s="1"/>
  <c r="U107" i="2"/>
  <c r="P91" i="2"/>
  <c r="R91" i="2" s="1"/>
  <c r="S91" i="2" s="1"/>
  <c r="P80" i="2"/>
  <c r="R80" i="2" s="1"/>
  <c r="AI68" i="2"/>
  <c r="AK68" i="2" s="1"/>
  <c r="AL68" i="2" s="1"/>
  <c r="AJ66" i="2"/>
  <c r="Y109" i="2"/>
  <c r="AE110" i="2"/>
  <c r="AG110" i="2" s="1"/>
  <c r="AH110" i="2" s="1"/>
  <c r="AF69" i="2"/>
  <c r="P107" i="2"/>
  <c r="AF103" i="2"/>
  <c r="AJ100" i="2"/>
  <c r="Q94" i="2"/>
  <c r="U77" i="2"/>
  <c r="AF87" i="2"/>
  <c r="Q110" i="2"/>
  <c r="U102" i="2"/>
  <c r="Q82" i="2"/>
  <c r="Q77" i="2"/>
  <c r="Y68" i="2"/>
  <c r="AE73" i="2"/>
  <c r="AG73" i="2" s="1"/>
  <c r="AH73" i="2" s="1"/>
  <c r="X73" i="2"/>
  <c r="Z73" i="2" s="1"/>
  <c r="AA73" i="2" s="1"/>
  <c r="T70" i="2"/>
  <c r="V70" i="2" s="1"/>
  <c r="W70" i="2" s="1"/>
  <c r="AE77" i="2"/>
  <c r="AG77" i="2" s="1"/>
  <c r="AH77" i="2" s="1"/>
  <c r="Q95" i="2"/>
  <c r="AE84" i="2"/>
  <c r="AG84" i="2" s="1"/>
  <c r="AH84" i="2" s="1"/>
  <c r="T74" i="2"/>
  <c r="V74" i="2" s="1"/>
  <c r="W74" i="2" s="1"/>
  <c r="Y87" i="2"/>
  <c r="P99" i="2"/>
  <c r="R99" i="2" s="1"/>
  <c r="S99" i="2" s="1"/>
  <c r="T61" i="2"/>
  <c r="V61" i="2" s="1"/>
  <c r="W61" i="2" s="1"/>
  <c r="Y92" i="2"/>
  <c r="Y89" i="2"/>
  <c r="AJ91" i="2"/>
  <c r="Y75" i="2"/>
  <c r="P108" i="2"/>
  <c r="R108" i="2" s="1"/>
  <c r="S108" i="2" s="1"/>
  <c r="U86" i="2"/>
  <c r="X89" i="2"/>
  <c r="Z89" i="2" s="1"/>
  <c r="AA89" i="2" s="1"/>
  <c r="AJ93" i="2"/>
  <c r="AF109" i="2"/>
  <c r="AE93" i="2"/>
  <c r="AG93" i="2" s="1"/>
  <c r="AH93" i="2" s="1"/>
  <c r="AE61" i="2"/>
  <c r="AG61" i="2" s="1"/>
  <c r="AH61" i="2" s="1"/>
  <c r="Q79" i="2"/>
  <c r="U85" i="2"/>
  <c r="Y107" i="2"/>
  <c r="AI111" i="2"/>
  <c r="AK111" i="2" s="1"/>
  <c r="AL111" i="2" s="1"/>
  <c r="U105" i="2"/>
  <c r="Q66" i="2"/>
  <c r="U72" i="2"/>
  <c r="AJ76" i="2"/>
  <c r="T92" i="2"/>
  <c r="V92" i="2" s="1"/>
  <c r="W92" i="2" s="1"/>
  <c r="AF92" i="2"/>
  <c r="P104" i="2"/>
  <c r="R104" i="2" s="1"/>
  <c r="S104" i="2" s="1"/>
  <c r="Q74" i="2"/>
  <c r="Q91" i="2"/>
  <c r="X74" i="2"/>
  <c r="Z74" i="2" s="1"/>
  <c r="AA74" i="2" s="1"/>
  <c r="AI88" i="2"/>
  <c r="AK88" i="2" s="1"/>
  <c r="AL88" i="2" s="1"/>
  <c r="X67" i="2"/>
  <c r="Z67" i="2" s="1"/>
  <c r="AA67" i="2" s="1"/>
  <c r="AF78" i="2"/>
  <c r="AI92" i="2"/>
  <c r="AK92" i="2" s="1"/>
  <c r="AL92" i="2" s="1"/>
  <c r="X104" i="2"/>
  <c r="Z104" i="2" s="1"/>
  <c r="AA104" i="2" s="1"/>
  <c r="Q76" i="2"/>
  <c r="J134" i="6" l="1"/>
  <c r="K134" i="6" s="1"/>
  <c r="E134" i="6"/>
  <c r="I226" i="6"/>
  <c r="H226" i="6"/>
  <c r="B168" i="2"/>
  <c r="B137" i="6"/>
  <c r="C137" i="6" s="1"/>
  <c r="G134" i="6"/>
  <c r="E135" i="6"/>
  <c r="F135" i="6"/>
  <c r="J135" i="6"/>
  <c r="G135" i="6"/>
  <c r="E226" i="6"/>
  <c r="F226" i="6"/>
  <c r="J226" i="6"/>
  <c r="E136" i="6"/>
  <c r="F136" i="6"/>
  <c r="J136" i="6"/>
  <c r="G136" i="6"/>
  <c r="O227" i="6"/>
  <c r="D227" i="6"/>
  <c r="B187" i="2"/>
  <c r="B192" i="2"/>
  <c r="H210" i="6"/>
  <c r="I210" i="6"/>
  <c r="I204" i="6"/>
  <c r="H204" i="6"/>
  <c r="I214" i="6"/>
  <c r="H214" i="6"/>
  <c r="I203" i="6"/>
  <c r="H203" i="6"/>
  <c r="H170" i="6"/>
  <c r="I170" i="6"/>
  <c r="H212" i="6"/>
  <c r="I212" i="6"/>
  <c r="I223" i="6"/>
  <c r="H223" i="6"/>
  <c r="H181" i="6"/>
  <c r="I181" i="6"/>
  <c r="H217" i="6"/>
  <c r="I217" i="6"/>
  <c r="H207" i="6"/>
  <c r="I207" i="6"/>
  <c r="E93" i="6"/>
  <c r="F93" i="6"/>
  <c r="J93" i="6"/>
  <c r="G93" i="6"/>
  <c r="I176" i="6"/>
  <c r="H176" i="6"/>
  <c r="H177" i="6"/>
  <c r="I177" i="6"/>
  <c r="J196" i="6"/>
  <c r="E196" i="6"/>
  <c r="F196" i="6"/>
  <c r="J195" i="6"/>
  <c r="E195" i="6"/>
  <c r="F195" i="6"/>
  <c r="E96" i="6"/>
  <c r="F96" i="6"/>
  <c r="G96" i="6"/>
  <c r="J96" i="6"/>
  <c r="I221" i="6"/>
  <c r="H221" i="6"/>
  <c r="I211" i="6"/>
  <c r="H211" i="6"/>
  <c r="E125" i="6"/>
  <c r="F125" i="6"/>
  <c r="J125" i="6"/>
  <c r="G125" i="6"/>
  <c r="J201" i="6"/>
  <c r="E201" i="6"/>
  <c r="F201" i="6"/>
  <c r="J190" i="6"/>
  <c r="E190" i="6"/>
  <c r="F190" i="6"/>
  <c r="E122" i="6"/>
  <c r="F122" i="6"/>
  <c r="G122" i="6"/>
  <c r="J122" i="6"/>
  <c r="J222" i="6"/>
  <c r="E222" i="6"/>
  <c r="F222" i="6"/>
  <c r="E132" i="6"/>
  <c r="F132" i="6"/>
  <c r="J132" i="6"/>
  <c r="G132" i="6"/>
  <c r="I186" i="6"/>
  <c r="H186" i="6"/>
  <c r="J216" i="6"/>
  <c r="E216" i="6"/>
  <c r="F216" i="6"/>
  <c r="E131" i="6"/>
  <c r="F131" i="6"/>
  <c r="G131" i="6"/>
  <c r="J131" i="6"/>
  <c r="G196" i="6"/>
  <c r="J208" i="6"/>
  <c r="E208" i="6"/>
  <c r="F208" i="6"/>
  <c r="J192" i="6"/>
  <c r="F192" i="6"/>
  <c r="E192" i="6"/>
  <c r="F114" i="6"/>
  <c r="E114" i="6"/>
  <c r="G114" i="6"/>
  <c r="J114" i="6"/>
  <c r="J193" i="6"/>
  <c r="E193" i="6"/>
  <c r="F193" i="6"/>
  <c r="F110" i="6"/>
  <c r="E110" i="6"/>
  <c r="J110" i="6"/>
  <c r="G110" i="6"/>
  <c r="E81" i="6"/>
  <c r="F81" i="6"/>
  <c r="G81" i="6"/>
  <c r="J81" i="6"/>
  <c r="E82" i="6"/>
  <c r="F82" i="6"/>
  <c r="J82" i="6"/>
  <c r="G82" i="6"/>
  <c r="F89" i="6"/>
  <c r="E89" i="6"/>
  <c r="J89" i="6"/>
  <c r="G89" i="6"/>
  <c r="I185" i="6"/>
  <c r="H185" i="6"/>
  <c r="J198" i="6"/>
  <c r="E198" i="6"/>
  <c r="F198" i="6"/>
  <c r="G79" i="6"/>
  <c r="J79" i="6"/>
  <c r="F79" i="6"/>
  <c r="E79" i="6"/>
  <c r="J171" i="6"/>
  <c r="F171" i="6"/>
  <c r="E171" i="6"/>
  <c r="F99" i="6"/>
  <c r="E99" i="6"/>
  <c r="G99" i="6"/>
  <c r="J99" i="6"/>
  <c r="E133" i="6"/>
  <c r="F133" i="6"/>
  <c r="G133" i="6"/>
  <c r="J133" i="6"/>
  <c r="F113" i="6"/>
  <c r="E113" i="6"/>
  <c r="J113" i="6"/>
  <c r="G113" i="6"/>
  <c r="J220" i="6"/>
  <c r="F220" i="6"/>
  <c r="E220" i="6"/>
  <c r="J206" i="6"/>
  <c r="F206" i="6"/>
  <c r="E206" i="6"/>
  <c r="J185" i="6"/>
  <c r="E185" i="6"/>
  <c r="F185" i="6"/>
  <c r="J215" i="6"/>
  <c r="E215" i="6"/>
  <c r="F215" i="6"/>
  <c r="F112" i="6"/>
  <c r="E112" i="6"/>
  <c r="J112" i="6"/>
  <c r="G112" i="6"/>
  <c r="F91" i="6"/>
  <c r="E91" i="6"/>
  <c r="J91" i="6"/>
  <c r="G91" i="6"/>
  <c r="I182" i="6"/>
  <c r="H182" i="6"/>
  <c r="F116" i="6"/>
  <c r="E116" i="6"/>
  <c r="G116" i="6"/>
  <c r="J116" i="6"/>
  <c r="I199" i="6"/>
  <c r="H199" i="6"/>
  <c r="H179" i="6"/>
  <c r="I179" i="6"/>
  <c r="E126" i="6"/>
  <c r="F126" i="6"/>
  <c r="J126" i="6"/>
  <c r="G126" i="6"/>
  <c r="F119" i="6"/>
  <c r="E119" i="6"/>
  <c r="G119" i="6"/>
  <c r="J119" i="6"/>
  <c r="J191" i="6"/>
  <c r="F191" i="6"/>
  <c r="E191" i="6"/>
  <c r="E128" i="6"/>
  <c r="F128" i="6"/>
  <c r="J128" i="6"/>
  <c r="G128" i="6"/>
  <c r="J204" i="6"/>
  <c r="E204" i="6"/>
  <c r="F204" i="6"/>
  <c r="E120" i="6"/>
  <c r="F120" i="6"/>
  <c r="J120" i="6"/>
  <c r="G120" i="6"/>
  <c r="F90" i="6"/>
  <c r="E90" i="6"/>
  <c r="G90" i="6"/>
  <c r="J90" i="6"/>
  <c r="I197" i="6"/>
  <c r="H197" i="6"/>
  <c r="H215" i="6"/>
  <c r="I215" i="6"/>
  <c r="J213" i="6"/>
  <c r="E213" i="6"/>
  <c r="F213" i="6"/>
  <c r="E124" i="6"/>
  <c r="F124" i="6"/>
  <c r="J124" i="6"/>
  <c r="G124" i="6"/>
  <c r="J211" i="6"/>
  <c r="F211" i="6"/>
  <c r="E211" i="6"/>
  <c r="J173" i="6"/>
  <c r="F173" i="6"/>
  <c r="E173" i="6"/>
  <c r="E92" i="6"/>
  <c r="F92" i="6"/>
  <c r="G92" i="6"/>
  <c r="J92" i="6"/>
  <c r="J218" i="6"/>
  <c r="E218" i="6"/>
  <c r="F218" i="6"/>
  <c r="F130" i="6"/>
  <c r="E130" i="6"/>
  <c r="J130" i="6"/>
  <c r="G130" i="6"/>
  <c r="F83" i="6"/>
  <c r="E83" i="6"/>
  <c r="G83" i="6"/>
  <c r="J83" i="6"/>
  <c r="J180" i="6"/>
  <c r="F180" i="6"/>
  <c r="E180" i="6"/>
  <c r="E108" i="6"/>
  <c r="F108" i="6"/>
  <c r="J108" i="6"/>
  <c r="G108" i="6"/>
  <c r="E87" i="6"/>
  <c r="F87" i="6"/>
  <c r="G87" i="6"/>
  <c r="J87" i="6"/>
  <c r="G222" i="6"/>
  <c r="E127" i="6"/>
  <c r="F127" i="6"/>
  <c r="J127" i="6"/>
  <c r="G127" i="6"/>
  <c r="G213" i="6"/>
  <c r="J200" i="6"/>
  <c r="E200" i="6"/>
  <c r="F200" i="6"/>
  <c r="J175" i="6"/>
  <c r="F175" i="6"/>
  <c r="E175" i="6"/>
  <c r="G190" i="6"/>
  <c r="E84" i="6"/>
  <c r="F84" i="6"/>
  <c r="J84" i="6"/>
  <c r="G84" i="6"/>
  <c r="J203" i="6"/>
  <c r="E203" i="6"/>
  <c r="F203" i="6"/>
  <c r="I202" i="6"/>
  <c r="H202" i="6"/>
  <c r="E129" i="6"/>
  <c r="F129" i="6"/>
  <c r="G129" i="6"/>
  <c r="J129" i="6"/>
  <c r="J189" i="6"/>
  <c r="E189" i="6"/>
  <c r="F189" i="6"/>
  <c r="H169" i="6"/>
  <c r="I169" i="6"/>
  <c r="E105" i="6"/>
  <c r="F105" i="6"/>
  <c r="J105" i="6"/>
  <c r="G105" i="6"/>
  <c r="F94" i="6"/>
  <c r="E94" i="6"/>
  <c r="J94" i="6"/>
  <c r="G94" i="6"/>
  <c r="J169" i="6"/>
  <c r="E169" i="6"/>
  <c r="F169" i="6"/>
  <c r="J174" i="6"/>
  <c r="E174" i="6"/>
  <c r="F174" i="6"/>
  <c r="H175" i="6"/>
  <c r="I175" i="6"/>
  <c r="J210" i="6"/>
  <c r="F210" i="6"/>
  <c r="E210" i="6"/>
  <c r="E86" i="6"/>
  <c r="F86" i="6"/>
  <c r="J86" i="6"/>
  <c r="G86" i="6"/>
  <c r="E104" i="6"/>
  <c r="F104" i="6"/>
  <c r="G104" i="6"/>
  <c r="J104" i="6"/>
  <c r="J194" i="6"/>
  <c r="F194" i="6"/>
  <c r="E194" i="6"/>
  <c r="H220" i="6"/>
  <c r="I220" i="6"/>
  <c r="J212" i="6"/>
  <c r="E212" i="6"/>
  <c r="F212" i="6"/>
  <c r="H224" i="6"/>
  <c r="I224" i="6"/>
  <c r="H216" i="6"/>
  <c r="I216" i="6"/>
  <c r="I198" i="6"/>
  <c r="H198" i="6"/>
  <c r="E101" i="6"/>
  <c r="F101" i="6"/>
  <c r="J101" i="6"/>
  <c r="G101" i="6"/>
  <c r="J172" i="6"/>
  <c r="F172" i="6"/>
  <c r="E172" i="6"/>
  <c r="E121" i="6"/>
  <c r="F121" i="6"/>
  <c r="G121" i="6"/>
  <c r="J121" i="6"/>
  <c r="J214" i="6"/>
  <c r="F214" i="6"/>
  <c r="E214" i="6"/>
  <c r="I192" i="6"/>
  <c r="H192" i="6"/>
  <c r="J209" i="6"/>
  <c r="E209" i="6"/>
  <c r="F209" i="6"/>
  <c r="J170" i="6"/>
  <c r="F170" i="6"/>
  <c r="E170" i="6"/>
  <c r="G208" i="6"/>
  <c r="F115" i="6"/>
  <c r="E115" i="6"/>
  <c r="G115" i="6"/>
  <c r="J115" i="6"/>
  <c r="E107" i="6"/>
  <c r="F107" i="6"/>
  <c r="J107" i="6"/>
  <c r="G107" i="6"/>
  <c r="F97" i="6"/>
  <c r="E97" i="6"/>
  <c r="J97" i="6"/>
  <c r="G97" i="6"/>
  <c r="I184" i="6"/>
  <c r="H184" i="6"/>
  <c r="J197" i="6"/>
  <c r="E197" i="6"/>
  <c r="F197" i="6"/>
  <c r="F123" i="6"/>
  <c r="E123" i="6"/>
  <c r="G123" i="6"/>
  <c r="J123" i="6"/>
  <c r="G195" i="6"/>
  <c r="J217" i="6"/>
  <c r="E217" i="6"/>
  <c r="F217" i="6"/>
  <c r="J183" i="6"/>
  <c r="F183" i="6"/>
  <c r="E183" i="6"/>
  <c r="F88" i="6"/>
  <c r="E88" i="6"/>
  <c r="J88" i="6"/>
  <c r="G88" i="6"/>
  <c r="J176" i="6"/>
  <c r="F176" i="6"/>
  <c r="E176" i="6"/>
  <c r="J186" i="6"/>
  <c r="F186" i="6"/>
  <c r="E186" i="6"/>
  <c r="E224" i="6"/>
  <c r="F224" i="6"/>
  <c r="J224" i="6"/>
  <c r="G191" i="6"/>
  <c r="J177" i="6"/>
  <c r="E177" i="6"/>
  <c r="F177" i="6"/>
  <c r="J221" i="6"/>
  <c r="F221" i="6"/>
  <c r="E221" i="6"/>
  <c r="G193" i="6"/>
  <c r="E106" i="6"/>
  <c r="F106" i="6"/>
  <c r="G106" i="6"/>
  <c r="J106" i="6"/>
  <c r="J199" i="6"/>
  <c r="F199" i="6"/>
  <c r="E199" i="6"/>
  <c r="J202" i="6"/>
  <c r="F202" i="6"/>
  <c r="E202" i="6"/>
  <c r="E80" i="6"/>
  <c r="F80" i="6"/>
  <c r="J80" i="6"/>
  <c r="G80" i="6"/>
  <c r="J181" i="6"/>
  <c r="E181" i="6"/>
  <c r="F181" i="6"/>
  <c r="E100" i="6"/>
  <c r="F100" i="6"/>
  <c r="J100" i="6"/>
  <c r="G100" i="6"/>
  <c r="I218" i="6"/>
  <c r="H218" i="6"/>
  <c r="J187" i="6"/>
  <c r="F187" i="6"/>
  <c r="E187" i="6"/>
  <c r="F103" i="6"/>
  <c r="E103" i="6"/>
  <c r="J103" i="6"/>
  <c r="G103" i="6"/>
  <c r="H209" i="6"/>
  <c r="I209" i="6"/>
  <c r="H172" i="6"/>
  <c r="I172" i="6"/>
  <c r="I189" i="6"/>
  <c r="H189" i="6"/>
  <c r="H173" i="6"/>
  <c r="I173" i="6"/>
  <c r="J219" i="6"/>
  <c r="F219" i="6"/>
  <c r="E219" i="6"/>
  <c r="G219" i="6"/>
  <c r="F111" i="6"/>
  <c r="E111" i="6"/>
  <c r="J111" i="6"/>
  <c r="G111" i="6"/>
  <c r="I206" i="6"/>
  <c r="H206" i="6"/>
  <c r="I205" i="6"/>
  <c r="H205" i="6"/>
  <c r="J223" i="6"/>
  <c r="E223" i="6"/>
  <c r="F223" i="6"/>
  <c r="F117" i="6"/>
  <c r="E117" i="6"/>
  <c r="G117" i="6"/>
  <c r="J117" i="6"/>
  <c r="F98" i="6"/>
  <c r="E98" i="6"/>
  <c r="J98" i="6"/>
  <c r="G98" i="6"/>
  <c r="G194" i="6"/>
  <c r="J205" i="6"/>
  <c r="E205" i="6"/>
  <c r="F205" i="6"/>
  <c r="F95" i="6"/>
  <c r="E95" i="6"/>
  <c r="G95" i="6"/>
  <c r="J95" i="6"/>
  <c r="G187" i="6"/>
  <c r="G180" i="6"/>
  <c r="I178" i="6"/>
  <c r="H178" i="6"/>
  <c r="E109" i="6"/>
  <c r="F109" i="6"/>
  <c r="G109" i="6"/>
  <c r="J109" i="6"/>
  <c r="G200" i="6"/>
  <c r="J179" i="6"/>
  <c r="E179" i="6"/>
  <c r="F179" i="6"/>
  <c r="J178" i="6"/>
  <c r="E178" i="6"/>
  <c r="F178" i="6"/>
  <c r="J188" i="6"/>
  <c r="E188" i="6"/>
  <c r="F188" i="6"/>
  <c r="E85" i="6"/>
  <c r="F85" i="6"/>
  <c r="J85" i="6"/>
  <c r="G85" i="6"/>
  <c r="I174" i="6"/>
  <c r="H174" i="6"/>
  <c r="G201" i="6"/>
  <c r="F118" i="6"/>
  <c r="E118" i="6"/>
  <c r="J118" i="6"/>
  <c r="G118" i="6"/>
  <c r="G183" i="6"/>
  <c r="J207" i="6"/>
  <c r="F207" i="6"/>
  <c r="E207" i="6"/>
  <c r="J184" i="6"/>
  <c r="F184" i="6"/>
  <c r="E184" i="6"/>
  <c r="G171" i="6"/>
  <c r="F102" i="6"/>
  <c r="E102" i="6"/>
  <c r="J102" i="6"/>
  <c r="G102" i="6"/>
  <c r="G188" i="6"/>
  <c r="J182" i="6"/>
  <c r="F182" i="6"/>
  <c r="E182" i="6"/>
  <c r="B39" i="1"/>
  <c r="B67" i="2"/>
  <c r="B45" i="1" s="1"/>
  <c r="D70" i="2"/>
  <c r="AH82" i="2"/>
  <c r="AH105" i="2"/>
  <c r="AL109" i="2"/>
  <c r="AH81" i="2"/>
  <c r="AK104" i="2"/>
  <c r="AL104" i="2" s="1"/>
  <c r="W95" i="2"/>
  <c r="Z95" i="2"/>
  <c r="AA95" i="2" s="1"/>
  <c r="AH88" i="2"/>
  <c r="AL94" i="2"/>
  <c r="AG100" i="2"/>
  <c r="AH100" i="2" s="1"/>
  <c r="Z62" i="2"/>
  <c r="AA62" i="2" s="1"/>
  <c r="AL74" i="2"/>
  <c r="AH96" i="2"/>
  <c r="AG72" i="2"/>
  <c r="AH72" i="2" s="1"/>
  <c r="W77" i="2"/>
  <c r="AA108" i="2"/>
  <c r="Z72" i="2"/>
  <c r="AA72" i="2" s="1"/>
  <c r="R75" i="2"/>
  <c r="S75" i="2" s="1"/>
  <c r="S80" i="2"/>
  <c r="AG70" i="2"/>
  <c r="AH70" i="2" s="1"/>
  <c r="R107" i="2"/>
  <c r="S107" i="2" s="1"/>
  <c r="R134" i="6" l="1"/>
  <c r="X134" i="6" s="1"/>
  <c r="Z134" i="6" s="1"/>
  <c r="L134" i="6"/>
  <c r="I136" i="6"/>
  <c r="H136" i="6"/>
  <c r="K136" i="6"/>
  <c r="L136" i="6"/>
  <c r="R136" i="6"/>
  <c r="E227" i="6"/>
  <c r="F227" i="6"/>
  <c r="G227" i="6"/>
  <c r="L135" i="6"/>
  <c r="K135" i="6"/>
  <c r="R135" i="6"/>
  <c r="H134" i="6"/>
  <c r="I134" i="6"/>
  <c r="Q227" i="6"/>
  <c r="P227" i="6"/>
  <c r="L226" i="6"/>
  <c r="K226" i="6"/>
  <c r="R226" i="6"/>
  <c r="D137" i="6"/>
  <c r="U137" i="6"/>
  <c r="O137" i="6"/>
  <c r="B188" i="2"/>
  <c r="B175" i="1" s="1"/>
  <c r="B228" i="6"/>
  <c r="C228" i="6" s="1"/>
  <c r="J227" i="6"/>
  <c r="I135" i="6"/>
  <c r="H135" i="6"/>
  <c r="I171" i="6"/>
  <c r="H171" i="6"/>
  <c r="H219" i="6"/>
  <c r="I219" i="6"/>
  <c r="I115" i="6"/>
  <c r="H115" i="6"/>
  <c r="L104" i="6"/>
  <c r="K104" i="6"/>
  <c r="R104" i="6"/>
  <c r="X104" i="6" s="1"/>
  <c r="K218" i="6"/>
  <c r="L218" i="6"/>
  <c r="R218" i="6"/>
  <c r="H112" i="6"/>
  <c r="I112" i="6"/>
  <c r="I89" i="6"/>
  <c r="H89" i="6"/>
  <c r="I125" i="6"/>
  <c r="H125" i="6"/>
  <c r="R209" i="6"/>
  <c r="K209" i="6"/>
  <c r="L209" i="6"/>
  <c r="I104" i="6"/>
  <c r="H104" i="6"/>
  <c r="L129" i="6"/>
  <c r="K129" i="6"/>
  <c r="R129" i="6"/>
  <c r="X129" i="6" s="1"/>
  <c r="K204" i="6"/>
  <c r="L204" i="6"/>
  <c r="R204" i="6"/>
  <c r="R207" i="6"/>
  <c r="K207" i="6"/>
  <c r="L207" i="6"/>
  <c r="H109" i="6"/>
  <c r="I109" i="6"/>
  <c r="H95" i="6"/>
  <c r="I95" i="6"/>
  <c r="L98" i="6"/>
  <c r="K98" i="6"/>
  <c r="R98" i="6"/>
  <c r="X98" i="6" s="1"/>
  <c r="K100" i="6"/>
  <c r="L100" i="6"/>
  <c r="R100" i="6"/>
  <c r="X100" i="6" s="1"/>
  <c r="L106" i="6"/>
  <c r="K106" i="6"/>
  <c r="R106" i="6"/>
  <c r="X106" i="6" s="1"/>
  <c r="K123" i="6"/>
  <c r="L123" i="6"/>
  <c r="R123" i="6"/>
  <c r="X123" i="6" s="1"/>
  <c r="K170" i="6"/>
  <c r="L170" i="6"/>
  <c r="R170" i="6"/>
  <c r="L214" i="6"/>
  <c r="K214" i="6"/>
  <c r="R214" i="6"/>
  <c r="I101" i="6"/>
  <c r="H101" i="6"/>
  <c r="I190" i="6"/>
  <c r="H190" i="6"/>
  <c r="I127" i="6"/>
  <c r="H127" i="6"/>
  <c r="K83" i="6"/>
  <c r="L83" i="6"/>
  <c r="R83" i="6"/>
  <c r="X83" i="6" s="1"/>
  <c r="L126" i="6"/>
  <c r="K126" i="6"/>
  <c r="R126" i="6"/>
  <c r="X126" i="6" s="1"/>
  <c r="L116" i="6"/>
  <c r="K116" i="6"/>
  <c r="R116" i="6"/>
  <c r="X116" i="6" s="1"/>
  <c r="K215" i="6"/>
  <c r="L215" i="6"/>
  <c r="L171" i="6"/>
  <c r="K171" i="6"/>
  <c r="R171" i="6"/>
  <c r="L131" i="6"/>
  <c r="K131" i="6"/>
  <c r="R131" i="6"/>
  <c r="X131" i="6" s="1"/>
  <c r="K122" i="6"/>
  <c r="L122" i="6"/>
  <c r="R122" i="6"/>
  <c r="X122" i="6" s="1"/>
  <c r="K195" i="6"/>
  <c r="L195" i="6"/>
  <c r="R195" i="6"/>
  <c r="I93" i="6"/>
  <c r="H93" i="6"/>
  <c r="H183" i="6"/>
  <c r="I183" i="6"/>
  <c r="H85" i="6"/>
  <c r="I85" i="6"/>
  <c r="R223" i="6"/>
  <c r="K223" i="6"/>
  <c r="L223" i="6"/>
  <c r="I106" i="6"/>
  <c r="H106" i="6"/>
  <c r="K186" i="6"/>
  <c r="L186" i="6"/>
  <c r="R186" i="6"/>
  <c r="I123" i="6"/>
  <c r="H123" i="6"/>
  <c r="I97" i="6"/>
  <c r="H97" i="6"/>
  <c r="K115" i="6"/>
  <c r="L115" i="6"/>
  <c r="R115" i="6"/>
  <c r="X115" i="6" s="1"/>
  <c r="L121" i="6"/>
  <c r="K121" i="6"/>
  <c r="R121" i="6"/>
  <c r="X121" i="6" s="1"/>
  <c r="K101" i="6"/>
  <c r="L101" i="6"/>
  <c r="R101" i="6"/>
  <c r="X101" i="6" s="1"/>
  <c r="K194" i="6"/>
  <c r="L194" i="6"/>
  <c r="R194" i="6"/>
  <c r="L127" i="6"/>
  <c r="K127" i="6"/>
  <c r="R127" i="6"/>
  <c r="X127" i="6" s="1"/>
  <c r="I108" i="6"/>
  <c r="H108" i="6"/>
  <c r="I83" i="6"/>
  <c r="H83" i="6"/>
  <c r="R173" i="6"/>
  <c r="K173" i="6"/>
  <c r="L173" i="6"/>
  <c r="L90" i="6"/>
  <c r="K90" i="6"/>
  <c r="R90" i="6"/>
  <c r="X90" i="6" s="1"/>
  <c r="I116" i="6"/>
  <c r="H116" i="6"/>
  <c r="K220" i="6"/>
  <c r="L220" i="6"/>
  <c r="R220" i="6"/>
  <c r="I131" i="6"/>
  <c r="H131" i="6"/>
  <c r="H132" i="6"/>
  <c r="I132" i="6"/>
  <c r="I122" i="6"/>
  <c r="H122" i="6"/>
  <c r="L201" i="6"/>
  <c r="K201" i="6"/>
  <c r="L93" i="6"/>
  <c r="K93" i="6"/>
  <c r="R93" i="6"/>
  <c r="X93" i="6" s="1"/>
  <c r="K177" i="6"/>
  <c r="L177" i="6"/>
  <c r="R177" i="6"/>
  <c r="L189" i="6"/>
  <c r="K189" i="6"/>
  <c r="R189" i="6"/>
  <c r="H90" i="6"/>
  <c r="I90" i="6"/>
  <c r="K99" i="6"/>
  <c r="L99" i="6"/>
  <c r="R99" i="6"/>
  <c r="X99" i="6" s="1"/>
  <c r="L96" i="6"/>
  <c r="K96" i="6"/>
  <c r="R96" i="6"/>
  <c r="X96" i="6" s="1"/>
  <c r="I191" i="6"/>
  <c r="H191" i="6"/>
  <c r="L175" i="6"/>
  <c r="K175" i="6"/>
  <c r="K92" i="6"/>
  <c r="L92" i="6"/>
  <c r="R92" i="6"/>
  <c r="X92" i="6" s="1"/>
  <c r="L119" i="6"/>
  <c r="K119" i="6"/>
  <c r="R119" i="6"/>
  <c r="X119" i="6" s="1"/>
  <c r="K113" i="6"/>
  <c r="L113" i="6"/>
  <c r="R113" i="6"/>
  <c r="X113" i="6" s="1"/>
  <c r="L182" i="6"/>
  <c r="K182" i="6"/>
  <c r="R182" i="6"/>
  <c r="K202" i="6"/>
  <c r="L202" i="6"/>
  <c r="R202" i="6"/>
  <c r="R176" i="6"/>
  <c r="L176" i="6"/>
  <c r="K176" i="6"/>
  <c r="I129" i="6"/>
  <c r="H129" i="6"/>
  <c r="H84" i="6"/>
  <c r="I84" i="6"/>
  <c r="I130" i="6"/>
  <c r="H130" i="6"/>
  <c r="R193" i="6"/>
  <c r="K193" i="6"/>
  <c r="L193" i="6"/>
  <c r="I188" i="6"/>
  <c r="H188" i="6"/>
  <c r="K184" i="6"/>
  <c r="L184" i="6"/>
  <c r="R184" i="6"/>
  <c r="K179" i="6"/>
  <c r="L179" i="6"/>
  <c r="R179" i="6"/>
  <c r="H180" i="6"/>
  <c r="I180" i="6"/>
  <c r="K205" i="6"/>
  <c r="L205" i="6"/>
  <c r="R205" i="6"/>
  <c r="K219" i="6"/>
  <c r="L219" i="6"/>
  <c r="R219" i="6"/>
  <c r="K181" i="6"/>
  <c r="L181" i="6"/>
  <c r="R181" i="6"/>
  <c r="H88" i="6"/>
  <c r="I88" i="6"/>
  <c r="I107" i="6"/>
  <c r="H107" i="6"/>
  <c r="H208" i="6"/>
  <c r="I208" i="6"/>
  <c r="R169" i="6"/>
  <c r="K169" i="6"/>
  <c r="L169" i="6"/>
  <c r="L84" i="6"/>
  <c r="K84" i="6"/>
  <c r="R84" i="6"/>
  <c r="X84" i="6" s="1"/>
  <c r="K87" i="6"/>
  <c r="L87" i="6"/>
  <c r="R87" i="6"/>
  <c r="X87" i="6" s="1"/>
  <c r="L130" i="6"/>
  <c r="K130" i="6"/>
  <c r="R130" i="6"/>
  <c r="X130" i="6" s="1"/>
  <c r="I124" i="6"/>
  <c r="H124" i="6"/>
  <c r="H120" i="6"/>
  <c r="I120" i="6"/>
  <c r="L128" i="6"/>
  <c r="K128" i="6"/>
  <c r="R128" i="6"/>
  <c r="X128" i="6" s="1"/>
  <c r="L114" i="6"/>
  <c r="K114" i="6"/>
  <c r="R114" i="6"/>
  <c r="X114" i="6" s="1"/>
  <c r="H118" i="6"/>
  <c r="I118" i="6"/>
  <c r="K85" i="6"/>
  <c r="L85" i="6"/>
  <c r="R85" i="6"/>
  <c r="X85" i="6" s="1"/>
  <c r="L97" i="6"/>
  <c r="K97" i="6"/>
  <c r="R97" i="6"/>
  <c r="X97" i="6" s="1"/>
  <c r="H121" i="6"/>
  <c r="I121" i="6"/>
  <c r="R191" i="6"/>
  <c r="K191" i="6"/>
  <c r="L191" i="6"/>
  <c r="K81" i="6"/>
  <c r="L81" i="6"/>
  <c r="R81" i="6"/>
  <c r="X81" i="6" s="1"/>
  <c r="K183" i="6"/>
  <c r="L183" i="6"/>
  <c r="R183" i="6"/>
  <c r="K105" i="6"/>
  <c r="L105" i="6"/>
  <c r="R105" i="6"/>
  <c r="X105" i="6" s="1"/>
  <c r="L213" i="6"/>
  <c r="K213" i="6"/>
  <c r="R213" i="6"/>
  <c r="K112" i="6"/>
  <c r="L112" i="6"/>
  <c r="R112" i="6"/>
  <c r="X112" i="6" s="1"/>
  <c r="K79" i="6"/>
  <c r="L79" i="6"/>
  <c r="R79" i="6"/>
  <c r="X79" i="6" s="1"/>
  <c r="L89" i="6"/>
  <c r="K89" i="6"/>
  <c r="R89" i="6"/>
  <c r="X89" i="6" s="1"/>
  <c r="I81" i="6"/>
  <c r="H81" i="6"/>
  <c r="R196" i="6"/>
  <c r="L196" i="6"/>
  <c r="K196" i="6"/>
  <c r="K187" i="6"/>
  <c r="L187" i="6"/>
  <c r="R187" i="6"/>
  <c r="I193" i="6"/>
  <c r="H193" i="6"/>
  <c r="K212" i="6"/>
  <c r="L212" i="6"/>
  <c r="R212" i="6"/>
  <c r="I222" i="6"/>
  <c r="H222" i="6"/>
  <c r="H92" i="6"/>
  <c r="I92" i="6"/>
  <c r="I119" i="6"/>
  <c r="H119" i="6"/>
  <c r="R201" i="6"/>
  <c r="I201" i="6"/>
  <c r="H201" i="6"/>
  <c r="H200" i="6"/>
  <c r="I200" i="6"/>
  <c r="I187" i="6"/>
  <c r="H187" i="6"/>
  <c r="H194" i="6"/>
  <c r="I194" i="6"/>
  <c r="I111" i="6"/>
  <c r="H111" i="6"/>
  <c r="H103" i="6"/>
  <c r="I103" i="6"/>
  <c r="H80" i="6"/>
  <c r="I80" i="6"/>
  <c r="L88" i="6"/>
  <c r="K88" i="6"/>
  <c r="R88" i="6"/>
  <c r="X88" i="6" s="1"/>
  <c r="K217" i="6"/>
  <c r="L217" i="6"/>
  <c r="R217" i="6"/>
  <c r="R197" i="6"/>
  <c r="K197" i="6"/>
  <c r="L197" i="6"/>
  <c r="K107" i="6"/>
  <c r="L107" i="6"/>
  <c r="R107" i="6"/>
  <c r="X107" i="6" s="1"/>
  <c r="H86" i="6"/>
  <c r="I86" i="6"/>
  <c r="H94" i="6"/>
  <c r="I94" i="6"/>
  <c r="K200" i="6"/>
  <c r="L200" i="6"/>
  <c r="R200" i="6"/>
  <c r="I87" i="6"/>
  <c r="H87" i="6"/>
  <c r="L124" i="6"/>
  <c r="K124" i="6"/>
  <c r="R124" i="6"/>
  <c r="X124" i="6" s="1"/>
  <c r="R215" i="6"/>
  <c r="L120" i="6"/>
  <c r="K120" i="6"/>
  <c r="R120" i="6"/>
  <c r="X120" i="6" s="1"/>
  <c r="I91" i="6"/>
  <c r="H91" i="6"/>
  <c r="L206" i="6"/>
  <c r="K206" i="6"/>
  <c r="R206" i="6"/>
  <c r="K133" i="6"/>
  <c r="L133" i="6"/>
  <c r="R133" i="6"/>
  <c r="X133" i="6" s="1"/>
  <c r="H82" i="6"/>
  <c r="I82" i="6"/>
  <c r="H110" i="6"/>
  <c r="I110" i="6"/>
  <c r="H114" i="6"/>
  <c r="I114" i="6"/>
  <c r="R208" i="6"/>
  <c r="L208" i="6"/>
  <c r="K208" i="6"/>
  <c r="L216" i="6"/>
  <c r="K216" i="6"/>
  <c r="R216" i="6"/>
  <c r="L190" i="6"/>
  <c r="K190" i="6"/>
  <c r="R190" i="6"/>
  <c r="L178" i="6"/>
  <c r="K178" i="6"/>
  <c r="R178" i="6"/>
  <c r="L174" i="6"/>
  <c r="K174" i="6"/>
  <c r="R174" i="6"/>
  <c r="I105" i="6"/>
  <c r="H105" i="6"/>
  <c r="L108" i="6"/>
  <c r="K108" i="6"/>
  <c r="R108" i="6"/>
  <c r="X108" i="6" s="1"/>
  <c r="I113" i="6"/>
  <c r="H113" i="6"/>
  <c r="L132" i="6"/>
  <c r="K132" i="6"/>
  <c r="R132" i="6"/>
  <c r="X132" i="6" s="1"/>
  <c r="L118" i="6"/>
  <c r="K118" i="6"/>
  <c r="R118" i="6"/>
  <c r="X118" i="6" s="1"/>
  <c r="K117" i="6"/>
  <c r="L117" i="6"/>
  <c r="R117" i="6"/>
  <c r="X117" i="6" s="1"/>
  <c r="K203" i="6"/>
  <c r="L203" i="6"/>
  <c r="R203" i="6"/>
  <c r="R185" i="6"/>
  <c r="K185" i="6"/>
  <c r="L185" i="6"/>
  <c r="I99" i="6"/>
  <c r="H99" i="6"/>
  <c r="K192" i="6"/>
  <c r="L192" i="6"/>
  <c r="R192" i="6"/>
  <c r="K125" i="6"/>
  <c r="L125" i="6"/>
  <c r="R125" i="6"/>
  <c r="X125" i="6" s="1"/>
  <c r="I96" i="6"/>
  <c r="H96" i="6"/>
  <c r="I117" i="6"/>
  <c r="H117" i="6"/>
  <c r="K224" i="6"/>
  <c r="L224" i="6"/>
  <c r="R224" i="6"/>
  <c r="L210" i="6"/>
  <c r="K210" i="6"/>
  <c r="R210" i="6"/>
  <c r="L211" i="6"/>
  <c r="K211" i="6"/>
  <c r="R211" i="6"/>
  <c r="I128" i="6"/>
  <c r="H128" i="6"/>
  <c r="H79" i="6"/>
  <c r="I79" i="6"/>
  <c r="I102" i="6"/>
  <c r="H102" i="6"/>
  <c r="L102" i="6"/>
  <c r="K102" i="6"/>
  <c r="R102" i="6"/>
  <c r="X102" i="6" s="1"/>
  <c r="K188" i="6"/>
  <c r="L188" i="6"/>
  <c r="R188" i="6"/>
  <c r="K109" i="6"/>
  <c r="L109" i="6"/>
  <c r="R109" i="6"/>
  <c r="X109" i="6" s="1"/>
  <c r="K95" i="6"/>
  <c r="L95" i="6"/>
  <c r="R95" i="6"/>
  <c r="X95" i="6" s="1"/>
  <c r="I98" i="6"/>
  <c r="H98" i="6"/>
  <c r="K111" i="6"/>
  <c r="L111" i="6"/>
  <c r="R111" i="6"/>
  <c r="X111" i="6" s="1"/>
  <c r="K103" i="6"/>
  <c r="L103" i="6"/>
  <c r="R103" i="6"/>
  <c r="X103" i="6" s="1"/>
  <c r="I100" i="6"/>
  <c r="H100" i="6"/>
  <c r="K80" i="6"/>
  <c r="L80" i="6"/>
  <c r="R80" i="6"/>
  <c r="X80" i="6" s="1"/>
  <c r="K199" i="6"/>
  <c r="L199" i="6"/>
  <c r="K221" i="6"/>
  <c r="L221" i="6"/>
  <c r="R221" i="6"/>
  <c r="I195" i="6"/>
  <c r="H195" i="6"/>
  <c r="L172" i="6"/>
  <c r="K172" i="6"/>
  <c r="R172" i="6"/>
  <c r="L86" i="6"/>
  <c r="K86" i="6"/>
  <c r="R86" i="6"/>
  <c r="X86" i="6" s="1"/>
  <c r="R175" i="6"/>
  <c r="K94" i="6"/>
  <c r="L94" i="6"/>
  <c r="R94" i="6"/>
  <c r="X94" i="6" s="1"/>
  <c r="H213" i="6"/>
  <c r="I213" i="6"/>
  <c r="R180" i="6"/>
  <c r="K180" i="6"/>
  <c r="L180" i="6"/>
  <c r="I126" i="6"/>
  <c r="H126" i="6"/>
  <c r="R199" i="6"/>
  <c r="L91" i="6"/>
  <c r="K91" i="6"/>
  <c r="R91" i="6"/>
  <c r="X91" i="6" s="1"/>
  <c r="H133" i="6"/>
  <c r="I133" i="6"/>
  <c r="K198" i="6"/>
  <c r="L198" i="6"/>
  <c r="R198" i="6"/>
  <c r="K82" i="6"/>
  <c r="L82" i="6"/>
  <c r="R82" i="6"/>
  <c r="X82" i="6" s="1"/>
  <c r="K110" i="6"/>
  <c r="L110" i="6"/>
  <c r="R110" i="6"/>
  <c r="X110" i="6" s="1"/>
  <c r="I196" i="6"/>
  <c r="H196" i="6"/>
  <c r="K222" i="6"/>
  <c r="L222" i="6"/>
  <c r="R222" i="6"/>
  <c r="B68" i="2"/>
  <c r="B46" i="1" s="1"/>
  <c r="S134" i="6" l="1"/>
  <c r="B167" i="2" s="1"/>
  <c r="B170" i="2" s="1"/>
  <c r="B158" i="1" s="1"/>
  <c r="Y134" i="6"/>
  <c r="T134" i="6"/>
  <c r="Z121" i="6"/>
  <c r="Y121" i="6"/>
  <c r="Y120" i="6"/>
  <c r="Z120" i="6"/>
  <c r="K227" i="6"/>
  <c r="L227" i="6"/>
  <c r="Y109" i="6"/>
  <c r="Z109" i="6"/>
  <c r="Y112" i="6"/>
  <c r="Z112" i="6"/>
  <c r="Y119" i="6"/>
  <c r="Z119" i="6"/>
  <c r="Z90" i="6"/>
  <c r="Y90" i="6"/>
  <c r="Z82" i="6"/>
  <c r="Y82" i="6"/>
  <c r="Y91" i="6"/>
  <c r="Z91" i="6"/>
  <c r="Y125" i="6"/>
  <c r="Z125" i="6"/>
  <c r="Y87" i="6"/>
  <c r="Z87" i="6"/>
  <c r="Y131" i="6"/>
  <c r="Z131" i="6"/>
  <c r="Y116" i="6"/>
  <c r="Z116" i="6"/>
  <c r="Z106" i="6"/>
  <c r="Y106" i="6"/>
  <c r="V137" i="6"/>
  <c r="W137" i="6"/>
  <c r="X136" i="6"/>
  <c r="T136" i="6"/>
  <c r="S136" i="6"/>
  <c r="X135" i="6"/>
  <c r="S135" i="6"/>
  <c r="T135" i="6"/>
  <c r="Z107" i="6"/>
  <c r="Y107" i="6"/>
  <c r="Z84" i="6"/>
  <c r="Y84" i="6"/>
  <c r="Z129" i="6"/>
  <c r="Y129" i="6"/>
  <c r="Y111" i="6"/>
  <c r="Z111" i="6"/>
  <c r="Y86" i="6"/>
  <c r="Z86" i="6"/>
  <c r="Z124" i="6"/>
  <c r="Y124" i="6"/>
  <c r="Y93" i="6"/>
  <c r="Z93" i="6"/>
  <c r="Y101" i="6"/>
  <c r="Z101" i="6"/>
  <c r="Q137" i="6"/>
  <c r="P137" i="6"/>
  <c r="Y103" i="6"/>
  <c r="Z103" i="6"/>
  <c r="Y95" i="6"/>
  <c r="Z95" i="6"/>
  <c r="Y118" i="6"/>
  <c r="Z118" i="6"/>
  <c r="Z108" i="6"/>
  <c r="Y108" i="6"/>
  <c r="Z89" i="6"/>
  <c r="Y89" i="6"/>
  <c r="Y96" i="6"/>
  <c r="Z96" i="6"/>
  <c r="Y127" i="6"/>
  <c r="Z127" i="6"/>
  <c r="E137" i="6"/>
  <c r="F137" i="6"/>
  <c r="J137" i="6"/>
  <c r="Y102" i="6"/>
  <c r="Z102" i="6"/>
  <c r="Y92" i="6"/>
  <c r="Z92" i="6"/>
  <c r="Z94" i="6"/>
  <c r="Y94" i="6"/>
  <c r="Z81" i="6"/>
  <c r="Y81" i="6"/>
  <c r="Y126" i="6"/>
  <c r="Z126" i="6"/>
  <c r="Y80" i="6"/>
  <c r="Z80" i="6"/>
  <c r="Z88" i="6"/>
  <c r="Y88" i="6"/>
  <c r="Y79" i="6"/>
  <c r="Z79" i="6"/>
  <c r="Z113" i="6"/>
  <c r="Y113" i="6"/>
  <c r="Y99" i="6"/>
  <c r="Z99" i="6"/>
  <c r="Y104" i="6"/>
  <c r="Z104" i="6"/>
  <c r="O228" i="6"/>
  <c r="D228" i="6"/>
  <c r="J228" i="6" s="1"/>
  <c r="T226" i="6"/>
  <c r="S226" i="6"/>
  <c r="Z97" i="6"/>
  <c r="Y97" i="6"/>
  <c r="Z110" i="6"/>
  <c r="Y110" i="6"/>
  <c r="Z105" i="6"/>
  <c r="Y105" i="6"/>
  <c r="Y130" i="6"/>
  <c r="Z130" i="6"/>
  <c r="Y115" i="6"/>
  <c r="Z115" i="6"/>
  <c r="Z122" i="6"/>
  <c r="Y122" i="6"/>
  <c r="Y123" i="6"/>
  <c r="Z123" i="6"/>
  <c r="R227" i="6"/>
  <c r="I227" i="6"/>
  <c r="H227" i="6"/>
  <c r="Y133" i="6"/>
  <c r="Z133" i="6"/>
  <c r="Z114" i="6"/>
  <c r="Y114" i="6"/>
  <c r="Z100" i="6"/>
  <c r="Y100" i="6"/>
  <c r="Y132" i="6"/>
  <c r="Z132" i="6"/>
  <c r="Y117" i="6"/>
  <c r="Z117" i="6"/>
  <c r="Y85" i="6"/>
  <c r="Z85" i="6"/>
  <c r="Y128" i="6"/>
  <c r="Z128" i="6"/>
  <c r="Y83" i="6"/>
  <c r="Z83" i="6"/>
  <c r="Z98" i="6"/>
  <c r="Y98" i="6"/>
  <c r="G137" i="6"/>
  <c r="S205" i="6"/>
  <c r="T205" i="6"/>
  <c r="T175" i="6"/>
  <c r="S175" i="6"/>
  <c r="S215" i="6"/>
  <c r="T215" i="6"/>
  <c r="T85" i="6"/>
  <c r="S85" i="6"/>
  <c r="T83" i="6"/>
  <c r="S83" i="6"/>
  <c r="T216" i="6"/>
  <c r="S216" i="6"/>
  <c r="T93" i="6"/>
  <c r="S93" i="6"/>
  <c r="T90" i="6"/>
  <c r="S90" i="6"/>
  <c r="S101" i="6"/>
  <c r="T101" i="6"/>
  <c r="S214" i="6"/>
  <c r="T214" i="6"/>
  <c r="S207" i="6"/>
  <c r="T207" i="6"/>
  <c r="S222" i="6"/>
  <c r="T222" i="6"/>
  <c r="S82" i="6"/>
  <c r="T82" i="6"/>
  <c r="T91" i="6"/>
  <c r="S91" i="6"/>
  <c r="T180" i="6"/>
  <c r="S180" i="6"/>
  <c r="T125" i="6"/>
  <c r="S125" i="6"/>
  <c r="S197" i="6"/>
  <c r="T197" i="6"/>
  <c r="T183" i="6"/>
  <c r="S183" i="6"/>
  <c r="S191" i="6"/>
  <c r="T191" i="6"/>
  <c r="S87" i="6"/>
  <c r="T87" i="6"/>
  <c r="T169" i="6"/>
  <c r="S169" i="6"/>
  <c r="S131" i="6"/>
  <c r="T131" i="6"/>
  <c r="S116" i="6"/>
  <c r="T116" i="6"/>
  <c r="T106" i="6"/>
  <c r="S106" i="6"/>
  <c r="S204" i="6"/>
  <c r="T204" i="6"/>
  <c r="S110" i="6"/>
  <c r="T110" i="6"/>
  <c r="T201" i="6"/>
  <c r="S201" i="6"/>
  <c r="T176" i="6"/>
  <c r="S176" i="6"/>
  <c r="S123" i="6"/>
  <c r="T123" i="6"/>
  <c r="T117" i="6"/>
  <c r="S117" i="6"/>
  <c r="T128" i="6"/>
  <c r="S128" i="6"/>
  <c r="T98" i="6"/>
  <c r="S98" i="6"/>
  <c r="S188" i="6"/>
  <c r="T188" i="6"/>
  <c r="S181" i="6"/>
  <c r="T181" i="6"/>
  <c r="T103" i="6"/>
  <c r="S103" i="6"/>
  <c r="T108" i="6"/>
  <c r="S108" i="6"/>
  <c r="S89" i="6"/>
  <c r="T89" i="6"/>
  <c r="T182" i="6"/>
  <c r="S182" i="6"/>
  <c r="T96" i="6"/>
  <c r="S96" i="6"/>
  <c r="T189" i="6"/>
  <c r="S189" i="6"/>
  <c r="T127" i="6"/>
  <c r="S127" i="6"/>
  <c r="S218" i="6"/>
  <c r="T218" i="6"/>
  <c r="S172" i="6"/>
  <c r="T172" i="6"/>
  <c r="T102" i="6"/>
  <c r="S102" i="6"/>
  <c r="T185" i="6"/>
  <c r="S185" i="6"/>
  <c r="S213" i="6"/>
  <c r="T213" i="6"/>
  <c r="S219" i="6"/>
  <c r="T219" i="6"/>
  <c r="S179" i="6"/>
  <c r="T179" i="6"/>
  <c r="S92" i="6"/>
  <c r="T92" i="6"/>
  <c r="S220" i="6"/>
  <c r="T220" i="6"/>
  <c r="T121" i="6"/>
  <c r="S121" i="6"/>
  <c r="S195" i="6"/>
  <c r="T195" i="6"/>
  <c r="S170" i="6"/>
  <c r="T170" i="6"/>
  <c r="S209" i="6"/>
  <c r="T209" i="6"/>
  <c r="T130" i="6"/>
  <c r="S130" i="6"/>
  <c r="T115" i="6"/>
  <c r="S115" i="6"/>
  <c r="S210" i="6"/>
  <c r="T210" i="6"/>
  <c r="T206" i="6"/>
  <c r="S206" i="6"/>
  <c r="S202" i="6"/>
  <c r="T202" i="6"/>
  <c r="T221" i="6"/>
  <c r="S221" i="6"/>
  <c r="T112" i="6"/>
  <c r="S112" i="6"/>
  <c r="T95" i="6"/>
  <c r="S95" i="6"/>
  <c r="S118" i="6"/>
  <c r="T118" i="6"/>
  <c r="T217" i="6"/>
  <c r="S217" i="6"/>
  <c r="S199" i="6"/>
  <c r="T199" i="6"/>
  <c r="T94" i="6"/>
  <c r="S94" i="6"/>
  <c r="T211" i="6"/>
  <c r="S211" i="6"/>
  <c r="T192" i="6"/>
  <c r="S192" i="6"/>
  <c r="S203" i="6"/>
  <c r="T203" i="6"/>
  <c r="S133" i="6"/>
  <c r="T133" i="6"/>
  <c r="T120" i="6"/>
  <c r="S120" i="6"/>
  <c r="S107" i="6"/>
  <c r="T107" i="6"/>
  <c r="T81" i="6"/>
  <c r="S81" i="6"/>
  <c r="S97" i="6"/>
  <c r="T97" i="6"/>
  <c r="T114" i="6"/>
  <c r="S114" i="6"/>
  <c r="S84" i="6"/>
  <c r="T84" i="6"/>
  <c r="T223" i="6"/>
  <c r="S223" i="6"/>
  <c r="T171" i="6"/>
  <c r="S171" i="6"/>
  <c r="T126" i="6"/>
  <c r="S126" i="6"/>
  <c r="S100" i="6"/>
  <c r="T100" i="6"/>
  <c r="T129" i="6"/>
  <c r="S129" i="6"/>
  <c r="S105" i="6"/>
  <c r="T105" i="6"/>
  <c r="T184" i="6"/>
  <c r="S184" i="6"/>
  <c r="S122" i="6"/>
  <c r="T122" i="6"/>
  <c r="T174" i="6"/>
  <c r="S174" i="6"/>
  <c r="T196" i="6"/>
  <c r="S196" i="6"/>
  <c r="S86" i="6"/>
  <c r="T86" i="6"/>
  <c r="S124" i="6"/>
  <c r="T124" i="6"/>
  <c r="T119" i="6"/>
  <c r="S119" i="6"/>
  <c r="S224" i="6"/>
  <c r="B191" i="2" s="1"/>
  <c r="B194" i="2" s="1"/>
  <c r="T224" i="6"/>
  <c r="T178" i="6"/>
  <c r="S178" i="6"/>
  <c r="S187" i="6"/>
  <c r="T187" i="6"/>
  <c r="S198" i="6"/>
  <c r="T198" i="6"/>
  <c r="S80" i="6"/>
  <c r="T80" i="6"/>
  <c r="S111" i="6"/>
  <c r="T111" i="6"/>
  <c r="T109" i="6"/>
  <c r="S109" i="6"/>
  <c r="T132" i="6"/>
  <c r="S132" i="6"/>
  <c r="T190" i="6"/>
  <c r="S190" i="6"/>
  <c r="T208" i="6"/>
  <c r="S208" i="6"/>
  <c r="T200" i="6"/>
  <c r="S200" i="6"/>
  <c r="S88" i="6"/>
  <c r="T88" i="6"/>
  <c r="S212" i="6"/>
  <c r="T212" i="6"/>
  <c r="T79" i="6"/>
  <c r="S79" i="6"/>
  <c r="T193" i="6"/>
  <c r="S193" i="6"/>
  <c r="S113" i="6"/>
  <c r="T113" i="6"/>
  <c r="T99" i="6"/>
  <c r="S99" i="6"/>
  <c r="S177" i="6"/>
  <c r="T177" i="6"/>
  <c r="S173" i="6"/>
  <c r="T173" i="6"/>
  <c r="S194" i="6"/>
  <c r="T194" i="6"/>
  <c r="S186" i="6"/>
  <c r="T186" i="6"/>
  <c r="T104" i="6"/>
  <c r="S104" i="6"/>
  <c r="B174" i="2" l="1"/>
  <c r="B162" i="1" s="1"/>
  <c r="B172" i="2"/>
  <c r="B160" i="1" s="1"/>
  <c r="K228" i="6"/>
  <c r="L228" i="6"/>
  <c r="L137" i="6"/>
  <c r="K137" i="6"/>
  <c r="R137" i="6"/>
  <c r="Y136" i="6"/>
  <c r="Z136" i="6"/>
  <c r="S227" i="6"/>
  <c r="T227" i="6"/>
  <c r="Y135" i="6"/>
  <c r="Z135" i="6"/>
  <c r="E228" i="6"/>
  <c r="F228" i="6"/>
  <c r="G228" i="6"/>
  <c r="I137" i="6"/>
  <c r="H137" i="6"/>
  <c r="Q228" i="6"/>
  <c r="P228" i="6"/>
  <c r="B177" i="1"/>
  <c r="B196" i="2"/>
  <c r="B179" i="1" s="1"/>
  <c r="B198" i="2"/>
  <c r="B181" i="1" s="1"/>
  <c r="I228" i="6" l="1"/>
  <c r="H228" i="6"/>
  <c r="B200" i="2"/>
  <c r="U186" i="6"/>
  <c r="U210" i="6"/>
  <c r="U202" i="6"/>
  <c r="U178" i="6"/>
  <c r="U176" i="6"/>
  <c r="U194" i="6"/>
  <c r="U218" i="6"/>
  <c r="U170" i="6"/>
  <c r="U216" i="6"/>
  <c r="U184" i="6"/>
  <c r="U175" i="6"/>
  <c r="U223" i="6"/>
  <c r="U214" i="6"/>
  <c r="U209" i="6"/>
  <c r="U205" i="6"/>
  <c r="U171" i="6"/>
  <c r="U219" i="6"/>
  <c r="U213" i="6"/>
  <c r="U181" i="6"/>
  <c r="U215" i="6"/>
  <c r="U206" i="6"/>
  <c r="U204" i="6"/>
  <c r="U207" i="6"/>
  <c r="U201" i="6"/>
  <c r="U199" i="6"/>
  <c r="U211" i="6"/>
  <c r="U208" i="6"/>
  <c r="U198" i="6"/>
  <c r="U203" i="6"/>
  <c r="U190" i="6"/>
  <c r="U196" i="6"/>
  <c r="U195" i="6"/>
  <c r="U200" i="6"/>
  <c r="U191" i="6"/>
  <c r="U182" i="6"/>
  <c r="U193" i="6"/>
  <c r="U187" i="6"/>
  <c r="U197" i="6"/>
  <c r="U183" i="6"/>
  <c r="U177" i="6"/>
  <c r="U220" i="6"/>
  <c r="U188" i="6"/>
  <c r="U179" i="6"/>
  <c r="U224" i="6"/>
  <c r="U192" i="6"/>
  <c r="U174" i="6"/>
  <c r="U169" i="6"/>
  <c r="U217" i="6"/>
  <c r="U185" i="6"/>
  <c r="U173" i="6"/>
  <c r="U221" i="6"/>
  <c r="U189" i="6"/>
  <c r="U172" i="6"/>
  <c r="U222" i="6"/>
  <c r="U212" i="6"/>
  <c r="U180" i="6"/>
  <c r="U226" i="6"/>
  <c r="U227" i="6"/>
  <c r="U228" i="6"/>
  <c r="S137" i="6"/>
  <c r="T137" i="6"/>
  <c r="X137" i="6"/>
  <c r="R228" i="6"/>
  <c r="V221" i="6" l="1"/>
  <c r="W221" i="6"/>
  <c r="X221" i="6"/>
  <c r="V181" i="6"/>
  <c r="W181" i="6"/>
  <c r="X181" i="6"/>
  <c r="V188" i="6"/>
  <c r="W188" i="6"/>
  <c r="X188" i="6"/>
  <c r="W211" i="6"/>
  <c r="V211" i="6"/>
  <c r="X211" i="6"/>
  <c r="X172" i="6"/>
  <c r="V172" i="6"/>
  <c r="W172" i="6"/>
  <c r="V192" i="6"/>
  <c r="W192" i="6"/>
  <c r="X192" i="6"/>
  <c r="W187" i="6"/>
  <c r="V187" i="6"/>
  <c r="X187" i="6"/>
  <c r="W203" i="6"/>
  <c r="V203" i="6"/>
  <c r="X203" i="6"/>
  <c r="V206" i="6"/>
  <c r="W206" i="6"/>
  <c r="X206" i="6"/>
  <c r="V214" i="6"/>
  <c r="W214" i="6"/>
  <c r="X214" i="6"/>
  <c r="X176" i="6"/>
  <c r="V176" i="6"/>
  <c r="W176" i="6"/>
  <c r="V189" i="6"/>
  <c r="W189" i="6"/>
  <c r="X189" i="6"/>
  <c r="V224" i="6"/>
  <c r="W224" i="6"/>
  <c r="X224" i="6"/>
  <c r="V193" i="6"/>
  <c r="W193" i="6"/>
  <c r="X193" i="6"/>
  <c r="V198" i="6"/>
  <c r="X198" i="6"/>
  <c r="W198" i="6"/>
  <c r="W215" i="6"/>
  <c r="V215" i="6"/>
  <c r="X215" i="6"/>
  <c r="W223" i="6"/>
  <c r="V223" i="6"/>
  <c r="X223" i="6"/>
  <c r="V178" i="6"/>
  <c r="X178" i="6"/>
  <c r="W178" i="6"/>
  <c r="V228" i="6"/>
  <c r="W228" i="6"/>
  <c r="X228" i="6"/>
  <c r="V202" i="6"/>
  <c r="W202" i="6"/>
  <c r="X202" i="6"/>
  <c r="V213" i="6"/>
  <c r="W213" i="6"/>
  <c r="X213" i="6"/>
  <c r="W226" i="6"/>
  <c r="V226" i="6"/>
  <c r="X226" i="6"/>
  <c r="V185" i="6"/>
  <c r="W185" i="6"/>
  <c r="X185" i="6"/>
  <c r="V220" i="6"/>
  <c r="W220" i="6"/>
  <c r="X220" i="6"/>
  <c r="V200" i="6"/>
  <c r="W200" i="6"/>
  <c r="X200" i="6"/>
  <c r="W199" i="6"/>
  <c r="V199" i="6"/>
  <c r="X199" i="6"/>
  <c r="W219" i="6"/>
  <c r="V219" i="6"/>
  <c r="X219" i="6"/>
  <c r="V216" i="6"/>
  <c r="W216" i="6"/>
  <c r="X216" i="6"/>
  <c r="V186" i="6"/>
  <c r="X186" i="6"/>
  <c r="W186" i="6"/>
  <c r="V182" i="6"/>
  <c r="X182" i="6"/>
  <c r="W182" i="6"/>
  <c r="W227" i="6"/>
  <c r="V227" i="6"/>
  <c r="X227" i="6"/>
  <c r="V210" i="6"/>
  <c r="W210" i="6"/>
  <c r="X210" i="6"/>
  <c r="V217" i="6"/>
  <c r="W217" i="6"/>
  <c r="X217" i="6"/>
  <c r="V177" i="6"/>
  <c r="X177" i="6"/>
  <c r="W177" i="6"/>
  <c r="W195" i="6"/>
  <c r="V195" i="6"/>
  <c r="X195" i="6"/>
  <c r="V201" i="6"/>
  <c r="W201" i="6"/>
  <c r="X201" i="6"/>
  <c r="W171" i="6"/>
  <c r="V171" i="6"/>
  <c r="X171" i="6"/>
  <c r="V170" i="6"/>
  <c r="X170" i="6"/>
  <c r="W170" i="6"/>
  <c r="B183" i="1"/>
  <c r="B225" i="6"/>
  <c r="C225" i="6" s="1"/>
  <c r="W179" i="6"/>
  <c r="V179" i="6"/>
  <c r="X179" i="6"/>
  <c r="V173" i="6"/>
  <c r="X173" i="6"/>
  <c r="W173" i="6"/>
  <c r="V184" i="6"/>
  <c r="W184" i="6"/>
  <c r="X184" i="6"/>
  <c r="V212" i="6"/>
  <c r="W212" i="6"/>
  <c r="X212" i="6"/>
  <c r="W183" i="6"/>
  <c r="V183" i="6"/>
  <c r="X183" i="6"/>
  <c r="V196" i="6"/>
  <c r="W196" i="6"/>
  <c r="X196" i="6"/>
  <c r="W207" i="6"/>
  <c r="V207" i="6"/>
  <c r="X207" i="6"/>
  <c r="V205" i="6"/>
  <c r="W205" i="6"/>
  <c r="X205" i="6"/>
  <c r="V218" i="6"/>
  <c r="W218" i="6"/>
  <c r="X218" i="6"/>
  <c r="V208" i="6"/>
  <c r="W208" i="6"/>
  <c r="X208" i="6"/>
  <c r="W175" i="6"/>
  <c r="V175" i="6"/>
  <c r="X175" i="6"/>
  <c r="W191" i="6"/>
  <c r="V191" i="6"/>
  <c r="X191" i="6"/>
  <c r="V180" i="6"/>
  <c r="W180" i="6"/>
  <c r="X180" i="6"/>
  <c r="T228" i="6"/>
  <c r="S228" i="6"/>
  <c r="X169" i="6"/>
  <c r="W169" i="6"/>
  <c r="V169" i="6"/>
  <c r="Y137" i="6"/>
  <c r="Z137" i="6"/>
  <c r="V222" i="6"/>
  <c r="W222" i="6"/>
  <c r="X222" i="6"/>
  <c r="V174" i="6"/>
  <c r="W174" i="6"/>
  <c r="X174" i="6"/>
  <c r="V197" i="6"/>
  <c r="W197" i="6"/>
  <c r="X197" i="6"/>
  <c r="V190" i="6"/>
  <c r="X190" i="6"/>
  <c r="W190" i="6"/>
  <c r="V204" i="6"/>
  <c r="W204" i="6"/>
  <c r="X204" i="6"/>
  <c r="V209" i="6"/>
  <c r="W209" i="6"/>
  <c r="X209" i="6"/>
  <c r="V194" i="6"/>
  <c r="W194" i="6"/>
  <c r="X194" i="6"/>
  <c r="Z181" i="6" l="1"/>
  <c r="Y181" i="6"/>
  <c r="Y175" i="6"/>
  <c r="Z175" i="6"/>
  <c r="Y185" i="6"/>
  <c r="Z185" i="6"/>
  <c r="Z174" i="6"/>
  <c r="Y174" i="6"/>
  <c r="Y191" i="6"/>
  <c r="Z191" i="6"/>
  <c r="Y212" i="6"/>
  <c r="Z212" i="6"/>
  <c r="Z210" i="6"/>
  <c r="Y210" i="6"/>
  <c r="Y220" i="6"/>
  <c r="Z220" i="6"/>
  <c r="Y215" i="6"/>
  <c r="Z215" i="6"/>
  <c r="Y203" i="6"/>
  <c r="Z203" i="6"/>
  <c r="Y194" i="6"/>
  <c r="Z194" i="6"/>
  <c r="Z218" i="6"/>
  <c r="Y218" i="6"/>
  <c r="Y179" i="6"/>
  <c r="Z179" i="6"/>
  <c r="Z171" i="6"/>
  <c r="Y171" i="6"/>
  <c r="Z213" i="6"/>
  <c r="Y213" i="6"/>
  <c r="Y224" i="6"/>
  <c r="Z224" i="6"/>
  <c r="Y176" i="6"/>
  <c r="Z176" i="6"/>
  <c r="Z186" i="6"/>
  <c r="Y186" i="6"/>
  <c r="Y184" i="6"/>
  <c r="Z184" i="6"/>
  <c r="Z187" i="6"/>
  <c r="Y187" i="6"/>
  <c r="Y172" i="6"/>
  <c r="Z172" i="6"/>
  <c r="Y209" i="6"/>
  <c r="Z209" i="6"/>
  <c r="Z205" i="6"/>
  <c r="Y205" i="6"/>
  <c r="U225" i="6"/>
  <c r="O225" i="6"/>
  <c r="D225" i="6"/>
  <c r="J225" i="6" s="1"/>
  <c r="Y201" i="6"/>
  <c r="Z201" i="6"/>
  <c r="Y216" i="6"/>
  <c r="Z216" i="6"/>
  <c r="Z202" i="6"/>
  <c r="Y202" i="6"/>
  <c r="Z198" i="6"/>
  <c r="Y198" i="6"/>
  <c r="Z189" i="6"/>
  <c r="Y189" i="6"/>
  <c r="Y211" i="6"/>
  <c r="Z211" i="6"/>
  <c r="Y196" i="6"/>
  <c r="Z196" i="6"/>
  <c r="Y222" i="6"/>
  <c r="Z222" i="6"/>
  <c r="Y227" i="6"/>
  <c r="Z227" i="6"/>
  <c r="Y183" i="6"/>
  <c r="Z183" i="6"/>
  <c r="Y217" i="6"/>
  <c r="Z217" i="6"/>
  <c r="Y200" i="6"/>
  <c r="Z200" i="6"/>
  <c r="Z223" i="6"/>
  <c r="Y223" i="6"/>
  <c r="Z206" i="6"/>
  <c r="Y206" i="6"/>
  <c r="Z221" i="6"/>
  <c r="Y221" i="6"/>
  <c r="Z169" i="6"/>
  <c r="Y169" i="6"/>
  <c r="Z190" i="6"/>
  <c r="Y190" i="6"/>
  <c r="Z197" i="6"/>
  <c r="Y197" i="6"/>
  <c r="Y208" i="6"/>
  <c r="Z208" i="6"/>
  <c r="Y226" i="6"/>
  <c r="Z226" i="6"/>
  <c r="Y193" i="6"/>
  <c r="Z193" i="6"/>
  <c r="Y192" i="6"/>
  <c r="Z192" i="6"/>
  <c r="Z199" i="6"/>
  <c r="Y199" i="6"/>
  <c r="Y214" i="6"/>
  <c r="Z214" i="6"/>
  <c r="Y177" i="6"/>
  <c r="Z177" i="6"/>
  <c r="Z178" i="6"/>
  <c r="Y178" i="6"/>
  <c r="Y180" i="6"/>
  <c r="Z180" i="6"/>
  <c r="Y204" i="6"/>
  <c r="Z204" i="6"/>
  <c r="Y207" i="6"/>
  <c r="Z207" i="6"/>
  <c r="Y173" i="6"/>
  <c r="Z173" i="6"/>
  <c r="Z170" i="6"/>
  <c r="Y170" i="6"/>
  <c r="Y195" i="6"/>
  <c r="Z195" i="6"/>
  <c r="Z182" i="6"/>
  <c r="Y182" i="6"/>
  <c r="Z219" i="6"/>
  <c r="Y219" i="6"/>
  <c r="Y228" i="6"/>
  <c r="Z228" i="6"/>
  <c r="Y188" i="6"/>
  <c r="Z188" i="6"/>
  <c r="K225" i="6" l="1"/>
  <c r="L225" i="6"/>
  <c r="V225" i="6"/>
  <c r="W225" i="6"/>
  <c r="E225" i="6"/>
  <c r="F225" i="6"/>
  <c r="G225" i="6"/>
  <c r="R225" i="6" s="1"/>
  <c r="Q225" i="6"/>
  <c r="P225" i="6"/>
  <c r="I225" i="6" l="1"/>
  <c r="H225" i="6"/>
  <c r="S225" i="6"/>
  <c r="T225" i="6"/>
  <c r="X225" i="6"/>
  <c r="Y225" i="6" l="1"/>
  <c r="Z22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G5" authorId="0" shapeId="0" xr:uid="{00000000-0006-0000-0000-000001000000}">
      <text>
        <r>
          <rPr>
            <b/>
            <sz val="9"/>
            <color rgb="FF000000"/>
            <rFont val="Tahoma"/>
            <family val="2"/>
          </rPr>
          <t xml:space="preserve">Welcome to the LM5170 Quickstart Design Tool
</t>
        </r>
        <r>
          <rPr>
            <b/>
            <sz val="9"/>
            <color rgb="FF000000"/>
            <rFont val="Tahoma"/>
            <family val="2"/>
          </rPr>
          <t xml:space="preserve">
</t>
        </r>
        <r>
          <rPr>
            <sz val="9"/>
            <color rgb="FF000000"/>
            <rFont val="Tahoma"/>
            <family val="2"/>
          </rPr>
          <t>This stand-alone tool facilitates and assists the power supply engineer with design of a DC/DC bi-directional buck/boost converter based on the LM5170 controller.</t>
        </r>
        <r>
          <rPr>
            <b/>
            <sz val="9"/>
            <color rgb="FF000000"/>
            <rFont val="Tahoma"/>
            <family val="2"/>
          </rPr>
          <t xml:space="preserve">
</t>
        </r>
        <r>
          <rPr>
            <b/>
            <sz val="9"/>
            <color rgb="FF000000"/>
            <rFont val="Tahoma"/>
            <family val="2"/>
          </rPr>
          <t xml:space="preserve">
</t>
        </r>
        <r>
          <rPr>
            <b/>
            <sz val="9"/>
            <color rgb="FF000000"/>
            <rFont val="Tahoma"/>
            <family val="2"/>
          </rPr>
          <t xml:space="preserve">U.S. English notation is used throughout.
</t>
        </r>
        <r>
          <rPr>
            <b/>
            <sz val="9"/>
            <color rgb="FF000000"/>
            <rFont val="Tahoma"/>
            <family val="2"/>
          </rPr>
          <t xml:space="preserve">
</t>
        </r>
        <r>
          <rPr>
            <b/>
            <sz val="9"/>
            <color rgb="FF000000"/>
            <rFont val="Tahoma"/>
            <family val="2"/>
          </rPr>
          <t xml:space="preserve">http://www.ti.com/widevin/
</t>
        </r>
        <r>
          <rPr>
            <b/>
            <sz val="9"/>
            <color rgb="FF000000"/>
            <rFont val="Tahoma"/>
            <family val="2"/>
          </rPr>
          <t xml:space="preserve">
</t>
        </r>
        <r>
          <rPr>
            <b/>
            <sz val="9"/>
            <color rgb="FF000000"/>
            <rFont val="Tahoma"/>
            <family val="2"/>
          </rPr>
          <t>Rev 1.0, Texas Instruments, Inc.</t>
        </r>
        <r>
          <rPr>
            <sz val="9"/>
            <color rgb="FF000000"/>
            <rFont val="Tahoma"/>
            <family val="2"/>
          </rPr>
          <t xml:space="preserve">
</t>
        </r>
      </text>
    </comment>
    <comment ref="B11" authorId="0" shapeId="0" xr:uid="{00000000-0006-0000-0000-000003000000}">
      <text>
        <r>
          <rPr>
            <b/>
            <sz val="9"/>
            <color rgb="FF000000"/>
            <rFont val="Tahoma"/>
            <family val="2"/>
          </rPr>
          <t>HV Port Minimum Voltage:</t>
        </r>
        <r>
          <rPr>
            <sz val="9"/>
            <color rgb="FF000000"/>
            <rFont val="Tahoma"/>
            <family val="2"/>
          </rPr>
          <t xml:space="preserve">
</t>
        </r>
        <r>
          <rPr>
            <sz val="9"/>
            <color rgb="FF000000"/>
            <rFont val="Tahoma"/>
            <family val="2"/>
          </rPr>
          <t xml:space="preserve">
</t>
        </r>
        <r>
          <rPr>
            <sz val="9"/>
            <color rgb="FF000000"/>
            <rFont val="Tahoma"/>
            <family val="2"/>
          </rPr>
          <t xml:space="preserve">Datasheet Operating </t>
        </r>
        <r>
          <rPr>
            <b/>
            <sz val="9"/>
            <color rgb="FF000000"/>
            <rFont val="Tahoma"/>
            <family val="2"/>
          </rPr>
          <t>Minimum: 6V</t>
        </r>
      </text>
    </comment>
    <comment ref="B12" authorId="0" shapeId="0" xr:uid="{00000000-0006-0000-0000-000004000000}">
      <text>
        <r>
          <rPr>
            <b/>
            <sz val="9"/>
            <color rgb="FF000000"/>
            <rFont val="Tahoma"/>
            <family val="2"/>
          </rPr>
          <t xml:space="preserve">HV Port Nominal Voltage:
</t>
        </r>
        <r>
          <rPr>
            <b/>
            <sz val="9"/>
            <color rgb="FF000000"/>
            <rFont val="Tahoma"/>
            <family val="2"/>
          </rPr>
          <t xml:space="preserve">
</t>
        </r>
        <r>
          <rPr>
            <sz val="9"/>
            <color rgb="FF000000"/>
            <rFont val="Tahoma"/>
            <family val="2"/>
          </rPr>
          <t xml:space="preserve">This is the nominal INPUT voltage in BUCK MODE. 
</t>
        </r>
        <r>
          <rPr>
            <sz val="9"/>
            <color rgb="FF000000"/>
            <rFont val="Tahoma"/>
            <family val="2"/>
          </rPr>
          <t xml:space="preserve">
</t>
        </r>
        <r>
          <rPr>
            <sz val="9"/>
            <color rgb="FF000000"/>
            <rFont val="Tahoma"/>
            <family val="2"/>
          </rPr>
          <t>It is also the set output voltage in BOOST MODE.</t>
        </r>
      </text>
    </comment>
    <comment ref="B13" authorId="0" shapeId="0" xr:uid="{00000000-0006-0000-0000-000005000000}">
      <text>
        <r>
          <rPr>
            <b/>
            <sz val="9"/>
            <color rgb="FF000000"/>
            <rFont val="Tahoma"/>
            <family val="2"/>
          </rPr>
          <t xml:space="preserve">HV Port Maximum Voltage:
</t>
        </r>
        <r>
          <rPr>
            <sz val="9"/>
            <color rgb="FF000000"/>
            <rFont val="Tahoma"/>
            <family val="2"/>
          </rPr>
          <t xml:space="preserve">Enter the expected Maximum voltage at the HV-Port
</t>
        </r>
        <r>
          <rPr>
            <sz val="9"/>
            <color rgb="FF000000"/>
            <rFont val="Tahoma"/>
            <family val="2"/>
          </rPr>
          <t xml:space="preserve">
</t>
        </r>
        <r>
          <rPr>
            <sz val="9"/>
            <color rgb="FF000000"/>
            <rFont val="Tahoma"/>
            <family val="2"/>
          </rPr>
          <t xml:space="preserve">Datasheet Operating </t>
        </r>
        <r>
          <rPr>
            <b/>
            <u/>
            <sz val="9"/>
            <color rgb="FF000000"/>
            <rFont val="Tahoma"/>
            <family val="2"/>
          </rPr>
          <t>Maximum</t>
        </r>
        <r>
          <rPr>
            <sz val="9"/>
            <color rgb="FF000000"/>
            <rFont val="Tahoma"/>
            <family val="2"/>
          </rPr>
          <t xml:space="preserve">: 85V
</t>
        </r>
        <r>
          <rPr>
            <sz val="9"/>
            <color rgb="FF000000"/>
            <rFont val="Tahoma"/>
            <family val="2"/>
          </rPr>
          <t xml:space="preserve">
</t>
        </r>
        <r>
          <rPr>
            <sz val="9"/>
            <color rgb="FF000000"/>
            <rFont val="Tahoma"/>
            <family val="2"/>
          </rPr>
          <t xml:space="preserve">(Do not go below the Datasheet Operating Minimum Voltages)
</t>
        </r>
      </text>
    </comment>
    <comment ref="B16" authorId="0" shapeId="0" xr:uid="{00000000-0006-0000-0000-000006000000}">
      <text>
        <r>
          <rPr>
            <b/>
            <sz val="9"/>
            <color rgb="FF000000"/>
            <rFont val="Tahoma"/>
            <family val="2"/>
          </rPr>
          <t>LV Port Minimum Voltage:</t>
        </r>
        <r>
          <rPr>
            <sz val="9"/>
            <color rgb="FF000000"/>
            <rFont val="Tahoma"/>
            <family val="2"/>
          </rPr>
          <t xml:space="preserve">
</t>
        </r>
        <r>
          <rPr>
            <sz val="9"/>
            <color rgb="FF000000"/>
            <rFont val="Tahoma"/>
            <family val="2"/>
          </rPr>
          <t xml:space="preserve">Enter the expected minimum voltage at the LV-Port
</t>
        </r>
        <r>
          <rPr>
            <sz val="9"/>
            <color rgb="FF000000"/>
            <rFont val="Tahoma"/>
            <family val="2"/>
          </rPr>
          <t xml:space="preserve">
</t>
        </r>
        <r>
          <rPr>
            <sz val="9"/>
            <color rgb="FF000000"/>
            <rFont val="Tahoma"/>
            <family val="2"/>
          </rPr>
          <t xml:space="preserve">Datasheet Operating </t>
        </r>
        <r>
          <rPr>
            <b/>
            <u/>
            <sz val="9"/>
            <color rgb="FF000000"/>
            <rFont val="Tahoma"/>
            <family val="2"/>
          </rPr>
          <t>Minimum</t>
        </r>
        <r>
          <rPr>
            <b/>
            <sz val="9"/>
            <color rgb="FF000000"/>
            <rFont val="Tahoma"/>
            <family val="2"/>
          </rPr>
          <t xml:space="preserve"> (BOOST MODE): 3V</t>
        </r>
        <r>
          <rPr>
            <sz val="9"/>
            <color rgb="FF000000"/>
            <rFont val="Tahoma"/>
            <family val="2"/>
          </rPr>
          <t xml:space="preserve">
</t>
        </r>
        <r>
          <rPr>
            <sz val="9"/>
            <color rgb="FF000000"/>
            <rFont val="Tahoma"/>
            <family val="2"/>
          </rPr>
          <t xml:space="preserve">Datasheet Operating </t>
        </r>
        <r>
          <rPr>
            <b/>
            <u/>
            <sz val="9"/>
            <color rgb="FF000000"/>
            <rFont val="Tahoma"/>
            <family val="2"/>
          </rPr>
          <t>Minimum</t>
        </r>
        <r>
          <rPr>
            <b/>
            <sz val="9"/>
            <color rgb="FF000000"/>
            <rFont val="Tahoma"/>
            <family val="2"/>
          </rPr>
          <t xml:space="preserve"> (BUCK MODE): 0V</t>
        </r>
        <r>
          <rPr>
            <sz val="9"/>
            <color rgb="FF000000"/>
            <rFont val="Tahoma"/>
            <family val="2"/>
          </rPr>
          <t xml:space="preserve">
</t>
        </r>
        <r>
          <rPr>
            <sz val="9"/>
            <color rgb="FF000000"/>
            <rFont val="Tahoma"/>
            <family val="2"/>
          </rPr>
          <t xml:space="preserve">
</t>
        </r>
        <r>
          <rPr>
            <sz val="9"/>
            <color rgb="FF000000"/>
            <rFont val="Tahoma"/>
            <family val="2"/>
          </rPr>
          <t>(Do not go below the Datasheet Operating Minimum Voltages)</t>
        </r>
      </text>
    </comment>
    <comment ref="B17" authorId="0" shapeId="0" xr:uid="{00000000-0006-0000-0000-000007000000}">
      <text>
        <r>
          <rPr>
            <b/>
            <sz val="9"/>
            <color rgb="FF000000"/>
            <rFont val="Tahoma"/>
            <family val="2"/>
          </rPr>
          <t xml:space="preserve">LV Port Nominal Voltage:
</t>
        </r>
        <r>
          <rPr>
            <sz val="9"/>
            <color rgb="FF000000"/>
            <rFont val="Tahoma"/>
            <family val="2"/>
          </rPr>
          <t xml:space="preserve">
</t>
        </r>
        <r>
          <rPr>
            <sz val="9"/>
            <color rgb="FF000000"/>
            <rFont val="Tahoma"/>
            <family val="2"/>
          </rPr>
          <t xml:space="preserve">This is the nominal input voltage in BOOST MODE. 
</t>
        </r>
        <r>
          <rPr>
            <sz val="9"/>
            <color rgb="FF000000"/>
            <rFont val="Tahoma"/>
            <family val="2"/>
          </rPr>
          <t xml:space="preserve">
</t>
        </r>
        <r>
          <rPr>
            <sz val="9"/>
            <color rgb="FF000000"/>
            <rFont val="Tahoma"/>
            <family val="2"/>
          </rPr>
          <t>It is also the set output voltage in BUCK MODE.</t>
        </r>
      </text>
    </comment>
    <comment ref="B18" authorId="0" shapeId="0" xr:uid="{00000000-0006-0000-0000-000008000000}">
      <text>
        <r>
          <rPr>
            <b/>
            <sz val="9"/>
            <color rgb="FF000000"/>
            <rFont val="Tahoma"/>
            <family val="2"/>
          </rPr>
          <t xml:space="preserve">LV Port Maximum Voltage:
</t>
        </r>
        <r>
          <rPr>
            <sz val="9"/>
            <color rgb="FF000000"/>
            <rFont val="Tahoma"/>
            <family val="2"/>
          </rPr>
          <t>Enter the expected maximum voltage at the LV-Port</t>
        </r>
        <r>
          <rPr>
            <b/>
            <sz val="9"/>
            <color rgb="FF000000"/>
            <rFont val="Tahoma"/>
            <family val="2"/>
          </rPr>
          <t xml:space="preserve">
</t>
        </r>
        <r>
          <rPr>
            <b/>
            <sz val="9"/>
            <color rgb="FF000000"/>
            <rFont val="Tahoma"/>
            <family val="2"/>
          </rPr>
          <t xml:space="preserve">
</t>
        </r>
        <r>
          <rPr>
            <sz val="9"/>
            <color rgb="FF000000"/>
            <rFont val="Tahoma"/>
            <family val="2"/>
          </rPr>
          <t xml:space="preserve">Datasheet Operating Maximum: 60V
</t>
        </r>
        <r>
          <rPr>
            <sz val="9"/>
            <color rgb="FF000000"/>
            <rFont val="Tahoma"/>
            <family val="2"/>
          </rPr>
          <t>(Do not surpass 60V)</t>
        </r>
      </text>
    </comment>
    <comment ref="B21" authorId="0" shapeId="0" xr:uid="{00000000-0006-0000-0000-000009000000}">
      <text>
        <r>
          <rPr>
            <b/>
            <sz val="9"/>
            <color rgb="FF000000"/>
            <rFont val="Tahoma"/>
            <family val="2"/>
          </rPr>
          <t xml:space="preserve">Selected Switching Frequency:
</t>
        </r>
        <r>
          <rPr>
            <sz val="9"/>
            <color rgb="FF000000"/>
            <rFont val="Tahoma"/>
            <family val="2"/>
          </rPr>
          <t>Recommended Operating</t>
        </r>
        <r>
          <rPr>
            <b/>
            <sz val="9"/>
            <color rgb="FF000000"/>
            <rFont val="Tahoma"/>
            <family val="2"/>
          </rPr>
          <t xml:space="preserve"> </t>
        </r>
        <r>
          <rPr>
            <b/>
            <u/>
            <sz val="9"/>
            <color rgb="FF000000"/>
            <rFont val="Tahoma"/>
            <family val="2"/>
          </rPr>
          <t>Minimum</t>
        </r>
        <r>
          <rPr>
            <sz val="9"/>
            <color rgb="FF000000"/>
            <rFont val="Tahoma"/>
            <family val="2"/>
          </rPr>
          <t xml:space="preserve"> Switching Frequency: </t>
        </r>
        <r>
          <rPr>
            <b/>
            <sz val="9"/>
            <color rgb="FF000000"/>
            <rFont val="Tahoma"/>
            <family val="2"/>
          </rPr>
          <t>50Khz</t>
        </r>
        <r>
          <rPr>
            <sz val="9"/>
            <color rgb="FF000000"/>
            <rFont val="Tahoma"/>
            <family val="2"/>
          </rPr>
          <t xml:space="preserve">
</t>
        </r>
        <r>
          <rPr>
            <sz val="9"/>
            <color rgb="FF000000"/>
            <rFont val="Tahoma"/>
            <family val="2"/>
          </rPr>
          <t xml:space="preserve">Recommended Operating </t>
        </r>
        <r>
          <rPr>
            <b/>
            <u/>
            <sz val="9"/>
            <color rgb="FF000000"/>
            <rFont val="Tahoma"/>
            <family val="2"/>
          </rPr>
          <t>Maximum</t>
        </r>
        <r>
          <rPr>
            <b/>
            <sz val="9"/>
            <color rgb="FF000000"/>
            <rFont val="Tahoma"/>
            <family val="2"/>
          </rPr>
          <t xml:space="preserve"> </t>
        </r>
        <r>
          <rPr>
            <sz val="9"/>
            <color rgb="FF000000"/>
            <rFont val="Tahoma"/>
            <family val="2"/>
          </rPr>
          <t xml:space="preserve">Switching Frequency: </t>
        </r>
        <r>
          <rPr>
            <b/>
            <sz val="9"/>
            <color rgb="FF000000"/>
            <rFont val="Tahoma"/>
            <family val="2"/>
          </rPr>
          <t>500kHz</t>
        </r>
        <r>
          <rPr>
            <sz val="9"/>
            <color rgb="FF000000"/>
            <rFont val="Tahoma"/>
            <family val="2"/>
          </rPr>
          <t xml:space="preserve">
</t>
        </r>
      </text>
    </comment>
    <comment ref="B22" authorId="0" shapeId="0" xr:uid="{00000000-0006-0000-0000-00000A000000}">
      <text>
        <r>
          <rPr>
            <b/>
            <sz val="9"/>
            <color rgb="FF000000"/>
            <rFont val="Tahoma"/>
            <family val="2"/>
          </rPr>
          <t>Oscillator Set Resistor (R</t>
        </r>
        <r>
          <rPr>
            <b/>
            <vertAlign val="subscript"/>
            <sz val="9"/>
            <color rgb="FF000000"/>
            <rFont val="Tahoma"/>
            <family val="2"/>
          </rPr>
          <t>OSC</t>
        </r>
        <r>
          <rPr>
            <b/>
            <sz val="9"/>
            <color rgb="FF000000"/>
            <rFont val="Tahoma"/>
            <family val="2"/>
          </rPr>
          <t xml:space="preserve">):
</t>
        </r>
        <r>
          <rPr>
            <sz val="9"/>
            <color rgb="FF000000"/>
            <rFont val="Tahoma"/>
            <family val="2"/>
          </rPr>
          <t>This value is calculated based on the "</t>
        </r>
        <r>
          <rPr>
            <b/>
            <sz val="9"/>
            <color rgb="FF000000"/>
            <rFont val="Tahoma"/>
            <family val="2"/>
          </rPr>
          <t>Selected Switching Frequency</t>
        </r>
        <r>
          <rPr>
            <sz val="9"/>
            <color rgb="FF000000"/>
            <rFont val="Tahoma"/>
            <family val="2"/>
          </rPr>
          <t>"</t>
        </r>
        <r>
          <rPr>
            <b/>
            <sz val="9"/>
            <color rgb="FF000000"/>
            <rFont val="Tahoma"/>
            <family val="2"/>
          </rPr>
          <t xml:space="preserve"> </t>
        </r>
        <r>
          <rPr>
            <sz val="9"/>
            <color rgb="FF000000"/>
            <rFont val="Tahoma"/>
            <family val="2"/>
          </rPr>
          <t xml:space="preserve">
</t>
        </r>
      </text>
    </comment>
    <comment ref="B25" authorId="0" shapeId="0" xr:uid="{00000000-0006-0000-0000-00000B000000}">
      <text>
        <r>
          <rPr>
            <b/>
            <sz val="9"/>
            <color rgb="FF000000"/>
            <rFont val="Tahoma"/>
            <family val="2"/>
          </rPr>
          <t>Total Number of Phases:</t>
        </r>
        <r>
          <rPr>
            <sz val="9"/>
            <color rgb="FF000000"/>
            <rFont val="Tahoma"/>
            <family val="2"/>
          </rPr>
          <t xml:space="preserve">
</t>
        </r>
        <r>
          <rPr>
            <sz val="9"/>
            <color rgb="FF000000"/>
            <rFont val="Tahoma"/>
            <family val="2"/>
          </rPr>
          <t xml:space="preserve">Input the total number of phases used during maximum current delivery.  
</t>
        </r>
        <r>
          <rPr>
            <sz val="9"/>
            <color rgb="FF000000"/>
            <rFont val="Tahoma"/>
            <family val="2"/>
          </rPr>
          <t xml:space="preserve">(More than two phases requires multiple LM5170's connected in parallel).
</t>
        </r>
      </text>
    </comment>
    <comment ref="B26" authorId="0" shapeId="0" xr:uid="{00000000-0006-0000-0000-00000C000000}">
      <text>
        <r>
          <rPr>
            <b/>
            <sz val="9"/>
            <color rgb="FF000000"/>
            <rFont val="Tahoma"/>
            <family val="2"/>
          </rPr>
          <t>Total Maximum LV-Port Current:</t>
        </r>
        <r>
          <rPr>
            <sz val="9"/>
            <color rgb="FF000000"/>
            <rFont val="Tahoma"/>
            <family val="2"/>
          </rPr>
          <t xml:space="preserve">
</t>
        </r>
        <r>
          <rPr>
            <sz val="9"/>
            <color rgb="FF000000"/>
            <rFont val="Tahoma"/>
            <family val="2"/>
          </rPr>
          <t xml:space="preserve">Enter the maximum desired LV-Port current.  
</t>
        </r>
        <r>
          <rPr>
            <sz val="9"/>
            <color rgb="FF000000"/>
            <rFont val="Tahoma"/>
            <family val="2"/>
          </rPr>
          <t xml:space="preserve">
</t>
        </r>
        <r>
          <rPr>
            <sz val="9"/>
            <color rgb="FF000000"/>
            <rFont val="Tahoma"/>
            <family val="2"/>
          </rPr>
          <t xml:space="preserve">This value is used to calculate the following component values:
</t>
        </r>
        <r>
          <rPr>
            <b/>
            <sz val="9"/>
            <color rgb="FF000000"/>
            <rFont val="Tahoma"/>
            <family val="2"/>
          </rPr>
          <t>Current sense resistor</t>
        </r>
        <r>
          <rPr>
            <sz val="9"/>
            <color rgb="FF000000"/>
            <rFont val="Tahoma"/>
            <family val="2"/>
          </rPr>
          <t>: R</t>
        </r>
        <r>
          <rPr>
            <vertAlign val="subscript"/>
            <sz val="9"/>
            <color rgb="FF000000"/>
            <rFont val="Tahoma"/>
            <family val="2"/>
          </rPr>
          <t>CS1/2</t>
        </r>
        <r>
          <rPr>
            <sz val="9"/>
            <color rgb="FF000000"/>
            <rFont val="Tahoma"/>
            <family val="2"/>
          </rPr>
          <t xml:space="preserve"> 
</t>
        </r>
        <r>
          <rPr>
            <b/>
            <sz val="9"/>
            <color rgb="FF000000"/>
            <rFont val="Tahoma"/>
            <family val="2"/>
          </rPr>
          <t>Power train inductor</t>
        </r>
        <r>
          <rPr>
            <sz val="9"/>
            <color rgb="FF000000"/>
            <rFont val="Tahoma"/>
            <family val="2"/>
          </rPr>
          <t>: L</t>
        </r>
        <r>
          <rPr>
            <vertAlign val="subscript"/>
            <sz val="9"/>
            <color rgb="FF000000"/>
            <rFont val="Tahoma"/>
            <family val="2"/>
          </rPr>
          <t>OUT1/2</t>
        </r>
      </text>
    </comment>
    <comment ref="B27" authorId="0" shapeId="0" xr:uid="{00000000-0006-0000-0000-00000D000000}">
      <text>
        <r>
          <rPr>
            <b/>
            <sz val="9"/>
            <color rgb="FF000000"/>
            <rFont val="Tahoma"/>
            <family val="2"/>
          </rPr>
          <t xml:space="preserve">Calculated Current Sense Resistor:
</t>
        </r>
        <r>
          <rPr>
            <sz val="9"/>
            <color rgb="FF000000"/>
            <rFont val="Tahoma"/>
            <family val="2"/>
          </rPr>
          <t>The current sense resistor value (</t>
        </r>
        <r>
          <rPr>
            <b/>
            <sz val="9"/>
            <color rgb="FF000000"/>
            <rFont val="Tahoma"/>
            <family val="2"/>
          </rPr>
          <t>R</t>
        </r>
        <r>
          <rPr>
            <b/>
            <vertAlign val="subscript"/>
            <sz val="9"/>
            <color rgb="FF000000"/>
            <rFont val="Tahoma"/>
            <family val="2"/>
          </rPr>
          <t>CS1/2</t>
        </r>
        <r>
          <rPr>
            <sz val="9"/>
            <color rgb="FF000000"/>
            <rFont val="Tahoma"/>
            <family val="2"/>
          </rPr>
          <t>) is calculated to produce 50mV at the maximum phase current (  Total LV-Port Current / Total Number of Phases  ).</t>
        </r>
      </text>
    </comment>
    <comment ref="B28" authorId="0" shapeId="0" xr:uid="{00000000-0006-0000-0000-00000E000000}">
      <text>
        <r>
          <rPr>
            <b/>
            <sz val="9"/>
            <color rgb="FF000000"/>
            <rFont val="Tahoma"/>
            <family val="2"/>
          </rPr>
          <t xml:space="preserve">Selected (Chosen) Sense Resistor:
</t>
        </r>
        <r>
          <rPr>
            <b/>
            <sz val="9"/>
            <color rgb="FF000000"/>
            <rFont val="Tahoma"/>
            <family val="2"/>
          </rPr>
          <t xml:space="preserve">
</t>
        </r>
        <r>
          <rPr>
            <sz val="9"/>
            <color rgb="FF000000"/>
            <rFont val="Tahoma"/>
            <family val="2"/>
          </rPr>
          <t xml:space="preserve">Enter your chosen sense resistor in this cell.  Use the calculated sense resistor as a guideline.
</t>
        </r>
      </text>
    </comment>
    <comment ref="B29" authorId="0" shapeId="0" xr:uid="{00000000-0006-0000-0000-00000F000000}">
      <text>
        <r>
          <rPr>
            <b/>
            <sz val="9"/>
            <color rgb="FF000000"/>
            <rFont val="Tahoma"/>
            <family val="2"/>
          </rPr>
          <t>Maximum Average Inductor Current Per Channel:</t>
        </r>
        <r>
          <rPr>
            <sz val="9"/>
            <color rgb="FF000000"/>
            <rFont val="Tahoma"/>
            <family val="2"/>
          </rPr>
          <t xml:space="preserve">
</t>
        </r>
        <r>
          <rPr>
            <sz val="9"/>
            <color rgb="FF000000"/>
            <rFont val="Tahoma"/>
            <family val="2"/>
          </rPr>
          <t xml:space="preserve">This value is calculated based on </t>
        </r>
        <r>
          <rPr>
            <b/>
            <sz val="9"/>
            <color rgb="FF000000"/>
            <rFont val="Tahoma"/>
            <family val="2"/>
          </rPr>
          <t>50mV</t>
        </r>
        <r>
          <rPr>
            <sz val="9"/>
            <color rgb="FF000000"/>
            <rFont val="Tahoma"/>
            <family val="2"/>
          </rPr>
          <t xml:space="preserve"> across the Selected (Chosen) Sense Resistor</t>
        </r>
      </text>
    </comment>
    <comment ref="B30" authorId="0" shapeId="0" xr:uid="{00000000-0006-0000-0000-000010000000}">
      <text>
        <r>
          <rPr>
            <b/>
            <sz val="9"/>
            <color rgb="FF000000"/>
            <rFont val="Tahoma"/>
            <family val="2"/>
          </rPr>
          <t xml:space="preserve">Maximum LV-Port Rail Current:
</t>
        </r>
        <r>
          <rPr>
            <sz val="9"/>
            <color rgb="FF000000"/>
            <rFont val="Tahoma"/>
            <family val="2"/>
          </rPr>
          <t xml:space="preserve">
</t>
        </r>
        <r>
          <rPr>
            <sz val="9"/>
            <color rgb="FF000000"/>
            <rFont val="Tahoma"/>
            <family val="2"/>
          </rPr>
          <t>This is the maximum current at the LV-Port.</t>
        </r>
      </text>
    </comment>
    <comment ref="B35" authorId="0" shapeId="0" xr:uid="{00000000-0006-0000-0000-000011000000}">
      <text>
        <r>
          <rPr>
            <b/>
            <sz val="9"/>
            <color rgb="FF000000"/>
            <rFont val="Tahoma"/>
            <family val="2"/>
          </rPr>
          <t xml:space="preserve">Selected Peak-to-Peak Ripple Ratio:
</t>
        </r>
        <r>
          <rPr>
            <b/>
            <sz val="9"/>
            <color rgb="FF000000"/>
            <rFont val="Tahoma"/>
            <family val="2"/>
          </rPr>
          <t xml:space="preserve">
</t>
        </r>
        <r>
          <rPr>
            <sz val="9"/>
            <color rgb="FF000000"/>
            <rFont val="Tahoma"/>
            <family val="2"/>
          </rPr>
          <t xml:space="preserve">This is the ratio of peak-to-peak inductor ripple current to the maximum average inductor current. Typically this value should be 80% or less.
</t>
        </r>
        <r>
          <rPr>
            <sz val="9"/>
            <color rgb="FF000000"/>
            <rFont val="Tahoma"/>
            <family val="2"/>
          </rPr>
          <t xml:space="preserve">
</t>
        </r>
        <r>
          <rPr>
            <sz val="9"/>
            <color rgb="FF000000"/>
            <rFont val="Tahoma"/>
            <family val="2"/>
          </rPr>
          <t>Once the Ripple Ratio has been selected it will be used to calculate the inductor value</t>
        </r>
      </text>
    </comment>
    <comment ref="B36" authorId="0" shapeId="0" xr:uid="{00000000-0006-0000-0000-000012000000}">
      <text>
        <r>
          <rPr>
            <b/>
            <sz val="9"/>
            <color rgb="FF000000"/>
            <rFont val="Tahoma"/>
            <family val="2"/>
          </rPr>
          <t xml:space="preserve">Calculated Inductor
</t>
        </r>
        <r>
          <rPr>
            <b/>
            <sz val="9"/>
            <color rgb="FF000000"/>
            <rFont val="Tahoma"/>
            <family val="2"/>
          </rPr>
          <t xml:space="preserve">
</t>
        </r>
        <r>
          <rPr>
            <sz val="9"/>
            <color rgb="FF000000"/>
            <rFont val="Tahoma"/>
            <family val="2"/>
          </rPr>
          <t>This is the suggested powertrain inductor value that is based on the peak-to-peak inductor current ripple ratio. Decreasing the ripple ratio will yield a larger inductance value</t>
        </r>
      </text>
    </comment>
    <comment ref="B37" authorId="0" shapeId="0" xr:uid="{00000000-0006-0000-0000-000013000000}">
      <text>
        <r>
          <rPr>
            <b/>
            <sz val="9"/>
            <color rgb="FF000000"/>
            <rFont val="Tahoma"/>
            <family val="2"/>
          </rPr>
          <t>Selected Inductor</t>
        </r>
        <r>
          <rPr>
            <sz val="9"/>
            <color rgb="FF000000"/>
            <rFont val="Tahoma"/>
            <family val="2"/>
          </rPr>
          <t xml:space="preserve">
</t>
        </r>
        <r>
          <rPr>
            <sz val="9"/>
            <color rgb="FF000000"/>
            <rFont val="Tahoma"/>
            <family val="2"/>
          </rPr>
          <t xml:space="preserve">
</t>
        </r>
        <r>
          <rPr>
            <sz val="9"/>
            <color rgb="FF000000"/>
            <rFont val="Tahoma"/>
            <family val="2"/>
          </rPr>
          <t>This is the selected inductance value of L</t>
        </r>
        <r>
          <rPr>
            <vertAlign val="subscript"/>
            <sz val="9"/>
            <color rgb="FF000000"/>
            <rFont val="Tahoma"/>
            <family val="2"/>
          </rPr>
          <t>M1</t>
        </r>
        <r>
          <rPr>
            <sz val="9"/>
            <color rgb="FF000000"/>
            <rFont val="Tahoma"/>
            <family val="2"/>
          </rPr>
          <t xml:space="preserve"> and L</t>
        </r>
        <r>
          <rPr>
            <vertAlign val="subscript"/>
            <sz val="9"/>
            <color rgb="FF000000"/>
            <rFont val="Tahoma"/>
            <family val="2"/>
          </rPr>
          <t xml:space="preserve">M2. </t>
        </r>
        <r>
          <rPr>
            <sz val="9"/>
            <color rgb="FF000000"/>
            <rFont val="Tahoma"/>
            <family val="2"/>
          </rPr>
          <t>The calculated inductance value should be used as a guide line to select the inductance value.</t>
        </r>
      </text>
    </comment>
    <comment ref="B38" authorId="0" shapeId="0" xr:uid="{00000000-0006-0000-0000-000014000000}">
      <text>
        <r>
          <rPr>
            <b/>
            <sz val="9"/>
            <color rgb="FF000000"/>
            <rFont val="Tahoma"/>
            <family val="2"/>
          </rPr>
          <t>Inductor DCR</t>
        </r>
        <r>
          <rPr>
            <sz val="9"/>
            <color rgb="FF000000"/>
            <rFont val="Tahoma"/>
            <family val="2"/>
          </rPr>
          <t xml:space="preserve">
</t>
        </r>
        <r>
          <rPr>
            <sz val="9"/>
            <color rgb="FF000000"/>
            <rFont val="Tahoma"/>
            <family val="2"/>
          </rPr>
          <t xml:space="preserve">
</t>
        </r>
        <r>
          <rPr>
            <sz val="9"/>
            <color rgb="FF000000"/>
            <rFont val="Tahoma"/>
            <family val="2"/>
          </rPr>
          <t>This is the DC resistance of the inductor. This can be found on the datasheet of the selected inductor. Higher values of DCR will cause the efficiency to drop relative to a inductor will smaller DCR</t>
        </r>
      </text>
    </comment>
    <comment ref="B39" authorId="0" shapeId="0" xr:uid="{00000000-0006-0000-0000-000015000000}">
      <text>
        <r>
          <rPr>
            <b/>
            <sz val="9"/>
            <color rgb="FF000000"/>
            <rFont val="Tahoma"/>
            <family val="2"/>
          </rPr>
          <t xml:space="preserve">Maximum Inductor Peak Current
</t>
        </r>
        <r>
          <rPr>
            <sz val="9"/>
            <color rgb="FF000000"/>
            <rFont val="Tahoma"/>
            <family val="2"/>
          </rPr>
          <t xml:space="preserve">
</t>
        </r>
        <r>
          <rPr>
            <sz val="9"/>
            <color rgb="FF000000"/>
            <rFont val="Tahoma"/>
            <family val="2"/>
          </rPr>
          <t>Worst case maximum peak current based on the selected inductance value, maximum LV port current specified and each phase in operation.</t>
        </r>
      </text>
    </comment>
    <comment ref="B44" authorId="0" shapeId="0" xr:uid="{00000000-0006-0000-0000-000016000000}">
      <text>
        <r>
          <rPr>
            <b/>
            <sz val="9"/>
            <color rgb="FF000000"/>
            <rFont val="Tahoma"/>
            <family val="2"/>
          </rPr>
          <t>Current Limit Margin</t>
        </r>
        <r>
          <rPr>
            <sz val="9"/>
            <color rgb="FF000000"/>
            <rFont val="Tahoma"/>
            <family val="2"/>
          </rPr>
          <t xml:space="preserve">
</t>
        </r>
        <r>
          <rPr>
            <sz val="9"/>
            <color rgb="FF000000"/>
            <rFont val="Tahoma"/>
            <family val="2"/>
          </rPr>
          <t xml:space="preserve">
</t>
        </r>
        <r>
          <rPr>
            <sz val="9"/>
            <color rgb="FF000000"/>
            <rFont val="Tahoma"/>
            <family val="2"/>
          </rPr>
          <t>The margin above the calculated peak inductor current. Normally this value should be in the 5% to 15% range.</t>
        </r>
      </text>
    </comment>
    <comment ref="B45" authorId="0" shapeId="0" xr:uid="{00000000-0006-0000-0000-000017000000}">
      <text>
        <r>
          <rPr>
            <b/>
            <sz val="9"/>
            <color rgb="FF000000"/>
            <rFont val="Tahoma"/>
            <family val="2"/>
          </rPr>
          <t xml:space="preserve">Inductor Peak Current Limit
</t>
        </r>
        <r>
          <rPr>
            <b/>
            <sz val="9"/>
            <color rgb="FF000000"/>
            <rFont val="Tahoma"/>
            <family val="2"/>
          </rPr>
          <t xml:space="preserve">
</t>
        </r>
        <r>
          <rPr>
            <sz val="9"/>
            <color rgb="FF000000"/>
            <rFont val="Tahoma"/>
            <family val="2"/>
          </rPr>
          <t>This is the peak inductor current based on the amount of margin specified. It is important to ensure that the selected inductor is rated for this amount of current. If not the margin of the peak limit should be decreased or an inductor with a larger current rating should be selected.</t>
        </r>
      </text>
    </comment>
    <comment ref="B46" authorId="0" shapeId="0" xr:uid="{00000000-0006-0000-0000-000018000000}">
      <text>
        <r>
          <rPr>
            <b/>
            <sz val="9"/>
            <color indexed="81"/>
            <rFont val="Tahoma"/>
            <family val="2"/>
          </rPr>
          <t>Calculated R</t>
        </r>
        <r>
          <rPr>
            <b/>
            <vertAlign val="subscript"/>
            <sz val="9"/>
            <color indexed="81"/>
            <rFont val="Tahoma"/>
            <family val="2"/>
          </rPr>
          <t>IPK</t>
        </r>
        <r>
          <rPr>
            <b/>
            <sz val="9"/>
            <color indexed="81"/>
            <rFont val="Tahoma"/>
            <family val="2"/>
          </rPr>
          <t xml:space="preserve"> Value
</t>
        </r>
        <r>
          <rPr>
            <sz val="9"/>
            <color indexed="81"/>
            <rFont val="Tahoma"/>
            <family val="2"/>
          </rPr>
          <t>This is the calculated resistor from IPK to GND. This is based off of the datasheet equation.</t>
        </r>
      </text>
    </comment>
    <comment ref="B47" authorId="0" shapeId="0" xr:uid="{00000000-0006-0000-0000-000019000000}">
      <text>
        <r>
          <rPr>
            <b/>
            <sz val="9"/>
            <color rgb="FF000000"/>
            <rFont val="Tahoma"/>
            <family val="2"/>
          </rPr>
          <t>Selected R</t>
        </r>
        <r>
          <rPr>
            <b/>
            <vertAlign val="subscript"/>
            <sz val="9"/>
            <color rgb="FF000000"/>
            <rFont val="Tahoma"/>
            <family val="2"/>
          </rPr>
          <t>IPK</t>
        </r>
        <r>
          <rPr>
            <b/>
            <sz val="9"/>
            <color rgb="FF000000"/>
            <rFont val="Tahoma"/>
            <family val="2"/>
          </rPr>
          <t xml:space="preserve"> Value
</t>
        </r>
        <r>
          <rPr>
            <b/>
            <sz val="9"/>
            <color rgb="FF000000"/>
            <rFont val="Tahoma"/>
            <family val="2"/>
          </rPr>
          <t xml:space="preserve">
</t>
        </r>
        <r>
          <rPr>
            <sz val="9"/>
            <color rgb="FF000000"/>
            <rFont val="Tahoma"/>
            <family val="2"/>
          </rPr>
          <t>This is the selected R</t>
        </r>
        <r>
          <rPr>
            <vertAlign val="subscript"/>
            <sz val="9"/>
            <color rgb="FF000000"/>
            <rFont val="Tahoma"/>
            <family val="2"/>
          </rPr>
          <t>IPK</t>
        </r>
        <r>
          <rPr>
            <sz val="9"/>
            <color rgb="FF000000"/>
            <rFont val="Tahoma"/>
            <family val="2"/>
          </rPr>
          <t xml:space="preserve"> value. The selected value should be based off of the calculate R</t>
        </r>
        <r>
          <rPr>
            <vertAlign val="subscript"/>
            <sz val="9"/>
            <color rgb="FF000000"/>
            <rFont val="Tahoma"/>
            <family val="2"/>
          </rPr>
          <t>IPK</t>
        </r>
        <r>
          <rPr>
            <sz val="9"/>
            <color rgb="FF000000"/>
            <rFont val="Tahoma"/>
            <family val="2"/>
          </rPr>
          <t xml:space="preserve"> value.</t>
        </r>
      </text>
    </comment>
    <comment ref="B48" authorId="0" shapeId="0" xr:uid="{00000000-0006-0000-0000-00001A000000}">
      <text>
        <r>
          <rPr>
            <b/>
            <sz val="9"/>
            <color rgb="FF000000"/>
            <rFont val="Tahoma"/>
            <family val="2"/>
          </rPr>
          <t xml:space="preserve">Actual Inductor Peak Current Limit
</t>
        </r>
        <r>
          <rPr>
            <b/>
            <sz val="9"/>
            <color rgb="FF000000"/>
            <rFont val="Tahoma"/>
            <family val="2"/>
          </rPr>
          <t xml:space="preserve">
</t>
        </r>
        <r>
          <rPr>
            <sz val="9"/>
            <color rgb="FF000000"/>
            <rFont val="Tahoma"/>
            <family val="2"/>
          </rPr>
          <t>This is the actual limited peak inductor current based on the selected value of R</t>
        </r>
        <r>
          <rPr>
            <vertAlign val="subscript"/>
            <sz val="9"/>
            <color rgb="FF000000"/>
            <rFont val="Tahoma"/>
            <family val="2"/>
          </rPr>
          <t>IPK</t>
        </r>
        <r>
          <rPr>
            <sz val="9"/>
            <color rgb="FF000000"/>
            <rFont val="Tahoma"/>
            <family val="2"/>
          </rPr>
          <t xml:space="preserve"> above. Care should be taken to ensure that this value is below the rated current of the selected power train inductor (L</t>
        </r>
        <r>
          <rPr>
            <vertAlign val="subscript"/>
            <sz val="9"/>
            <color rgb="FF000000"/>
            <rFont val="Tahoma"/>
            <family val="2"/>
          </rPr>
          <t>M1</t>
        </r>
        <r>
          <rPr>
            <sz val="9"/>
            <color rgb="FF000000"/>
            <rFont val="Tahoma"/>
            <family val="2"/>
          </rPr>
          <t>,L</t>
        </r>
        <r>
          <rPr>
            <vertAlign val="subscript"/>
            <sz val="9"/>
            <color rgb="FF000000"/>
            <rFont val="Tahoma"/>
            <family val="2"/>
          </rPr>
          <t>M2</t>
        </r>
        <r>
          <rPr>
            <sz val="9"/>
            <color rgb="FF000000"/>
            <rFont val="Tahoma"/>
            <family val="2"/>
          </rPr>
          <t>)</t>
        </r>
      </text>
    </comment>
    <comment ref="B53" authorId="0" shapeId="0" xr:uid="{00000000-0006-0000-0000-00001B000000}">
      <text>
        <r>
          <rPr>
            <b/>
            <sz val="9"/>
            <color rgb="FF000000"/>
            <rFont val="Tahoma"/>
            <family val="2"/>
          </rPr>
          <t>LV Rail Output Capacitance</t>
        </r>
        <r>
          <rPr>
            <sz val="9"/>
            <color rgb="FF000000"/>
            <rFont val="Tahoma"/>
            <family val="2"/>
          </rPr>
          <t xml:space="preserve">
</t>
        </r>
        <r>
          <rPr>
            <sz val="9"/>
            <color rgb="FF000000"/>
            <rFont val="Tahoma"/>
            <family val="2"/>
          </rPr>
          <t xml:space="preserve">
</t>
        </r>
        <r>
          <rPr>
            <sz val="9"/>
            <color rgb="FF000000"/>
            <rFont val="Tahoma"/>
            <family val="2"/>
          </rPr>
          <t>This is the selected output capacitance of the LV rail. This value will have an impact when calculating the voltage loop compensation for Buck Mode Operation</t>
        </r>
      </text>
    </comment>
    <comment ref="B54" authorId="0" shapeId="0" xr:uid="{00000000-0006-0000-0000-00001C000000}">
      <text>
        <r>
          <rPr>
            <b/>
            <sz val="9"/>
            <color rgb="FF000000"/>
            <rFont val="Tahoma"/>
            <family val="2"/>
          </rPr>
          <t>LV Rail Output Capacitance ESR</t>
        </r>
        <r>
          <rPr>
            <sz val="9"/>
            <color rgb="FF000000"/>
            <rFont val="Tahoma"/>
            <family val="2"/>
          </rPr>
          <t xml:space="preserve">
</t>
        </r>
        <r>
          <rPr>
            <sz val="9"/>
            <color rgb="FF000000"/>
            <rFont val="Tahoma"/>
            <family val="2"/>
          </rPr>
          <t xml:space="preserve">
</t>
        </r>
        <r>
          <rPr>
            <sz val="9"/>
            <color rgb="FF000000"/>
            <rFont val="Tahoma"/>
            <family val="2"/>
          </rPr>
          <t xml:space="preserve">This is the resistance of the selected output capacitance for the LV rail. This value will have an impact when calculating the voltage loop compensation for Buck Mode Operation.
</t>
        </r>
      </text>
    </comment>
    <comment ref="B56" authorId="0" shapeId="0" xr:uid="{00000000-0006-0000-0000-00001D000000}">
      <text>
        <r>
          <rPr>
            <sz val="9"/>
            <color rgb="FF000000"/>
            <rFont val="Tahoma"/>
            <family val="2"/>
          </rPr>
          <t xml:space="preserve">HV Rail Output Capacitance
</t>
        </r>
        <r>
          <rPr>
            <sz val="9"/>
            <color rgb="FF000000"/>
            <rFont val="Tahoma"/>
            <family val="2"/>
          </rPr>
          <t xml:space="preserve">
</t>
        </r>
        <r>
          <rPr>
            <sz val="9"/>
            <color rgb="FF000000"/>
            <rFont val="Tahoma"/>
            <family val="2"/>
          </rPr>
          <t>This is the selected output capacitance of the HV rail. This value will have an impact when calculating the voltage loop compensation for Boost Mode Operation</t>
        </r>
      </text>
    </comment>
    <comment ref="B57" authorId="0" shapeId="0" xr:uid="{00000000-0006-0000-0000-00001E000000}">
      <text>
        <r>
          <rPr>
            <b/>
            <sz val="9"/>
            <color rgb="FF000000"/>
            <rFont val="Tahoma"/>
            <family val="2"/>
          </rPr>
          <t xml:space="preserve">HV Rail Output Capacitance ESR
</t>
        </r>
        <r>
          <rPr>
            <b/>
            <sz val="9"/>
            <color rgb="FF000000"/>
            <rFont val="Tahoma"/>
            <family val="2"/>
          </rPr>
          <t xml:space="preserve">
</t>
        </r>
        <r>
          <rPr>
            <sz val="9"/>
            <color rgb="FF000000"/>
            <rFont val="Tahoma"/>
            <family val="2"/>
          </rPr>
          <t xml:space="preserve">This is the resistance of the selected output capacitance for the HV rail. This value will have an impact when calculating the voltage loop compensation for Boost Mode Operation.
</t>
        </r>
      </text>
    </comment>
    <comment ref="B62" authorId="0" shapeId="0" xr:uid="{00000000-0006-0000-0000-00001F000000}">
      <text>
        <r>
          <rPr>
            <b/>
            <sz val="9"/>
            <color indexed="81"/>
            <rFont val="Tahoma"/>
            <family val="2"/>
          </rPr>
          <t xml:space="preserve">Selected RAMP Capacitor
</t>
        </r>
        <r>
          <rPr>
            <sz val="9"/>
            <color indexed="81"/>
            <rFont val="Tahoma"/>
            <family val="2"/>
          </rPr>
          <t xml:space="preserve">This is the capacitor used to create the saw tooth RAMP1/RAMP2 signals. This capacitor must be selected to be discharged in less the 200ns each switching cycle. </t>
        </r>
        <r>
          <rPr>
            <b/>
            <sz val="9"/>
            <color indexed="81"/>
            <rFont val="Tahoma"/>
            <family val="2"/>
          </rPr>
          <t>The maximum recommended value is 2.5nF</t>
        </r>
        <r>
          <rPr>
            <sz val="9"/>
            <color indexed="81"/>
            <rFont val="Tahoma"/>
            <family val="2"/>
          </rPr>
          <t>. A low tolerance value (&lt;10%) capacitor should be selected here.</t>
        </r>
      </text>
    </comment>
    <comment ref="B63" authorId="0" shapeId="0" xr:uid="{00000000-0006-0000-0000-000020000000}">
      <text>
        <r>
          <rPr>
            <b/>
            <sz val="9"/>
            <color indexed="81"/>
            <rFont val="Tahoma"/>
            <family val="2"/>
          </rPr>
          <t>Calculated RAMP1/RAMP2 Resistors</t>
        </r>
        <r>
          <rPr>
            <sz val="9"/>
            <color indexed="81"/>
            <rFont val="Tahoma"/>
            <family val="2"/>
          </rPr>
          <t xml:space="preserve">
This is the calculated value based on the datasheet equation. </t>
        </r>
      </text>
    </comment>
    <comment ref="B64" authorId="0" shapeId="0" xr:uid="{00000000-0006-0000-0000-000021000000}">
      <text>
        <r>
          <rPr>
            <b/>
            <sz val="9"/>
            <color indexed="81"/>
            <rFont val="Tahoma"/>
            <family val="2"/>
          </rPr>
          <t xml:space="preserve">Selected RAMP1/RAMP2 Resistors
</t>
        </r>
        <r>
          <rPr>
            <sz val="9"/>
            <color indexed="81"/>
            <rFont val="Tahoma"/>
            <family val="2"/>
          </rPr>
          <t xml:space="preserve">This is the selected resistance value. The selected value should be based on the calculated value above. </t>
        </r>
      </text>
    </comment>
    <comment ref="B65" authorId="0" shapeId="0" xr:uid="{00000000-0006-0000-0000-000022000000}">
      <text>
        <r>
          <rPr>
            <b/>
            <sz val="9"/>
            <color indexed="81"/>
            <rFont val="Tahoma"/>
            <family val="2"/>
          </rPr>
          <t>Peak RAMP voltage at the HV minimum</t>
        </r>
        <r>
          <rPr>
            <sz val="9"/>
            <color indexed="81"/>
            <rFont val="Tahoma"/>
            <family val="2"/>
          </rPr>
          <t xml:space="preserve">
This value should be greater than 0.625V but less than 14V. If not this cell will be marked red indicating an error. If this occurs the RAMP resistor value should be modified accordingly</t>
        </r>
      </text>
    </comment>
    <comment ref="B66" authorId="0" shapeId="0" xr:uid="{00000000-0006-0000-0000-000023000000}">
      <text>
        <r>
          <rPr>
            <b/>
            <sz val="9"/>
            <color indexed="81"/>
            <rFont val="Tahoma"/>
            <family val="2"/>
          </rPr>
          <t>Peak RAMP voltage at the HV Nominal</t>
        </r>
        <r>
          <rPr>
            <sz val="9"/>
            <color indexed="81"/>
            <rFont val="Tahoma"/>
            <family val="2"/>
          </rPr>
          <t xml:space="preserve">
This value should be greater than 0.625V but less than 14V. If not this cell will be marked red indicating an error. If this occurs the RAMP resistor value should be modified accordingly</t>
        </r>
      </text>
    </comment>
    <comment ref="B67" authorId="0" shapeId="0" xr:uid="{00000000-0006-0000-0000-000024000000}">
      <text>
        <r>
          <rPr>
            <b/>
            <sz val="9"/>
            <color indexed="81"/>
            <rFont val="Tahoma"/>
            <family val="2"/>
          </rPr>
          <t>Peak RAMP voltage at the HV Maximum</t>
        </r>
        <r>
          <rPr>
            <sz val="9"/>
            <color indexed="81"/>
            <rFont val="Tahoma"/>
            <family val="2"/>
          </rPr>
          <t xml:space="preserve">
This value should be greater than 0.625V but less than 14V. If not this cell will be marked red indicating an error. If this occurs the RAMP resistor value should be modified accordingly</t>
        </r>
      </text>
    </comment>
    <comment ref="B72" authorId="0" shapeId="0" xr:uid="{00000000-0006-0000-0000-000025000000}">
      <text>
        <r>
          <rPr>
            <b/>
            <sz val="9"/>
            <color rgb="FF000000"/>
            <rFont val="Tahoma"/>
            <family val="2"/>
          </rPr>
          <t>Selected Soft-Start Time</t>
        </r>
        <r>
          <rPr>
            <sz val="9"/>
            <color rgb="FF000000"/>
            <rFont val="Tahoma"/>
            <family val="2"/>
          </rPr>
          <t xml:space="preserve">
</t>
        </r>
        <r>
          <rPr>
            <sz val="9"/>
            <color rgb="FF000000"/>
            <rFont val="Tahoma"/>
            <family val="2"/>
          </rPr>
          <t xml:space="preserve">
</t>
        </r>
        <r>
          <rPr>
            <sz val="9"/>
            <color rgb="FF000000"/>
            <rFont val="Tahoma"/>
            <family val="2"/>
          </rPr>
          <t>This is the selected time that it will take the SS pin to charge to the threshold voltage. Increasing the value will result in a slower ramp to full load current.</t>
        </r>
      </text>
    </comment>
    <comment ref="B73" authorId="0" shapeId="0" xr:uid="{00000000-0006-0000-0000-000026000000}">
      <text>
        <r>
          <rPr>
            <b/>
            <sz val="9"/>
            <color indexed="81"/>
            <rFont val="Tahoma"/>
            <family val="2"/>
          </rPr>
          <t>Selected Soft-Start Capacitor C</t>
        </r>
        <r>
          <rPr>
            <b/>
            <vertAlign val="subscript"/>
            <sz val="9"/>
            <color indexed="81"/>
            <rFont val="Tahoma"/>
            <family val="2"/>
          </rPr>
          <t>SS</t>
        </r>
        <r>
          <rPr>
            <sz val="9"/>
            <color indexed="81"/>
            <rFont val="Tahoma"/>
            <family val="2"/>
          </rPr>
          <t xml:space="preserve">
This is the calculated soft-start capacitor that will result in the soft-start time specified in the selected soft-start time cell. This value is based off of the datasheet equations.</t>
        </r>
      </text>
    </comment>
    <comment ref="B74" authorId="0" shapeId="0" xr:uid="{00000000-0006-0000-0000-000027000000}">
      <text>
        <r>
          <rPr>
            <b/>
            <sz val="9"/>
            <color rgb="FF000000"/>
            <rFont val="Tahoma"/>
            <family val="2"/>
          </rPr>
          <t>Selected C</t>
        </r>
        <r>
          <rPr>
            <b/>
            <vertAlign val="subscript"/>
            <sz val="9"/>
            <color rgb="FF000000"/>
            <rFont val="Tahoma"/>
            <family val="2"/>
          </rPr>
          <t>SS</t>
        </r>
        <r>
          <rPr>
            <b/>
            <sz val="9"/>
            <color rgb="FF000000"/>
            <rFont val="Tahoma"/>
            <family val="2"/>
          </rPr>
          <t xml:space="preserve"> Capacitance
</t>
        </r>
        <r>
          <rPr>
            <b/>
            <sz val="9"/>
            <color rgb="FF000000"/>
            <rFont val="Tahoma"/>
            <family val="2"/>
          </rPr>
          <t xml:space="preserve">
</t>
        </r>
        <r>
          <rPr>
            <sz val="9"/>
            <color rgb="FF000000"/>
            <rFont val="Tahoma"/>
            <family val="2"/>
          </rPr>
          <t>This is the selected soft-start capacitance. This value should be based on the calculated C</t>
        </r>
        <r>
          <rPr>
            <vertAlign val="subscript"/>
            <sz val="9"/>
            <color rgb="FF000000"/>
            <rFont val="Tahoma"/>
            <family val="2"/>
          </rPr>
          <t xml:space="preserve">SS </t>
        </r>
        <r>
          <rPr>
            <sz val="9"/>
            <color rgb="FF000000"/>
            <rFont val="Tahoma"/>
            <family val="2"/>
          </rPr>
          <t>cell value</t>
        </r>
      </text>
    </comment>
    <comment ref="B75" authorId="0" shapeId="0" xr:uid="{00000000-0006-0000-0000-000028000000}">
      <text>
        <r>
          <rPr>
            <b/>
            <sz val="9"/>
            <color indexed="81"/>
            <rFont val="Tahoma"/>
            <family val="2"/>
          </rPr>
          <t xml:space="preserve">Actual Soft-Start Time
</t>
        </r>
        <r>
          <rPr>
            <sz val="9"/>
            <color indexed="81"/>
            <rFont val="Tahoma"/>
            <family val="2"/>
          </rPr>
          <t xml:space="preserve">
This is the soft-start time of the converter based on the value of the selected C</t>
        </r>
        <r>
          <rPr>
            <vertAlign val="subscript"/>
            <sz val="9"/>
            <color indexed="81"/>
            <rFont val="Tahoma"/>
            <family val="2"/>
          </rPr>
          <t>SS</t>
        </r>
        <r>
          <rPr>
            <sz val="9"/>
            <color indexed="81"/>
            <rFont val="Tahoma"/>
            <family val="2"/>
          </rPr>
          <t xml:space="preserve"> value</t>
        </r>
      </text>
    </comment>
    <comment ref="B80" authorId="0" shapeId="0" xr:uid="{00000000-0006-0000-0000-000029000000}">
      <text>
        <r>
          <rPr>
            <b/>
            <sz val="9"/>
            <color rgb="FF000000"/>
            <rFont val="Tahoma"/>
            <family val="2"/>
          </rPr>
          <t>HV Port Overvoltage Level</t>
        </r>
        <r>
          <rPr>
            <sz val="9"/>
            <color rgb="FF000000"/>
            <rFont val="Tahoma"/>
            <family val="2"/>
          </rPr>
          <t xml:space="preserve">
</t>
        </r>
        <r>
          <rPr>
            <sz val="9"/>
            <color rgb="FF000000"/>
            <rFont val="Tahoma"/>
            <family val="2"/>
          </rPr>
          <t xml:space="preserve">
</t>
        </r>
        <r>
          <rPr>
            <b/>
            <sz val="9"/>
            <color rgb="FF000000"/>
            <rFont val="Tahoma"/>
            <family val="2"/>
          </rPr>
          <t>Maximum Value: 85V</t>
        </r>
        <r>
          <rPr>
            <sz val="9"/>
            <color rgb="FF000000"/>
            <rFont val="Tahoma"/>
            <family val="2"/>
          </rPr>
          <t xml:space="preserve">
</t>
        </r>
        <r>
          <rPr>
            <sz val="9"/>
            <color rgb="FF000000"/>
            <rFont val="Tahoma"/>
            <family val="2"/>
          </rPr>
          <t>This is the desired overvoltage level of the HV port. This value should be lower than the recommended maximum rating of the VIN Pin.</t>
        </r>
      </text>
    </comment>
    <comment ref="B81" authorId="0" shapeId="0" xr:uid="{00000000-0006-0000-0000-00002A000000}">
      <text>
        <r>
          <rPr>
            <b/>
            <sz val="9"/>
            <color rgb="FF000000"/>
            <rFont val="Tahoma"/>
            <family val="2"/>
          </rPr>
          <t>Calculated R</t>
        </r>
        <r>
          <rPr>
            <b/>
            <vertAlign val="subscript"/>
            <sz val="9"/>
            <color rgb="FF000000"/>
            <rFont val="Tahoma"/>
            <family val="2"/>
          </rPr>
          <t>OVPA</t>
        </r>
        <r>
          <rPr>
            <sz val="9"/>
            <color rgb="FF000000"/>
            <rFont val="Tahoma"/>
            <family val="2"/>
          </rPr>
          <t xml:space="preserve">
</t>
        </r>
        <r>
          <rPr>
            <sz val="9"/>
            <color rgb="FF000000"/>
            <rFont val="Tahoma"/>
            <family val="2"/>
          </rPr>
          <t xml:space="preserve">
</t>
        </r>
        <r>
          <rPr>
            <sz val="9"/>
            <color rgb="FF000000"/>
            <rFont val="Tahoma"/>
            <family val="2"/>
          </rPr>
          <t>This is the calculated R</t>
        </r>
        <r>
          <rPr>
            <vertAlign val="subscript"/>
            <sz val="9"/>
            <color rgb="FF000000"/>
            <rFont val="Tahoma"/>
            <family val="2"/>
          </rPr>
          <t>OVPA</t>
        </r>
        <r>
          <rPr>
            <sz val="9"/>
            <color rgb="FF000000"/>
            <rFont val="Tahoma"/>
            <family val="2"/>
          </rPr>
          <t xml:space="preserve"> value based on the datasheet equation and the OVPA trigger level specified</t>
        </r>
      </text>
    </comment>
    <comment ref="B82" authorId="0" shapeId="0" xr:uid="{00000000-0006-0000-0000-00002B000000}">
      <text>
        <r>
          <rPr>
            <b/>
            <sz val="9"/>
            <color rgb="FF000000"/>
            <rFont val="Tahoma"/>
            <family val="2"/>
          </rPr>
          <t>Selected R</t>
        </r>
        <r>
          <rPr>
            <b/>
            <vertAlign val="subscript"/>
            <sz val="9"/>
            <color rgb="FF000000"/>
            <rFont val="Tahoma"/>
            <family val="2"/>
          </rPr>
          <t>OVPA</t>
        </r>
        <r>
          <rPr>
            <b/>
            <sz val="9"/>
            <color rgb="FF000000"/>
            <rFont val="Tahoma"/>
            <family val="2"/>
          </rPr>
          <t xml:space="preserve"> Resistor</t>
        </r>
        <r>
          <rPr>
            <sz val="9"/>
            <color rgb="FF000000"/>
            <rFont val="Tahoma"/>
            <family val="2"/>
          </rPr>
          <t xml:space="preserve">
</t>
        </r>
        <r>
          <rPr>
            <sz val="9"/>
            <color rgb="FF000000"/>
            <rFont val="Tahoma"/>
            <family val="2"/>
          </rPr>
          <t xml:space="preserve">
</t>
        </r>
        <r>
          <rPr>
            <sz val="9"/>
            <color rgb="FF000000"/>
            <rFont val="Tahoma"/>
            <family val="2"/>
          </rPr>
          <t>This value should be based on the calculated R</t>
        </r>
        <r>
          <rPr>
            <vertAlign val="subscript"/>
            <sz val="9"/>
            <color rgb="FF000000"/>
            <rFont val="Tahoma"/>
            <family val="2"/>
          </rPr>
          <t>OVPA</t>
        </r>
        <r>
          <rPr>
            <sz val="9"/>
            <color rgb="FF000000"/>
            <rFont val="Tahoma"/>
            <family val="2"/>
          </rPr>
          <t xml:space="preserve"> value</t>
        </r>
      </text>
    </comment>
    <comment ref="B83" authorId="0" shapeId="0" xr:uid="{00000000-0006-0000-0000-00002C000000}">
      <text>
        <r>
          <rPr>
            <b/>
            <sz val="9"/>
            <color indexed="81"/>
            <rFont val="Tahoma"/>
            <family val="2"/>
          </rPr>
          <t xml:space="preserve">Actual HV OVP Level
</t>
        </r>
        <r>
          <rPr>
            <sz val="9"/>
            <color indexed="81"/>
            <rFont val="Tahoma"/>
            <family val="2"/>
          </rPr>
          <t>This the level that OVPA will trigger at. This is based on the resistor value (R</t>
        </r>
        <r>
          <rPr>
            <vertAlign val="subscript"/>
            <sz val="9"/>
            <color indexed="81"/>
            <rFont val="Tahoma"/>
            <family val="2"/>
          </rPr>
          <t>OVPA</t>
        </r>
        <r>
          <rPr>
            <sz val="9"/>
            <color indexed="81"/>
            <rFont val="Tahoma"/>
            <family val="2"/>
          </rPr>
          <t xml:space="preserve">) selected above. </t>
        </r>
        <r>
          <rPr>
            <b/>
            <sz val="9"/>
            <color indexed="81"/>
            <rFont val="Tahoma"/>
            <family val="2"/>
          </rPr>
          <t>This value should be less than 85V</t>
        </r>
      </text>
    </comment>
    <comment ref="B85" authorId="0" shapeId="0" xr:uid="{00000000-0006-0000-0000-00002D000000}">
      <text>
        <r>
          <rPr>
            <b/>
            <sz val="9"/>
            <color indexed="81"/>
            <rFont val="Tahoma"/>
            <family val="2"/>
          </rPr>
          <t xml:space="preserve">LV Port Overvoltage Level
Maximum Value: 60V
</t>
        </r>
        <r>
          <rPr>
            <sz val="9"/>
            <color indexed="81"/>
            <rFont val="Tahoma"/>
            <family val="2"/>
          </rPr>
          <t xml:space="preserve">This is the desired overvoltage level of the LV port. This value should be lower than the recommended maximum rating of the LV port. In a majority of applications this value should be lower than the minimum HV rail voltage.
</t>
        </r>
      </text>
    </comment>
    <comment ref="B86" authorId="0" shapeId="0" xr:uid="{00000000-0006-0000-0000-00002E000000}">
      <text>
        <r>
          <rPr>
            <b/>
            <sz val="9"/>
            <color indexed="81"/>
            <rFont val="Tahoma"/>
            <family val="2"/>
          </rPr>
          <t>Calculated R</t>
        </r>
        <r>
          <rPr>
            <b/>
            <vertAlign val="subscript"/>
            <sz val="9"/>
            <color indexed="81"/>
            <rFont val="Tahoma"/>
            <family val="2"/>
          </rPr>
          <t>OVPB</t>
        </r>
        <r>
          <rPr>
            <b/>
            <sz val="9"/>
            <color indexed="81"/>
            <rFont val="Tahoma"/>
            <family val="2"/>
          </rPr>
          <t xml:space="preserve">
</t>
        </r>
        <r>
          <rPr>
            <sz val="9"/>
            <color indexed="81"/>
            <rFont val="Tahoma"/>
            <family val="2"/>
          </rPr>
          <t>This is the calculated R</t>
        </r>
        <r>
          <rPr>
            <vertAlign val="subscript"/>
            <sz val="9"/>
            <color indexed="81"/>
            <rFont val="Tahoma"/>
            <family val="2"/>
          </rPr>
          <t>OVPB</t>
        </r>
        <r>
          <rPr>
            <sz val="9"/>
            <color indexed="81"/>
            <rFont val="Tahoma"/>
            <family val="2"/>
          </rPr>
          <t xml:space="preserve"> value based on the datasheet equation and the OVPB trigger level specified</t>
        </r>
      </text>
    </comment>
    <comment ref="B87" authorId="0" shapeId="0" xr:uid="{00000000-0006-0000-0000-00002F000000}">
      <text>
        <r>
          <rPr>
            <b/>
            <sz val="9"/>
            <color indexed="81"/>
            <rFont val="Tahoma"/>
            <family val="2"/>
          </rPr>
          <t>Selected R</t>
        </r>
        <r>
          <rPr>
            <b/>
            <vertAlign val="subscript"/>
            <sz val="9"/>
            <color indexed="81"/>
            <rFont val="Tahoma"/>
            <family val="2"/>
          </rPr>
          <t>OVPB</t>
        </r>
        <r>
          <rPr>
            <b/>
            <sz val="9"/>
            <color indexed="81"/>
            <rFont val="Tahoma"/>
            <family val="2"/>
          </rPr>
          <t xml:space="preserve"> Resistor
</t>
        </r>
        <r>
          <rPr>
            <sz val="9"/>
            <color indexed="81"/>
            <rFont val="Tahoma"/>
            <family val="2"/>
          </rPr>
          <t>This value should be based on the calculated R</t>
        </r>
        <r>
          <rPr>
            <vertAlign val="subscript"/>
            <sz val="9"/>
            <color indexed="81"/>
            <rFont val="Tahoma"/>
            <family val="2"/>
          </rPr>
          <t>OVPB</t>
        </r>
        <r>
          <rPr>
            <sz val="9"/>
            <color indexed="81"/>
            <rFont val="Tahoma"/>
            <family val="2"/>
          </rPr>
          <t xml:space="preserve"> value
</t>
        </r>
      </text>
    </comment>
    <comment ref="B88" authorId="0" shapeId="0" xr:uid="{00000000-0006-0000-0000-000030000000}">
      <text>
        <r>
          <rPr>
            <b/>
            <sz val="9"/>
            <color indexed="81"/>
            <rFont val="Tahoma"/>
            <family val="2"/>
          </rPr>
          <t xml:space="preserve">Actual LV OVP Level
</t>
        </r>
        <r>
          <rPr>
            <sz val="9"/>
            <color indexed="81"/>
            <rFont val="Tahoma"/>
            <family val="2"/>
          </rPr>
          <t>This the level that OVPB will trigger at. This is based on the resistor value (R</t>
        </r>
        <r>
          <rPr>
            <vertAlign val="subscript"/>
            <sz val="9"/>
            <color indexed="81"/>
            <rFont val="Tahoma"/>
            <family val="2"/>
          </rPr>
          <t>OVPB</t>
        </r>
        <r>
          <rPr>
            <sz val="9"/>
            <color indexed="81"/>
            <rFont val="Tahoma"/>
            <family val="2"/>
          </rPr>
          <t xml:space="preserve">) selected above. This value should be less than 60V
</t>
        </r>
      </text>
    </comment>
    <comment ref="B93" authorId="0" shapeId="0" xr:uid="{00000000-0006-0000-0000-000031000000}">
      <text>
        <r>
          <rPr>
            <b/>
            <sz val="9"/>
            <color indexed="81"/>
            <rFont val="Tahoma"/>
            <family val="2"/>
          </rPr>
          <t xml:space="preserve">ULVO Control Type Selection:
</t>
        </r>
        <r>
          <rPr>
            <sz val="9"/>
            <color indexed="81"/>
            <rFont val="Tahoma"/>
            <family val="2"/>
          </rPr>
          <t xml:space="preserve">The UVLO signal can be configured in a number of ways. Below are two common configurations
1. </t>
        </r>
        <r>
          <rPr>
            <u/>
            <sz val="9"/>
            <color indexed="81"/>
            <rFont val="Tahoma"/>
            <family val="2"/>
          </rPr>
          <t>UVLO signal controlled by microcontroller (</t>
        </r>
        <r>
          <rPr>
            <u/>
            <sz val="9"/>
            <color indexed="81"/>
            <rFont val="Calibri"/>
            <family val="2"/>
          </rPr>
          <t>μ</t>
        </r>
        <r>
          <rPr>
            <u/>
            <sz val="9"/>
            <color indexed="81"/>
            <rFont val="Tahoma"/>
            <family val="2"/>
          </rPr>
          <t>C)</t>
        </r>
        <r>
          <rPr>
            <sz val="9"/>
            <color indexed="81"/>
            <rFont val="Tahoma"/>
            <family val="2"/>
          </rPr>
          <t xml:space="preserve">
In this configuration the UVLO signal is used as a master enable for the device. To ensure that the  LM5170 will respond correctly the  logic level high voltage should be greater than 2.5V. If selected the cells below will be shaded grey to indicate that the calculations are not needed.
2.</t>
        </r>
        <r>
          <rPr>
            <u/>
            <sz val="9"/>
            <color indexed="81"/>
            <rFont val="Tahoma"/>
            <family val="2"/>
          </rPr>
          <t xml:space="preserve"> UVLO Resistor Divider (Resistor Divider)</t>
        </r>
        <r>
          <rPr>
            <sz val="9"/>
            <color indexed="81"/>
            <rFont val="Tahoma"/>
            <family val="2"/>
          </rPr>
          <t xml:space="preserve">
In this configuration a Resistor divider is used to set enable or disable the LM5170. When the UVLO pin is above 2.5V the LM5170 will be in power delivery mode. If the voltage on the UVLO pin is between 1.25V and 2.5V the LM5170 will be in standby mode. If the UVLO pin voltage is below 1.25V the LM5170 will be in shutdown mode and will draw a small amount of power.</t>
        </r>
      </text>
    </comment>
    <comment ref="B94" authorId="0" shapeId="0" xr:uid="{00000000-0006-0000-0000-000032000000}">
      <text>
        <r>
          <rPr>
            <b/>
            <sz val="9"/>
            <color indexed="81"/>
            <rFont val="Tahoma"/>
            <family val="2"/>
          </rPr>
          <t xml:space="preserve">UVLO Release Voltage
</t>
        </r>
        <r>
          <rPr>
            <sz val="9"/>
            <color indexed="81"/>
            <rFont val="Tahoma"/>
            <family val="2"/>
          </rPr>
          <t>This is the input voltage at which the LM5170 will start delivering current. This voltage rail is typically from the HV-PORT, LV-PORT of the VCC rail.</t>
        </r>
      </text>
    </comment>
    <comment ref="B95" authorId="0" shapeId="0" xr:uid="{00000000-0006-0000-0000-000033000000}">
      <text>
        <r>
          <rPr>
            <b/>
            <sz val="9"/>
            <color indexed="81"/>
            <rFont val="Tahoma"/>
            <family val="2"/>
          </rPr>
          <t>Selected R</t>
        </r>
        <r>
          <rPr>
            <b/>
            <vertAlign val="subscript"/>
            <sz val="9"/>
            <color indexed="81"/>
            <rFont val="Tahoma"/>
            <family val="2"/>
          </rPr>
          <t xml:space="preserve">UVLO2
</t>
        </r>
        <r>
          <rPr>
            <sz val="9"/>
            <color indexed="81"/>
            <rFont val="Tahoma"/>
            <family val="2"/>
          </rPr>
          <t xml:space="preserve">This is the selected bottom resistor of the UVLO resistor divider. The larger this value the less current will flow in the divider making the UVLO signal more susceptible to noise. </t>
        </r>
      </text>
    </comment>
    <comment ref="B96" authorId="0" shapeId="0" xr:uid="{00000000-0006-0000-0000-000034000000}">
      <text>
        <r>
          <rPr>
            <b/>
            <sz val="9"/>
            <color indexed="81"/>
            <rFont val="Tahoma"/>
            <family val="2"/>
          </rPr>
          <t>Calculated R</t>
        </r>
        <r>
          <rPr>
            <b/>
            <vertAlign val="subscript"/>
            <sz val="9"/>
            <color indexed="81"/>
            <rFont val="Tahoma"/>
            <family val="2"/>
          </rPr>
          <t xml:space="preserve">UVLO1
</t>
        </r>
        <r>
          <rPr>
            <sz val="9"/>
            <color indexed="81"/>
            <rFont val="Tahoma"/>
            <family val="2"/>
          </rPr>
          <t>This is the calculated top resistor of the UVLO resistor divider based on the datasheet equation</t>
        </r>
      </text>
    </comment>
    <comment ref="B97" authorId="0" shapeId="0" xr:uid="{00000000-0006-0000-0000-000035000000}">
      <text>
        <r>
          <rPr>
            <b/>
            <sz val="9"/>
            <color indexed="81"/>
            <rFont val="Tahoma"/>
            <family val="2"/>
          </rPr>
          <t>Selected R</t>
        </r>
        <r>
          <rPr>
            <b/>
            <vertAlign val="subscript"/>
            <sz val="9"/>
            <color indexed="81"/>
            <rFont val="Tahoma"/>
            <family val="2"/>
          </rPr>
          <t>UVLO1</t>
        </r>
        <r>
          <rPr>
            <b/>
            <sz val="9"/>
            <color indexed="81"/>
            <rFont val="Tahoma"/>
            <family val="2"/>
          </rPr>
          <t xml:space="preserve">
</t>
        </r>
        <r>
          <rPr>
            <sz val="9"/>
            <color indexed="81"/>
            <rFont val="Tahoma"/>
            <family val="2"/>
          </rPr>
          <t xml:space="preserve">
This is the selected value of R</t>
        </r>
        <r>
          <rPr>
            <vertAlign val="subscript"/>
            <sz val="9"/>
            <color indexed="81"/>
            <rFont val="Tahoma"/>
            <family val="2"/>
          </rPr>
          <t>UVLO1</t>
        </r>
        <r>
          <rPr>
            <sz val="9"/>
            <color indexed="81"/>
            <rFont val="Tahoma"/>
            <family val="2"/>
          </rPr>
          <t xml:space="preserve">. The selected value should be based on the calculated value above
</t>
        </r>
      </text>
    </comment>
    <comment ref="B98" authorId="0" shapeId="0" xr:uid="{00000000-0006-0000-0000-000036000000}">
      <text>
        <r>
          <rPr>
            <b/>
            <sz val="9"/>
            <color indexed="81"/>
            <rFont val="Tahoma"/>
            <family val="2"/>
          </rPr>
          <t xml:space="preserve">UVLO Hysteresis
</t>
        </r>
        <r>
          <rPr>
            <sz val="9"/>
            <color indexed="81"/>
            <rFont val="Tahoma"/>
            <family val="2"/>
          </rPr>
          <t>If a different amount of hysteresis is needed on the UVLO signal a resistor (R</t>
        </r>
        <r>
          <rPr>
            <vertAlign val="subscript"/>
            <sz val="9"/>
            <color indexed="81"/>
            <rFont val="Tahoma"/>
            <family val="2"/>
          </rPr>
          <t>UVLO3</t>
        </r>
        <r>
          <rPr>
            <sz val="9"/>
            <color indexed="81"/>
            <rFont val="Tahoma"/>
            <family val="2"/>
          </rPr>
          <t xml:space="preserve">) maybe added to adjust this accordingly. The two following options will help to calculate the correct UVLO resistor values.
</t>
        </r>
        <r>
          <rPr>
            <u/>
            <sz val="9"/>
            <color indexed="81"/>
            <rFont val="Tahoma"/>
            <family val="2"/>
          </rPr>
          <t xml:space="preserve">1. Additional </t>
        </r>
        <r>
          <rPr>
            <sz val="9"/>
            <color indexed="81"/>
            <rFont val="Tahoma"/>
            <family val="2"/>
          </rPr>
          <t xml:space="preserve">
This allows for a greater level of hysteresis to be implemented for the UVLO signal. Selecting this option will calculated the needed value for R</t>
        </r>
        <r>
          <rPr>
            <vertAlign val="subscript"/>
            <sz val="9"/>
            <color indexed="81"/>
            <rFont val="Tahoma"/>
            <family val="2"/>
          </rPr>
          <t>UVLO3</t>
        </r>
        <r>
          <rPr>
            <sz val="9"/>
            <color indexed="81"/>
            <rFont val="Tahoma"/>
            <family val="2"/>
          </rPr>
          <t xml:space="preserve"> 
</t>
        </r>
        <r>
          <rPr>
            <u/>
            <sz val="9"/>
            <color indexed="81"/>
            <rFont val="Tahoma"/>
            <family val="2"/>
          </rPr>
          <t>2. Normal</t>
        </r>
        <r>
          <rPr>
            <sz val="9"/>
            <color indexed="81"/>
            <rFont val="Tahoma"/>
            <family val="2"/>
          </rPr>
          <t xml:space="preserve">
This is the most common use case for the UVLO signal. The hysteresis will be set by the 25uA internal current source and the R</t>
        </r>
        <r>
          <rPr>
            <vertAlign val="subscript"/>
            <sz val="9"/>
            <color indexed="81"/>
            <rFont val="Tahoma"/>
            <family val="2"/>
          </rPr>
          <t>UVLO1</t>
        </r>
        <r>
          <rPr>
            <sz val="9"/>
            <color indexed="81"/>
            <rFont val="Tahoma"/>
            <family val="2"/>
          </rPr>
          <t xml:space="preserve"> resistor</t>
        </r>
      </text>
    </comment>
    <comment ref="B99" authorId="0" shapeId="0" xr:uid="{00000000-0006-0000-0000-000037000000}">
      <text>
        <r>
          <rPr>
            <b/>
            <sz val="9"/>
            <color indexed="81"/>
            <rFont val="Tahoma"/>
            <family val="2"/>
          </rPr>
          <t>Selected Amount of Hysteresis</t>
        </r>
        <r>
          <rPr>
            <sz val="9"/>
            <color indexed="81"/>
            <rFont val="Tahoma"/>
            <family val="2"/>
          </rPr>
          <t xml:space="preserve">
The amount of hysteresis that RUVLO3 will be calculated to provide. If the "Normal" option on the "UVLO Hysteresis Type" box is selected this box is void.</t>
        </r>
      </text>
    </comment>
    <comment ref="B100" authorId="0" shapeId="0" xr:uid="{00000000-0006-0000-0000-000038000000}">
      <text>
        <r>
          <rPr>
            <b/>
            <sz val="9"/>
            <color indexed="81"/>
            <rFont val="Tahoma"/>
            <family val="2"/>
          </rPr>
          <t>Calculated R</t>
        </r>
        <r>
          <rPr>
            <b/>
            <vertAlign val="subscript"/>
            <sz val="9"/>
            <color indexed="81"/>
            <rFont val="Tahoma"/>
            <family val="2"/>
          </rPr>
          <t>UVLO3</t>
        </r>
        <r>
          <rPr>
            <b/>
            <sz val="9"/>
            <color indexed="81"/>
            <rFont val="Tahoma"/>
            <family val="2"/>
          </rPr>
          <t xml:space="preserve"> Value</t>
        </r>
        <r>
          <rPr>
            <sz val="9"/>
            <color indexed="81"/>
            <rFont val="Tahoma"/>
            <family val="2"/>
          </rPr>
          <t xml:space="preserve">
The calculated value based on amount of selected UVLO hysteresis. The calculated value is based on the datasheet equation. If the "Normal" option on the "UVLO Hysteresis Type" box is selected this box is void.</t>
        </r>
      </text>
    </comment>
    <comment ref="B101" authorId="0" shapeId="0" xr:uid="{00000000-0006-0000-0000-000039000000}">
      <text>
        <r>
          <rPr>
            <b/>
            <sz val="9"/>
            <color indexed="81"/>
            <rFont val="Tahoma"/>
            <family val="2"/>
          </rPr>
          <t>Selected R</t>
        </r>
        <r>
          <rPr>
            <b/>
            <vertAlign val="subscript"/>
            <sz val="9"/>
            <color indexed="81"/>
            <rFont val="Tahoma"/>
            <family val="2"/>
          </rPr>
          <t>UVLO3</t>
        </r>
        <r>
          <rPr>
            <b/>
            <sz val="9"/>
            <color indexed="81"/>
            <rFont val="Tahoma"/>
            <family val="2"/>
          </rPr>
          <t xml:space="preserve"> Value
</t>
        </r>
        <r>
          <rPr>
            <sz val="9"/>
            <color indexed="81"/>
            <rFont val="Tahoma"/>
            <family val="2"/>
          </rPr>
          <t>The selected value should be based on the calculated value above. If the "Normal" option on the "UVLO Hysteresis Type" box is selected this box is void.</t>
        </r>
      </text>
    </comment>
    <comment ref="B102" authorId="0" shapeId="0" xr:uid="{00000000-0006-0000-0000-00003A000000}">
      <text>
        <r>
          <rPr>
            <b/>
            <sz val="9"/>
            <color indexed="81"/>
            <rFont val="Tahoma"/>
            <family val="2"/>
          </rPr>
          <t xml:space="preserve">UVLO Hysteresis
</t>
        </r>
        <r>
          <rPr>
            <sz val="9"/>
            <color indexed="81"/>
            <rFont val="Tahoma"/>
            <family val="2"/>
          </rPr>
          <t xml:space="preserve">
This is the amount of hysteresis that will be on the UVLO signal. This value is dependent on the selection of the "UVLO Hysteresis Type" cell.
</t>
        </r>
      </text>
    </comment>
    <comment ref="B103" authorId="0" shapeId="0" xr:uid="{00000000-0006-0000-0000-00003B000000}">
      <text>
        <r>
          <rPr>
            <b/>
            <sz val="9"/>
            <color indexed="81"/>
            <rFont val="Tahoma"/>
            <family val="2"/>
          </rPr>
          <t xml:space="preserve">UVLO Release Rising Edge
</t>
        </r>
        <r>
          <rPr>
            <sz val="9"/>
            <color indexed="81"/>
            <rFont val="Tahoma"/>
            <family val="2"/>
          </rPr>
          <t>This is the UVLO input rail voltage at which the Undervoltage event is cleared. If the input rail voltage is greater than this value the LM5170 is able to deliver current.</t>
        </r>
      </text>
    </comment>
    <comment ref="B104" authorId="0" shapeId="0" xr:uid="{00000000-0006-0000-0000-00003C000000}">
      <text>
        <r>
          <rPr>
            <b/>
            <sz val="9"/>
            <color indexed="81"/>
            <rFont val="Tahoma"/>
            <family val="2"/>
          </rPr>
          <t xml:space="preserve">UVLO Latch Falling Edge
</t>
        </r>
        <r>
          <rPr>
            <sz val="9"/>
            <color indexed="81"/>
            <rFont val="Tahoma"/>
            <family val="2"/>
          </rPr>
          <t xml:space="preserve">
This is the UVLO input rail voltage at which an Undervoltage event occurs. If the input rail voltage is less than this value the LM5170 is in standby mode.</t>
        </r>
      </text>
    </comment>
    <comment ref="B105" authorId="0" shapeId="0" xr:uid="{00000000-0006-0000-0000-00003D000000}">
      <text>
        <r>
          <rPr>
            <b/>
            <sz val="9"/>
            <color indexed="81"/>
            <rFont val="Tahoma"/>
            <family val="2"/>
          </rPr>
          <t xml:space="preserve">UVLO Shutdown Voltage
</t>
        </r>
        <r>
          <rPr>
            <sz val="9"/>
            <color indexed="81"/>
            <rFont val="Tahoma"/>
            <family val="2"/>
          </rPr>
          <t>This is the UVLO input rail voltage at which the LM5170 will enter shutdown mode.</t>
        </r>
        <r>
          <rPr>
            <b/>
            <sz val="9"/>
            <color indexed="81"/>
            <rFont val="Tahoma"/>
            <family val="2"/>
          </rPr>
          <t xml:space="preserve"> </t>
        </r>
      </text>
    </comment>
    <comment ref="B110" authorId="0" shapeId="0" xr:uid="{00000000-0006-0000-0000-00003E000000}">
      <text>
        <r>
          <rPr>
            <b/>
            <sz val="9"/>
            <color indexed="81"/>
            <rFont val="Tahoma"/>
            <family val="2"/>
          </rPr>
          <t>IOUT Voltage at VCS = 50mV</t>
        </r>
        <r>
          <rPr>
            <sz val="9"/>
            <color indexed="81"/>
            <rFont val="Tahoma"/>
            <family val="2"/>
          </rPr>
          <t xml:space="preserve">
The maximum voltage that the IOUTx pin will see at full load current. This is assuming that each channel (IOUT1, IOUT2,…) has an output that is not tied together. It is recommended to keep the IOUTx pin </t>
        </r>
        <r>
          <rPr>
            <u/>
            <sz val="9"/>
            <color indexed="81"/>
            <rFont val="Tahoma"/>
            <family val="2"/>
          </rPr>
          <t xml:space="preserve">voltage below 5V </t>
        </r>
        <r>
          <rPr>
            <sz val="9"/>
            <color indexed="81"/>
            <rFont val="Tahoma"/>
            <family val="2"/>
          </rPr>
          <t>for accurate current measurements.</t>
        </r>
      </text>
    </comment>
    <comment ref="B111" authorId="0" shapeId="0" xr:uid="{00000000-0006-0000-0000-00003F000000}">
      <text>
        <r>
          <rPr>
            <b/>
            <sz val="9"/>
            <color indexed="81"/>
            <rFont val="Tahoma"/>
            <family val="2"/>
          </rPr>
          <t>Calculated R</t>
        </r>
        <r>
          <rPr>
            <b/>
            <vertAlign val="subscript"/>
            <sz val="9"/>
            <color indexed="81"/>
            <rFont val="Tahoma"/>
            <family val="2"/>
          </rPr>
          <t xml:space="preserve">IOUT </t>
        </r>
        <r>
          <rPr>
            <b/>
            <sz val="9"/>
            <color indexed="81"/>
            <rFont val="Tahoma"/>
            <family val="2"/>
          </rPr>
          <t>Values</t>
        </r>
        <r>
          <rPr>
            <sz val="9"/>
            <color indexed="81"/>
            <rFont val="Tahoma"/>
            <family val="2"/>
          </rPr>
          <t xml:space="preserve">
These values are assuming that no IOUT signal is tied together. The calculated value of the resistor will give the specified maximum V</t>
        </r>
        <r>
          <rPr>
            <vertAlign val="subscript"/>
            <sz val="9"/>
            <color indexed="81"/>
            <rFont val="Tahoma"/>
            <family val="2"/>
          </rPr>
          <t>IOUT</t>
        </r>
        <r>
          <rPr>
            <sz val="9"/>
            <color indexed="81"/>
            <rFont val="Tahoma"/>
            <family val="2"/>
          </rPr>
          <t xml:space="preserve"> based on the datasheet equation.</t>
        </r>
      </text>
    </comment>
    <comment ref="B112" authorId="0" shapeId="0" xr:uid="{00000000-0006-0000-0000-000040000000}">
      <text>
        <r>
          <rPr>
            <b/>
            <sz val="9"/>
            <color indexed="81"/>
            <rFont val="Tahoma"/>
            <family val="2"/>
          </rPr>
          <t>Selected RIOUT Value</t>
        </r>
        <r>
          <rPr>
            <sz val="9"/>
            <color indexed="81"/>
            <rFont val="Tahoma"/>
            <family val="2"/>
          </rPr>
          <t xml:space="preserve">
The selected value should be based on the calculated value for the RIOUT resistors</t>
        </r>
      </text>
    </comment>
    <comment ref="B113" authorId="0" shapeId="0" xr:uid="{00000000-0006-0000-0000-000041000000}">
      <text>
        <r>
          <rPr>
            <b/>
            <sz val="9"/>
            <color indexed="81"/>
            <rFont val="Tahoma"/>
            <family val="2"/>
          </rPr>
          <t>V</t>
        </r>
        <r>
          <rPr>
            <b/>
            <vertAlign val="subscript"/>
            <sz val="9"/>
            <color indexed="81"/>
            <rFont val="Tahoma"/>
            <family val="2"/>
          </rPr>
          <t>IOUT</t>
        </r>
        <r>
          <rPr>
            <b/>
            <sz val="9"/>
            <color indexed="81"/>
            <rFont val="Tahoma"/>
            <family val="2"/>
          </rPr>
          <t xml:space="preserve"> at full load</t>
        </r>
        <r>
          <rPr>
            <sz val="9"/>
            <color indexed="81"/>
            <rFont val="Tahoma"/>
            <family val="2"/>
          </rPr>
          <t xml:space="preserve">
This is the maximum value on the IOUT pins based on the resistor selection made.</t>
        </r>
      </text>
    </comment>
    <comment ref="B114" authorId="0" shapeId="0" xr:uid="{00000000-0006-0000-0000-000042000000}">
      <text>
        <r>
          <rPr>
            <b/>
            <sz val="9"/>
            <color indexed="81"/>
            <rFont val="Tahoma"/>
            <family val="2"/>
          </rPr>
          <t>V</t>
        </r>
        <r>
          <rPr>
            <b/>
            <vertAlign val="subscript"/>
            <sz val="9"/>
            <color indexed="81"/>
            <rFont val="Tahoma"/>
            <family val="2"/>
          </rPr>
          <t>IOUT</t>
        </r>
        <r>
          <rPr>
            <b/>
            <sz val="9"/>
            <color indexed="81"/>
            <rFont val="Tahoma"/>
            <family val="2"/>
          </rPr>
          <t xml:space="preserve"> at no load
</t>
        </r>
        <r>
          <rPr>
            <sz val="9"/>
            <color indexed="81"/>
            <rFont val="Tahoma"/>
            <family val="2"/>
          </rPr>
          <t>This is the voltage on the IOUT pins at no load based on the resistor selection made. This is due to the 25uA offset current on the IOUT pins</t>
        </r>
        <r>
          <rPr>
            <b/>
            <sz val="9"/>
            <color indexed="81"/>
            <rFont val="Tahoma"/>
            <family val="2"/>
          </rPr>
          <t>.</t>
        </r>
        <r>
          <rPr>
            <sz val="9"/>
            <color indexed="81"/>
            <rFont val="Tahoma"/>
            <family val="2"/>
          </rPr>
          <t xml:space="preserve">
</t>
        </r>
      </text>
    </comment>
    <comment ref="B115" authorId="0" shapeId="0" xr:uid="{00000000-0006-0000-0000-000043000000}">
      <text>
        <r>
          <rPr>
            <b/>
            <sz val="9"/>
            <color indexed="81"/>
            <rFont val="Tahoma"/>
            <family val="2"/>
          </rPr>
          <t xml:space="preserve">Calculated CIOUT 
</t>
        </r>
        <r>
          <rPr>
            <sz val="9"/>
            <color indexed="81"/>
            <rFont val="Tahoma"/>
            <family val="2"/>
          </rPr>
          <t xml:space="preserve">This is the capacitor that will filter out any noise on the IOUT pins. This value was calculated based on the recommendations of the datasheet.
</t>
        </r>
      </text>
    </comment>
    <comment ref="B116" authorId="0" shapeId="0" xr:uid="{00000000-0006-0000-0000-000044000000}">
      <text>
        <r>
          <rPr>
            <b/>
            <sz val="9"/>
            <color indexed="81"/>
            <rFont val="Tahoma"/>
            <family val="2"/>
          </rPr>
          <t>Selected C</t>
        </r>
        <r>
          <rPr>
            <b/>
            <vertAlign val="subscript"/>
            <sz val="9"/>
            <color indexed="81"/>
            <rFont val="Tahoma"/>
            <family val="2"/>
          </rPr>
          <t>IOUT</t>
        </r>
        <r>
          <rPr>
            <b/>
            <sz val="9"/>
            <color indexed="81"/>
            <rFont val="Tahoma"/>
            <family val="2"/>
          </rPr>
          <t xml:space="preserve"> Capacitor</t>
        </r>
        <r>
          <rPr>
            <sz val="9"/>
            <color indexed="81"/>
            <rFont val="Tahoma"/>
            <family val="2"/>
          </rPr>
          <t xml:space="preserve">
This is the selected C</t>
        </r>
        <r>
          <rPr>
            <vertAlign val="subscript"/>
            <sz val="9"/>
            <color indexed="81"/>
            <rFont val="Tahoma"/>
            <family val="2"/>
          </rPr>
          <t>IOUT</t>
        </r>
        <r>
          <rPr>
            <sz val="9"/>
            <color indexed="81"/>
            <rFont val="Tahoma"/>
            <family val="2"/>
          </rPr>
          <t xml:space="preserve"> capacitor. The selected value should be based on the calculated value above.</t>
        </r>
      </text>
    </comment>
    <comment ref="B117" authorId="0" shapeId="0" xr:uid="{00000000-0006-0000-0000-000045000000}">
      <text>
        <r>
          <rPr>
            <b/>
            <sz val="9"/>
            <color indexed="81"/>
            <rFont val="Tahoma"/>
            <family val="2"/>
          </rPr>
          <t>V</t>
        </r>
        <r>
          <rPr>
            <b/>
            <vertAlign val="subscript"/>
            <sz val="9"/>
            <color indexed="81"/>
            <rFont val="Tahoma"/>
            <family val="2"/>
          </rPr>
          <t>IOUT</t>
        </r>
        <r>
          <rPr>
            <b/>
            <sz val="9"/>
            <color indexed="81"/>
            <rFont val="Tahoma"/>
            <family val="2"/>
          </rPr>
          <t xml:space="preserve"> Ripple
</t>
        </r>
        <r>
          <rPr>
            <sz val="9"/>
            <color indexed="81"/>
            <rFont val="Tahoma"/>
            <family val="2"/>
          </rPr>
          <t>This is the amount of voltage ripple on the IOUT pin at full load. This can be decreased by increasing the C</t>
        </r>
        <r>
          <rPr>
            <vertAlign val="subscript"/>
            <sz val="9"/>
            <color indexed="81"/>
            <rFont val="Tahoma"/>
            <family val="2"/>
          </rPr>
          <t>IOUT</t>
        </r>
        <r>
          <rPr>
            <sz val="9"/>
            <color indexed="81"/>
            <rFont val="Tahoma"/>
            <family val="2"/>
          </rPr>
          <t xml:space="preserve"> capacitance</t>
        </r>
      </text>
    </comment>
    <comment ref="B118" authorId="0" shapeId="0" xr:uid="{00000000-0006-0000-0000-000046000000}">
      <text>
        <r>
          <rPr>
            <b/>
            <sz val="9"/>
            <color indexed="81"/>
            <rFont val="Tahoma"/>
            <family val="2"/>
          </rPr>
          <t xml:space="preserve">Corner Frequency
</t>
        </r>
        <r>
          <rPr>
            <sz val="9"/>
            <color indexed="81"/>
            <rFont val="Tahoma"/>
            <family val="2"/>
          </rPr>
          <t>This is the corner frequency of the IOUT resistor and capacitor.</t>
        </r>
      </text>
    </comment>
    <comment ref="B123" authorId="0" shapeId="0" xr:uid="{00000000-0006-0000-0000-000047000000}">
      <text>
        <r>
          <rPr>
            <b/>
            <sz val="9"/>
            <color indexed="81"/>
            <rFont val="Tahoma"/>
            <family val="2"/>
          </rPr>
          <t xml:space="preserve">Dead Time Configuration
</t>
        </r>
        <r>
          <rPr>
            <sz val="9"/>
            <color indexed="81"/>
            <rFont val="Tahoma"/>
            <family val="2"/>
          </rPr>
          <t>The dead time of the LM5170 can either be programmed or it can be set to adaptive. See the datasheet for more details</t>
        </r>
      </text>
    </comment>
    <comment ref="B124" authorId="0" shapeId="0" xr:uid="{00000000-0006-0000-0000-000048000000}">
      <text>
        <r>
          <rPr>
            <b/>
            <sz val="9"/>
            <color indexed="81"/>
            <rFont val="Tahoma"/>
            <family val="2"/>
          </rPr>
          <t>Selected Dead Time</t>
        </r>
        <r>
          <rPr>
            <sz val="9"/>
            <color indexed="81"/>
            <rFont val="Tahoma"/>
            <family val="2"/>
          </rPr>
          <t xml:space="preserve">
This is the dead time between the LO and HO signals
The </t>
        </r>
        <r>
          <rPr>
            <b/>
            <sz val="9"/>
            <color indexed="81"/>
            <rFont val="Tahoma"/>
            <family val="2"/>
          </rPr>
          <t>minimum</t>
        </r>
        <r>
          <rPr>
            <sz val="9"/>
            <color indexed="81"/>
            <rFont val="Tahoma"/>
            <family val="2"/>
          </rPr>
          <t xml:space="preserve"> value is: </t>
        </r>
        <r>
          <rPr>
            <b/>
            <sz val="9"/>
            <color indexed="81"/>
            <rFont val="Tahoma"/>
            <family val="2"/>
          </rPr>
          <t>15ns</t>
        </r>
        <r>
          <rPr>
            <sz val="9"/>
            <color indexed="81"/>
            <rFont val="Tahoma"/>
            <family val="2"/>
          </rPr>
          <t xml:space="preserve">
The </t>
        </r>
        <r>
          <rPr>
            <b/>
            <sz val="9"/>
            <color indexed="81"/>
            <rFont val="Tahoma"/>
            <family val="2"/>
          </rPr>
          <t>maximum</t>
        </r>
        <r>
          <rPr>
            <sz val="9"/>
            <color indexed="81"/>
            <rFont val="Tahoma"/>
            <family val="2"/>
          </rPr>
          <t xml:space="preserve"> values is: </t>
        </r>
        <r>
          <rPr>
            <b/>
            <sz val="9"/>
            <color indexed="81"/>
            <rFont val="Tahoma"/>
            <family val="2"/>
          </rPr>
          <t>200ns</t>
        </r>
      </text>
    </comment>
    <comment ref="B125" authorId="0" shapeId="0" xr:uid="{00000000-0006-0000-0000-000049000000}">
      <text>
        <r>
          <rPr>
            <b/>
            <sz val="9"/>
            <color indexed="81"/>
            <rFont val="Tahoma"/>
            <family val="2"/>
          </rPr>
          <t>Dead Time Resistor</t>
        </r>
        <r>
          <rPr>
            <sz val="9"/>
            <color indexed="81"/>
            <rFont val="Tahoma"/>
            <family val="2"/>
          </rPr>
          <t xml:space="preserve">
Calculated dead time resistor based on the above selected dead time value.</t>
        </r>
      </text>
    </comment>
    <comment ref="B126" authorId="0" shapeId="0" xr:uid="{00000000-0006-0000-0000-00004A000000}">
      <text>
        <r>
          <rPr>
            <b/>
            <sz val="9"/>
            <color indexed="81"/>
            <rFont val="Tahoma"/>
            <family val="2"/>
          </rPr>
          <t>Selected Dead Time Resistor</t>
        </r>
        <r>
          <rPr>
            <sz val="9"/>
            <color indexed="81"/>
            <rFont val="Tahoma"/>
            <family val="2"/>
          </rPr>
          <t xml:space="preserve">
This is the selected dead time resistor. The selection of this value should be based on the above calculated value</t>
        </r>
      </text>
    </comment>
    <comment ref="B127" authorId="0" shapeId="0" xr:uid="{00000000-0006-0000-0000-00004B000000}">
      <text>
        <r>
          <rPr>
            <b/>
            <sz val="9"/>
            <color indexed="81"/>
            <rFont val="Tahoma"/>
            <family val="2"/>
          </rPr>
          <t>LO falling to HO rising Dead Time</t>
        </r>
        <r>
          <rPr>
            <sz val="9"/>
            <color indexed="81"/>
            <rFont val="Tahoma"/>
            <family val="2"/>
          </rPr>
          <t xml:space="preserve">
This is the dead time between the LO and HO signal</t>
        </r>
      </text>
    </comment>
    <comment ref="B128" authorId="0" shapeId="0" xr:uid="{00000000-0006-0000-0000-00004C000000}">
      <text>
        <r>
          <rPr>
            <b/>
            <sz val="9"/>
            <color indexed="81"/>
            <rFont val="Tahoma"/>
            <family val="2"/>
          </rPr>
          <t xml:space="preserve">HO falling to LO rising Dead Time
</t>
        </r>
        <r>
          <rPr>
            <sz val="9"/>
            <color indexed="81"/>
            <rFont val="Tahoma"/>
            <family val="2"/>
          </rPr>
          <t xml:space="preserve">
This is the dead time between the LO and HO signal
</t>
        </r>
      </text>
    </comment>
    <comment ref="B134" authorId="0" shapeId="0" xr:uid="{00000000-0006-0000-0000-00004D000000}">
      <text>
        <r>
          <rPr>
            <b/>
            <sz val="9"/>
            <color indexed="81"/>
            <rFont val="Tahoma"/>
            <family val="2"/>
          </rPr>
          <t xml:space="preserve">Path Resistance
</t>
        </r>
        <r>
          <rPr>
            <sz val="9"/>
            <color indexed="81"/>
            <rFont val="Tahoma"/>
            <family val="2"/>
          </rPr>
          <t>This is the entire resistance on the LV port path to the load, excluding R</t>
        </r>
        <r>
          <rPr>
            <vertAlign val="subscript"/>
            <sz val="9"/>
            <color indexed="81"/>
            <rFont val="Tahoma"/>
            <family val="2"/>
          </rPr>
          <t>CS</t>
        </r>
        <r>
          <rPr>
            <sz val="9"/>
            <color indexed="81"/>
            <rFont val="Tahoma"/>
            <family val="2"/>
          </rPr>
          <t>. This a reasonable estimate of this value is 50m</t>
        </r>
        <r>
          <rPr>
            <sz val="9"/>
            <color indexed="81"/>
            <rFont val="Calibri"/>
            <family val="2"/>
          </rPr>
          <t>Ω</t>
        </r>
        <r>
          <rPr>
            <sz val="9"/>
            <color indexed="81"/>
            <rFont val="Tahoma"/>
            <family val="2"/>
          </rPr>
          <t xml:space="preserve"> </t>
        </r>
      </text>
    </comment>
    <comment ref="B135" authorId="0" shapeId="0" xr:uid="{00000000-0006-0000-0000-00004E000000}">
      <text>
        <r>
          <rPr>
            <b/>
            <sz val="9"/>
            <color indexed="81"/>
            <rFont val="Tahoma"/>
            <family val="2"/>
          </rPr>
          <t xml:space="preserve">Plant Pole (kHz)
</t>
        </r>
        <r>
          <rPr>
            <sz val="9"/>
            <color indexed="81"/>
            <rFont val="Tahoma"/>
            <family val="2"/>
          </rPr>
          <t xml:space="preserve">
This is the location of the low frequency pole of the power plant. This will help to determine the placement of the compensation network zero. See the datasheet for details on how to calculate this value.</t>
        </r>
        <r>
          <rPr>
            <b/>
            <sz val="9"/>
            <color indexed="81"/>
            <rFont val="Tahoma"/>
            <family val="2"/>
          </rPr>
          <t xml:space="preserve">
</t>
        </r>
      </text>
    </comment>
    <comment ref="B136" authorId="0" shapeId="0" xr:uid="{00000000-0006-0000-0000-00004F000000}">
      <text>
        <r>
          <rPr>
            <b/>
            <sz val="9"/>
            <color indexed="81"/>
            <rFont val="Tahoma"/>
            <family val="2"/>
          </rPr>
          <t>Suggested Cross Over Frequency</t>
        </r>
        <r>
          <rPr>
            <sz val="9"/>
            <color indexed="81"/>
            <rFont val="Tahoma"/>
            <family val="2"/>
          </rPr>
          <t xml:space="preserve">
This is estimated to be 1/10 of the switching frequency. This should allow for easy compensation and stability when adding voltage loop control.</t>
        </r>
      </text>
    </comment>
    <comment ref="B137" authorId="0" shapeId="0" xr:uid="{00000000-0006-0000-0000-000050000000}">
      <text>
        <r>
          <rPr>
            <sz val="9"/>
            <color indexed="81"/>
            <rFont val="Tahoma"/>
            <family val="2"/>
          </rPr>
          <t xml:space="preserve">Crossover Frequency
This is the selected crossover frequency of the current loop. The compensation values will be set to this
</t>
        </r>
      </text>
    </comment>
    <comment ref="B138" authorId="0" shapeId="0" xr:uid="{00000000-0006-0000-0000-000051000000}">
      <text>
        <r>
          <rPr>
            <b/>
            <sz val="9"/>
            <color indexed="81"/>
            <rFont val="Tahoma"/>
            <family val="2"/>
          </rPr>
          <t>Calculated R</t>
        </r>
        <r>
          <rPr>
            <b/>
            <vertAlign val="subscript"/>
            <sz val="9"/>
            <color indexed="81"/>
            <rFont val="Tahoma"/>
            <family val="2"/>
          </rPr>
          <t>COMP</t>
        </r>
        <r>
          <rPr>
            <b/>
            <sz val="9"/>
            <color indexed="81"/>
            <rFont val="Tahoma"/>
            <family val="2"/>
          </rPr>
          <t xml:space="preserve">
</t>
        </r>
        <r>
          <rPr>
            <sz val="9"/>
            <color indexed="81"/>
            <rFont val="Tahoma"/>
            <family val="2"/>
          </rPr>
          <t>See datasheet for details on how to calculate this value</t>
        </r>
      </text>
    </comment>
    <comment ref="B139" authorId="0" shapeId="0" xr:uid="{00000000-0006-0000-0000-000052000000}">
      <text>
        <r>
          <rPr>
            <b/>
            <sz val="9"/>
            <color indexed="81"/>
            <rFont val="Tahoma"/>
            <family val="2"/>
          </rPr>
          <t>Selected R</t>
        </r>
        <r>
          <rPr>
            <b/>
            <vertAlign val="subscript"/>
            <sz val="9"/>
            <color indexed="81"/>
            <rFont val="Tahoma"/>
            <family val="2"/>
          </rPr>
          <t>COMP</t>
        </r>
        <r>
          <rPr>
            <b/>
            <sz val="9"/>
            <color indexed="81"/>
            <rFont val="Tahoma"/>
            <family val="2"/>
          </rPr>
          <t xml:space="preserve">
</t>
        </r>
        <r>
          <rPr>
            <sz val="9"/>
            <color indexed="81"/>
            <rFont val="Tahoma"/>
            <family val="2"/>
          </rPr>
          <t xml:space="preserve">This value should reflect the calculated value above. Adjusting this value will move the affect the pole and the zero location of the compensation.
</t>
        </r>
      </text>
    </comment>
    <comment ref="B140" authorId="0" shapeId="0" xr:uid="{00000000-0006-0000-0000-000053000000}">
      <text>
        <r>
          <rPr>
            <b/>
            <sz val="9"/>
            <color indexed="81"/>
            <rFont val="Tahoma"/>
            <family val="2"/>
          </rPr>
          <t>Calculated C</t>
        </r>
        <r>
          <rPr>
            <b/>
            <vertAlign val="subscript"/>
            <sz val="9"/>
            <color indexed="81"/>
            <rFont val="Tahoma"/>
            <family val="2"/>
          </rPr>
          <t>COMP</t>
        </r>
        <r>
          <rPr>
            <b/>
            <sz val="9"/>
            <color indexed="81"/>
            <rFont val="Tahoma"/>
            <family val="2"/>
          </rPr>
          <t xml:space="preserve">
See datasheet for details on how to calculate this value</t>
        </r>
      </text>
    </comment>
    <comment ref="B141" authorId="0" shapeId="0" xr:uid="{00000000-0006-0000-0000-000054000000}">
      <text>
        <r>
          <rPr>
            <b/>
            <sz val="9"/>
            <color indexed="81"/>
            <rFont val="Tahoma"/>
            <family val="2"/>
          </rPr>
          <t>Selected C</t>
        </r>
        <r>
          <rPr>
            <b/>
            <vertAlign val="subscript"/>
            <sz val="9"/>
            <color indexed="81"/>
            <rFont val="Tahoma"/>
            <family val="2"/>
          </rPr>
          <t>COMP</t>
        </r>
        <r>
          <rPr>
            <b/>
            <sz val="9"/>
            <color indexed="81"/>
            <rFont val="Tahoma"/>
            <family val="2"/>
          </rPr>
          <t xml:space="preserve">
</t>
        </r>
        <r>
          <rPr>
            <sz val="9"/>
            <color indexed="81"/>
            <rFont val="Tahoma"/>
            <family val="2"/>
          </rPr>
          <t xml:space="preserve">
This value should reflect the calculated value above. Adjusting this value will move the affect the zero location of the compensation.</t>
        </r>
        <r>
          <rPr>
            <b/>
            <sz val="9"/>
            <color indexed="81"/>
            <rFont val="Tahoma"/>
            <family val="2"/>
          </rPr>
          <t xml:space="preserve">
</t>
        </r>
      </text>
    </comment>
    <comment ref="B142" authorId="0" shapeId="0" xr:uid="{00000000-0006-0000-0000-000055000000}">
      <text>
        <r>
          <rPr>
            <b/>
            <sz val="9"/>
            <color indexed="81"/>
            <rFont val="Tahoma"/>
            <family val="2"/>
          </rPr>
          <t>Calculated CHF</t>
        </r>
        <r>
          <rPr>
            <sz val="9"/>
            <color indexed="81"/>
            <rFont val="Tahoma"/>
            <family val="2"/>
          </rPr>
          <t xml:space="preserve">
See datasheet for details on how to calculate this value
</t>
        </r>
      </text>
    </comment>
    <comment ref="B143" authorId="0" shapeId="0" xr:uid="{00000000-0006-0000-0000-000056000000}">
      <text>
        <r>
          <rPr>
            <b/>
            <sz val="9"/>
            <color indexed="81"/>
            <rFont val="Tahoma"/>
            <family val="2"/>
          </rPr>
          <t>Selected C</t>
        </r>
        <r>
          <rPr>
            <b/>
            <vertAlign val="subscript"/>
            <sz val="9"/>
            <color indexed="81"/>
            <rFont val="Tahoma"/>
            <family val="2"/>
          </rPr>
          <t>HF</t>
        </r>
        <r>
          <rPr>
            <b/>
            <sz val="9"/>
            <color indexed="81"/>
            <rFont val="Tahoma"/>
            <family val="2"/>
          </rPr>
          <t xml:space="preserve">
</t>
        </r>
        <r>
          <rPr>
            <sz val="9"/>
            <color indexed="81"/>
            <rFont val="Tahoma"/>
            <family val="2"/>
          </rPr>
          <t xml:space="preserve">
This value should reflect the calculated value above. Adjusting this value will move the affect the pole location of the compensation network.
</t>
        </r>
      </text>
    </comment>
    <comment ref="B144" authorId="0" shapeId="0" xr:uid="{00000000-0006-0000-0000-000057000000}">
      <text>
        <r>
          <rPr>
            <b/>
            <sz val="9"/>
            <color indexed="81"/>
            <rFont val="Tahoma"/>
            <family val="2"/>
          </rPr>
          <t>Compensation Zero Location (F</t>
        </r>
        <r>
          <rPr>
            <b/>
            <vertAlign val="subscript"/>
            <sz val="9"/>
            <color indexed="81"/>
            <rFont val="Tahoma"/>
            <family val="2"/>
          </rPr>
          <t>Zcomp</t>
        </r>
        <r>
          <rPr>
            <b/>
            <sz val="9"/>
            <color indexed="81"/>
            <rFont val="Tahoma"/>
            <family val="2"/>
          </rPr>
          <t xml:space="preserve">)
</t>
        </r>
        <r>
          <rPr>
            <sz val="9"/>
            <color indexed="81"/>
            <rFont val="Tahoma"/>
            <family val="2"/>
          </rPr>
          <t xml:space="preserve">
This is the location of the zero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COMP</t>
        </r>
        <r>
          <rPr>
            <sz val="9"/>
            <color indexed="81"/>
            <rFont val="Tahoma"/>
            <family val="2"/>
          </rPr>
          <t>. The location of the zero can be seen on the bobe plot.</t>
        </r>
      </text>
    </comment>
    <comment ref="B145" authorId="0" shapeId="0" xr:uid="{00000000-0006-0000-0000-000058000000}">
      <text>
        <r>
          <rPr>
            <b/>
            <sz val="9"/>
            <color indexed="81"/>
            <rFont val="Tahoma"/>
            <family val="2"/>
          </rPr>
          <t>Compensation Pole Location (F</t>
        </r>
        <r>
          <rPr>
            <b/>
            <vertAlign val="subscript"/>
            <sz val="9"/>
            <color indexed="81"/>
            <rFont val="Tahoma"/>
            <family val="2"/>
          </rPr>
          <t>Pcomp</t>
        </r>
        <r>
          <rPr>
            <b/>
            <sz val="9"/>
            <color indexed="81"/>
            <rFont val="Tahoma"/>
            <family val="2"/>
          </rPr>
          <t xml:space="preserve">)
</t>
        </r>
        <r>
          <rPr>
            <sz val="9"/>
            <color indexed="81"/>
            <rFont val="Tahoma"/>
            <family val="2"/>
          </rPr>
          <t>This is the location of the pole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HF</t>
        </r>
        <r>
          <rPr>
            <sz val="9"/>
            <color indexed="81"/>
            <rFont val="Tahoma"/>
            <family val="2"/>
          </rPr>
          <t>. The location of the pole can be seen on the bobe plot</t>
        </r>
        <r>
          <rPr>
            <b/>
            <sz val="9"/>
            <color indexed="81"/>
            <rFont val="Tahoma"/>
            <family val="2"/>
          </rPr>
          <t>.</t>
        </r>
        <r>
          <rPr>
            <sz val="9"/>
            <color indexed="81"/>
            <rFont val="Tahoma"/>
            <family val="2"/>
          </rPr>
          <t xml:space="preserve">
</t>
        </r>
      </text>
    </comment>
    <comment ref="B152" authorId="0" shapeId="0" xr:uid="{00000000-0006-0000-0000-000059000000}">
      <text>
        <r>
          <rPr>
            <b/>
            <sz val="9"/>
            <color indexed="81"/>
            <rFont val="Tahoma"/>
            <family val="2"/>
          </rPr>
          <t xml:space="preserve">External Reference Voltage
</t>
        </r>
        <r>
          <rPr>
            <sz val="9"/>
            <color indexed="81"/>
            <rFont val="Tahoma"/>
            <family val="2"/>
          </rPr>
          <t xml:space="preserve">
This is the external reference voltage for the voltage loop. This value will be used to calculate the feedback resistors. </t>
        </r>
      </text>
    </comment>
    <comment ref="B153" authorId="0" shapeId="0" xr:uid="{00000000-0006-0000-0000-00005A000000}">
      <text>
        <r>
          <rPr>
            <b/>
            <sz val="9"/>
            <color indexed="81"/>
            <rFont val="Tahoma"/>
            <family val="2"/>
          </rPr>
          <t>Selected Bottom Resistor</t>
        </r>
        <r>
          <rPr>
            <sz val="9"/>
            <color indexed="81"/>
            <rFont val="Tahoma"/>
            <family val="2"/>
          </rPr>
          <t xml:space="preserve">
This is the selected bottom resistor of the FB resistor divider. A good starting point for this value is in the 1kΩ to 20k</t>
        </r>
        <r>
          <rPr>
            <sz val="9"/>
            <color indexed="81"/>
            <rFont val="Calibri"/>
            <family val="2"/>
          </rPr>
          <t>Ω</t>
        </r>
        <r>
          <rPr>
            <sz val="9"/>
            <color indexed="81"/>
            <rFont val="Tahoma"/>
            <family val="2"/>
          </rPr>
          <t xml:space="preserve"> range. The larger this value the less current will flow in the divider making the FB signal more susceptible to noise. However the current draw from the output will be smaller.</t>
        </r>
      </text>
    </comment>
    <comment ref="B154" authorId="0" shapeId="0" xr:uid="{00000000-0006-0000-0000-00005B000000}">
      <text>
        <r>
          <rPr>
            <b/>
            <sz val="9"/>
            <color indexed="81"/>
            <rFont val="Tahoma"/>
            <family val="2"/>
          </rPr>
          <t>Calculated R</t>
        </r>
        <r>
          <rPr>
            <b/>
            <vertAlign val="subscript"/>
            <sz val="9"/>
            <color indexed="81"/>
            <rFont val="Tahoma"/>
            <family val="2"/>
          </rPr>
          <t>FB_TOP</t>
        </r>
        <r>
          <rPr>
            <b/>
            <sz val="9"/>
            <color indexed="81"/>
            <rFont val="Tahoma"/>
            <family val="2"/>
          </rPr>
          <t xml:space="preserve">
</t>
        </r>
        <r>
          <rPr>
            <sz val="9"/>
            <color indexed="81"/>
            <rFont val="Tahoma"/>
            <family val="2"/>
          </rPr>
          <t>This is the value calculated in order to set the feedback node at V</t>
        </r>
        <r>
          <rPr>
            <vertAlign val="subscript"/>
            <sz val="9"/>
            <color indexed="81"/>
            <rFont val="Tahoma"/>
            <family val="2"/>
          </rPr>
          <t>REF</t>
        </r>
        <r>
          <rPr>
            <sz val="9"/>
            <color indexed="81"/>
            <rFont val="Tahoma"/>
            <family val="2"/>
          </rPr>
          <t xml:space="preserve"> when the output voltage in buck mode is set to be the nominal value of the LV Port voltage.</t>
        </r>
      </text>
    </comment>
    <comment ref="B155" authorId="0" shapeId="0" xr:uid="{00000000-0006-0000-0000-00005C000000}">
      <text>
        <r>
          <rPr>
            <b/>
            <sz val="9"/>
            <color indexed="81"/>
            <rFont val="Tahoma"/>
            <family val="2"/>
          </rPr>
          <t>Selected R</t>
        </r>
        <r>
          <rPr>
            <b/>
            <vertAlign val="subscript"/>
            <sz val="9"/>
            <color indexed="81"/>
            <rFont val="Tahoma"/>
            <family val="2"/>
          </rPr>
          <t>FB_TOP</t>
        </r>
        <r>
          <rPr>
            <b/>
            <sz val="9"/>
            <color indexed="81"/>
            <rFont val="Tahoma"/>
            <family val="2"/>
          </rPr>
          <t xml:space="preserve">
</t>
        </r>
        <r>
          <rPr>
            <sz val="9"/>
            <color indexed="81"/>
            <rFont val="Tahoma"/>
            <family val="2"/>
          </rPr>
          <t xml:space="preserve">
The selected value should reflect the calculated value above.</t>
        </r>
      </text>
    </comment>
    <comment ref="B156" authorId="0" shapeId="0" xr:uid="{00000000-0006-0000-0000-00005D000000}">
      <text>
        <r>
          <rPr>
            <b/>
            <sz val="9"/>
            <color indexed="81"/>
            <rFont val="Tahoma"/>
            <family val="2"/>
          </rPr>
          <t>Suggested Crossover Frequency</t>
        </r>
        <r>
          <rPr>
            <sz val="9"/>
            <color indexed="81"/>
            <rFont val="Tahoma"/>
            <family val="2"/>
          </rPr>
          <t xml:space="preserve">
This value is set to be around 1/10 that of the current loop cross over frequency. For best operation the voltage loop should be slower than that of the current loop.</t>
        </r>
      </text>
    </comment>
    <comment ref="B157" authorId="0" shapeId="0" xr:uid="{00000000-0006-0000-0000-00005E000000}">
      <text>
        <r>
          <rPr>
            <b/>
            <sz val="9"/>
            <color indexed="81"/>
            <rFont val="Tahoma"/>
            <family val="2"/>
          </rPr>
          <t>Selected Crossover Frequency</t>
        </r>
        <r>
          <rPr>
            <sz val="9"/>
            <color indexed="81"/>
            <rFont val="Tahoma"/>
            <family val="2"/>
          </rPr>
          <t xml:space="preserve">
This is the desired crossover frequency. The voltage loop compensation values will be calculated to have a loop cross over frequency of this value.</t>
        </r>
      </text>
    </comment>
    <comment ref="B158" authorId="0" shapeId="0" xr:uid="{00000000-0006-0000-0000-00005F000000}">
      <text>
        <r>
          <rPr>
            <b/>
            <sz val="9"/>
            <color indexed="81"/>
            <rFont val="Tahoma"/>
            <family val="2"/>
          </rPr>
          <t>R</t>
        </r>
        <r>
          <rPr>
            <b/>
            <vertAlign val="subscript"/>
            <sz val="9"/>
            <color indexed="81"/>
            <rFont val="Tahoma"/>
            <family val="2"/>
          </rPr>
          <t>COMP</t>
        </r>
        <r>
          <rPr>
            <b/>
            <sz val="9"/>
            <color indexed="81"/>
            <rFont val="Tahoma"/>
            <family val="2"/>
          </rPr>
          <t xml:space="preserve"> Calculated
</t>
        </r>
        <r>
          <rPr>
            <sz val="9"/>
            <color indexed="81"/>
            <rFont val="Tahoma"/>
            <family val="2"/>
          </rPr>
          <t>This is the calculated R</t>
        </r>
        <r>
          <rPr>
            <vertAlign val="subscript"/>
            <sz val="9"/>
            <color indexed="81"/>
            <rFont val="Tahoma"/>
            <family val="2"/>
          </rPr>
          <t>COMP</t>
        </r>
        <r>
          <rPr>
            <sz val="9"/>
            <color indexed="81"/>
            <rFont val="Tahoma"/>
            <family val="2"/>
          </rPr>
          <t xml:space="preserve"> value based on the selected crossover frequency</t>
        </r>
      </text>
    </comment>
    <comment ref="B160" authorId="0" shapeId="0" xr:uid="{00000000-0006-0000-0000-000060000000}">
      <text>
        <r>
          <rPr>
            <b/>
            <sz val="9"/>
            <color indexed="81"/>
            <rFont val="Tahoma"/>
            <family val="2"/>
          </rPr>
          <t>C</t>
        </r>
        <r>
          <rPr>
            <b/>
            <vertAlign val="subscript"/>
            <sz val="9"/>
            <color indexed="81"/>
            <rFont val="Tahoma"/>
            <family val="2"/>
          </rPr>
          <t>COMP</t>
        </r>
        <r>
          <rPr>
            <b/>
            <sz val="9"/>
            <color indexed="81"/>
            <rFont val="Tahoma"/>
            <family val="2"/>
          </rPr>
          <t xml:space="preserve"> Calculated
</t>
        </r>
        <r>
          <rPr>
            <sz val="9"/>
            <color indexed="81"/>
            <rFont val="Tahoma"/>
            <family val="2"/>
          </rPr>
          <t>This is the calculated C</t>
        </r>
        <r>
          <rPr>
            <vertAlign val="subscript"/>
            <sz val="9"/>
            <color indexed="81"/>
            <rFont val="Tahoma"/>
            <family val="2"/>
          </rPr>
          <t>COMP</t>
        </r>
        <r>
          <rPr>
            <sz val="9"/>
            <color indexed="81"/>
            <rFont val="Tahoma"/>
            <family val="2"/>
          </rPr>
          <t xml:space="preserve"> value based on the selected crossover frequency
</t>
        </r>
      </text>
    </comment>
    <comment ref="B162" authorId="0" shapeId="0" xr:uid="{00000000-0006-0000-0000-000061000000}">
      <text>
        <r>
          <rPr>
            <b/>
            <sz val="9"/>
            <color indexed="81"/>
            <rFont val="Tahoma"/>
            <family val="2"/>
          </rPr>
          <t>C</t>
        </r>
        <r>
          <rPr>
            <b/>
            <vertAlign val="subscript"/>
            <sz val="9"/>
            <color indexed="81"/>
            <rFont val="Tahoma"/>
            <family val="2"/>
          </rPr>
          <t>HF</t>
        </r>
        <r>
          <rPr>
            <b/>
            <sz val="9"/>
            <color indexed="81"/>
            <rFont val="Tahoma"/>
            <family val="2"/>
          </rPr>
          <t xml:space="preserve"> Calculated
</t>
        </r>
        <r>
          <rPr>
            <sz val="9"/>
            <color indexed="81"/>
            <rFont val="Tahoma"/>
            <family val="2"/>
          </rPr>
          <t xml:space="preserve">
This is the calculated C</t>
        </r>
        <r>
          <rPr>
            <vertAlign val="subscript"/>
            <sz val="9"/>
            <color indexed="81"/>
            <rFont val="Tahoma"/>
            <family val="2"/>
          </rPr>
          <t>HF</t>
        </r>
        <r>
          <rPr>
            <sz val="9"/>
            <color indexed="81"/>
            <rFont val="Tahoma"/>
            <family val="2"/>
          </rPr>
          <t xml:space="preserve"> value based on the selected crossover frequency</t>
        </r>
      </text>
    </comment>
    <comment ref="B164" authorId="0" shapeId="0" xr:uid="{00000000-0006-0000-0000-000062000000}">
      <text>
        <r>
          <rPr>
            <b/>
            <sz val="9"/>
            <color indexed="81"/>
            <rFont val="Tahoma"/>
            <family val="2"/>
          </rPr>
          <t>Compensation Zero Location (F</t>
        </r>
        <r>
          <rPr>
            <b/>
            <vertAlign val="subscript"/>
            <sz val="9"/>
            <color indexed="81"/>
            <rFont val="Tahoma"/>
            <family val="2"/>
          </rPr>
          <t>Zcomp</t>
        </r>
        <r>
          <rPr>
            <b/>
            <sz val="9"/>
            <color indexed="81"/>
            <rFont val="Tahoma"/>
            <family val="2"/>
          </rPr>
          <t xml:space="preserve">)
</t>
        </r>
        <r>
          <rPr>
            <sz val="9"/>
            <color indexed="81"/>
            <rFont val="Tahoma"/>
            <family val="2"/>
          </rPr>
          <t xml:space="preserve">
This is the location of the zero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COMP</t>
        </r>
        <r>
          <rPr>
            <sz val="9"/>
            <color indexed="81"/>
            <rFont val="Tahoma"/>
            <family val="2"/>
          </rPr>
          <t>. The location of the zero can be seen on the bobe plot.</t>
        </r>
      </text>
    </comment>
    <comment ref="B165" authorId="0" shapeId="0" xr:uid="{00000000-0006-0000-0000-000063000000}">
      <text>
        <r>
          <rPr>
            <b/>
            <sz val="9"/>
            <color indexed="81"/>
            <rFont val="Tahoma"/>
            <family val="2"/>
          </rPr>
          <t>Compensation Pole Location (F</t>
        </r>
        <r>
          <rPr>
            <b/>
            <vertAlign val="subscript"/>
            <sz val="9"/>
            <color indexed="81"/>
            <rFont val="Tahoma"/>
            <family val="2"/>
          </rPr>
          <t>Pcomp</t>
        </r>
        <r>
          <rPr>
            <b/>
            <sz val="9"/>
            <color indexed="81"/>
            <rFont val="Tahoma"/>
            <family val="2"/>
          </rPr>
          <t xml:space="preserve">)
</t>
        </r>
        <r>
          <rPr>
            <sz val="9"/>
            <color indexed="81"/>
            <rFont val="Tahoma"/>
            <family val="2"/>
          </rPr>
          <t xml:space="preserve">
This is the location of the pole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HF</t>
        </r>
        <r>
          <rPr>
            <sz val="9"/>
            <color indexed="81"/>
            <rFont val="Tahoma"/>
            <family val="2"/>
          </rPr>
          <t>. The location of the pole can be seen on the bobe plot.</t>
        </r>
      </text>
    </comment>
    <comment ref="B171" authorId="0" shapeId="0" xr:uid="{00000000-0006-0000-0000-000064000000}">
      <text>
        <r>
          <rPr>
            <b/>
            <sz val="9"/>
            <color indexed="81"/>
            <rFont val="Tahoma"/>
            <family val="2"/>
          </rPr>
          <t xml:space="preserve">External Reference Voltage
</t>
        </r>
        <r>
          <rPr>
            <sz val="9"/>
            <color indexed="81"/>
            <rFont val="Tahoma"/>
            <family val="2"/>
          </rPr>
          <t xml:space="preserve">
This is the external reference voltage for the voltage loop. This value will be used to calculate the feedback resistors. 
</t>
        </r>
      </text>
    </comment>
    <comment ref="B172" authorId="0" shapeId="0" xr:uid="{00000000-0006-0000-0000-000065000000}">
      <text>
        <r>
          <rPr>
            <b/>
            <sz val="9"/>
            <color indexed="81"/>
            <rFont val="Tahoma"/>
            <family val="2"/>
          </rPr>
          <t xml:space="preserve">Selected Bottom Resistor
</t>
        </r>
        <r>
          <rPr>
            <sz val="9"/>
            <color indexed="81"/>
            <rFont val="Tahoma"/>
            <family val="2"/>
          </rPr>
          <t>This is the selected bottom resistor of the FB resistor divider. A good starting point for this value is in the 1kΩ to 20kΩ range. The larger this value the less current will flow in the divider making the FB signal more susceptible to noise. However the current draw from the output will be smaller.</t>
        </r>
      </text>
    </comment>
    <comment ref="B173" authorId="0" shapeId="0" xr:uid="{00000000-0006-0000-0000-000066000000}">
      <text>
        <r>
          <rPr>
            <b/>
            <sz val="9"/>
            <color indexed="81"/>
            <rFont val="Tahoma"/>
            <family val="2"/>
          </rPr>
          <t>Calculated R</t>
        </r>
        <r>
          <rPr>
            <b/>
            <vertAlign val="subscript"/>
            <sz val="9"/>
            <color indexed="81"/>
            <rFont val="Tahoma"/>
            <family val="2"/>
          </rPr>
          <t>FB_TOP</t>
        </r>
        <r>
          <rPr>
            <b/>
            <sz val="9"/>
            <color indexed="81"/>
            <rFont val="Tahoma"/>
            <family val="2"/>
          </rPr>
          <t xml:space="preserve">
</t>
        </r>
        <r>
          <rPr>
            <sz val="9"/>
            <color indexed="81"/>
            <rFont val="Tahoma"/>
            <family val="2"/>
          </rPr>
          <t>This is the value calculated in order to set the feedback node at V</t>
        </r>
        <r>
          <rPr>
            <vertAlign val="subscript"/>
            <sz val="9"/>
            <color indexed="81"/>
            <rFont val="Tahoma"/>
            <family val="2"/>
          </rPr>
          <t>REF</t>
        </r>
        <r>
          <rPr>
            <sz val="9"/>
            <color indexed="81"/>
            <rFont val="Tahoma"/>
            <family val="2"/>
          </rPr>
          <t xml:space="preserve"> when the output voltage in buck mode is set to be the nominal value of the HV Port voltage.</t>
        </r>
      </text>
    </comment>
    <comment ref="B174" authorId="0" shapeId="0" xr:uid="{00000000-0006-0000-0000-000067000000}">
      <text>
        <r>
          <rPr>
            <b/>
            <sz val="9"/>
            <color indexed="81"/>
            <rFont val="Tahoma"/>
            <family val="2"/>
          </rPr>
          <t>Selected R</t>
        </r>
        <r>
          <rPr>
            <b/>
            <vertAlign val="subscript"/>
            <sz val="9"/>
            <color indexed="81"/>
            <rFont val="Tahoma"/>
            <family val="2"/>
          </rPr>
          <t>FB_TOP</t>
        </r>
        <r>
          <rPr>
            <b/>
            <sz val="9"/>
            <color indexed="81"/>
            <rFont val="Tahoma"/>
            <family val="2"/>
          </rPr>
          <t xml:space="preserve">
</t>
        </r>
        <r>
          <rPr>
            <sz val="9"/>
            <color indexed="81"/>
            <rFont val="Tahoma"/>
            <family val="2"/>
          </rPr>
          <t xml:space="preserve">The selected value should reflect the calculated value above.
</t>
        </r>
      </text>
    </comment>
    <comment ref="B175" authorId="0" shapeId="0" xr:uid="{00000000-0006-0000-0000-000068000000}">
      <text>
        <r>
          <rPr>
            <b/>
            <sz val="9"/>
            <color indexed="81"/>
            <rFont val="Tahoma"/>
            <family val="2"/>
          </rPr>
          <t xml:space="preserve">Suggested Crossover Frequency
</t>
        </r>
        <r>
          <rPr>
            <sz val="9"/>
            <color indexed="81"/>
            <rFont val="Tahoma"/>
            <family val="2"/>
          </rPr>
          <t>This value is set to be around 1/5 that of the boost mode operation's RHP zero frequency (F</t>
        </r>
        <r>
          <rPr>
            <vertAlign val="subscript"/>
            <sz val="9"/>
            <color indexed="81"/>
            <rFont val="Tahoma"/>
            <family val="2"/>
          </rPr>
          <t>RHPzero</t>
        </r>
        <r>
          <rPr>
            <sz val="9"/>
            <color indexed="81"/>
            <rFont val="Tahoma"/>
            <family val="2"/>
          </rPr>
          <t xml:space="preserve">). For best operation the voltage loop should be slower than that of the current loop. 
</t>
        </r>
      </text>
    </comment>
    <comment ref="B176" authorId="0" shapeId="0" xr:uid="{00000000-0006-0000-0000-000069000000}">
      <text>
        <r>
          <rPr>
            <b/>
            <sz val="9"/>
            <color indexed="81"/>
            <rFont val="Tahoma"/>
            <family val="2"/>
          </rPr>
          <t>Selected Crossover Frequency</t>
        </r>
        <r>
          <rPr>
            <sz val="9"/>
            <color indexed="81"/>
            <rFont val="Tahoma"/>
            <family val="2"/>
          </rPr>
          <t xml:space="preserve">
This is the desired crossover frequency. The voltage loop compensation values will be calculated to have a loop cross over frequency of this value.</t>
        </r>
      </text>
    </comment>
    <comment ref="B177" authorId="0" shapeId="0" xr:uid="{00000000-0006-0000-0000-00006A000000}">
      <text>
        <r>
          <rPr>
            <b/>
            <sz val="9"/>
            <color indexed="81"/>
            <rFont val="Tahoma"/>
            <family val="2"/>
          </rPr>
          <t>R</t>
        </r>
        <r>
          <rPr>
            <b/>
            <vertAlign val="subscript"/>
            <sz val="9"/>
            <color indexed="81"/>
            <rFont val="Tahoma"/>
            <family val="2"/>
          </rPr>
          <t>COMP</t>
        </r>
        <r>
          <rPr>
            <b/>
            <sz val="9"/>
            <color indexed="81"/>
            <rFont val="Tahoma"/>
            <family val="2"/>
          </rPr>
          <t xml:space="preserve"> Calculated
</t>
        </r>
        <r>
          <rPr>
            <sz val="9"/>
            <color indexed="81"/>
            <rFont val="Tahoma"/>
            <family val="2"/>
          </rPr>
          <t>This is the calculated R</t>
        </r>
        <r>
          <rPr>
            <vertAlign val="subscript"/>
            <sz val="9"/>
            <color indexed="81"/>
            <rFont val="Tahoma"/>
            <family val="2"/>
          </rPr>
          <t>COMP</t>
        </r>
        <r>
          <rPr>
            <sz val="9"/>
            <color indexed="81"/>
            <rFont val="Tahoma"/>
            <family val="2"/>
          </rPr>
          <t xml:space="preserve"> value based on the selected crossover frequency
</t>
        </r>
      </text>
    </comment>
    <comment ref="B179" authorId="0" shapeId="0" xr:uid="{00000000-0006-0000-0000-00006B000000}">
      <text>
        <r>
          <rPr>
            <b/>
            <sz val="9"/>
            <color indexed="81"/>
            <rFont val="Tahoma"/>
            <family val="2"/>
          </rPr>
          <t>C</t>
        </r>
        <r>
          <rPr>
            <b/>
            <vertAlign val="subscript"/>
            <sz val="9"/>
            <color indexed="81"/>
            <rFont val="Tahoma"/>
            <family val="2"/>
          </rPr>
          <t>COMP</t>
        </r>
        <r>
          <rPr>
            <b/>
            <sz val="9"/>
            <color indexed="81"/>
            <rFont val="Tahoma"/>
            <family val="2"/>
          </rPr>
          <t xml:space="preserve"> Calculated
</t>
        </r>
        <r>
          <rPr>
            <sz val="9"/>
            <color indexed="81"/>
            <rFont val="Tahoma"/>
            <family val="2"/>
          </rPr>
          <t>This is the calculated C</t>
        </r>
        <r>
          <rPr>
            <vertAlign val="subscript"/>
            <sz val="9"/>
            <color indexed="81"/>
            <rFont val="Tahoma"/>
            <family val="2"/>
          </rPr>
          <t>COMP</t>
        </r>
        <r>
          <rPr>
            <sz val="9"/>
            <color indexed="81"/>
            <rFont val="Tahoma"/>
            <family val="2"/>
          </rPr>
          <t xml:space="preserve"> value based on the selected crossover frequency
</t>
        </r>
      </text>
    </comment>
    <comment ref="B181" authorId="0" shapeId="0" xr:uid="{00000000-0006-0000-0000-00006C000000}">
      <text>
        <r>
          <rPr>
            <b/>
            <sz val="9"/>
            <color indexed="81"/>
            <rFont val="Tahoma"/>
            <family val="2"/>
          </rPr>
          <t>C</t>
        </r>
        <r>
          <rPr>
            <b/>
            <vertAlign val="subscript"/>
            <sz val="9"/>
            <color indexed="81"/>
            <rFont val="Tahoma"/>
            <family val="2"/>
          </rPr>
          <t>HF</t>
        </r>
        <r>
          <rPr>
            <b/>
            <sz val="9"/>
            <color indexed="81"/>
            <rFont val="Tahoma"/>
            <family val="2"/>
          </rPr>
          <t xml:space="preserve"> Calculated</t>
        </r>
        <r>
          <rPr>
            <sz val="9"/>
            <color indexed="81"/>
            <rFont val="Tahoma"/>
            <family val="2"/>
          </rPr>
          <t xml:space="preserve">
This is the calculated C</t>
        </r>
        <r>
          <rPr>
            <vertAlign val="subscript"/>
            <sz val="9"/>
            <color indexed="81"/>
            <rFont val="Tahoma"/>
            <family val="2"/>
          </rPr>
          <t>HF</t>
        </r>
        <r>
          <rPr>
            <sz val="9"/>
            <color indexed="81"/>
            <rFont val="Tahoma"/>
            <family val="2"/>
          </rPr>
          <t xml:space="preserve"> value based on the selected crossover frequency</t>
        </r>
      </text>
    </comment>
    <comment ref="B183" authorId="0" shapeId="0" xr:uid="{00000000-0006-0000-0000-00006D000000}">
      <text>
        <r>
          <rPr>
            <b/>
            <sz val="9"/>
            <color indexed="81"/>
            <rFont val="Tahoma"/>
            <family val="2"/>
          </rPr>
          <t>Compensation Zero Location (F</t>
        </r>
        <r>
          <rPr>
            <b/>
            <vertAlign val="subscript"/>
            <sz val="9"/>
            <color indexed="81"/>
            <rFont val="Tahoma"/>
            <family val="2"/>
          </rPr>
          <t>Zcomp</t>
        </r>
        <r>
          <rPr>
            <b/>
            <sz val="9"/>
            <color indexed="81"/>
            <rFont val="Tahoma"/>
            <family val="2"/>
          </rPr>
          <t>)</t>
        </r>
        <r>
          <rPr>
            <sz val="9"/>
            <color indexed="81"/>
            <rFont val="Tahoma"/>
            <family val="2"/>
          </rPr>
          <t xml:space="preserve">
This is the location of the zero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COMP</t>
        </r>
        <r>
          <rPr>
            <sz val="9"/>
            <color indexed="81"/>
            <rFont val="Tahoma"/>
            <family val="2"/>
          </rPr>
          <t>. The location of the zero can be seen on the bobe plot.</t>
        </r>
      </text>
    </comment>
    <comment ref="B184" authorId="0" shapeId="0" xr:uid="{00000000-0006-0000-0000-00006E000000}">
      <text>
        <r>
          <rPr>
            <b/>
            <sz val="9"/>
            <color indexed="81"/>
            <rFont val="Tahoma"/>
            <family val="2"/>
          </rPr>
          <t>Compensation Pole Location (F</t>
        </r>
        <r>
          <rPr>
            <b/>
            <vertAlign val="subscript"/>
            <sz val="9"/>
            <color indexed="81"/>
            <rFont val="Tahoma"/>
            <family val="2"/>
          </rPr>
          <t>Pcomp</t>
        </r>
        <r>
          <rPr>
            <b/>
            <sz val="9"/>
            <color indexed="81"/>
            <rFont val="Tahoma"/>
            <family val="2"/>
          </rPr>
          <t xml:space="preserve">)
</t>
        </r>
        <r>
          <rPr>
            <sz val="9"/>
            <color indexed="81"/>
            <rFont val="Tahoma"/>
            <family val="2"/>
          </rPr>
          <t xml:space="preserve">
This is the location of the pole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HF</t>
        </r>
        <r>
          <rPr>
            <sz val="9"/>
            <color indexed="81"/>
            <rFont val="Tahoma"/>
            <family val="2"/>
          </rPr>
          <t xml:space="preserve">. The location of the pole can be seen on the bobe plot.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A40" authorId="0" shapeId="0" xr:uid="{00000000-0006-0000-0100-000001000000}">
      <text>
        <r>
          <rPr>
            <b/>
            <sz val="9"/>
            <color indexed="81"/>
            <rFont val="Tahoma"/>
            <family val="2"/>
          </rPr>
          <t>PPD-NPS:</t>
        </r>
        <r>
          <rPr>
            <sz val="9"/>
            <color indexed="81"/>
            <rFont val="Tahoma"/>
            <family val="2"/>
          </rPr>
          <t xml:space="preserve">
These should be updated and double checked
</t>
        </r>
      </text>
    </comment>
    <comment ref="E63" authorId="0" shapeId="0" xr:uid="{00000000-0006-0000-0100-000002000000}">
      <text>
        <r>
          <rPr>
            <b/>
            <sz val="9"/>
            <color indexed="81"/>
            <rFont val="Tahoma"/>
            <family val="2"/>
          </rPr>
          <t>Assuming the nominal voltages are the setpoint voltages for the 12V and 48V rail</t>
        </r>
      </text>
    </comment>
    <comment ref="A64" authorId="0" shapeId="0" xr:uid="{00000000-0006-0000-0100-000003000000}">
      <text>
        <r>
          <rPr>
            <b/>
            <sz val="9"/>
            <color indexed="81"/>
            <rFont val="Tahoma"/>
            <family val="2"/>
          </rPr>
          <t xml:space="preserve">This is the worst case ripple for the selected Inductance value and the maximum designed for load per phase
</t>
        </r>
      </text>
    </comment>
    <comment ref="B68" authorId="0" shapeId="0" xr:uid="{00000000-0006-0000-0100-000004000000}">
      <text>
        <r>
          <rPr>
            <b/>
            <sz val="9"/>
            <color indexed="81"/>
            <rFont val="Tahoma"/>
            <family val="2"/>
          </rPr>
          <t>PPD-NPS:</t>
        </r>
        <r>
          <rPr>
            <sz val="9"/>
            <color indexed="81"/>
            <rFont val="Tahoma"/>
            <family val="2"/>
          </rPr>
          <t xml:space="preserve">
</t>
        </r>
      </text>
    </comment>
    <comment ref="A84" authorId="0" shapeId="0" xr:uid="{00000000-0006-0000-0100-000005000000}">
      <text>
        <r>
          <rPr>
            <b/>
            <sz val="9"/>
            <color indexed="81"/>
            <rFont val="Tahoma"/>
            <family val="2"/>
          </rPr>
          <t>PPD-NPS:</t>
        </r>
        <r>
          <rPr>
            <sz val="9"/>
            <color indexed="81"/>
            <rFont val="Tahoma"/>
            <family val="2"/>
          </rPr>
          <t xml:space="preserve">
This is calculated at Full Load (ISETA = 2.5V). For over ISETA values  the soft start time will be less due to the SS capacitor charging to a lower voltage</t>
        </r>
      </text>
    </comment>
    <comment ref="E115" authorId="0" shapeId="0" xr:uid="{00000000-0006-0000-0100-000006000000}">
      <text>
        <r>
          <rPr>
            <b/>
            <sz val="9"/>
            <color indexed="81"/>
            <rFont val="Tahoma"/>
            <family val="2"/>
          </rPr>
          <t>PPD-NPS:</t>
        </r>
        <r>
          <rPr>
            <sz val="9"/>
            <color indexed="81"/>
            <rFont val="Tahoma"/>
            <family val="2"/>
          </rPr>
          <t xml:space="preserve">
This is due to the internal circuitry of the LM5170. Around 4.5V on the IOUTx pin the current source becomes less accurate and will cause error
</t>
        </r>
      </text>
    </comment>
    <comment ref="E118" authorId="0" shapeId="0" xr:uid="{00000000-0006-0000-0100-000007000000}">
      <text>
        <r>
          <rPr>
            <b/>
            <sz val="9"/>
            <color indexed="81"/>
            <rFont val="Tahoma"/>
            <family val="2"/>
          </rPr>
          <t>PPD-NPS:</t>
        </r>
        <r>
          <rPr>
            <sz val="9"/>
            <color indexed="81"/>
            <rFont val="Tahoma"/>
            <family val="2"/>
          </rPr>
          <t xml:space="preserve">
PPD-NPS:
This is due to the internal circuitry of the LM5170. Around 4.5V on the IOUTx pin the current source becomes less accurate and will cause error</t>
        </r>
      </text>
    </comment>
    <comment ref="A134" authorId="0" shapeId="0" xr:uid="{00000000-0006-0000-0100-000008000000}">
      <text>
        <r>
          <rPr>
            <b/>
            <sz val="9"/>
            <color indexed="81"/>
            <rFont val="Tahoma"/>
            <family val="2"/>
          </rPr>
          <t>PPD-NPS:</t>
        </r>
        <r>
          <rPr>
            <sz val="9"/>
            <color indexed="81"/>
            <rFont val="Tahoma"/>
            <family val="2"/>
          </rPr>
          <t xml:space="preserve">
This will need to be altered in the future
</t>
        </r>
      </text>
    </comment>
    <comment ref="B136" authorId="0" shapeId="0" xr:uid="{00000000-0006-0000-0100-000009000000}">
      <text>
        <r>
          <rPr>
            <b/>
            <sz val="9"/>
            <color indexed="81"/>
            <rFont val="Tahoma"/>
            <family val="2"/>
          </rPr>
          <t>PPD-NPS:</t>
        </r>
        <r>
          <rPr>
            <sz val="9"/>
            <color indexed="81"/>
            <rFont val="Tahoma"/>
            <family val="2"/>
          </rPr>
          <t xml:space="preserve">
Note that this is simply 1/Rramp*Cramp*Fsw in order to match the datasheet. Normally this would be dependent on the RAMP input voltage. Since a battery is modeled here it can be simplified to the above equation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G5" authorId="0" shapeId="0" xr:uid="{00000000-0006-0000-0200-000001000000}">
      <text>
        <r>
          <rPr>
            <b/>
            <sz val="9"/>
            <color indexed="81"/>
            <rFont val="Tahoma"/>
            <family val="2"/>
          </rPr>
          <t xml:space="preserve">Follows Equation 28 of the datasheet
</t>
        </r>
      </text>
    </comment>
    <comment ref="AE76" authorId="0" shapeId="0" xr:uid="{00000000-0006-0000-0200-000002000000}">
      <text>
        <r>
          <rPr>
            <b/>
            <sz val="9"/>
            <color indexed="81"/>
            <rFont val="Tahoma"/>
            <family val="2"/>
          </rPr>
          <t>PPD-NPS:</t>
        </r>
        <r>
          <rPr>
            <sz val="9"/>
            <color indexed="81"/>
            <rFont val="Tahoma"/>
            <family val="2"/>
          </rPr>
          <t xml:space="preserve">
Multiplied by feedforward ramp already to save step</t>
        </r>
      </text>
    </comment>
    <comment ref="A134" authorId="0" shapeId="0" xr:uid="{00000000-0006-0000-0200-000003000000}">
      <text>
        <r>
          <rPr>
            <b/>
            <sz val="9"/>
            <color indexed="81"/>
            <rFont val="Tahoma"/>
            <family val="2"/>
          </rPr>
          <t>PPD-NPS:</t>
        </r>
        <r>
          <rPr>
            <sz val="9"/>
            <color indexed="81"/>
            <rFont val="Tahoma"/>
            <family val="2"/>
          </rPr>
          <t xml:space="preserve">
This is the Modulcator Gain at the Selected Crossover Frequncy of the </t>
        </r>
      </text>
    </comment>
    <comment ref="BC166" authorId="0" shapeId="0" xr:uid="{00000000-0006-0000-0200-000004000000}">
      <text>
        <r>
          <rPr>
            <b/>
            <sz val="9"/>
            <color indexed="81"/>
            <rFont val="Tahoma"/>
            <family val="2"/>
          </rPr>
          <t>PPD-NPS:</t>
        </r>
        <r>
          <rPr>
            <sz val="9"/>
            <color indexed="81"/>
            <rFont val="Tahoma"/>
            <family val="2"/>
          </rPr>
          <t xml:space="preserve">
Multiplied by feedforward ramp already to save step</t>
        </r>
      </text>
    </comment>
    <comment ref="A224" authorId="0" shapeId="0" xr:uid="{00000000-0006-0000-0200-000005000000}">
      <text>
        <r>
          <rPr>
            <b/>
            <sz val="9"/>
            <color indexed="81"/>
            <rFont val="Tahoma"/>
            <family val="2"/>
          </rPr>
          <t xml:space="preserve">PPD-NPS:
</t>
        </r>
        <r>
          <rPr>
            <sz val="9"/>
            <color indexed="81"/>
            <rFont val="Tahoma"/>
            <family val="2"/>
          </rPr>
          <t xml:space="preserve">Selected Cross over Frequency for Boost Mode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A43" authorId="0" shapeId="0" xr:uid="{00000000-0006-0000-0400-000001000000}">
      <text>
        <r>
          <rPr>
            <b/>
            <sz val="9"/>
            <color indexed="81"/>
            <rFont val="Tahoma"/>
            <family val="2"/>
          </rPr>
          <t xml:space="preserve">ABS Max voltage on the RAMP pin
</t>
        </r>
      </text>
    </comment>
    <comment ref="A44" authorId="0" shapeId="0" xr:uid="{00000000-0006-0000-0400-000002000000}">
      <text>
        <r>
          <rPr>
            <b/>
            <sz val="9"/>
            <color indexed="81"/>
            <rFont val="Tahoma"/>
            <family val="2"/>
          </rPr>
          <t xml:space="preserve">Minimum RAMPx Voltage that will define an invalid signal
</t>
        </r>
      </text>
    </comment>
  </commentList>
</comments>
</file>

<file path=xl/sharedStrings.xml><?xml version="1.0" encoding="utf-8"?>
<sst xmlns="http://schemas.openxmlformats.org/spreadsheetml/2006/main" count="921" uniqueCount="497">
  <si>
    <t>V12 Nom</t>
  </si>
  <si>
    <t>V</t>
  </si>
  <si>
    <t>Switching Frequency</t>
  </si>
  <si>
    <t>kHz</t>
  </si>
  <si>
    <t>A</t>
  </si>
  <si>
    <t>Selected Inductor</t>
  </si>
  <si>
    <t>uH</t>
  </si>
  <si>
    <r>
      <t>m</t>
    </r>
    <r>
      <rPr>
        <sz val="11"/>
        <color theme="1"/>
        <rFont val="Calibri"/>
        <family val="2"/>
      </rPr>
      <t>Ω</t>
    </r>
  </si>
  <si>
    <t>Selected Sense Resistor</t>
  </si>
  <si>
    <t>Inductor Selection</t>
  </si>
  <si>
    <t>DCM Boundaries</t>
  </si>
  <si>
    <t>Current Sense Voltage</t>
  </si>
  <si>
    <t>Peak Current</t>
  </si>
  <si>
    <t>Ripple Current</t>
  </si>
  <si>
    <t>LO Duty Cycle</t>
  </si>
  <si>
    <t>HO Duty Cycle</t>
  </si>
  <si>
    <r>
      <t>k</t>
    </r>
    <r>
      <rPr>
        <sz val="11"/>
        <color theme="1"/>
        <rFont val="Calibri"/>
        <family val="2"/>
      </rPr>
      <t>Ω</t>
    </r>
  </si>
  <si>
    <t>Spec Name</t>
  </si>
  <si>
    <t xml:space="preserve">Min </t>
  </si>
  <si>
    <t>Nom</t>
  </si>
  <si>
    <t>Max</t>
  </si>
  <si>
    <t>Unit</t>
  </si>
  <si>
    <t>Minimum Off Time</t>
  </si>
  <si>
    <t>s</t>
  </si>
  <si>
    <t>V48_Nom to V12_Nom</t>
  </si>
  <si>
    <t>Buck Channel Current</t>
  </si>
  <si>
    <t>%</t>
  </si>
  <si>
    <t>Total Number of Phases</t>
  </si>
  <si>
    <t>Value V Load Current</t>
  </si>
  <si>
    <t>Inductor DCR</t>
  </si>
  <si>
    <t>V48</t>
  </si>
  <si>
    <t>Output Impedance</t>
  </si>
  <si>
    <t>uF</t>
  </si>
  <si>
    <t>Frequency</t>
  </si>
  <si>
    <t>Frequency (rad/s)</t>
  </si>
  <si>
    <t>Frequency (Hz)</t>
  </si>
  <si>
    <t>Gain (dB)</t>
  </si>
  <si>
    <t>Phase (Degree)</t>
  </si>
  <si>
    <t>Complex Impedance</t>
  </si>
  <si>
    <t>kOhm</t>
  </si>
  <si>
    <t>nF</t>
  </si>
  <si>
    <t>gm (Error Amp)</t>
  </si>
  <si>
    <t>V/V</t>
  </si>
  <si>
    <t>Current Sense Amp Gain</t>
  </si>
  <si>
    <t>V12 Output Current</t>
  </si>
  <si>
    <t>Vref</t>
  </si>
  <si>
    <t>ISETA to IL constant</t>
  </si>
  <si>
    <t>ISETD to IL constant</t>
  </si>
  <si>
    <t>IOUT offset</t>
  </si>
  <si>
    <t>IOUT gm</t>
  </si>
  <si>
    <t>ohm</t>
  </si>
  <si>
    <t>ohm*Hz</t>
  </si>
  <si>
    <t>OVPx Threshold</t>
  </si>
  <si>
    <t>Oscillator Factor</t>
  </si>
  <si>
    <t>OVPA Resistance</t>
  </si>
  <si>
    <t>OVPB Resistance</t>
  </si>
  <si>
    <t>Ohm</t>
  </si>
  <si>
    <t>IPK Source Current</t>
  </si>
  <si>
    <t>BRK SYNCOUT Level: No Fault Check</t>
  </si>
  <si>
    <t>BRK SYNCOUT Level: Fault Check &gt;</t>
  </si>
  <si>
    <t>Dead Time Constant</t>
  </si>
  <si>
    <t>s/Ohm</t>
  </si>
  <si>
    <t>R IPK Calculation Voltage Constant</t>
  </si>
  <si>
    <t>R IPK Calculation Current Constant</t>
  </si>
  <si>
    <t>ISETD Resistance</t>
  </si>
  <si>
    <t>VCC UV Threshold</t>
  </si>
  <si>
    <t>UVLO Shutdown Thresold</t>
  </si>
  <si>
    <t>SS current</t>
  </si>
  <si>
    <t>Dead Time Adaptive Threshold</t>
  </si>
  <si>
    <t>UVLO Release Threshold</t>
  </si>
  <si>
    <t>*Need to add in the phasing diagram here</t>
  </si>
  <si>
    <t>Maximmum Ripple Current</t>
  </si>
  <si>
    <t>mV</t>
  </si>
  <si>
    <t>Inductor Ripple Currents</t>
  </si>
  <si>
    <t>V48_Nom to V12_Nom (Current Sense Voltage)</t>
  </si>
  <si>
    <t>V48_Max to V12_Nom</t>
  </si>
  <si>
    <t>V12_Min</t>
  </si>
  <si>
    <t>V12_Nom</t>
  </si>
  <si>
    <t>V12_Max</t>
  </si>
  <si>
    <t>Full Load V12 Calculations vs V48</t>
  </si>
  <si>
    <t>Ω</t>
  </si>
  <si>
    <t>V48_Nom to V12_Nom (Inductor AVG Current)</t>
  </si>
  <si>
    <t>V48_Min to V12_Nom (Current Sense Voltage)</t>
  </si>
  <si>
    <t>V48_Min to V12_Nom (Inductor AVG Current)</t>
  </si>
  <si>
    <t>V48_Max to V12_Nom (Current Sense Voltage)</t>
  </si>
  <si>
    <t>V48_Max to V12_Nom (Inductor AVG Current)</t>
  </si>
  <si>
    <t>Switching Parameters</t>
  </si>
  <si>
    <t>Hz</t>
  </si>
  <si>
    <t>Minmum Off Time (Buck)</t>
  </si>
  <si>
    <t>Minmum Off Time (Boost)</t>
  </si>
  <si>
    <t>Spec Violation</t>
  </si>
  <si>
    <t>Parameters</t>
  </si>
  <si>
    <t>V12 Port (Buck)</t>
  </si>
  <si>
    <t>V12 Port (Boost)</t>
  </si>
  <si>
    <t>V48 Port</t>
  </si>
  <si>
    <t>Oscillator Frequency</t>
  </si>
  <si>
    <t>Dead Time</t>
  </si>
  <si>
    <t>ns</t>
  </si>
  <si>
    <t>x</t>
  </si>
  <si>
    <t>Ramp Calculations</t>
  </si>
  <si>
    <t>Selected Ramp Resistor</t>
  </si>
  <si>
    <t>Vramp (V48 Min)</t>
  </si>
  <si>
    <t>Vramp (V48 Nom)</t>
  </si>
  <si>
    <t>Vramp (V48 Max)</t>
  </si>
  <si>
    <t>kΩ</t>
  </si>
  <si>
    <t>Max V RAMPx</t>
  </si>
  <si>
    <t>Min V RAMPx</t>
  </si>
  <si>
    <t>V12</t>
  </si>
  <si>
    <t>V48_Min</t>
  </si>
  <si>
    <t>V48_Nom</t>
  </si>
  <si>
    <t>V48_Max</t>
  </si>
  <si>
    <t>Typical Case (V48_nom, V12_nom)</t>
  </si>
  <si>
    <t>Soft Start Capacitor</t>
  </si>
  <si>
    <t>UVLO</t>
  </si>
  <si>
    <t>ms</t>
  </si>
  <si>
    <t>Calculated SS Value</t>
  </si>
  <si>
    <t>ISETA MAX</t>
  </si>
  <si>
    <t>UVLO Type Selection</t>
  </si>
  <si>
    <t>V48 Rail Selection</t>
  </si>
  <si>
    <t>Minimum 48V Rail Voltage</t>
  </si>
  <si>
    <t>Nominal 48V Rail Voltage</t>
  </si>
  <si>
    <t>V12 Rail Selection</t>
  </si>
  <si>
    <t>Minimum 12V Rail Voltage</t>
  </si>
  <si>
    <t>Nominal 12V Rail Voltage</t>
  </si>
  <si>
    <t>Maximum 12V rail Voltage</t>
  </si>
  <si>
    <t>Maximum 48V rail Voltage</t>
  </si>
  <si>
    <t>Selected Schematic</t>
  </si>
  <si>
    <t>User Input</t>
  </si>
  <si>
    <t>Calculated Value</t>
  </si>
  <si>
    <t>Fsw</t>
  </si>
  <si>
    <t>Converter switching frequency</t>
  </si>
  <si>
    <t>Current Selection</t>
  </si>
  <si>
    <t xml:space="preserve">V48 Output Current (Max) </t>
  </si>
  <si>
    <t>Occurs at V12=(V12_Max) and V48=(V48_Max)</t>
  </si>
  <si>
    <t>Number of Phase</t>
  </si>
  <si>
    <t>This is the number of phases that the total design will use</t>
  </si>
  <si>
    <t>W</t>
  </si>
  <si>
    <t>mOhm</t>
  </si>
  <si>
    <t>Spec Values</t>
  </si>
  <si>
    <t>Calculated Current Sense Resistor</t>
  </si>
  <si>
    <t>Calculated to have full load be 50mV</t>
  </si>
  <si>
    <t>Rcs</t>
  </si>
  <si>
    <t>Per phase Max Power current (based on RCS)</t>
  </si>
  <si>
    <t xml:space="preserve">V12 Output Current Per Phase </t>
  </si>
  <si>
    <t>I_Channel</t>
  </si>
  <si>
    <t>Variable</t>
  </si>
  <si>
    <t>Total Output Current</t>
  </si>
  <si>
    <t xml:space="preserve">Total Maximum Output Power </t>
  </si>
  <si>
    <t>Inductor  Calculations</t>
  </si>
  <si>
    <t>RT</t>
  </si>
  <si>
    <t>Oscilator set resistor Resistor</t>
  </si>
  <si>
    <t>Selected Ripple Ratio</t>
  </si>
  <si>
    <t>Conditions for worst case ripple</t>
  </si>
  <si>
    <t>Selected Peak Current Limit</t>
  </si>
  <si>
    <t>Load Values where the Converter will enter DCM</t>
  </si>
  <si>
    <t>IL peak resistor for selected IL peak Current Limit</t>
  </si>
  <si>
    <t>Flags IPK value is set below the max steady state IL peak current</t>
  </si>
  <si>
    <t>Suggested Ramp Resistor</t>
  </si>
  <si>
    <t>Maximum Average Inductor Current Per Channel</t>
  </si>
  <si>
    <t>SS Voltage Threshold</t>
  </si>
  <si>
    <t>Over Voltage Protection</t>
  </si>
  <si>
    <t>OVPA Input Voltage</t>
  </si>
  <si>
    <t>Suggested OVPA resistor Value</t>
  </si>
  <si>
    <t>Actual OVPA Trip point</t>
  </si>
  <si>
    <t>Selected OVPA resistor Value</t>
  </si>
  <si>
    <t>OVPB Input Voltage</t>
  </si>
  <si>
    <t>Suggested OVPB resistor Value</t>
  </si>
  <si>
    <t>Selected OVPB resistor Value</t>
  </si>
  <si>
    <t>Actual OVPB Trip point</t>
  </si>
  <si>
    <t>UVLO Calculations</t>
  </si>
  <si>
    <t>UVLO Enabled?</t>
  </si>
  <si>
    <t>UVLO Enable</t>
  </si>
  <si>
    <t>μC Input</t>
  </si>
  <si>
    <t>Resistor Divider</t>
  </si>
  <si>
    <t>UVLO Power Delivery Voltage</t>
  </si>
  <si>
    <t>Top Resistor Value</t>
  </si>
  <si>
    <t>Suggested Bottom Resistor</t>
  </si>
  <si>
    <t>Selected Bottom Resistor</t>
  </si>
  <si>
    <t>UVLO Shutdown Voltage</t>
  </si>
  <si>
    <t>UVLO Power Delivery Hystersis</t>
  </si>
  <si>
    <t>UVLO Release Hyst Current</t>
  </si>
  <si>
    <t>Selected Softstart Capacitor</t>
  </si>
  <si>
    <t>Actual Soft start time</t>
  </si>
  <si>
    <t>Actual Softstart Time</t>
  </si>
  <si>
    <t>IOUTx Calculations</t>
  </si>
  <si>
    <t>Current Sense Voltage at Full load</t>
  </si>
  <si>
    <t>Selected IOUT Resistance</t>
  </si>
  <si>
    <t>IOUT MAX (Recommened to keep accuracy high)</t>
  </si>
  <si>
    <t>Flag if &gt;3.3V</t>
  </si>
  <si>
    <t>IOUT ranges</t>
  </si>
  <si>
    <t>Selected R IPK</t>
  </si>
  <si>
    <t>Actual Peak Limit</t>
  </si>
  <si>
    <t>Buck Mode Voltage Loop Transfer Functions</t>
  </si>
  <si>
    <t>Calcualted inductor based on full load  design parameters, Nominal V12 and Maximum V48 Voltages</t>
  </si>
  <si>
    <t>V48 Max and V12Nom</t>
  </si>
  <si>
    <t xml:space="preserve">Maximum Per phase IL current (based on Selected RCS) </t>
  </si>
  <si>
    <t>Design Parameter for per phase current</t>
  </si>
  <si>
    <t>Typical Power Per Phase</t>
  </si>
  <si>
    <t>The 12V output power at full designed load and nominal 12V</t>
  </si>
  <si>
    <t>Maximum per phase power based on Rcs selection (Nominal 12V)</t>
  </si>
  <si>
    <t>Maximum total 12V Current based on Rcs selection</t>
  </si>
  <si>
    <t>Total output power based on Rcs selection</t>
  </si>
  <si>
    <t>Peak to Peak ripple Ratio based on full designed load parameter</t>
  </si>
  <si>
    <t>Based on Maximum per phase design parameter</t>
  </si>
  <si>
    <t>Maximmum Peak Current</t>
  </si>
  <si>
    <t xml:space="preserve">Selected Inductor Peak Current Limit </t>
  </si>
  <si>
    <t>Calculated R IPK</t>
  </si>
  <si>
    <t>Selected Ramp Capacitor</t>
  </si>
  <si>
    <t>Selected RAMP Resistor</t>
  </si>
  <si>
    <t>Flag if not between 0.625V and 14V</t>
  </si>
  <si>
    <t>Deisred  SS time</t>
  </si>
  <si>
    <t>Maximum IOUTx Voltage (VCS =50mV)</t>
  </si>
  <si>
    <t>Recommened IOUT Resistance (VCS = 50mV)</t>
  </si>
  <si>
    <t>Actual VIOUTx at full load (VCS=50mV)</t>
  </si>
  <si>
    <t>Actual VIOUTx at no-load (VCS = 0mV)</t>
  </si>
  <si>
    <t>Suggested CIOUT</t>
  </si>
  <si>
    <t>Selected CIOUT</t>
  </si>
  <si>
    <t>based to set the RIOUT and CIOUT delay time to 100us</t>
  </si>
  <si>
    <t>Corner Frequency of RIOUT and CIOUT</t>
  </si>
  <si>
    <t>Ripple on VIOUT at full Load</t>
  </si>
  <si>
    <t>0 = MCU input, 1 = Normal Resistor Divider</t>
  </si>
  <si>
    <t>UVLO Hysterisis</t>
  </si>
  <si>
    <t>Nomal</t>
  </si>
  <si>
    <t>Dead Time Calculations</t>
  </si>
  <si>
    <t>Dead Time Configuration</t>
  </si>
  <si>
    <t>Adaptive</t>
  </si>
  <si>
    <t>Programed</t>
  </si>
  <si>
    <t>Selected Dead Time Type</t>
  </si>
  <si>
    <t>0=Adaptive, 1 = Programed</t>
  </si>
  <si>
    <t>Programed dead time</t>
  </si>
  <si>
    <t>Dead Time Off Set</t>
  </si>
  <si>
    <t>Cacluated Dead Time Resistor</t>
  </si>
  <si>
    <t>Selected Deatd Time Resistor</t>
  </si>
  <si>
    <t>LO falling to HO Rising Dead Time</t>
  </si>
  <si>
    <t>HO falling to LO Rising Dead Time</t>
  </si>
  <si>
    <t>Dead Time Adaptive LO to HO</t>
  </si>
  <si>
    <t>Dead Time Adaptive HO to LO</t>
  </si>
  <si>
    <t>LO falling to HO rising Dead-Time</t>
  </si>
  <si>
    <t>HO falling to LO rising Dead-Time</t>
  </si>
  <si>
    <t>0 = Nominal Hysteresis, 1 = Programable Hysteresis</t>
  </si>
  <si>
    <t>Increased Hysteresis Selected?</t>
  </si>
  <si>
    <t>Selected Amount of Hysteresis</t>
  </si>
  <si>
    <t>Selected Amount Of Hysteresis</t>
  </si>
  <si>
    <t>Cacluated Rhysteresis Resistor</t>
  </si>
  <si>
    <t>Selected Rhysteresis Value</t>
  </si>
  <si>
    <t>UVLO Power Delivery Voltage Rising Edge</t>
  </si>
  <si>
    <t>UVLO Power Delivery Voltage Falling Edge</t>
  </si>
  <si>
    <t>Flag if not between 15ns and 200ns as specified in the ROC of the Datasheet</t>
  </si>
  <si>
    <t>Dead Time Prog Min Value</t>
  </si>
  <si>
    <t>Dead Time Prog Max Value</t>
  </si>
  <si>
    <t>Path Resistance</t>
  </si>
  <si>
    <t>mΩ</t>
  </si>
  <si>
    <t>Inner Loop Simple Compensation</t>
  </si>
  <si>
    <t>Current Loop Power Plant Pole Location</t>
  </si>
  <si>
    <t>Kff</t>
  </si>
  <si>
    <t>1/V</t>
  </si>
  <si>
    <t>DC Gain of Current Power Plant</t>
  </si>
  <si>
    <t>Suggested Loop Crossover Frequency</t>
  </si>
  <si>
    <t>Selected Crossover Frequency</t>
  </si>
  <si>
    <t>Calculated RCOMP</t>
  </si>
  <si>
    <t>Selected RCOMP</t>
  </si>
  <si>
    <t>Calculated CCOMP</t>
  </si>
  <si>
    <t>Selected CCOMP</t>
  </si>
  <si>
    <t>Calculated CHF</t>
  </si>
  <si>
    <t>Selected CHF</t>
  </si>
  <si>
    <t>Suggested Compensation Zero</t>
  </si>
  <si>
    <t>Suggeste Compensation Pole Location</t>
  </si>
  <si>
    <t>based off of the suggested High frequency pole location</t>
  </si>
  <si>
    <t>Compensation Zero Location</t>
  </si>
  <si>
    <t>Compensation Pole Location</t>
  </si>
  <si>
    <t xml:space="preserve">Simple Current Loop Calcualtion </t>
  </si>
  <si>
    <t>Based on Datasheet Caclualtion Method</t>
  </si>
  <si>
    <t>Power Plant Function</t>
  </si>
  <si>
    <t>Complex Impedence</t>
  </si>
  <si>
    <t>Gain</t>
  </si>
  <si>
    <t>Phase</t>
  </si>
  <si>
    <t>Error Amp</t>
  </si>
  <si>
    <t>Closed Current Loop</t>
  </si>
  <si>
    <t>Cross Over Frequency</t>
  </si>
  <si>
    <t>Phase Margin</t>
  </si>
  <si>
    <t>Derived using MathCad and DS equation</t>
  </si>
  <si>
    <t>Typical Application Schematic</t>
  </si>
  <si>
    <t>Current Range/ Number of Phases</t>
  </si>
  <si>
    <t>2. Inductor Selection</t>
  </si>
  <si>
    <t>ABOUT</t>
  </si>
  <si>
    <t>Terms of Use</t>
  </si>
  <si>
    <t>3. Inductor Current Limiting</t>
  </si>
  <si>
    <t>Inductor Peak Current Limit</t>
  </si>
  <si>
    <t>Margin above Peak Current</t>
  </si>
  <si>
    <t>4. Output Capacitance</t>
  </si>
  <si>
    <t>Power Stage Pol</t>
  </si>
  <si>
    <t>Error Amp Zero</t>
  </si>
  <si>
    <t>Error Amp Pole</t>
  </si>
  <si>
    <t>RAD</t>
  </si>
  <si>
    <t>Impedance</t>
  </si>
  <si>
    <t>5. RAMP Selection</t>
  </si>
  <si>
    <t>Ramp Component Selection</t>
  </si>
  <si>
    <t>5. Soft-Start</t>
  </si>
  <si>
    <t>OVPA</t>
  </si>
  <si>
    <t>OVPB</t>
  </si>
  <si>
    <t>6. Overvoltage Protection</t>
  </si>
  <si>
    <t>8. Channel Current Monitoring</t>
  </si>
  <si>
    <t>IOUT1/ IOUT2</t>
  </si>
  <si>
    <t>DT</t>
  </si>
  <si>
    <t>9. MOSFET Dead Time Selection</t>
  </si>
  <si>
    <t>10. Current Loop Compensation</t>
  </si>
  <si>
    <t>COMP1/COMP2</t>
  </si>
  <si>
    <t>Additional Hysteresis</t>
  </si>
  <si>
    <t>Microcontroller Input</t>
  </si>
  <si>
    <t>Normal UVLO</t>
  </si>
  <si>
    <r>
      <t>Selected Low-Side Resistor (R</t>
    </r>
    <r>
      <rPr>
        <vertAlign val="subscript"/>
        <sz val="11"/>
        <color theme="1"/>
        <rFont val="ＭＳ Ｐゴシック"/>
        <family val="2"/>
        <scheme val="minor"/>
      </rPr>
      <t>UVLO2</t>
    </r>
    <r>
      <rPr>
        <sz val="11"/>
        <color theme="1"/>
        <rFont val="ＭＳ Ｐゴシック"/>
        <family val="2"/>
        <scheme val="minor"/>
      </rPr>
      <t>)</t>
    </r>
  </si>
  <si>
    <r>
      <t>Selected High-Side Resistor (R</t>
    </r>
    <r>
      <rPr>
        <vertAlign val="subscript"/>
        <sz val="11"/>
        <color theme="1"/>
        <rFont val="ＭＳ Ｐゴシック"/>
        <family val="2"/>
        <scheme val="minor"/>
      </rPr>
      <t>UVLO1</t>
    </r>
    <r>
      <rPr>
        <sz val="11"/>
        <color theme="1"/>
        <rFont val="ＭＳ Ｐゴシック"/>
        <family val="2"/>
        <scheme val="minor"/>
      </rPr>
      <t>)</t>
    </r>
  </si>
  <si>
    <t>Additional</t>
  </si>
  <si>
    <r>
      <t>Calculated Hysteresis Resistor (R</t>
    </r>
    <r>
      <rPr>
        <vertAlign val="subscript"/>
        <sz val="11"/>
        <color theme="1"/>
        <rFont val="ＭＳ Ｐゴシック"/>
        <family val="2"/>
        <scheme val="minor"/>
      </rPr>
      <t>UVLO3</t>
    </r>
    <r>
      <rPr>
        <sz val="11"/>
        <color theme="1"/>
        <rFont val="ＭＳ Ｐゴシック"/>
        <family val="2"/>
        <scheme val="minor"/>
      </rPr>
      <t>)</t>
    </r>
  </si>
  <si>
    <r>
      <t>Selected Hysteresis Resistor (R</t>
    </r>
    <r>
      <rPr>
        <vertAlign val="subscript"/>
        <sz val="11"/>
        <color theme="1"/>
        <rFont val="ＭＳ Ｐゴシック"/>
        <family val="2"/>
        <scheme val="minor"/>
      </rPr>
      <t>UVLO3</t>
    </r>
    <r>
      <rPr>
        <sz val="11"/>
        <color theme="1"/>
        <rFont val="ＭＳ Ｐゴシック"/>
        <family val="2"/>
        <scheme val="minor"/>
      </rPr>
      <t>)</t>
    </r>
  </si>
  <si>
    <t>UVLO Hysteresis</t>
  </si>
  <si>
    <t>UVLO Hysteresis Type</t>
  </si>
  <si>
    <t>UVLO Release Voltage Rising Edge</t>
  </si>
  <si>
    <t>Selected UVLO Release Voltage</t>
  </si>
  <si>
    <t>UVLO Latch Voltage Falling Edge</t>
  </si>
  <si>
    <t>Low Voltage Rail Parameters</t>
  </si>
  <si>
    <t>High Voltage Input Parameters</t>
  </si>
  <si>
    <t>Maximum Low Voltage Rail Current</t>
  </si>
  <si>
    <r>
      <t>Selected Sense Resistor (R</t>
    </r>
    <r>
      <rPr>
        <vertAlign val="subscript"/>
        <sz val="11"/>
        <color theme="1"/>
        <rFont val="ＭＳ Ｐゴシック"/>
        <family val="2"/>
        <scheme val="minor"/>
      </rPr>
      <t>CS1</t>
    </r>
    <r>
      <rPr>
        <sz val="11"/>
        <color theme="1"/>
        <rFont val="ＭＳ Ｐゴシック"/>
        <family val="2"/>
        <scheme val="minor"/>
      </rPr>
      <t>, R</t>
    </r>
    <r>
      <rPr>
        <vertAlign val="subscript"/>
        <sz val="11"/>
        <color theme="1"/>
        <rFont val="ＭＳ Ｐゴシック"/>
        <family val="2"/>
        <scheme val="minor"/>
      </rPr>
      <t>CS2</t>
    </r>
    <r>
      <rPr>
        <sz val="11"/>
        <color theme="1"/>
        <rFont val="ＭＳ Ｐゴシック"/>
        <family val="2"/>
        <scheme val="minor"/>
      </rPr>
      <t>)</t>
    </r>
  </si>
  <si>
    <r>
      <t>Calculated Sense Resistor (R</t>
    </r>
    <r>
      <rPr>
        <vertAlign val="subscript"/>
        <sz val="11"/>
        <color theme="1"/>
        <rFont val="ＭＳ Ｐゴシック"/>
        <family val="2"/>
        <scheme val="minor"/>
      </rPr>
      <t>CS1</t>
    </r>
    <r>
      <rPr>
        <sz val="11"/>
        <color theme="1"/>
        <rFont val="ＭＳ Ｐゴシック"/>
        <family val="2"/>
        <scheme val="minor"/>
      </rPr>
      <t>, R</t>
    </r>
    <r>
      <rPr>
        <vertAlign val="subscript"/>
        <sz val="11"/>
        <color theme="1"/>
        <rFont val="ＭＳ Ｐゴシック"/>
        <family val="2"/>
        <scheme val="minor"/>
      </rPr>
      <t>CS2</t>
    </r>
    <r>
      <rPr>
        <sz val="11"/>
        <color theme="1"/>
        <rFont val="ＭＳ Ｐゴシック"/>
        <family val="2"/>
        <scheme val="minor"/>
      </rPr>
      <t>)</t>
    </r>
  </si>
  <si>
    <t>Total Low Voltage Rail Current</t>
  </si>
  <si>
    <t>Selected Switching Frequency</t>
  </si>
  <si>
    <t>LV Port Minimum Voltage</t>
  </si>
  <si>
    <t>LV Port Nominal Voltage</t>
  </si>
  <si>
    <t>LV Port Maximum Voltage</t>
  </si>
  <si>
    <t>HV Port Minimum Voltage</t>
  </si>
  <si>
    <t>HV Port Nominal Voltage</t>
  </si>
  <si>
    <t>HV Port Maximum Voltage</t>
  </si>
  <si>
    <t>Need to Add flags for input voltage range</t>
  </si>
  <si>
    <t>Actual Low Voltage Port Over Voltage Trigger</t>
  </si>
  <si>
    <t>Low Voltage Port Over Voltage Trigger</t>
  </si>
  <si>
    <t>Actual High Voltage Port Over Voltage Trigger</t>
  </si>
  <si>
    <t>High Voltage Port Over Voltage Trigger</t>
  </si>
  <si>
    <t>Low Voltage Port</t>
  </si>
  <si>
    <t>High Voltage Port</t>
  </si>
  <si>
    <t>Current Limit Margin Above Maximum Inductor Current</t>
  </si>
  <si>
    <r>
      <t>Calculated IPK Resistor (R</t>
    </r>
    <r>
      <rPr>
        <vertAlign val="subscript"/>
        <sz val="11"/>
        <color theme="1"/>
        <rFont val="ＭＳ Ｐゴシック"/>
        <family val="2"/>
        <scheme val="minor"/>
      </rPr>
      <t>IPK</t>
    </r>
    <r>
      <rPr>
        <sz val="11"/>
        <color theme="1"/>
        <rFont val="ＭＳ Ｐゴシック"/>
        <family val="2"/>
        <scheme val="minor"/>
      </rPr>
      <t>)</t>
    </r>
  </si>
  <si>
    <r>
      <t>Selected IPK Resistor (R</t>
    </r>
    <r>
      <rPr>
        <vertAlign val="subscript"/>
        <sz val="11"/>
        <color theme="1"/>
        <rFont val="ＭＳ Ｐゴシック"/>
        <family val="2"/>
        <scheme val="minor"/>
      </rPr>
      <t>IPK</t>
    </r>
    <r>
      <rPr>
        <sz val="11"/>
        <color theme="1"/>
        <rFont val="ＭＳ Ｐゴシック"/>
        <family val="2"/>
        <scheme val="minor"/>
      </rPr>
      <t>)</t>
    </r>
  </si>
  <si>
    <t>Actual Inductor Peak Current Limit</t>
  </si>
  <si>
    <t>Selected Inductor Peak Current Limit</t>
  </si>
  <si>
    <t>Low Voltage Capacitance ESR</t>
  </si>
  <si>
    <t>High Voltage Capacitance ESR</t>
  </si>
  <si>
    <r>
      <t>Selected Low Voltage Port Capacitance (C</t>
    </r>
    <r>
      <rPr>
        <vertAlign val="subscript"/>
        <sz val="11"/>
        <color theme="1"/>
        <rFont val="ＭＳ Ｐゴシック"/>
        <family val="2"/>
        <scheme val="minor"/>
      </rPr>
      <t>OUT_LV</t>
    </r>
    <r>
      <rPr>
        <sz val="11"/>
        <color theme="1"/>
        <rFont val="ＭＳ Ｐゴシック"/>
        <family val="2"/>
        <scheme val="minor"/>
      </rPr>
      <t>)</t>
    </r>
  </si>
  <si>
    <r>
      <t>Selected High Voltage Port Capacitance (C</t>
    </r>
    <r>
      <rPr>
        <vertAlign val="subscript"/>
        <sz val="11"/>
        <color theme="1"/>
        <rFont val="ＭＳ Ｐゴシック"/>
        <family val="2"/>
        <scheme val="minor"/>
      </rPr>
      <t>OUT_HV</t>
    </r>
    <r>
      <rPr>
        <sz val="11"/>
        <color theme="1"/>
        <rFont val="ＭＳ Ｐゴシック"/>
        <family val="2"/>
        <scheme val="minor"/>
      </rPr>
      <t>)</t>
    </r>
  </si>
  <si>
    <r>
      <t>Selected RAMP Capacitor (C</t>
    </r>
    <r>
      <rPr>
        <vertAlign val="subscript"/>
        <sz val="11"/>
        <color theme="1"/>
        <rFont val="ＭＳ Ｐゴシック"/>
        <family val="2"/>
        <scheme val="minor"/>
      </rPr>
      <t>RAMP1</t>
    </r>
    <r>
      <rPr>
        <sz val="11"/>
        <color theme="1"/>
        <rFont val="ＭＳ Ｐゴシック"/>
        <family val="2"/>
        <scheme val="minor"/>
      </rPr>
      <t>, C</t>
    </r>
    <r>
      <rPr>
        <vertAlign val="subscript"/>
        <sz val="11"/>
        <color theme="1"/>
        <rFont val="ＭＳ Ｐゴシック"/>
        <family val="2"/>
        <scheme val="minor"/>
      </rPr>
      <t>RAMP2</t>
    </r>
    <r>
      <rPr>
        <sz val="11"/>
        <color theme="1"/>
        <rFont val="ＭＳ Ｐゴシック"/>
        <family val="2"/>
        <scheme val="minor"/>
      </rPr>
      <t>)</t>
    </r>
  </si>
  <si>
    <r>
      <t>Calculated RAMP Resistor (R</t>
    </r>
    <r>
      <rPr>
        <vertAlign val="subscript"/>
        <sz val="11"/>
        <color theme="1"/>
        <rFont val="ＭＳ Ｐゴシック"/>
        <family val="2"/>
        <scheme val="minor"/>
      </rPr>
      <t>RAMP1</t>
    </r>
    <r>
      <rPr>
        <sz val="11"/>
        <color theme="1"/>
        <rFont val="ＭＳ Ｐゴシック"/>
        <family val="2"/>
        <scheme val="minor"/>
      </rPr>
      <t>, R</t>
    </r>
    <r>
      <rPr>
        <vertAlign val="subscript"/>
        <sz val="11"/>
        <color theme="1"/>
        <rFont val="ＭＳ Ｐゴシック"/>
        <family val="2"/>
        <scheme val="minor"/>
      </rPr>
      <t>RAMP2</t>
    </r>
    <r>
      <rPr>
        <sz val="11"/>
        <color theme="1"/>
        <rFont val="ＭＳ Ｐゴシック"/>
        <family val="2"/>
        <scheme val="minor"/>
      </rPr>
      <t>)</t>
    </r>
  </si>
  <si>
    <r>
      <t>Selected RAMP Resistor (R</t>
    </r>
    <r>
      <rPr>
        <vertAlign val="subscript"/>
        <sz val="11"/>
        <color theme="1"/>
        <rFont val="ＭＳ Ｐゴシック"/>
        <family val="2"/>
        <scheme val="minor"/>
      </rPr>
      <t>RAMP1</t>
    </r>
    <r>
      <rPr>
        <sz val="11"/>
        <color theme="1"/>
        <rFont val="ＭＳ Ｐゴシック"/>
        <family val="2"/>
        <scheme val="minor"/>
      </rPr>
      <t>, R</t>
    </r>
    <r>
      <rPr>
        <vertAlign val="subscript"/>
        <sz val="11"/>
        <color theme="1"/>
        <rFont val="ＭＳ Ｐゴシック"/>
        <family val="2"/>
        <scheme val="minor"/>
      </rPr>
      <t>RAMP2</t>
    </r>
    <r>
      <rPr>
        <sz val="11"/>
        <color theme="1"/>
        <rFont val="ＭＳ Ｐゴシック"/>
        <family val="2"/>
        <scheme val="minor"/>
      </rPr>
      <t>)</t>
    </r>
  </si>
  <si>
    <t>Selected Soft-Start Time</t>
  </si>
  <si>
    <r>
      <t>Calculated Soft-Start Capacitor (C</t>
    </r>
    <r>
      <rPr>
        <vertAlign val="subscript"/>
        <sz val="11"/>
        <color theme="1"/>
        <rFont val="ＭＳ Ｐゴシック"/>
        <family val="2"/>
        <scheme val="minor"/>
      </rPr>
      <t>SS</t>
    </r>
    <r>
      <rPr>
        <sz val="11"/>
        <color theme="1"/>
        <rFont val="ＭＳ Ｐゴシック"/>
        <family val="2"/>
        <scheme val="minor"/>
      </rPr>
      <t>)</t>
    </r>
  </si>
  <si>
    <r>
      <t>Selected Soft-Start Capacitor (C</t>
    </r>
    <r>
      <rPr>
        <vertAlign val="subscript"/>
        <sz val="11"/>
        <color theme="1"/>
        <rFont val="ＭＳ Ｐゴシック"/>
        <family val="2"/>
        <scheme val="minor"/>
      </rPr>
      <t>SS</t>
    </r>
    <r>
      <rPr>
        <sz val="11"/>
        <color theme="1"/>
        <rFont val="ＭＳ Ｐゴシック"/>
        <family val="2"/>
        <scheme val="minor"/>
      </rPr>
      <t>)</t>
    </r>
  </si>
  <si>
    <r>
      <t>Calculated OVPA resistor (R</t>
    </r>
    <r>
      <rPr>
        <vertAlign val="subscript"/>
        <sz val="11"/>
        <color theme="1"/>
        <rFont val="ＭＳ Ｐゴシック"/>
        <family val="2"/>
        <scheme val="minor"/>
      </rPr>
      <t>OVPA</t>
    </r>
    <r>
      <rPr>
        <sz val="11"/>
        <color theme="1"/>
        <rFont val="ＭＳ Ｐゴシック"/>
        <family val="2"/>
        <scheme val="minor"/>
      </rPr>
      <t>)</t>
    </r>
  </si>
  <si>
    <r>
      <t>Selected OVPA resistor (R</t>
    </r>
    <r>
      <rPr>
        <vertAlign val="subscript"/>
        <sz val="11"/>
        <color theme="1"/>
        <rFont val="ＭＳ Ｐゴシック"/>
        <family val="2"/>
        <scheme val="minor"/>
      </rPr>
      <t>OVPA</t>
    </r>
    <r>
      <rPr>
        <sz val="11"/>
        <color theme="1"/>
        <rFont val="ＭＳ Ｐゴシック"/>
        <family val="2"/>
        <scheme val="minor"/>
      </rPr>
      <t>)</t>
    </r>
  </si>
  <si>
    <r>
      <t>Calculated OVPB resistor (R</t>
    </r>
    <r>
      <rPr>
        <vertAlign val="subscript"/>
        <sz val="11"/>
        <color theme="1"/>
        <rFont val="ＭＳ Ｐゴシック"/>
        <family val="2"/>
        <scheme val="minor"/>
      </rPr>
      <t>OVPB</t>
    </r>
    <r>
      <rPr>
        <sz val="11"/>
        <color theme="1"/>
        <rFont val="ＭＳ Ｐゴシック"/>
        <family val="2"/>
        <scheme val="minor"/>
      </rPr>
      <t>)</t>
    </r>
  </si>
  <si>
    <r>
      <t>Selected OVPB resistor (R</t>
    </r>
    <r>
      <rPr>
        <vertAlign val="subscript"/>
        <sz val="11"/>
        <color theme="1"/>
        <rFont val="ＭＳ Ｐゴシック"/>
        <family val="2"/>
        <scheme val="minor"/>
      </rPr>
      <t>OVPB</t>
    </r>
    <r>
      <rPr>
        <sz val="11"/>
        <color theme="1"/>
        <rFont val="ＭＳ Ｐゴシック"/>
        <family val="2"/>
        <scheme val="minor"/>
      </rPr>
      <t>)</t>
    </r>
  </si>
  <si>
    <t>Selected Programmed Dead Time</t>
  </si>
  <si>
    <r>
      <t>Selected Dead Time Resistor (R</t>
    </r>
    <r>
      <rPr>
        <vertAlign val="subscript"/>
        <sz val="11"/>
        <color theme="1"/>
        <rFont val="ＭＳ Ｐゴシック"/>
        <family val="2"/>
        <scheme val="minor"/>
      </rPr>
      <t>DT</t>
    </r>
    <r>
      <rPr>
        <sz val="11"/>
        <color theme="1"/>
        <rFont val="ＭＳ Ｐゴシック"/>
        <family val="2"/>
        <scheme val="minor"/>
      </rPr>
      <t>)</t>
    </r>
  </si>
  <si>
    <t>Adaptive Dead Time</t>
  </si>
  <si>
    <t>Programmed Dead Time</t>
  </si>
  <si>
    <r>
      <t>Current Loop Power Plant Pole Location (F</t>
    </r>
    <r>
      <rPr>
        <vertAlign val="subscript"/>
        <sz val="11"/>
        <color theme="1"/>
        <rFont val="ＭＳ Ｐゴシック"/>
        <family val="2"/>
        <scheme val="minor"/>
      </rPr>
      <t>Pplant</t>
    </r>
    <r>
      <rPr>
        <sz val="11"/>
        <color theme="1"/>
        <rFont val="ＭＳ Ｐゴシック"/>
        <family val="2"/>
        <scheme val="minor"/>
      </rPr>
      <t>)</t>
    </r>
  </si>
  <si>
    <r>
      <t>Selected IOUT Resistor (R</t>
    </r>
    <r>
      <rPr>
        <vertAlign val="subscript"/>
        <sz val="11"/>
        <color theme="1"/>
        <rFont val="ＭＳ Ｐゴシック"/>
        <family val="2"/>
        <scheme val="minor"/>
      </rPr>
      <t>IOUT1</t>
    </r>
    <r>
      <rPr>
        <sz val="11"/>
        <color theme="1"/>
        <rFont val="ＭＳ Ｐゴシック"/>
        <family val="2"/>
        <scheme val="minor"/>
      </rPr>
      <t>, R</t>
    </r>
    <r>
      <rPr>
        <vertAlign val="subscript"/>
        <sz val="11"/>
        <color theme="1"/>
        <rFont val="ＭＳ Ｐゴシック"/>
        <family val="2"/>
        <scheme val="minor"/>
      </rPr>
      <t>IOUT2</t>
    </r>
    <r>
      <rPr>
        <sz val="11"/>
        <color theme="1"/>
        <rFont val="ＭＳ Ｐゴシック"/>
        <family val="2"/>
        <scheme val="minor"/>
      </rPr>
      <t>)</t>
    </r>
  </si>
  <si>
    <r>
      <t>Calculated IOUT Capacitance (C</t>
    </r>
    <r>
      <rPr>
        <vertAlign val="subscript"/>
        <sz val="11"/>
        <color theme="1"/>
        <rFont val="ＭＳ Ｐゴシック"/>
        <family val="2"/>
        <scheme val="minor"/>
      </rPr>
      <t>IOUT1</t>
    </r>
    <r>
      <rPr>
        <sz val="11"/>
        <color theme="1"/>
        <rFont val="ＭＳ Ｐゴシック"/>
        <family val="2"/>
        <scheme val="minor"/>
      </rPr>
      <t>, C</t>
    </r>
    <r>
      <rPr>
        <vertAlign val="subscript"/>
        <sz val="11"/>
        <color theme="1"/>
        <rFont val="ＭＳ Ｐゴシック"/>
        <family val="2"/>
        <scheme val="minor"/>
      </rPr>
      <t>IOUT2</t>
    </r>
    <r>
      <rPr>
        <sz val="11"/>
        <color theme="1"/>
        <rFont val="ＭＳ Ｐゴシック"/>
        <family val="2"/>
        <scheme val="minor"/>
      </rPr>
      <t>)</t>
    </r>
  </si>
  <si>
    <r>
      <t>Selected IOUT Capacitance (C</t>
    </r>
    <r>
      <rPr>
        <vertAlign val="subscript"/>
        <sz val="11"/>
        <color theme="1"/>
        <rFont val="ＭＳ Ｐゴシック"/>
        <family val="2"/>
        <scheme val="minor"/>
      </rPr>
      <t>IOUT1</t>
    </r>
    <r>
      <rPr>
        <sz val="11"/>
        <color theme="1"/>
        <rFont val="ＭＳ Ｐゴシック"/>
        <family val="2"/>
        <scheme val="minor"/>
      </rPr>
      <t>, C</t>
    </r>
    <r>
      <rPr>
        <vertAlign val="subscript"/>
        <sz val="11"/>
        <color theme="1"/>
        <rFont val="ＭＳ Ｐゴシック"/>
        <family val="2"/>
        <scheme val="minor"/>
      </rPr>
      <t>IOUT2</t>
    </r>
    <r>
      <rPr>
        <sz val="11"/>
        <color theme="1"/>
        <rFont val="ＭＳ Ｐゴシック"/>
        <family val="2"/>
        <scheme val="minor"/>
      </rPr>
      <t>)</t>
    </r>
  </si>
  <si>
    <r>
      <t>Calculated R</t>
    </r>
    <r>
      <rPr>
        <vertAlign val="subscript"/>
        <sz val="11"/>
        <color theme="1"/>
        <rFont val="ＭＳ Ｐゴシック"/>
        <family val="2"/>
        <scheme val="minor"/>
      </rPr>
      <t>COMP1</t>
    </r>
    <r>
      <rPr>
        <sz val="11"/>
        <color theme="1"/>
        <rFont val="ＭＳ Ｐゴシック"/>
        <family val="2"/>
        <scheme val="minor"/>
      </rPr>
      <t>, R</t>
    </r>
    <r>
      <rPr>
        <vertAlign val="subscript"/>
        <sz val="11"/>
        <color theme="1"/>
        <rFont val="ＭＳ Ｐゴシック"/>
        <family val="2"/>
        <scheme val="minor"/>
      </rPr>
      <t>COMP2</t>
    </r>
  </si>
  <si>
    <r>
      <t>Selected R</t>
    </r>
    <r>
      <rPr>
        <vertAlign val="subscript"/>
        <sz val="11"/>
        <color theme="1"/>
        <rFont val="ＭＳ Ｐゴシック"/>
        <family val="2"/>
        <scheme val="minor"/>
      </rPr>
      <t>COMP1</t>
    </r>
    <r>
      <rPr>
        <sz val="11"/>
        <color theme="1"/>
        <rFont val="ＭＳ Ｐゴシック"/>
        <family val="2"/>
        <scheme val="minor"/>
      </rPr>
      <t>, R</t>
    </r>
    <r>
      <rPr>
        <vertAlign val="subscript"/>
        <sz val="11"/>
        <color theme="1"/>
        <rFont val="ＭＳ Ｐゴシック"/>
        <family val="2"/>
        <scheme val="minor"/>
      </rPr>
      <t>COMP2</t>
    </r>
  </si>
  <si>
    <r>
      <t>Selected C</t>
    </r>
    <r>
      <rPr>
        <vertAlign val="subscript"/>
        <sz val="11"/>
        <color theme="1"/>
        <rFont val="ＭＳ Ｐゴシック"/>
        <family val="2"/>
        <scheme val="minor"/>
      </rPr>
      <t>COMP1</t>
    </r>
    <r>
      <rPr>
        <sz val="11"/>
        <color theme="1"/>
        <rFont val="ＭＳ Ｐゴシック"/>
        <family val="2"/>
        <scheme val="minor"/>
      </rPr>
      <t>, C</t>
    </r>
    <r>
      <rPr>
        <vertAlign val="subscript"/>
        <sz val="11"/>
        <color theme="1"/>
        <rFont val="ＭＳ Ｐゴシック"/>
        <family val="2"/>
        <scheme val="minor"/>
      </rPr>
      <t>COMP2</t>
    </r>
  </si>
  <si>
    <r>
      <t>Calculated C</t>
    </r>
    <r>
      <rPr>
        <vertAlign val="subscript"/>
        <sz val="11"/>
        <color theme="1"/>
        <rFont val="ＭＳ Ｐゴシック"/>
        <family val="2"/>
        <scheme val="minor"/>
      </rPr>
      <t>COMP1</t>
    </r>
    <r>
      <rPr>
        <sz val="11"/>
        <color theme="1"/>
        <rFont val="ＭＳ Ｐゴシック"/>
        <family val="2"/>
        <scheme val="minor"/>
      </rPr>
      <t>, C</t>
    </r>
    <r>
      <rPr>
        <vertAlign val="subscript"/>
        <sz val="11"/>
        <color theme="1"/>
        <rFont val="ＭＳ Ｐゴシック"/>
        <family val="2"/>
        <scheme val="minor"/>
      </rPr>
      <t>COMP2</t>
    </r>
  </si>
  <si>
    <r>
      <t>Selected C</t>
    </r>
    <r>
      <rPr>
        <vertAlign val="subscript"/>
        <sz val="11"/>
        <color theme="1"/>
        <rFont val="ＭＳ Ｐゴシック"/>
        <family val="2"/>
        <scheme val="minor"/>
      </rPr>
      <t>HF1</t>
    </r>
    <r>
      <rPr>
        <sz val="11"/>
        <color theme="1"/>
        <rFont val="ＭＳ Ｐゴシック"/>
        <family val="2"/>
        <scheme val="minor"/>
      </rPr>
      <t>, C</t>
    </r>
    <r>
      <rPr>
        <vertAlign val="subscript"/>
        <sz val="11"/>
        <color theme="1"/>
        <rFont val="ＭＳ Ｐゴシック"/>
        <family val="2"/>
        <scheme val="minor"/>
      </rPr>
      <t>HF2</t>
    </r>
  </si>
  <si>
    <r>
      <t>Calculated C</t>
    </r>
    <r>
      <rPr>
        <vertAlign val="subscript"/>
        <sz val="11"/>
        <color theme="1"/>
        <rFont val="ＭＳ Ｐゴシック"/>
        <family val="2"/>
        <scheme val="minor"/>
      </rPr>
      <t>HF1</t>
    </r>
    <r>
      <rPr>
        <sz val="11"/>
        <color theme="1"/>
        <rFont val="ＭＳ Ｐゴシック"/>
        <family val="2"/>
        <scheme val="minor"/>
      </rPr>
      <t>, C</t>
    </r>
    <r>
      <rPr>
        <vertAlign val="subscript"/>
        <sz val="11"/>
        <color theme="1"/>
        <rFont val="ＭＳ Ｐゴシック"/>
        <family val="2"/>
        <scheme val="minor"/>
      </rPr>
      <t>HF2</t>
    </r>
  </si>
  <si>
    <r>
      <t>Compensation Pole Location (F</t>
    </r>
    <r>
      <rPr>
        <vertAlign val="subscript"/>
        <sz val="11"/>
        <color theme="1"/>
        <rFont val="ＭＳ Ｐゴシック"/>
        <family val="2"/>
        <scheme val="minor"/>
      </rPr>
      <t>Pcomp</t>
    </r>
    <r>
      <rPr>
        <sz val="11"/>
        <color theme="1"/>
        <rFont val="ＭＳ Ｐゴシック"/>
        <family val="2"/>
        <scheme val="minor"/>
      </rPr>
      <t>)</t>
    </r>
  </si>
  <si>
    <r>
      <t>Compensation Zero Location (F</t>
    </r>
    <r>
      <rPr>
        <vertAlign val="subscript"/>
        <sz val="11"/>
        <color theme="1"/>
        <rFont val="ＭＳ Ｐゴシック"/>
        <family val="2"/>
        <scheme val="minor"/>
      </rPr>
      <t>Zcomp</t>
    </r>
    <r>
      <rPr>
        <sz val="11"/>
        <color theme="1"/>
        <rFont val="ＭＳ Ｐゴシック"/>
        <family val="2"/>
        <scheme val="minor"/>
      </rPr>
      <t>)</t>
    </r>
  </si>
  <si>
    <t>V48_Min to V12_NOM</t>
  </si>
  <si>
    <t>V12_Min to V48_Nom</t>
  </si>
  <si>
    <t>V12_Nom to V48_Nom</t>
  </si>
  <si>
    <t>V12_Max to V48_Nom</t>
  </si>
  <si>
    <t>V48_Nom to V12_Max (Inductor AVG Current)</t>
  </si>
  <si>
    <t>V48_Nom to V12_Max (Current Sense Voltage)</t>
  </si>
  <si>
    <t>V48_Nom to V12_Min (Inductor AVG Current)</t>
  </si>
  <si>
    <t>V48_Nom to V12_Min (Current Sense Voltage)</t>
  </si>
  <si>
    <t>Duty Cycle</t>
  </si>
  <si>
    <t>DCM Boundary</t>
  </si>
  <si>
    <t>V48 Nom / V12 Min</t>
  </si>
  <si>
    <t>Current Loop</t>
  </si>
  <si>
    <t>Voltage Loop</t>
  </si>
  <si>
    <t>Feedforward Gain</t>
  </si>
  <si>
    <t>Current Sense Gain</t>
  </si>
  <si>
    <t>Constants</t>
  </si>
  <si>
    <t>ISETA to VO</t>
  </si>
  <si>
    <t>Boost Mode Voltage Loop Transfer Functions</t>
  </si>
  <si>
    <t>Voltage Loop Error Amp</t>
  </si>
  <si>
    <t>Current Loop Error Amp</t>
  </si>
  <si>
    <t>Total Loop</t>
  </si>
  <si>
    <t>Boost Mode Voltage Loop Compensation</t>
  </si>
  <si>
    <t>Boost Mode RHP Zero</t>
  </si>
  <si>
    <t xml:space="preserve">Something is </t>
  </si>
  <si>
    <t>Buck Mode Loop Compensation</t>
  </si>
  <si>
    <t>Boost Mode Low Frequency Pole</t>
  </si>
  <si>
    <t>Selected Boost Mode Crossover Frequnecy</t>
  </si>
  <si>
    <t>Suggest Boost Mode Crossover Frequnecy</t>
  </si>
  <si>
    <t>hZ</t>
  </si>
  <si>
    <t>Type II Compensation Design</t>
  </si>
  <si>
    <t>Simplified system based on assuming that the inductor is an ideal current source</t>
  </si>
  <si>
    <t>Output impedance at full load</t>
  </si>
  <si>
    <t>Boost Crossover Frequency</t>
  </si>
  <si>
    <t>Modulator Gain at Selected Crossover Frequency</t>
  </si>
  <si>
    <t>dB</t>
  </si>
  <si>
    <t>Load Resistance</t>
  </si>
  <si>
    <t>Buck Mode Low Frequency Pole</t>
  </si>
  <si>
    <t>Suggest that the cross over frequency be 1/5 of the RHP Zero</t>
  </si>
  <si>
    <t>Calculated Rcomp</t>
  </si>
  <si>
    <t>Suggested Zero Location</t>
  </si>
  <si>
    <t>Just set this a switching frequency</t>
  </si>
  <si>
    <t>HZ</t>
  </si>
  <si>
    <t>Suggested Pole Location</t>
  </si>
  <si>
    <t>Selected Top Feedback Resistor</t>
  </si>
  <si>
    <t>Selected Bottom Feedback Resistor</t>
  </si>
  <si>
    <t>Selected Rcomp Value</t>
  </si>
  <si>
    <t>Selected Ccomp Value</t>
  </si>
  <si>
    <t>Calculated Ccomp value</t>
  </si>
  <si>
    <t>Calculated Chf Value</t>
  </si>
  <si>
    <t>Selected CHF value</t>
  </si>
  <si>
    <t>F</t>
  </si>
  <si>
    <r>
      <t>Calculated C</t>
    </r>
    <r>
      <rPr>
        <vertAlign val="subscript"/>
        <sz val="11"/>
        <color theme="1"/>
        <rFont val="ＭＳ Ｐゴシック"/>
        <family val="2"/>
        <scheme val="minor"/>
      </rPr>
      <t>COMP Boost</t>
    </r>
  </si>
  <si>
    <r>
      <t>Selected R</t>
    </r>
    <r>
      <rPr>
        <vertAlign val="subscript"/>
        <sz val="11"/>
        <color theme="1"/>
        <rFont val="ＭＳ Ｐゴシック"/>
        <family val="2"/>
        <scheme val="minor"/>
      </rPr>
      <t>COMP Boost</t>
    </r>
  </si>
  <si>
    <r>
      <t>Calculated R</t>
    </r>
    <r>
      <rPr>
        <vertAlign val="subscript"/>
        <sz val="11"/>
        <color theme="1"/>
        <rFont val="ＭＳ Ｐゴシック"/>
        <family val="2"/>
        <scheme val="minor"/>
      </rPr>
      <t>COMP Boost</t>
    </r>
  </si>
  <si>
    <r>
      <t>Selected C</t>
    </r>
    <r>
      <rPr>
        <vertAlign val="subscript"/>
        <sz val="11"/>
        <color theme="1"/>
        <rFont val="ＭＳ Ｐゴシック"/>
        <family val="2"/>
        <scheme val="minor"/>
      </rPr>
      <t>COMP Boost</t>
    </r>
  </si>
  <si>
    <r>
      <t>Calculated C</t>
    </r>
    <r>
      <rPr>
        <vertAlign val="subscript"/>
        <sz val="11"/>
        <color theme="1"/>
        <rFont val="ＭＳ Ｐゴシック"/>
        <family val="2"/>
        <scheme val="minor"/>
      </rPr>
      <t>HF Boost</t>
    </r>
  </si>
  <si>
    <r>
      <t>Selected C</t>
    </r>
    <r>
      <rPr>
        <vertAlign val="subscript"/>
        <sz val="11"/>
        <color theme="1"/>
        <rFont val="ＭＳ Ｐゴシック"/>
        <family val="2"/>
        <scheme val="minor"/>
      </rPr>
      <t>HF Boost</t>
    </r>
  </si>
  <si>
    <t>Suggested Crossover Frequency</t>
  </si>
  <si>
    <t>Selected Reference Voltage</t>
  </si>
  <si>
    <t>Calculated Top Feedback Resistor</t>
  </si>
  <si>
    <t>Actual Zero Location</t>
  </si>
  <si>
    <t>Actual Pole Location</t>
  </si>
  <si>
    <t>Assuming that the current loop gain is large enough. Simple equation</t>
  </si>
  <si>
    <t>Buck Mode High Frequency Zero</t>
  </si>
  <si>
    <t>Suggest Buck Mode Crossover Frequnecy</t>
  </si>
  <si>
    <t>Selected Buck Mode Crossover Frequnecy</t>
  </si>
  <si>
    <t>ESR Zero Location</t>
  </si>
  <si>
    <t>Set the Cross over Frequency to 1/10 of the selected current loop crossover frequency</t>
  </si>
  <si>
    <t>Buck Crossover Frequency</t>
  </si>
  <si>
    <t>Current Loop Error Armp</t>
  </si>
  <si>
    <t>ISETA to VOUT Plant</t>
  </si>
  <si>
    <t>Compensator Zero</t>
  </si>
  <si>
    <t>Compensator Pole</t>
  </si>
  <si>
    <t>Plant Low Frequency Pole</t>
  </si>
  <si>
    <t>Compensation Zero</t>
  </si>
  <si>
    <t>Compensation Pole</t>
  </si>
  <si>
    <t xml:space="preserve">Low Frequency Pole </t>
  </si>
  <si>
    <t xml:space="preserve">RHP Zero </t>
  </si>
  <si>
    <r>
      <t>Selected C</t>
    </r>
    <r>
      <rPr>
        <vertAlign val="subscript"/>
        <sz val="11"/>
        <color theme="1"/>
        <rFont val="ＭＳ Ｐゴシック"/>
        <family val="2"/>
        <scheme val="minor"/>
      </rPr>
      <t>HF Buck</t>
    </r>
  </si>
  <si>
    <r>
      <t>Calculated C</t>
    </r>
    <r>
      <rPr>
        <vertAlign val="subscript"/>
        <sz val="11"/>
        <color theme="1"/>
        <rFont val="ＭＳ Ｐゴシック"/>
        <family val="2"/>
        <scheme val="minor"/>
      </rPr>
      <t>HF Buck</t>
    </r>
  </si>
  <si>
    <r>
      <t>Calculated R</t>
    </r>
    <r>
      <rPr>
        <vertAlign val="subscript"/>
        <sz val="11"/>
        <color theme="1"/>
        <rFont val="ＭＳ Ｐゴシック"/>
        <family val="2"/>
        <scheme val="minor"/>
      </rPr>
      <t>COMP Buck</t>
    </r>
  </si>
  <si>
    <r>
      <t>Selected R</t>
    </r>
    <r>
      <rPr>
        <vertAlign val="subscript"/>
        <sz val="11"/>
        <color theme="1"/>
        <rFont val="ＭＳ Ｐゴシック"/>
        <family val="2"/>
        <scheme val="minor"/>
      </rPr>
      <t>COMP Buck</t>
    </r>
  </si>
  <si>
    <r>
      <t>Calculated C</t>
    </r>
    <r>
      <rPr>
        <vertAlign val="subscript"/>
        <sz val="11"/>
        <color theme="1"/>
        <rFont val="ＭＳ Ｐゴシック"/>
        <family val="2"/>
        <scheme val="minor"/>
      </rPr>
      <t>COMP Buck</t>
    </r>
  </si>
  <si>
    <r>
      <t>Selected C</t>
    </r>
    <r>
      <rPr>
        <vertAlign val="subscript"/>
        <sz val="11"/>
        <color theme="1"/>
        <rFont val="ＭＳ Ｐゴシック"/>
        <family val="2"/>
        <scheme val="minor"/>
      </rPr>
      <t>COMP Buck</t>
    </r>
  </si>
  <si>
    <t>Buck Mode Type II Compensation</t>
  </si>
  <si>
    <t>11. Buck Mode Voltage Loop Compensation</t>
  </si>
  <si>
    <t>Boost Mode Type II Compensation</t>
  </si>
  <si>
    <t xml:space="preserve">                              LM5170 Bi-Directional DC/DC Converter Design Tool</t>
  </si>
  <si>
    <t>7. Undervoltage Protection</t>
  </si>
  <si>
    <r>
      <t>Calculated High-Side Resistor (R</t>
    </r>
    <r>
      <rPr>
        <vertAlign val="subscript"/>
        <sz val="11"/>
        <color theme="1"/>
        <rFont val="ＭＳ Ｐゴシック"/>
        <family val="2"/>
        <scheme val="minor"/>
      </rPr>
      <t>UVLO1</t>
    </r>
    <r>
      <rPr>
        <sz val="11"/>
        <color theme="1"/>
        <rFont val="ＭＳ Ｐゴシック"/>
        <family val="2"/>
        <scheme val="minor"/>
      </rPr>
      <t>)</t>
    </r>
  </si>
  <si>
    <r>
      <t>Calculated IOUT Resistor (R</t>
    </r>
    <r>
      <rPr>
        <vertAlign val="subscript"/>
        <sz val="11"/>
        <color theme="1"/>
        <rFont val="ＭＳ Ｐゴシック"/>
        <family val="2"/>
        <scheme val="minor"/>
      </rPr>
      <t>IOUT1</t>
    </r>
    <r>
      <rPr>
        <sz val="11"/>
        <color theme="1"/>
        <rFont val="ＭＳ Ｐゴシック"/>
        <family val="2"/>
        <scheme val="minor"/>
      </rPr>
      <t>, R</t>
    </r>
    <r>
      <rPr>
        <vertAlign val="subscript"/>
        <sz val="11"/>
        <color theme="1"/>
        <rFont val="ＭＳ Ｐゴシック"/>
        <family val="2"/>
        <scheme val="minor"/>
      </rPr>
      <t>IOUT2</t>
    </r>
    <r>
      <rPr>
        <sz val="11"/>
        <color theme="1"/>
        <rFont val="ＭＳ Ｐゴシック"/>
        <family val="2"/>
        <scheme val="minor"/>
      </rPr>
      <t>)</t>
    </r>
  </si>
  <si>
    <r>
      <t>Calculated Dead Time Resistor (R</t>
    </r>
    <r>
      <rPr>
        <vertAlign val="subscript"/>
        <sz val="11"/>
        <color theme="1"/>
        <rFont val="ＭＳ Ｐゴシック"/>
        <family val="2"/>
        <scheme val="minor"/>
      </rPr>
      <t>DT</t>
    </r>
    <r>
      <rPr>
        <sz val="11"/>
        <color theme="1"/>
        <rFont val="ＭＳ Ｐゴシック"/>
        <family val="2"/>
        <scheme val="minor"/>
      </rPr>
      <t>)</t>
    </r>
  </si>
  <si>
    <r>
      <t>Suggested Loop Crossover Frequency (F</t>
    </r>
    <r>
      <rPr>
        <vertAlign val="subscript"/>
        <sz val="11"/>
        <color theme="1"/>
        <rFont val="ＭＳ Ｐゴシック"/>
        <family val="2"/>
        <scheme val="minor"/>
      </rPr>
      <t>CO</t>
    </r>
    <r>
      <rPr>
        <sz val="11"/>
        <color theme="1"/>
        <rFont val="ＭＳ Ｐゴシック"/>
        <family val="2"/>
        <scheme val="minor"/>
      </rPr>
      <t>)</t>
    </r>
  </si>
  <si>
    <r>
      <t>Selected Loop Crossover Frequency (F</t>
    </r>
    <r>
      <rPr>
        <vertAlign val="subscript"/>
        <sz val="11"/>
        <color theme="1"/>
        <rFont val="ＭＳ Ｐゴシック"/>
        <family val="2"/>
        <scheme val="minor"/>
      </rPr>
      <t>CO</t>
    </r>
    <r>
      <rPr>
        <sz val="11"/>
        <color theme="1"/>
        <rFont val="ＭＳ Ｐゴシック"/>
        <family val="2"/>
        <scheme val="minor"/>
      </rPr>
      <t>)</t>
    </r>
  </si>
  <si>
    <t xml:space="preserve">1. Design Parameters </t>
  </si>
  <si>
    <r>
      <t>Oscillator Set Resistor (R</t>
    </r>
    <r>
      <rPr>
        <vertAlign val="subscript"/>
        <sz val="11"/>
        <color theme="1"/>
        <rFont val="ＭＳ Ｐゴシック"/>
        <family val="2"/>
        <scheme val="minor"/>
      </rPr>
      <t>OSC</t>
    </r>
    <r>
      <rPr>
        <sz val="11"/>
        <color theme="1"/>
        <rFont val="ＭＳ Ｐゴシック"/>
        <family val="2"/>
        <scheme val="minor"/>
      </rPr>
      <t>)</t>
    </r>
  </si>
  <si>
    <t>Peak-to-Peak Ripple Ratio</t>
  </si>
  <si>
    <t>Calculated Inductance Value</t>
  </si>
  <si>
    <r>
      <t>Selected Inductance Value (L</t>
    </r>
    <r>
      <rPr>
        <vertAlign val="subscript"/>
        <sz val="11"/>
        <color theme="1"/>
        <rFont val="ＭＳ Ｐゴシック"/>
        <family val="2"/>
        <scheme val="minor"/>
      </rPr>
      <t>M1</t>
    </r>
    <r>
      <rPr>
        <sz val="11"/>
        <color theme="1"/>
        <rFont val="ＭＳ Ｐゴシック"/>
        <family val="2"/>
        <scheme val="minor"/>
      </rPr>
      <t>,L</t>
    </r>
    <r>
      <rPr>
        <vertAlign val="subscript"/>
        <sz val="11"/>
        <color theme="1"/>
        <rFont val="ＭＳ Ｐゴシック"/>
        <family val="2"/>
        <scheme val="minor"/>
      </rPr>
      <t>M2</t>
    </r>
    <r>
      <rPr>
        <sz val="11"/>
        <color theme="1"/>
        <rFont val="ＭＳ Ｐゴシック"/>
        <family val="2"/>
        <scheme val="minor"/>
      </rPr>
      <t>)</t>
    </r>
  </si>
  <si>
    <t>Maximum Inductor Peak Current</t>
  </si>
  <si>
    <t>RAMP Peak Voltage at HV Port Minimum</t>
  </si>
  <si>
    <t>RAMP Peak Voltage at HV Port Nominal</t>
  </si>
  <si>
    <t>RAMP Peak Voltage at HV Port Maximum</t>
  </si>
  <si>
    <r>
      <t>Maximum V</t>
    </r>
    <r>
      <rPr>
        <vertAlign val="subscript"/>
        <sz val="11"/>
        <color theme="1"/>
        <rFont val="ＭＳ Ｐゴシック"/>
        <family val="2"/>
        <scheme val="minor"/>
      </rPr>
      <t>IOUT</t>
    </r>
    <r>
      <rPr>
        <sz val="11"/>
        <color theme="1"/>
        <rFont val="ＭＳ Ｐゴシック"/>
        <family val="2"/>
        <scheme val="minor"/>
      </rPr>
      <t xml:space="preserve"> at V</t>
    </r>
    <r>
      <rPr>
        <vertAlign val="subscript"/>
        <sz val="11"/>
        <color theme="1"/>
        <rFont val="ＭＳ Ｐゴシック"/>
        <family val="2"/>
        <scheme val="minor"/>
      </rPr>
      <t>RCS</t>
    </r>
    <r>
      <rPr>
        <sz val="11"/>
        <color theme="1"/>
        <rFont val="ＭＳ Ｐゴシック"/>
        <family val="2"/>
        <scheme val="minor"/>
      </rPr>
      <t xml:space="preserve"> = 50mV</t>
    </r>
  </si>
  <si>
    <r>
      <t>V</t>
    </r>
    <r>
      <rPr>
        <vertAlign val="subscript"/>
        <sz val="11"/>
        <color theme="1"/>
        <rFont val="ＭＳ Ｐゴシック"/>
        <family val="2"/>
        <scheme val="minor"/>
      </rPr>
      <t>IOUT</t>
    </r>
    <r>
      <rPr>
        <sz val="11"/>
        <color theme="1"/>
        <rFont val="ＭＳ Ｐゴシック"/>
        <family val="2"/>
        <scheme val="minor"/>
      </rPr>
      <t xml:space="preserve"> at No Load (V</t>
    </r>
    <r>
      <rPr>
        <vertAlign val="subscript"/>
        <sz val="11"/>
        <color theme="1"/>
        <rFont val="ＭＳ Ｐゴシック"/>
        <family val="2"/>
        <scheme val="minor"/>
      </rPr>
      <t>RCS</t>
    </r>
    <r>
      <rPr>
        <sz val="11"/>
        <color theme="1"/>
        <rFont val="ＭＳ Ｐゴシック"/>
        <family val="2"/>
        <scheme val="minor"/>
      </rPr>
      <t xml:space="preserve"> = 0mV)</t>
    </r>
  </si>
  <si>
    <r>
      <t>V</t>
    </r>
    <r>
      <rPr>
        <vertAlign val="subscript"/>
        <sz val="11"/>
        <color theme="1"/>
        <rFont val="ＭＳ Ｐゴシック"/>
        <family val="2"/>
        <scheme val="minor"/>
      </rPr>
      <t>IOUT</t>
    </r>
    <r>
      <rPr>
        <sz val="11"/>
        <color theme="1"/>
        <rFont val="ＭＳ Ｐゴシック"/>
        <family val="2"/>
        <scheme val="minor"/>
      </rPr>
      <t xml:space="preserve"> at Full Load (V</t>
    </r>
    <r>
      <rPr>
        <vertAlign val="subscript"/>
        <sz val="11"/>
        <color theme="1"/>
        <rFont val="ＭＳ Ｐゴシック"/>
        <family val="2"/>
        <scheme val="minor"/>
      </rPr>
      <t>RCS</t>
    </r>
    <r>
      <rPr>
        <sz val="11"/>
        <color theme="1"/>
        <rFont val="ＭＳ Ｐゴシック"/>
        <family val="2"/>
        <scheme val="minor"/>
      </rPr>
      <t xml:space="preserve"> = 50mV)</t>
    </r>
  </si>
  <si>
    <r>
      <t>Delta V</t>
    </r>
    <r>
      <rPr>
        <vertAlign val="subscript"/>
        <sz val="11"/>
        <color theme="1"/>
        <rFont val="ＭＳ Ｐゴシック"/>
        <family val="2"/>
        <scheme val="minor"/>
      </rPr>
      <t xml:space="preserve">IOUT </t>
    </r>
    <r>
      <rPr>
        <sz val="11"/>
        <color theme="1"/>
        <rFont val="ＭＳ Ｐゴシック"/>
        <family val="2"/>
        <scheme val="minor"/>
      </rPr>
      <t>at Full Load</t>
    </r>
  </si>
  <si>
    <r>
      <t>R</t>
    </r>
    <r>
      <rPr>
        <vertAlign val="subscript"/>
        <sz val="11"/>
        <color theme="1"/>
        <rFont val="ＭＳ Ｐゴシック"/>
        <family val="2"/>
        <scheme val="minor"/>
      </rPr>
      <t>IOUT</t>
    </r>
    <r>
      <rPr>
        <sz val="11"/>
        <color theme="1"/>
        <rFont val="ＭＳ Ｐゴシック"/>
        <family val="2"/>
        <scheme val="minor"/>
      </rPr>
      <t xml:space="preserve"> C</t>
    </r>
    <r>
      <rPr>
        <vertAlign val="subscript"/>
        <sz val="11"/>
        <color theme="1"/>
        <rFont val="ＭＳ Ｐゴシック"/>
        <family val="2"/>
        <scheme val="minor"/>
      </rPr>
      <t>IOUT</t>
    </r>
    <r>
      <rPr>
        <sz val="11"/>
        <color theme="1"/>
        <rFont val="ＭＳ Ｐゴシック"/>
        <family val="2"/>
        <scheme val="minor"/>
      </rPr>
      <t xml:space="preserve"> Corner Frequency</t>
    </r>
  </si>
  <si>
    <t>12. Boost Mode Voltage Loop Compensation</t>
  </si>
  <si>
    <r>
      <t>Selected Reference Voltage (V</t>
    </r>
    <r>
      <rPr>
        <vertAlign val="subscript"/>
        <sz val="11"/>
        <color theme="1"/>
        <rFont val="ＭＳ Ｐゴシック"/>
        <family val="2"/>
        <scheme val="minor"/>
      </rPr>
      <t>REF</t>
    </r>
    <r>
      <rPr>
        <sz val="11"/>
        <color theme="1"/>
        <rFont val="ＭＳ Ｐゴシック"/>
        <family val="2"/>
        <scheme val="minor"/>
      </rPr>
      <t>)</t>
    </r>
  </si>
  <si>
    <r>
      <t>Selected Bottom Feedback Resistor(R</t>
    </r>
    <r>
      <rPr>
        <vertAlign val="subscript"/>
        <sz val="11"/>
        <color theme="1"/>
        <rFont val="ＭＳ Ｐゴシック"/>
        <family val="2"/>
        <scheme val="minor"/>
      </rPr>
      <t>FB_Bottom</t>
    </r>
    <r>
      <rPr>
        <sz val="11"/>
        <color theme="1"/>
        <rFont val="ＭＳ Ｐゴシック"/>
        <family val="2"/>
        <scheme val="minor"/>
      </rPr>
      <t>)</t>
    </r>
  </si>
  <si>
    <r>
      <t>Selected Resistor Top Feedback Resistor (R</t>
    </r>
    <r>
      <rPr>
        <vertAlign val="subscript"/>
        <sz val="11"/>
        <color theme="1"/>
        <rFont val="ＭＳ Ｐゴシック"/>
        <family val="2"/>
        <scheme val="minor"/>
      </rPr>
      <t>FB_Top</t>
    </r>
    <r>
      <rPr>
        <sz val="11"/>
        <color theme="1"/>
        <rFont val="ＭＳ Ｐゴシック"/>
        <family val="2"/>
        <scheme val="minor"/>
      </rPr>
      <t>)</t>
    </r>
  </si>
  <si>
    <r>
      <t>Suggested Top Feedback Resistor (R</t>
    </r>
    <r>
      <rPr>
        <vertAlign val="subscript"/>
        <sz val="11"/>
        <color theme="1"/>
        <rFont val="ＭＳ Ｐゴシック"/>
        <family val="2"/>
        <scheme val="minor"/>
      </rPr>
      <t>FB_Top</t>
    </r>
    <r>
      <rPr>
        <sz val="11"/>
        <color theme="1"/>
        <rFont val="ＭＳ Ｐゴシック"/>
        <family val="2"/>
        <scheme val="minor"/>
      </rPr>
      <t>)</t>
    </r>
  </si>
  <si>
    <r>
      <rPr>
        <b/>
        <sz val="11"/>
        <color theme="1"/>
        <rFont val="ＭＳ Ｐゴシック"/>
        <family val="2"/>
        <scheme val="minor"/>
      </rPr>
      <t>Modified</t>
    </r>
    <r>
      <rPr>
        <sz val="11"/>
        <color theme="1"/>
        <rFont val="ＭＳ Ｐゴシック"/>
        <family val="2"/>
        <scheme val="minor"/>
      </rPr>
      <t xml:space="preserve"> to Vramp=V48/9.6</t>
    </r>
  </si>
  <si>
    <t>Version Number</t>
  </si>
  <si>
    <t>1.0.0</t>
  </si>
  <si>
    <t>Version History</t>
  </si>
  <si>
    <t>Version</t>
  </si>
  <si>
    <t>Change List Description</t>
  </si>
  <si>
    <t>Initial Release</t>
  </si>
  <si>
    <t>1.1.0</t>
  </si>
  <si>
    <r>
      <t>Recommended ramp resistor changed; slight change of R</t>
    </r>
    <r>
      <rPr>
        <vertAlign val="subscript"/>
        <sz val="10"/>
        <color theme="1"/>
        <rFont val="Arial"/>
        <family val="2"/>
      </rPr>
      <t>OVPA</t>
    </r>
    <r>
      <rPr>
        <sz val="10"/>
        <color theme="1"/>
        <rFont val="Arial"/>
        <family val="2"/>
      </rPr>
      <t xml:space="preserve"> and R</t>
    </r>
    <r>
      <rPr>
        <vertAlign val="subscript"/>
        <sz val="10"/>
        <color theme="1"/>
        <rFont val="Arial"/>
        <family val="2"/>
      </rPr>
      <t>OVPB</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</si>
</sst>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
    <numFmt numFmtId="177" formatCode="0.000"/>
    <numFmt numFmtId="178" formatCode="0.000000"/>
    <numFmt numFmtId="179" formatCode="0.0000"/>
    <numFmt numFmtId="180" formatCode="0.00000"/>
  </numFmts>
  <fonts count="35">
    <font>
      <sz val="11"/>
      <color theme="1"/>
      <name val="ＭＳ Ｐゴシック"/>
      <family val="2"/>
      <scheme val="minor"/>
    </font>
    <font>
      <sz val="11"/>
      <color theme="1"/>
      <name val="Calibri"/>
      <family val="2"/>
    </font>
    <font>
      <sz val="9"/>
      <color indexed="81"/>
      <name val="Tahoma"/>
      <family val="2"/>
    </font>
    <font>
      <b/>
      <sz val="9"/>
      <color indexed="81"/>
      <name val="Tahoma"/>
      <family val="2"/>
    </font>
    <font>
      <sz val="24"/>
      <color theme="1"/>
      <name val="ＭＳ Ｐゴシック"/>
      <family val="2"/>
      <scheme val="minor"/>
    </font>
    <font>
      <b/>
      <sz val="14"/>
      <color theme="1"/>
      <name val="ＭＳ Ｐゴシック"/>
      <family val="2"/>
      <scheme val="minor"/>
    </font>
    <font>
      <u/>
      <sz val="11"/>
      <color theme="1"/>
      <name val="ＭＳ Ｐゴシック"/>
      <family val="2"/>
      <scheme val="minor"/>
    </font>
    <font>
      <b/>
      <sz val="11"/>
      <color theme="1"/>
      <name val="ＭＳ Ｐゴシック"/>
      <family val="2"/>
      <scheme val="minor"/>
    </font>
    <font>
      <sz val="11"/>
      <color theme="0"/>
      <name val="ＭＳ Ｐゴシック"/>
      <family val="2"/>
      <scheme val="minor"/>
    </font>
    <font>
      <sz val="16"/>
      <color theme="1"/>
      <name val="ＭＳ Ｐゴシック"/>
      <family val="2"/>
      <scheme val="minor"/>
    </font>
    <font>
      <sz val="28"/>
      <color theme="0"/>
      <name val="ＭＳ Ｐゴシック"/>
      <family val="2"/>
      <scheme val="minor"/>
    </font>
    <font>
      <b/>
      <sz val="14"/>
      <color rgb="FF0070C0"/>
      <name val="ＭＳ Ｐゴシック"/>
      <family val="2"/>
      <scheme val="minor"/>
    </font>
    <font>
      <vertAlign val="subscript"/>
      <sz val="11"/>
      <color theme="1"/>
      <name val="ＭＳ Ｐゴシック"/>
      <family val="2"/>
      <scheme val="minor"/>
    </font>
    <font>
      <b/>
      <sz val="16"/>
      <color theme="1"/>
      <name val="ＭＳ Ｐゴシック"/>
      <family val="2"/>
      <scheme val="minor"/>
    </font>
    <font>
      <b/>
      <vertAlign val="subscript"/>
      <sz val="9"/>
      <color indexed="81"/>
      <name val="Tahoma"/>
      <family val="2"/>
    </font>
    <font>
      <vertAlign val="subscript"/>
      <sz val="9"/>
      <color indexed="81"/>
      <name val="Tahoma"/>
      <family val="2"/>
    </font>
    <font>
      <u/>
      <sz val="9"/>
      <color indexed="81"/>
      <name val="Tahoma"/>
      <family val="2"/>
    </font>
    <font>
      <u/>
      <sz val="9"/>
      <color indexed="81"/>
      <name val="Calibri"/>
      <family val="2"/>
    </font>
    <font>
      <sz val="9"/>
      <color indexed="81"/>
      <name val="Calibri"/>
      <family val="2"/>
    </font>
    <font>
      <sz val="11"/>
      <color theme="1"/>
      <name val="ＭＳ Ｐゴシック"/>
      <family val="2"/>
      <scheme val="minor"/>
    </font>
    <font>
      <sz val="11"/>
      <color theme="1"/>
      <name val="Arial"/>
      <family val="2"/>
    </font>
    <font>
      <b/>
      <sz val="10"/>
      <color theme="1"/>
      <name val="Arial"/>
      <family val="2"/>
    </font>
    <font>
      <sz val="10"/>
      <color theme="1"/>
      <name val="Arial"/>
      <family val="2"/>
    </font>
    <font>
      <u/>
      <sz val="11"/>
      <color theme="10"/>
      <name val="ＭＳ Ｐゴシック"/>
      <family val="2"/>
      <scheme val="minor"/>
    </font>
    <font>
      <b/>
      <u/>
      <sz val="10"/>
      <color theme="10"/>
      <name val="Arial"/>
      <family val="2"/>
    </font>
    <font>
      <sz val="10"/>
      <name val="Arial"/>
      <family val="2"/>
    </font>
    <font>
      <b/>
      <sz val="10"/>
      <color theme="0"/>
      <name val="Arial"/>
      <family val="2"/>
    </font>
    <font>
      <b/>
      <u/>
      <sz val="11"/>
      <color theme="10"/>
      <name val="Arial"/>
      <family val="2"/>
    </font>
    <font>
      <vertAlign val="subscript"/>
      <sz val="10"/>
      <color theme="1"/>
      <name val="Arial"/>
      <family val="2"/>
    </font>
    <font>
      <b/>
      <sz val="9"/>
      <color rgb="FF000000"/>
      <name val="Tahoma"/>
      <family val="2"/>
    </font>
    <font>
      <sz val="9"/>
      <color rgb="FF000000"/>
      <name val="Tahoma"/>
      <family val="2"/>
    </font>
    <font>
      <b/>
      <u/>
      <sz val="9"/>
      <color rgb="FF000000"/>
      <name val="Tahoma"/>
      <family val="2"/>
    </font>
    <font>
      <sz val="6"/>
      <name val="ＭＳ Ｐゴシック"/>
      <family val="3"/>
      <charset val="128"/>
      <scheme val="minor"/>
    </font>
    <font>
      <b/>
      <vertAlign val="subscript"/>
      <sz val="9"/>
      <color rgb="FF000000"/>
      <name val="Tahoma"/>
      <family val="2"/>
    </font>
    <font>
      <vertAlign val="subscript"/>
      <sz val="9"/>
      <color rgb="FF000000"/>
      <name val="Tahoma"/>
      <family val="2"/>
    </font>
  </fonts>
  <fills count="13">
    <fill>
      <patternFill patternType="none"/>
    </fill>
    <fill>
      <patternFill patternType="gray125"/>
    </fill>
    <fill>
      <patternFill patternType="solid">
        <fgColor rgb="FF92D050"/>
        <bgColor indexed="64"/>
      </patternFill>
    </fill>
    <fill>
      <patternFill patternType="solid">
        <fgColor rgb="FFFF0000"/>
        <bgColor indexed="64"/>
      </patternFill>
    </fill>
    <fill>
      <patternFill patternType="solid">
        <fgColor theme="8" tint="0.39997558519241921"/>
        <bgColor indexed="64"/>
      </patternFill>
    </fill>
    <fill>
      <patternFill patternType="solid">
        <fgColor theme="0" tint="-0.14999847407452621"/>
        <bgColor indexed="64"/>
      </patternFill>
    </fill>
    <fill>
      <patternFill patternType="solid">
        <fgColor rgb="FFFFC000"/>
        <bgColor indexed="64"/>
      </patternFill>
    </fill>
    <fill>
      <patternFill patternType="solid">
        <fgColor theme="3" tint="0.59999389629810485"/>
        <bgColor indexed="64"/>
      </patternFill>
    </fill>
    <fill>
      <patternFill patternType="solid">
        <fgColor theme="0"/>
        <bgColor indexed="64"/>
      </patternFill>
    </fill>
    <fill>
      <patternFill patternType="solid">
        <fgColor rgb="FFFFFF00"/>
        <bgColor indexed="64"/>
      </patternFill>
    </fill>
    <fill>
      <patternFill patternType="solid">
        <fgColor theme="0" tint="-0.499984740745262"/>
        <bgColor indexed="64"/>
      </patternFill>
    </fill>
    <fill>
      <patternFill patternType="solid">
        <fgColor rgb="FFDE0000"/>
        <bgColor indexed="64"/>
      </patternFill>
    </fill>
    <fill>
      <patternFill patternType="solid">
        <fgColor theme="1"/>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indexed="64"/>
      </bottom>
      <diagonal/>
    </border>
    <border>
      <left style="thin">
        <color indexed="64"/>
      </left>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bottom style="medium">
        <color indexed="64"/>
      </bottom>
      <diagonal/>
    </border>
    <border>
      <left style="thin">
        <color theme="0"/>
      </left>
      <right style="thin">
        <color theme="0"/>
      </right>
      <top style="thin">
        <color theme="0"/>
      </top>
      <bottom style="thin">
        <color theme="0"/>
      </bottom>
      <diagonal/>
    </border>
  </borders>
  <cellStyleXfs count="4">
    <xf numFmtId="0" fontId="0" fillId="0" borderId="0"/>
    <xf numFmtId="0" fontId="19" fillId="0" borderId="0"/>
    <xf numFmtId="0" fontId="23" fillId="0" borderId="0" applyNumberFormat="0" applyFill="0" applyBorder="0" applyAlignment="0" applyProtection="0"/>
    <xf numFmtId="0" fontId="23" fillId="0" borderId="0" applyNumberFormat="0" applyFill="0" applyBorder="0" applyAlignment="0" applyProtection="0"/>
  </cellStyleXfs>
  <cellXfs count="222">
    <xf numFmtId="0" fontId="0" fillId="0" borderId="0" xfId="0"/>
    <xf numFmtId="0" fontId="0" fillId="0" borderId="1" xfId="0" applyBorder="1"/>
    <xf numFmtId="0" fontId="0" fillId="0" borderId="0" xfId="0" applyAlignment="1">
      <alignment horizontal="center" wrapText="1"/>
    </xf>
    <xf numFmtId="0" fontId="0" fillId="0" borderId="6" xfId="0" applyBorder="1" applyAlignment="1">
      <alignment horizontal="center" wrapText="1"/>
    </xf>
    <xf numFmtId="0" fontId="0" fillId="0" borderId="7" xfId="0" applyBorder="1" applyAlignment="1">
      <alignment horizontal="center" wrapText="1"/>
    </xf>
    <xf numFmtId="0" fontId="0" fillId="0" borderId="8" xfId="0" applyBorder="1"/>
    <xf numFmtId="0" fontId="0" fillId="0" borderId="9"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1" xfId="0" applyBorder="1"/>
    <xf numFmtId="0" fontId="0" fillId="0" borderId="22" xfId="0" applyBorder="1"/>
    <xf numFmtId="0" fontId="0" fillId="0" borderId="23" xfId="0" applyBorder="1"/>
    <xf numFmtId="0" fontId="0" fillId="0" borderId="24" xfId="0" applyBorder="1" applyAlignment="1">
      <alignment horizontal="center" wrapText="1"/>
    </xf>
    <xf numFmtId="0" fontId="0" fillId="0" borderId="25" xfId="0" applyBorder="1" applyAlignment="1">
      <alignment horizontal="center" wrapText="1"/>
    </xf>
    <xf numFmtId="0" fontId="0" fillId="0" borderId="26" xfId="0" applyBorder="1" applyAlignment="1">
      <alignment horizontal="center" wrapText="1"/>
    </xf>
    <xf numFmtId="0" fontId="0" fillId="0" borderId="0" xfId="0" applyAlignment="1">
      <alignment wrapText="1"/>
    </xf>
    <xf numFmtId="0" fontId="0" fillId="0" borderId="0" xfId="0" applyAlignment="1">
      <alignment horizontal="center" vertical="center" wrapText="1"/>
    </xf>
    <xf numFmtId="0" fontId="0" fillId="0" borderId="28" xfId="0" applyBorder="1"/>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77" fontId="0" fillId="0" borderId="8" xfId="0" applyNumberFormat="1" applyBorder="1"/>
    <xf numFmtId="0" fontId="0" fillId="0" borderId="6" xfId="0" applyBorder="1"/>
    <xf numFmtId="0" fontId="0" fillId="0" borderId="29" xfId="0" applyBorder="1"/>
    <xf numFmtId="0" fontId="4" fillId="0" borderId="0" xfId="0" applyFont="1"/>
    <xf numFmtId="0" fontId="4" fillId="0" borderId="0" xfId="0" applyFont="1" applyAlignment="1">
      <alignment horizontal="left" vertical="center"/>
    </xf>
    <xf numFmtId="0" fontId="0" fillId="0" borderId="1" xfId="0" applyBorder="1" applyAlignment="1">
      <alignment horizontal="left"/>
    </xf>
    <xf numFmtId="0" fontId="0" fillId="0" borderId="1" xfId="0" applyBorder="1" applyAlignment="1">
      <alignment horizontal="center"/>
    </xf>
    <xf numFmtId="0" fontId="0" fillId="0" borderId="0" xfId="0" applyAlignment="1">
      <alignment horizontal="right"/>
    </xf>
    <xf numFmtId="0" fontId="0" fillId="0" borderId="0" xfId="0" applyAlignment="1">
      <alignment horizontal="left"/>
    </xf>
    <xf numFmtId="0" fontId="0" fillId="0" borderId="0" xfId="0" applyAlignment="1">
      <alignment horizontal="left" vertical="center" wrapText="1"/>
    </xf>
    <xf numFmtId="0" fontId="0" fillId="5" borderId="0" xfId="0" applyFill="1"/>
    <xf numFmtId="0" fontId="0" fillId="6" borderId="0" xfId="0" applyFill="1"/>
    <xf numFmtId="0" fontId="0" fillId="2" borderId="0" xfId="0" applyFill="1"/>
    <xf numFmtId="0" fontId="0" fillId="7" borderId="0" xfId="0" applyFill="1"/>
    <xf numFmtId="0" fontId="0" fillId="0" borderId="0" xfId="0" applyAlignment="1">
      <alignment horizontal="center"/>
    </xf>
    <xf numFmtId="0" fontId="0" fillId="0" borderId="27" xfId="0" applyBorder="1" applyAlignment="1">
      <alignment horizontal="center"/>
    </xf>
    <xf numFmtId="0" fontId="0" fillId="0" borderId="9" xfId="0" applyBorder="1" applyAlignment="1">
      <alignment horizontal="left"/>
    </xf>
    <xf numFmtId="0" fontId="1" fillId="0" borderId="0" xfId="0" applyFont="1"/>
    <xf numFmtId="0" fontId="0" fillId="0" borderId="28" xfId="0" applyBorder="1" applyAlignment="1">
      <alignment horizontal="center"/>
    </xf>
    <xf numFmtId="0" fontId="0" fillId="0" borderId="31" xfId="0" applyBorder="1" applyAlignment="1">
      <alignment horizontal="center"/>
    </xf>
    <xf numFmtId="0" fontId="0" fillId="0" borderId="20" xfId="0" applyBorder="1" applyAlignment="1">
      <alignment horizontal="center"/>
    </xf>
    <xf numFmtId="0" fontId="0" fillId="0" borderId="2" xfId="0" applyBorder="1" applyAlignment="1">
      <alignment horizontal="center"/>
    </xf>
    <xf numFmtId="0" fontId="0" fillId="0" borderId="0" xfId="0" applyAlignment="1">
      <alignment horizontal="left" wrapText="1"/>
    </xf>
    <xf numFmtId="0" fontId="0" fillId="5" borderId="1" xfId="0" applyFill="1" applyBorder="1" applyAlignment="1">
      <alignment horizontal="right"/>
    </xf>
    <xf numFmtId="0" fontId="0" fillId="6" borderId="1" xfId="0" applyFill="1" applyBorder="1" applyAlignment="1">
      <alignment horizontal="right"/>
    </xf>
    <xf numFmtId="48" fontId="0" fillId="2" borderId="1" xfId="0" applyNumberFormat="1" applyFill="1" applyBorder="1" applyAlignment="1">
      <alignment horizontal="right"/>
    </xf>
    <xf numFmtId="0" fontId="0" fillId="7" borderId="1" xfId="0" applyFill="1" applyBorder="1" applyAlignment="1">
      <alignment horizontal="right"/>
    </xf>
    <xf numFmtId="0" fontId="0" fillId="0" borderId="1" xfId="0" applyBorder="1" applyAlignment="1">
      <alignment horizontal="right"/>
    </xf>
    <xf numFmtId="2" fontId="0" fillId="6" borderId="1" xfId="0" applyNumberFormat="1" applyFill="1" applyBorder="1" applyAlignment="1">
      <alignment horizontal="right"/>
    </xf>
    <xf numFmtId="176" fontId="0" fillId="5" borderId="1" xfId="0" applyNumberFormat="1" applyFill="1" applyBorder="1" applyAlignment="1">
      <alignment horizontal="right"/>
    </xf>
    <xf numFmtId="176" fontId="0" fillId="6" borderId="1" xfId="0" applyNumberFormat="1" applyFill="1" applyBorder="1" applyAlignment="1">
      <alignment horizontal="right"/>
    </xf>
    <xf numFmtId="177" fontId="0" fillId="6" borderId="1" xfId="0" applyNumberFormat="1" applyFill="1" applyBorder="1" applyAlignment="1">
      <alignment horizontal="right"/>
    </xf>
    <xf numFmtId="178" fontId="0" fillId="6" borderId="1" xfId="0" applyNumberFormat="1" applyFill="1" applyBorder="1" applyAlignment="1">
      <alignment horizontal="right"/>
    </xf>
    <xf numFmtId="2" fontId="0" fillId="5" borderId="1" xfId="0" applyNumberFormat="1" applyFill="1" applyBorder="1" applyAlignment="1">
      <alignment horizontal="right"/>
    </xf>
    <xf numFmtId="2" fontId="0" fillId="0" borderId="1" xfId="0" applyNumberFormat="1" applyBorder="1" applyAlignment="1">
      <alignment horizontal="right"/>
    </xf>
    <xf numFmtId="179" fontId="0" fillId="6" borderId="1" xfId="0" applyNumberFormat="1" applyFill="1" applyBorder="1" applyAlignment="1">
      <alignment horizontal="right"/>
    </xf>
    <xf numFmtId="177" fontId="0" fillId="0" borderId="0" xfId="0" applyNumberFormat="1" applyAlignment="1">
      <alignment horizontal="right"/>
    </xf>
    <xf numFmtId="177" fontId="0" fillId="0" borderId="1" xfId="0" applyNumberFormat="1" applyBorder="1" applyAlignment="1">
      <alignment horizontal="right"/>
    </xf>
    <xf numFmtId="0" fontId="0" fillId="5" borderId="0" xfId="0" applyFill="1" applyAlignment="1">
      <alignment horizontal="right"/>
    </xf>
    <xf numFmtId="0" fontId="6" fillId="0" borderId="0" xfId="0" applyFont="1" applyAlignment="1">
      <alignment horizontal="left"/>
    </xf>
    <xf numFmtId="0" fontId="0" fillId="0" borderId="0" xfId="0" applyAlignment="1">
      <alignment horizontal="left" vertical="center"/>
    </xf>
    <xf numFmtId="0" fontId="1" fillId="0" borderId="1" xfId="0" applyFont="1" applyBorder="1" applyAlignment="1">
      <alignment horizontal="left"/>
    </xf>
    <xf numFmtId="0" fontId="1" fillId="0" borderId="32" xfId="0" applyFont="1" applyBorder="1" applyAlignment="1">
      <alignment horizontal="left"/>
    </xf>
    <xf numFmtId="0" fontId="0" fillId="0" borderId="1" xfId="0" applyBorder="1" applyAlignment="1">
      <alignment horizontal="left" vertical="center" wrapText="1"/>
    </xf>
    <xf numFmtId="2" fontId="0" fillId="0" borderId="1" xfId="0" applyNumberFormat="1" applyBorder="1" applyAlignment="1">
      <alignment horizontal="right" vertical="center" wrapText="1"/>
    </xf>
    <xf numFmtId="0" fontId="0" fillId="0" borderId="1" xfId="0" applyBorder="1" applyAlignment="1">
      <alignment horizontal="center" vertical="center" wrapText="1"/>
    </xf>
    <xf numFmtId="0" fontId="0" fillId="0" borderId="1" xfId="0" applyBorder="1" applyAlignment="1">
      <alignment horizontal="center" wrapText="1"/>
    </xf>
    <xf numFmtId="180" fontId="0" fillId="0" borderId="1" xfId="0" applyNumberFormat="1" applyBorder="1"/>
    <xf numFmtId="0" fontId="7" fillId="0" borderId="0" xfId="0" applyFont="1" applyAlignment="1">
      <alignment horizontal="left"/>
    </xf>
    <xf numFmtId="0" fontId="0" fillId="0" borderId="13" xfId="0" applyBorder="1" applyAlignment="1">
      <alignment horizontal="left"/>
    </xf>
    <xf numFmtId="176" fontId="0" fillId="6" borderId="14" xfId="0" applyNumberFormat="1" applyFill="1" applyBorder="1" applyAlignment="1">
      <alignment horizontal="right"/>
    </xf>
    <xf numFmtId="0" fontId="0" fillId="0" borderId="15" xfId="0" applyBorder="1" applyAlignment="1">
      <alignment horizontal="left"/>
    </xf>
    <xf numFmtId="0" fontId="0" fillId="0" borderId="8" xfId="0" applyBorder="1" applyAlignment="1">
      <alignment horizontal="left"/>
    </xf>
    <xf numFmtId="0" fontId="0" fillId="0" borderId="10" xfId="0" applyBorder="1" applyAlignment="1">
      <alignment horizontal="left"/>
    </xf>
    <xf numFmtId="0" fontId="0" fillId="0" borderId="12" xfId="0" applyBorder="1" applyAlignment="1">
      <alignment horizontal="left"/>
    </xf>
    <xf numFmtId="0" fontId="0" fillId="4" borderId="4" xfId="0" applyFill="1" applyBorder="1"/>
    <xf numFmtId="0" fontId="0" fillId="9" borderId="0" xfId="0" applyFill="1"/>
    <xf numFmtId="177" fontId="0" fillId="0" borderId="1" xfId="0" applyNumberFormat="1" applyBorder="1"/>
    <xf numFmtId="0" fontId="0" fillId="0" borderId="28"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1" xfId="0" applyBorder="1"/>
    <xf numFmtId="0" fontId="0" fillId="0" borderId="12" xfId="0" applyBorder="1"/>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15" xfId="0" applyBorder="1" applyAlignment="1">
      <alignment horizontal="center" vertical="center" wrapText="1"/>
    </xf>
    <xf numFmtId="0" fontId="0" fillId="5" borderId="1" xfId="0" applyFill="1" applyBorder="1"/>
    <xf numFmtId="177" fontId="0" fillId="5" borderId="1" xfId="0" applyNumberFormat="1" applyFill="1" applyBorder="1"/>
    <xf numFmtId="0" fontId="0" fillId="5" borderId="11" xfId="0" applyFill="1" applyBorder="1"/>
    <xf numFmtId="0" fontId="0" fillId="5" borderId="12" xfId="0" applyFill="1" applyBorder="1"/>
    <xf numFmtId="0" fontId="0" fillId="5" borderId="8" xfId="0" applyFill="1" applyBorder="1"/>
    <xf numFmtId="0" fontId="0" fillId="5" borderId="10" xfId="0" applyFill="1" applyBorder="1"/>
    <xf numFmtId="0" fontId="0" fillId="0" borderId="38" xfId="0" applyBorder="1"/>
    <xf numFmtId="0" fontId="0" fillId="0" borderId="33" xfId="0" applyBorder="1"/>
    <xf numFmtId="177" fontId="0" fillId="0" borderId="39" xfId="0" applyNumberFormat="1" applyBorder="1"/>
    <xf numFmtId="0" fontId="0" fillId="0" borderId="40" xfId="0" applyBorder="1"/>
    <xf numFmtId="0" fontId="0" fillId="0" borderId="39" xfId="0" applyBorder="1"/>
    <xf numFmtId="176" fontId="0" fillId="0" borderId="1" xfId="0" applyNumberFormat="1" applyBorder="1" applyAlignment="1">
      <alignment horizontal="right"/>
    </xf>
    <xf numFmtId="177" fontId="0" fillId="0" borderId="1" xfId="0" applyNumberFormat="1" applyBorder="1" applyAlignment="1">
      <alignment horizontal="left"/>
    </xf>
    <xf numFmtId="177" fontId="0" fillId="5" borderId="1" xfId="0" applyNumberFormat="1" applyFill="1" applyBorder="1" applyAlignment="1">
      <alignment horizontal="right"/>
    </xf>
    <xf numFmtId="0" fontId="0" fillId="5" borderId="13" xfId="0" applyFill="1" applyBorder="1"/>
    <xf numFmtId="0" fontId="0" fillId="5" borderId="14" xfId="0" applyFill="1" applyBorder="1"/>
    <xf numFmtId="177" fontId="0" fillId="5" borderId="14" xfId="0" applyNumberFormat="1" applyFill="1" applyBorder="1"/>
    <xf numFmtId="177" fontId="0" fillId="5" borderId="11" xfId="0" applyNumberFormat="1" applyFill="1" applyBorder="1"/>
    <xf numFmtId="0" fontId="0" fillId="5" borderId="15" xfId="0" applyFill="1" applyBorder="1"/>
    <xf numFmtId="0" fontId="0" fillId="5" borderId="9" xfId="0" applyFill="1" applyBorder="1"/>
    <xf numFmtId="2" fontId="0" fillId="0" borderId="0" xfId="0" applyNumberFormat="1"/>
    <xf numFmtId="177" fontId="0" fillId="0" borderId="38" xfId="0" applyNumberFormat="1" applyBorder="1"/>
    <xf numFmtId="2" fontId="0" fillId="0" borderId="6" xfId="0" applyNumberFormat="1" applyBorder="1"/>
    <xf numFmtId="0" fontId="0" fillId="10" borderId="6" xfId="0" applyFill="1" applyBorder="1" applyAlignment="1" applyProtection="1">
      <alignment horizontal="right"/>
      <protection hidden="1"/>
    </xf>
    <xf numFmtId="0" fontId="0" fillId="10" borderId="0" xfId="0" applyFill="1" applyProtection="1">
      <protection hidden="1"/>
    </xf>
    <xf numFmtId="0" fontId="0" fillId="10" borderId="0" xfId="0" applyFill="1" applyAlignment="1" applyProtection="1">
      <alignment vertical="center"/>
      <protection hidden="1"/>
    </xf>
    <xf numFmtId="0" fontId="0" fillId="10" borderId="36" xfId="0" applyFill="1" applyBorder="1" applyAlignment="1" applyProtection="1">
      <alignment vertical="center"/>
      <protection hidden="1"/>
    </xf>
    <xf numFmtId="0" fontId="0" fillId="10" borderId="6" xfId="0" applyFill="1" applyBorder="1" applyAlignment="1" applyProtection="1">
      <alignment horizontal="left"/>
      <protection hidden="1"/>
    </xf>
    <xf numFmtId="0" fontId="0" fillId="9" borderId="35" xfId="0" applyFill="1" applyBorder="1" applyProtection="1">
      <protection hidden="1"/>
    </xf>
    <xf numFmtId="0" fontId="8" fillId="10" borderId="0" xfId="0" applyFont="1" applyFill="1" applyProtection="1">
      <protection hidden="1"/>
    </xf>
    <xf numFmtId="0" fontId="8" fillId="10" borderId="0" xfId="0" applyFont="1" applyFill="1" applyAlignment="1" applyProtection="1">
      <alignment vertical="center"/>
      <protection hidden="1"/>
    </xf>
    <xf numFmtId="0" fontId="0" fillId="10" borderId="29" xfId="0" applyFill="1" applyBorder="1" applyAlignment="1" applyProtection="1">
      <alignment horizontal="right"/>
      <protection hidden="1"/>
    </xf>
    <xf numFmtId="0" fontId="0" fillId="10" borderId="27" xfId="0" applyFill="1" applyBorder="1" applyProtection="1">
      <protection hidden="1"/>
    </xf>
    <xf numFmtId="0" fontId="0" fillId="10" borderId="27" xfId="0" applyFill="1" applyBorder="1" applyAlignment="1" applyProtection="1">
      <alignment vertical="center"/>
      <protection hidden="1"/>
    </xf>
    <xf numFmtId="0" fontId="0" fillId="10" borderId="41" xfId="0" applyFill="1" applyBorder="1" applyAlignment="1" applyProtection="1">
      <alignment vertical="center"/>
      <protection hidden="1"/>
    </xf>
    <xf numFmtId="0" fontId="0" fillId="8" borderId="0" xfId="0" applyFill="1" applyAlignment="1" applyProtection="1">
      <alignment horizontal="right"/>
      <protection hidden="1"/>
    </xf>
    <xf numFmtId="0" fontId="0" fillId="8" borderId="0" xfId="0" applyFill="1" applyProtection="1">
      <protection hidden="1"/>
    </xf>
    <xf numFmtId="0" fontId="0" fillId="8" borderId="0" xfId="0" applyFill="1" applyAlignment="1" applyProtection="1">
      <alignment vertical="center"/>
      <protection hidden="1"/>
    </xf>
    <xf numFmtId="0" fontId="0" fillId="8" borderId="36" xfId="0" applyFill="1" applyBorder="1" applyAlignment="1" applyProtection="1">
      <alignment vertical="center"/>
      <protection hidden="1"/>
    </xf>
    <xf numFmtId="0" fontId="11" fillId="8" borderId="0" xfId="0" applyFont="1" applyFill="1" applyAlignment="1" applyProtection="1">
      <alignment horizontal="left"/>
      <protection hidden="1"/>
    </xf>
    <xf numFmtId="0" fontId="9" fillId="8" borderId="0" xfId="0" applyFont="1" applyFill="1" applyAlignment="1" applyProtection="1">
      <alignment horizontal="center" vertical="center"/>
      <protection hidden="1"/>
    </xf>
    <xf numFmtId="0" fontId="0" fillId="8" borderId="6" xfId="0" applyFill="1" applyBorder="1" applyAlignment="1" applyProtection="1">
      <alignment horizontal="right"/>
      <protection hidden="1"/>
    </xf>
    <xf numFmtId="0" fontId="0" fillId="8" borderId="7" xfId="0" applyFill="1" applyBorder="1" applyProtection="1">
      <protection hidden="1"/>
    </xf>
    <xf numFmtId="0" fontId="0" fillId="8" borderId="29" xfId="0" applyFill="1" applyBorder="1" applyAlignment="1" applyProtection="1">
      <alignment horizontal="right"/>
      <protection hidden="1"/>
    </xf>
    <xf numFmtId="0" fontId="0" fillId="8" borderId="30" xfId="0" applyFill="1" applyBorder="1" applyProtection="1">
      <protection hidden="1"/>
    </xf>
    <xf numFmtId="0" fontId="0" fillId="0" borderId="0" xfId="0" applyProtection="1">
      <protection hidden="1"/>
    </xf>
    <xf numFmtId="0" fontId="0" fillId="8" borderId="27" xfId="0" applyFill="1" applyBorder="1" applyProtection="1">
      <protection hidden="1"/>
    </xf>
    <xf numFmtId="177" fontId="0" fillId="8" borderId="0" xfId="0" applyNumberFormat="1" applyFill="1" applyProtection="1">
      <protection hidden="1"/>
    </xf>
    <xf numFmtId="0" fontId="5" fillId="8" borderId="0" xfId="0" applyFont="1" applyFill="1" applyAlignment="1" applyProtection="1">
      <alignment horizontal="center"/>
      <protection hidden="1"/>
    </xf>
    <xf numFmtId="0" fontId="0" fillId="8" borderId="7" xfId="0" applyFill="1" applyBorder="1" applyAlignment="1" applyProtection="1">
      <alignment horizontal="center"/>
      <protection hidden="1"/>
    </xf>
    <xf numFmtId="48" fontId="0" fillId="8" borderId="0" xfId="0" applyNumberFormat="1" applyFill="1" applyProtection="1">
      <protection hidden="1"/>
    </xf>
    <xf numFmtId="2" fontId="0" fillId="8" borderId="27" xfId="0" applyNumberFormat="1" applyFill="1" applyBorder="1" applyProtection="1">
      <protection hidden="1"/>
    </xf>
    <xf numFmtId="2" fontId="0" fillId="8" borderId="0" xfId="0" applyNumberFormat="1" applyFill="1" applyProtection="1">
      <protection hidden="1"/>
    </xf>
    <xf numFmtId="0" fontId="0" fillId="8" borderId="7" xfId="0" applyFill="1" applyBorder="1" applyAlignment="1" applyProtection="1">
      <alignment horizontal="left"/>
      <protection hidden="1"/>
    </xf>
    <xf numFmtId="0" fontId="0" fillId="8" borderId="3" xfId="0" applyFill="1" applyBorder="1" applyAlignment="1" applyProtection="1">
      <alignment horizontal="right"/>
      <protection hidden="1"/>
    </xf>
    <xf numFmtId="0" fontId="0" fillId="8" borderId="5" xfId="0" applyFill="1" applyBorder="1" applyProtection="1">
      <protection hidden="1"/>
    </xf>
    <xf numFmtId="0" fontId="0" fillId="8" borderId="36" xfId="0" applyFill="1" applyBorder="1" applyProtection="1">
      <protection hidden="1"/>
    </xf>
    <xf numFmtId="176" fontId="0" fillId="8" borderId="0" xfId="0" applyNumberFormat="1" applyFill="1" applyProtection="1">
      <protection hidden="1"/>
    </xf>
    <xf numFmtId="0" fontId="0" fillId="8" borderId="0" xfId="0" applyFill="1" applyAlignment="1" applyProtection="1">
      <alignment horizontal="center"/>
      <protection hidden="1"/>
    </xf>
    <xf numFmtId="0" fontId="0" fillId="8" borderId="0" xfId="0" applyFill="1" applyAlignment="1" applyProtection="1">
      <alignment horizontal="center" vertical="center"/>
      <protection hidden="1"/>
    </xf>
    <xf numFmtId="176" fontId="0" fillId="8" borderId="27" xfId="0" applyNumberFormat="1" applyFill="1" applyBorder="1" applyProtection="1">
      <protection hidden="1"/>
    </xf>
    <xf numFmtId="179" fontId="0" fillId="8" borderId="0" xfId="0" applyNumberFormat="1" applyFill="1" applyProtection="1">
      <protection hidden="1"/>
    </xf>
    <xf numFmtId="0" fontId="0" fillId="9" borderId="0" xfId="0" applyFill="1" applyProtection="1">
      <protection locked="0" hidden="1"/>
    </xf>
    <xf numFmtId="0" fontId="0" fillId="9" borderId="27" xfId="0" applyFill="1" applyBorder="1" applyProtection="1">
      <protection locked="0" hidden="1"/>
    </xf>
    <xf numFmtId="0" fontId="0" fillId="9" borderId="0" xfId="0" applyFill="1" applyAlignment="1" applyProtection="1">
      <alignment horizontal="right"/>
      <protection locked="0" hidden="1"/>
    </xf>
    <xf numFmtId="2" fontId="0" fillId="9" borderId="0" xfId="0" applyNumberFormat="1" applyFill="1" applyProtection="1">
      <protection locked="0" hidden="1"/>
    </xf>
    <xf numFmtId="0" fontId="0" fillId="9" borderId="4" xfId="0" applyFill="1" applyBorder="1" applyProtection="1">
      <protection locked="0" hidden="1"/>
    </xf>
    <xf numFmtId="177" fontId="0" fillId="9" borderId="0" xfId="0" applyNumberFormat="1" applyFill="1" applyProtection="1">
      <protection locked="0" hidden="1"/>
    </xf>
    <xf numFmtId="0" fontId="20" fillId="0" borderId="42" xfId="1" applyFont="1" applyBorder="1"/>
    <xf numFmtId="0" fontId="21" fillId="0" borderId="42" xfId="1" applyFont="1" applyBorder="1" applyAlignment="1">
      <alignment horizontal="center"/>
    </xf>
    <xf numFmtId="0" fontId="21" fillId="0" borderId="42" xfId="1" applyFont="1" applyBorder="1" applyAlignment="1">
      <alignment horizontal="left"/>
    </xf>
    <xf numFmtId="0" fontId="22" fillId="0" borderId="42" xfId="1" applyFont="1" applyBorder="1"/>
    <xf numFmtId="0" fontId="24" fillId="0" borderId="42" xfId="2" applyFont="1" applyFill="1" applyBorder="1" applyAlignment="1">
      <alignment vertical="center"/>
    </xf>
    <xf numFmtId="0" fontId="24" fillId="0" borderId="42" xfId="2" applyFont="1" applyFill="1" applyBorder="1" applyAlignment="1">
      <alignment horizontal="right" vertical="center"/>
    </xf>
    <xf numFmtId="0" fontId="20" fillId="0" borderId="42" xfId="1" applyFont="1" applyBorder="1" applyAlignment="1">
      <alignment horizontal="center"/>
    </xf>
    <xf numFmtId="0" fontId="20" fillId="0" borderId="42" xfId="1" applyFont="1" applyBorder="1" applyAlignment="1">
      <alignment horizontal="left"/>
    </xf>
    <xf numFmtId="0" fontId="22" fillId="0" borderId="42" xfId="1" applyFont="1" applyBorder="1" applyAlignment="1">
      <alignment horizontal="center"/>
    </xf>
    <xf numFmtId="0" fontId="25" fillId="0" borderId="42" xfId="1" applyFont="1" applyBorder="1"/>
    <xf numFmtId="0" fontId="26" fillId="12" borderId="42" xfId="1" applyFont="1" applyFill="1" applyBorder="1" applyAlignment="1">
      <alignment horizontal="center"/>
    </xf>
    <xf numFmtId="0" fontId="27" fillId="0" borderId="42" xfId="2" applyFont="1" applyFill="1" applyBorder="1" applyAlignment="1">
      <alignment vertical="center"/>
    </xf>
    <xf numFmtId="0" fontId="23" fillId="10" borderId="0" xfId="3" applyFill="1" applyBorder="1" applyAlignment="1" applyProtection="1">
      <alignment vertical="center"/>
      <protection hidden="1"/>
    </xf>
    <xf numFmtId="0" fontId="11" fillId="8" borderId="0" xfId="0" applyFont="1" applyFill="1" applyAlignment="1" applyProtection="1">
      <alignment horizontal="left"/>
      <protection hidden="1"/>
    </xf>
    <xf numFmtId="0" fontId="7" fillId="8" borderId="24" xfId="0" applyFont="1" applyFill="1" applyBorder="1" applyAlignment="1" applyProtection="1">
      <alignment horizontal="center"/>
      <protection hidden="1"/>
    </xf>
    <xf numFmtId="0" fontId="7" fillId="8" borderId="25" xfId="0" applyFont="1" applyFill="1" applyBorder="1" applyAlignment="1" applyProtection="1">
      <alignment horizontal="center"/>
      <protection hidden="1"/>
    </xf>
    <xf numFmtId="0" fontId="7" fillId="8" borderId="26" xfId="0" applyFont="1" applyFill="1" applyBorder="1" applyAlignment="1" applyProtection="1">
      <alignment horizontal="center"/>
      <protection hidden="1"/>
    </xf>
    <xf numFmtId="0" fontId="10" fillId="3" borderId="3" xfId="0" applyFont="1" applyFill="1" applyBorder="1" applyAlignment="1" applyProtection="1">
      <alignment horizontal="left" vertical="center"/>
      <protection hidden="1"/>
    </xf>
    <xf numFmtId="0" fontId="10" fillId="3" borderId="4" xfId="0" applyFont="1" applyFill="1" applyBorder="1" applyAlignment="1" applyProtection="1">
      <alignment horizontal="left" vertical="center"/>
      <protection hidden="1"/>
    </xf>
    <xf numFmtId="0" fontId="10" fillId="3" borderId="6" xfId="0" applyFont="1" applyFill="1" applyBorder="1" applyAlignment="1" applyProtection="1">
      <alignment horizontal="left" vertical="center"/>
      <protection hidden="1"/>
    </xf>
    <xf numFmtId="0" fontId="10" fillId="3" borderId="0" xfId="0" applyFont="1" applyFill="1" applyAlignment="1" applyProtection="1">
      <alignment horizontal="left" vertical="center"/>
      <protection hidden="1"/>
    </xf>
    <xf numFmtId="0" fontId="5" fillId="8" borderId="0" xfId="0" applyFont="1" applyFill="1" applyAlignment="1" applyProtection="1">
      <alignment horizontal="center"/>
      <protection hidden="1"/>
    </xf>
    <xf numFmtId="0" fontId="0" fillId="9" borderId="0" xfId="0" applyFill="1" applyAlignment="1" applyProtection="1">
      <alignment horizontal="center"/>
      <protection locked="0" hidden="1"/>
    </xf>
    <xf numFmtId="0" fontId="0" fillId="9" borderId="7" xfId="0" applyFill="1" applyBorder="1" applyAlignment="1" applyProtection="1">
      <alignment horizontal="center"/>
      <protection locked="0" hidden="1"/>
    </xf>
    <xf numFmtId="0" fontId="13" fillId="8" borderId="0" xfId="0" applyFont="1" applyFill="1" applyAlignment="1" applyProtection="1">
      <alignment horizontal="center" vertical="center"/>
      <protection hidden="1"/>
    </xf>
    <xf numFmtId="0" fontId="7" fillId="8" borderId="0" xfId="0" applyFont="1" applyFill="1" applyAlignment="1" applyProtection="1">
      <alignment horizontal="center" vertical="center"/>
      <protection hidden="1"/>
    </xf>
    <xf numFmtId="0" fontId="7" fillId="8" borderId="0" xfId="0" applyFont="1" applyFill="1" applyAlignment="1" applyProtection="1">
      <alignment horizontal="center"/>
      <protection hidden="1"/>
    </xf>
    <xf numFmtId="0" fontId="0" fillId="5" borderId="24" xfId="0" applyFill="1" applyBorder="1" applyAlignment="1" applyProtection="1">
      <alignment horizontal="right" vertical="center"/>
      <protection hidden="1"/>
    </xf>
    <xf numFmtId="0" fontId="0" fillId="5" borderId="26" xfId="0" applyFill="1" applyBorder="1" applyAlignment="1" applyProtection="1">
      <alignment horizontal="right" vertical="center"/>
      <protection hidden="1"/>
    </xf>
    <xf numFmtId="0" fontId="22" fillId="0" borderId="42" xfId="1" applyFont="1" applyBorder="1" applyAlignment="1">
      <alignment wrapText="1"/>
    </xf>
    <xf numFmtId="0" fontId="20" fillId="0" borderId="42" xfId="1" applyFont="1" applyBorder="1" applyAlignment="1">
      <alignment horizontal="center"/>
    </xf>
    <xf numFmtId="0" fontId="20" fillId="11" borderId="42" xfId="1" applyFont="1" applyFill="1" applyBorder="1" applyAlignment="1">
      <alignment horizontal="center"/>
    </xf>
    <xf numFmtId="0" fontId="26" fillId="12" borderId="42" xfId="1" applyFont="1" applyFill="1" applyBorder="1" applyAlignment="1">
      <alignment horizontal="left"/>
    </xf>
    <xf numFmtId="0" fontId="22" fillId="0" borderId="42" xfId="1" applyFont="1" applyBorder="1" applyAlignment="1">
      <alignment horizontal="left"/>
    </xf>
    <xf numFmtId="0" fontId="22" fillId="0" borderId="42" xfId="1" applyFont="1" applyBorder="1" applyAlignment="1">
      <alignment horizontal="left" wrapText="1"/>
    </xf>
    <xf numFmtId="0" fontId="0" fillId="0" borderId="1" xfId="0" applyBorder="1" applyAlignment="1">
      <alignment horizontal="center"/>
    </xf>
    <xf numFmtId="0" fontId="0" fillId="0" borderId="28" xfId="0" applyBorder="1" applyAlignment="1">
      <alignment horizontal="center"/>
    </xf>
    <xf numFmtId="0" fontId="0" fillId="0" borderId="31" xfId="0" applyBorder="1" applyAlignment="1">
      <alignment horizontal="center"/>
    </xf>
    <xf numFmtId="0" fontId="0" fillId="0" borderId="20" xfId="0" applyBorder="1" applyAlignment="1">
      <alignment horizontal="center"/>
    </xf>
    <xf numFmtId="0" fontId="0" fillId="0" borderId="33" xfId="0" applyBorder="1" applyAlignment="1">
      <alignment horizontal="center"/>
    </xf>
    <xf numFmtId="0" fontId="0" fillId="0" borderId="34" xfId="0" applyBorder="1" applyAlignment="1">
      <alignment horizontal="center"/>
    </xf>
    <xf numFmtId="0" fontId="0" fillId="0" borderId="37" xfId="0" applyBorder="1" applyAlignment="1">
      <alignment horizontal="center"/>
    </xf>
    <xf numFmtId="0" fontId="0" fillId="0" borderId="0" xfId="0"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29" xfId="0" applyBorder="1" applyAlignment="1">
      <alignment horizontal="center"/>
    </xf>
    <xf numFmtId="0" fontId="0" fillId="0" borderId="27" xfId="0" applyBorder="1" applyAlignment="1">
      <alignment horizontal="center"/>
    </xf>
    <xf numFmtId="0" fontId="0" fillId="4" borderId="4" xfId="0" applyFill="1" applyBorder="1" applyAlignment="1">
      <alignment horizontal="center"/>
    </xf>
    <xf numFmtId="0" fontId="0" fillId="0" borderId="0" xfId="0" applyAlignment="1">
      <alignment horizontal="center" vertical="center"/>
    </xf>
    <xf numFmtId="0" fontId="0" fillId="0" borderId="29" xfId="0" applyBorder="1" applyAlignment="1">
      <alignment horizontal="center" vertical="center"/>
    </xf>
    <xf numFmtId="0" fontId="0" fillId="0" borderId="30" xfId="0" applyBorder="1" applyAlignment="1">
      <alignment horizontal="center" vertical="center"/>
    </xf>
    <xf numFmtId="0" fontId="0" fillId="2" borderId="29" xfId="0" applyFill="1" applyBorder="1" applyAlignment="1">
      <alignment horizontal="center"/>
    </xf>
    <xf numFmtId="0" fontId="0" fillId="2" borderId="27" xfId="0" applyFill="1" applyBorder="1" applyAlignment="1">
      <alignment horizontal="center"/>
    </xf>
    <xf numFmtId="0" fontId="0" fillId="2" borderId="30" xfId="0" applyFill="1" applyBorder="1" applyAlignment="1">
      <alignment horizontal="center"/>
    </xf>
    <xf numFmtId="0" fontId="0" fillId="4" borderId="3" xfId="0" applyFill="1" applyBorder="1" applyAlignment="1">
      <alignment horizontal="center"/>
    </xf>
    <xf numFmtId="0" fontId="0" fillId="0" borderId="18" xfId="0" applyBorder="1" applyAlignment="1">
      <alignment horizontal="center"/>
    </xf>
    <xf numFmtId="0" fontId="0" fillId="0" borderId="19" xfId="0" applyBorder="1" applyAlignment="1">
      <alignment horizontal="center"/>
    </xf>
  </cellXfs>
  <cellStyles count="4">
    <cellStyle name="Hyperlink 2" xfId="2" xr:uid="{B159FF08-00AA-4B66-8DB3-3314B4E27745}"/>
    <cellStyle name="Normal 4" xfId="1" xr:uid="{4304C4BC-DDB0-4847-949A-604159B97489}"/>
    <cellStyle name="ハイパーリンク" xfId="3" builtinId="8"/>
    <cellStyle name="標準" xfId="0" builtinId="0"/>
  </cellStyles>
  <dxfs count="16">
    <dxf>
      <fill>
        <patternFill>
          <bgColor rgb="FFFF000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ont>
        <strike/>
      </font>
      <fill>
        <patternFill>
          <bgColor theme="0" tint="-0.14996795556505021"/>
        </patternFill>
      </fill>
    </dxf>
    <dxf>
      <font>
        <strike/>
      </font>
      <fill>
        <patternFill>
          <bgColor theme="0" tint="-0.24994659260841701"/>
        </patternFill>
      </fill>
    </dxf>
    <dxf>
      <font>
        <strike/>
      </font>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Inner Current Loop  </a:t>
            </a:r>
            <a:endParaRPr lang="en-US"/>
          </a:p>
        </c:rich>
      </c:tx>
      <c:overlay val="0"/>
    </c:title>
    <c:autoTitleDeleted val="0"/>
    <c:plotArea>
      <c:layout/>
      <c:scatterChart>
        <c:scatterStyle val="lineMarker"/>
        <c:varyColors val="0"/>
        <c:ser>
          <c:idx val="0"/>
          <c:order val="0"/>
          <c:tx>
            <c:v>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Compensation!$K$8:$K$62</c:f>
              <c:numCache>
                <c:formatCode>General</c:formatCode>
                <c:ptCount val="55"/>
                <c:pt idx="0">
                  <c:v>92.16456751110934</c:v>
                </c:pt>
                <c:pt idx="1">
                  <c:v>86.143969291914885</c:v>
                </c:pt>
                <c:pt idx="2">
                  <c:v>82.622146934111939</c:v>
                </c:pt>
                <c:pt idx="3">
                  <c:v>80.123376154235046</c:v>
                </c:pt>
                <c:pt idx="4">
                  <c:v>78.185180974995717</c:v>
                </c:pt>
                <c:pt idx="5">
                  <c:v>76.601562263153326</c:v>
                </c:pt>
                <c:pt idx="6">
                  <c:v>75.262633807296581</c:v>
                </c:pt>
                <c:pt idx="7">
                  <c:v>74.102803331502315</c:v>
                </c:pt>
                <c:pt idx="8">
                  <c:v>73.079762472578608</c:v>
                </c:pt>
                <c:pt idx="9">
                  <c:v>72.164623376815598</c:v>
                </c:pt>
                <c:pt idx="10">
                  <c:v>66.14419226244641</c:v>
                </c:pt>
                <c:pt idx="11">
                  <c:v>62.622646782380031</c:v>
                </c:pt>
                <c:pt idx="12">
                  <c:v>60.124260244614909</c:v>
                </c:pt>
                <c:pt idx="13">
                  <c:v>58.18655337223796</c:v>
                </c:pt>
                <c:pt idx="14">
                  <c:v>56.6035229101753</c:v>
                </c:pt>
                <c:pt idx="15">
                  <c:v>55.265277786855137</c:v>
                </c:pt>
                <c:pt idx="16">
                  <c:v>54.106220223645202</c:v>
                </c:pt>
                <c:pt idx="17">
                  <c:v>53.084035816378474</c:v>
                </c:pt>
                <c:pt idx="18">
                  <c:v>52.169830241397918</c:v>
                </c:pt>
                <c:pt idx="19">
                  <c:v>46.161451906746855</c:v>
                </c:pt>
                <c:pt idx="20">
                  <c:v>42.652807042005733</c:v>
                </c:pt>
                <c:pt idx="21">
                  <c:v>40.164999598417062</c:v>
                </c:pt>
                <c:pt idx="22">
                  <c:v>38.235022248130157</c:v>
                </c:pt>
                <c:pt idx="23">
                  <c:v>36.65734097230942</c:v>
                </c:pt>
                <c:pt idx="24">
                  <c:v>35.32266831588565</c:v>
                </c:pt>
                <c:pt idx="25">
                  <c:v>34.16589584980948</c:v>
                </c:pt>
                <c:pt idx="26">
                  <c:v>33.145060849565617</c:v>
                </c:pt>
                <c:pt idx="27">
                  <c:v>32.231513248080084</c:v>
                </c:pt>
                <c:pt idx="28">
                  <c:v>26.213237279398207</c:v>
                </c:pt>
                <c:pt idx="29">
                  <c:v>22.685337242122742</c:v>
                </c:pt>
                <c:pt idx="30">
                  <c:v>20.176605254490553</c:v>
                </c:pt>
                <c:pt idx="31">
                  <c:v>18.225223818641098</c:v>
                </c:pt>
                <c:pt idx="32">
                  <c:v>16.625383997528456</c:v>
                </c:pt>
                <c:pt idx="33">
                  <c:v>15.267289275813003</c:v>
                </c:pt>
                <c:pt idx="34">
                  <c:v>14.085409766734751</c:v>
                </c:pt>
                <c:pt idx="35">
                  <c:v>13.037492328194457</c:v>
                </c:pt>
                <c:pt idx="36">
                  <c:v>12.094703878536844</c:v>
                </c:pt>
                <c:pt idx="37">
                  <c:v>5.6592462993770001</c:v>
                </c:pt>
                <c:pt idx="38">
                  <c:v>1.5234095395800877</c:v>
                </c:pt>
                <c:pt idx="39">
                  <c:v>-1.7110140749121805</c:v>
                </c:pt>
                <c:pt idx="40">
                  <c:v>-4.4422589396847458</c:v>
                </c:pt>
                <c:pt idx="41">
                  <c:v>-6.8321228679276791</c:v>
                </c:pt>
                <c:pt idx="42">
                  <c:v>-8.9637246114627835</c:v>
                </c:pt>
                <c:pt idx="43">
                  <c:v>-10.88813531020608</c:v>
                </c:pt>
                <c:pt idx="44">
                  <c:v>-12.640836249829734</c:v>
                </c:pt>
                <c:pt idx="45">
                  <c:v>-14.248401970614029</c:v>
                </c:pt>
                <c:pt idx="46">
                  <c:v>-25.489481732808009</c:v>
                </c:pt>
                <c:pt idx="47">
                  <c:v>-32.367308571934835</c:v>
                </c:pt>
                <c:pt idx="48">
                  <c:v>-37.305290906846515</c:v>
                </c:pt>
                <c:pt idx="49">
                  <c:v>-41.153841301636938</c:v>
                </c:pt>
                <c:pt idx="50">
                  <c:v>-44.305887487970921</c:v>
                </c:pt>
                <c:pt idx="51">
                  <c:v>-46.974565960263803</c:v>
                </c:pt>
                <c:pt idx="52">
                  <c:v>-49.28826672473128</c:v>
                </c:pt>
                <c:pt idx="53">
                  <c:v>-51.330264974082041</c:v>
                </c:pt>
                <c:pt idx="54">
                  <c:v>-53.157627616727972</c:v>
                </c:pt>
              </c:numCache>
            </c:numRef>
          </c:yVal>
          <c:smooth val="0"/>
          <c:extLst>
            <c:ext xmlns:c16="http://schemas.microsoft.com/office/drawing/2014/chart" uri="{C3380CC4-5D6E-409C-BE32-E72D297353CC}">
              <c16:uniqueId val="{00000000-1A3E-43DE-AAA1-A9F3F6FF81F6}"/>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1A3E-43DE-AAA1-A9F3F6FF81F6}"/>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1A3E-43DE-AAA1-A9F3F6FF81F6}"/>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Compensation!$AA$9</c:f>
              <c:numCache>
                <c:formatCode>General</c:formatCode>
                <c:ptCount val="1"/>
                <c:pt idx="0">
                  <c:v>372.49029234273371</c:v>
                </c:pt>
              </c:numCache>
            </c:numRef>
          </c:xVal>
          <c:yVal>
            <c:numRef>
              <c:f>Compensation!$AD$9</c:f>
              <c:numCache>
                <c:formatCode>General</c:formatCode>
                <c:ptCount val="1"/>
                <c:pt idx="0">
                  <c:v>40.781163896731982</c:v>
                </c:pt>
              </c:numCache>
            </c:numRef>
          </c:yVal>
          <c:smooth val="0"/>
          <c:extLst>
            <c:ext xmlns:c16="http://schemas.microsoft.com/office/drawing/2014/chart" uri="{C3380CC4-5D6E-409C-BE32-E72D297353CC}">
              <c16:uniqueId val="{00000003-1A3E-43DE-AAA1-A9F3F6FF81F6}"/>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1A3E-43DE-AAA1-A9F3F6FF81F6}"/>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Compensation!$AA$10</c:f>
              <c:numCache>
                <c:formatCode>General</c:formatCode>
                <c:ptCount val="1"/>
                <c:pt idx="0">
                  <c:v>369.16622539407894</c:v>
                </c:pt>
              </c:numCache>
            </c:numRef>
          </c:xVal>
          <c:yVal>
            <c:numRef>
              <c:f>Compensation!$AD$10</c:f>
              <c:numCache>
                <c:formatCode>General</c:formatCode>
                <c:ptCount val="1"/>
                <c:pt idx="0">
                  <c:v>40.85867859247994</c:v>
                </c:pt>
              </c:numCache>
            </c:numRef>
          </c:yVal>
          <c:smooth val="0"/>
          <c:extLst>
            <c:ext xmlns:c16="http://schemas.microsoft.com/office/drawing/2014/chart" uri="{C3380CC4-5D6E-409C-BE32-E72D297353CC}">
              <c16:uniqueId val="{00000005-1A3E-43DE-AAA1-A9F3F6FF81F6}"/>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1A3E-43DE-AAA1-A9F3F6FF81F6}"/>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Compensation!$AA$11</c:f>
              <c:numCache>
                <c:formatCode>General</c:formatCode>
                <c:ptCount val="1"/>
                <c:pt idx="0">
                  <c:v>53411.28367403696</c:v>
                </c:pt>
              </c:numCache>
            </c:numRef>
          </c:xVal>
          <c:yVal>
            <c:numRef>
              <c:f>Compensation!$AD$11</c:f>
              <c:numCache>
                <c:formatCode>General</c:formatCode>
                <c:ptCount val="1"/>
                <c:pt idx="0">
                  <c:v>-5.2907259951790309</c:v>
                </c:pt>
              </c:numCache>
            </c:numRef>
          </c:yVal>
          <c:smooth val="0"/>
          <c:extLst>
            <c:ext xmlns:c16="http://schemas.microsoft.com/office/drawing/2014/chart" uri="{C3380CC4-5D6E-409C-BE32-E72D297353CC}">
              <c16:uniqueId val="{00000007-1A3E-43DE-AAA1-A9F3F6FF81F6}"/>
            </c:ext>
          </c:extLst>
        </c:ser>
        <c:dLbls>
          <c:showLegendKey val="0"/>
          <c:showVal val="0"/>
          <c:showCatName val="0"/>
          <c:showSerName val="0"/>
          <c:showPercent val="0"/>
          <c:showBubbleSize val="0"/>
        </c:dLbls>
        <c:axId val="180812800"/>
        <c:axId val="182049408"/>
      </c:scatterChart>
      <c:scatterChart>
        <c:scatterStyle val="lineMarker"/>
        <c:varyColors val="0"/>
        <c:ser>
          <c:idx val="1"/>
          <c:order val="1"/>
          <c:tx>
            <c:v>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Compensation!$L$8:$L$62</c:f>
              <c:numCache>
                <c:formatCode>General</c:formatCode>
                <c:ptCount val="55"/>
                <c:pt idx="0">
                  <c:v>90.000319643658088</c:v>
                </c:pt>
                <c:pt idx="1">
                  <c:v>90.000639226885099</c:v>
                </c:pt>
                <c:pt idx="2">
                  <c:v>90.000958689258752</c:v>
                </c:pt>
                <c:pt idx="3">
                  <c:v>90.001277970374318</c:v>
                </c:pt>
                <c:pt idx="4">
                  <c:v>90.001597009853427</c:v>
                </c:pt>
                <c:pt idx="5">
                  <c:v>90.001915747352896</c:v>
                </c:pt>
                <c:pt idx="6">
                  <c:v>90.002234122573327</c:v>
                </c:pt>
                <c:pt idx="7">
                  <c:v>90.002552075268113</c:v>
                </c:pt>
                <c:pt idx="8">
                  <c:v>90.002869545251855</c:v>
                </c:pt>
                <c:pt idx="9">
                  <c:v>90.00318647240934</c:v>
                </c:pt>
                <c:pt idx="10">
                  <c:v>90.006312730627116</c:v>
                </c:pt>
                <c:pt idx="11">
                  <c:v>90.009319430597586</c:v>
                </c:pt>
                <c:pt idx="12">
                  <c:v>90.012148942263778</c:v>
                </c:pt>
                <c:pt idx="13">
                  <c:v>90.014746142235467</c:v>
                </c:pt>
                <c:pt idx="14">
                  <c:v>90.017059132938272</c:v>
                </c:pt>
                <c:pt idx="15">
                  <c:v>90.019039869561098</c:v>
                </c:pt>
                <c:pt idx="16">
                  <c:v>90.020644680543128</c:v>
                </c:pt>
                <c:pt idx="17">
                  <c:v>90.021834672213487</c:v>
                </c:pt>
                <c:pt idx="18">
                  <c:v>90.022576013211989</c:v>
                </c:pt>
                <c:pt idx="19">
                  <c:v>90.001511180632647</c:v>
                </c:pt>
                <c:pt idx="20">
                  <c:v>89.93152986997903</c:v>
                </c:pt>
                <c:pt idx="21">
                  <c:v>89.829925005073349</c:v>
                </c:pt>
                <c:pt idx="22">
                  <c:v>89.713073138807133</c:v>
                </c:pt>
                <c:pt idx="23">
                  <c:v>89.590496095450348</c:v>
                </c:pt>
                <c:pt idx="24">
                  <c:v>89.46674211966662</c:v>
                </c:pt>
                <c:pt idx="25">
                  <c:v>89.343734365416879</c:v>
                </c:pt>
                <c:pt idx="26">
                  <c:v>89.222165945982539</c:v>
                </c:pt>
                <c:pt idx="27">
                  <c:v>89.102189204798179</c:v>
                </c:pt>
                <c:pt idx="28">
                  <c:v>87.962315046553542</c:v>
                </c:pt>
                <c:pt idx="29">
                  <c:v>86.869745121896472</c:v>
                </c:pt>
                <c:pt idx="30">
                  <c:v>85.7935821582698</c:v>
                </c:pt>
                <c:pt idx="31">
                  <c:v>84.726328777268137</c:v>
                </c:pt>
                <c:pt idx="32">
                  <c:v>83.665759197891234</c:v>
                </c:pt>
                <c:pt idx="33">
                  <c:v>82.611271175287541</c:v>
                </c:pt>
                <c:pt idx="34">
                  <c:v>81.562882010137329</c:v>
                </c:pt>
                <c:pt idx="35">
                  <c:v>80.520877912729844</c:v>
                </c:pt>
                <c:pt idx="36">
                  <c:v>79.485669205814702</c:v>
                </c:pt>
                <c:pt idx="37">
                  <c:v>69.610240169801799</c:v>
                </c:pt>
                <c:pt idx="38">
                  <c:v>60.852541503522367</c:v>
                </c:pt>
                <c:pt idx="39">
                  <c:v>53.364192675157177</c:v>
                </c:pt>
                <c:pt idx="40">
                  <c:v>47.090021588137702</c:v>
                </c:pt>
                <c:pt idx="41">
                  <c:v>41.874344208791463</c:v>
                </c:pt>
                <c:pt idx="42">
                  <c:v>37.537510343463943</c:v>
                </c:pt>
                <c:pt idx="43">
                  <c:v>33.913569971711809</c:v>
                </c:pt>
                <c:pt idx="44">
                  <c:v>30.862990037329538</c:v>
                </c:pt>
                <c:pt idx="45">
                  <c:v>28.273468320611265</c:v>
                </c:pt>
                <c:pt idx="46">
                  <c:v>15.051888351328124</c:v>
                </c:pt>
                <c:pt idx="47">
                  <c:v>10.163988341809379</c:v>
                </c:pt>
                <c:pt idx="48">
                  <c:v>7.6580363123703208</c:v>
                </c:pt>
                <c:pt idx="49">
                  <c:v>6.1395636665326956</c:v>
                </c:pt>
                <c:pt idx="50">
                  <c:v>5.1222842699908497</c:v>
                </c:pt>
                <c:pt idx="51">
                  <c:v>4.3936310888831471</c:v>
                </c:pt>
                <c:pt idx="52">
                  <c:v>3.8461923904964324</c:v>
                </c:pt>
                <c:pt idx="53">
                  <c:v>3.419914919428487</c:v>
                </c:pt>
                <c:pt idx="54">
                  <c:v>3.0786175908655151</c:v>
                </c:pt>
              </c:numCache>
            </c:numRef>
          </c:yVal>
          <c:smooth val="0"/>
          <c:extLst>
            <c:ext xmlns:c16="http://schemas.microsoft.com/office/drawing/2014/chart" uri="{C3380CC4-5D6E-409C-BE32-E72D297353CC}">
              <c16:uniqueId val="{00000008-1A3E-43DE-AAA1-A9F3F6FF81F6}"/>
            </c:ext>
          </c:extLst>
        </c:ser>
        <c:dLbls>
          <c:showLegendKey val="0"/>
          <c:showVal val="0"/>
          <c:showCatName val="0"/>
          <c:showSerName val="0"/>
          <c:showPercent val="0"/>
          <c:showBubbleSize val="0"/>
        </c:dLbls>
        <c:axId val="182350592"/>
        <c:axId val="182310016"/>
      </c:scatterChart>
      <c:valAx>
        <c:axId val="18081280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82049408"/>
        <c:crosses val="autoZero"/>
        <c:crossBetween val="midCat"/>
      </c:valAx>
      <c:valAx>
        <c:axId val="182049408"/>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80812800"/>
        <c:crosses val="autoZero"/>
        <c:crossBetween val="midCat"/>
        <c:majorUnit val="20"/>
      </c:valAx>
      <c:valAx>
        <c:axId val="182310016"/>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82350592"/>
        <c:crosses val="max"/>
        <c:crossBetween val="midCat"/>
        <c:majorUnit val="45"/>
      </c:valAx>
      <c:valAx>
        <c:axId val="182350592"/>
        <c:scaling>
          <c:logBase val="10"/>
          <c:orientation val="minMax"/>
        </c:scaling>
        <c:delete val="1"/>
        <c:axPos val="b"/>
        <c:numFmt formatCode="General" sourceLinked="1"/>
        <c:majorTickMark val="out"/>
        <c:minorTickMark val="none"/>
        <c:tickLblPos val="nextTo"/>
        <c:crossAx val="182310016"/>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Boost Mode Duty Cycle</a:t>
            </a:r>
          </a:p>
        </c:rich>
      </c:tx>
      <c:overlay val="0"/>
    </c:title>
    <c:autoTitleDeleted val="0"/>
    <c:plotArea>
      <c:layout/>
      <c:scatterChart>
        <c:scatterStyle val="smoothMarker"/>
        <c:varyColors val="0"/>
        <c:ser>
          <c:idx val="0"/>
          <c:order val="0"/>
          <c:tx>
            <c:v>LV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Calculations!$AC$6:$AC$56</c:f>
              <c:numCache>
                <c:formatCode>General</c:formatCode>
                <c:ptCount val="51"/>
                <c:pt idx="0">
                  <c:v>0</c:v>
                </c:pt>
                <c:pt idx="1">
                  <c:v>0.35783130556624476</c:v>
                </c:pt>
                <c:pt idx="2">
                  <c:v>0.50604988537345452</c:v>
                </c:pt>
                <c:pt idx="3">
                  <c:v>0.61978200177943998</c:v>
                </c:pt>
                <c:pt idx="4">
                  <c:v>0.63</c:v>
                </c:pt>
                <c:pt idx="5">
                  <c:v>0.63</c:v>
                </c:pt>
                <c:pt idx="6">
                  <c:v>0.63</c:v>
                </c:pt>
                <c:pt idx="7">
                  <c:v>0.63</c:v>
                </c:pt>
                <c:pt idx="8">
                  <c:v>0.63</c:v>
                </c:pt>
                <c:pt idx="9">
                  <c:v>0.63</c:v>
                </c:pt>
                <c:pt idx="10">
                  <c:v>0.63</c:v>
                </c:pt>
                <c:pt idx="11">
                  <c:v>0.63</c:v>
                </c:pt>
                <c:pt idx="12">
                  <c:v>0.63</c:v>
                </c:pt>
                <c:pt idx="13">
                  <c:v>0.63</c:v>
                </c:pt>
                <c:pt idx="14">
                  <c:v>0.63</c:v>
                </c:pt>
                <c:pt idx="15">
                  <c:v>0.63</c:v>
                </c:pt>
                <c:pt idx="16">
                  <c:v>0.63</c:v>
                </c:pt>
                <c:pt idx="17">
                  <c:v>0.63</c:v>
                </c:pt>
                <c:pt idx="18">
                  <c:v>0.63</c:v>
                </c:pt>
                <c:pt idx="19">
                  <c:v>0.63</c:v>
                </c:pt>
                <c:pt idx="20">
                  <c:v>0.63</c:v>
                </c:pt>
                <c:pt idx="21">
                  <c:v>0.63</c:v>
                </c:pt>
                <c:pt idx="22">
                  <c:v>0.63</c:v>
                </c:pt>
                <c:pt idx="23">
                  <c:v>0.63</c:v>
                </c:pt>
                <c:pt idx="24">
                  <c:v>0.63</c:v>
                </c:pt>
                <c:pt idx="25">
                  <c:v>0.63</c:v>
                </c:pt>
                <c:pt idx="26">
                  <c:v>0.63</c:v>
                </c:pt>
                <c:pt idx="27">
                  <c:v>0.63</c:v>
                </c:pt>
                <c:pt idx="28">
                  <c:v>0.63</c:v>
                </c:pt>
                <c:pt idx="29">
                  <c:v>0.63</c:v>
                </c:pt>
                <c:pt idx="30">
                  <c:v>0.63</c:v>
                </c:pt>
                <c:pt idx="31">
                  <c:v>0.63</c:v>
                </c:pt>
                <c:pt idx="32">
                  <c:v>0.63</c:v>
                </c:pt>
                <c:pt idx="33">
                  <c:v>0.63</c:v>
                </c:pt>
                <c:pt idx="34">
                  <c:v>0.63</c:v>
                </c:pt>
                <c:pt idx="35">
                  <c:v>0.63</c:v>
                </c:pt>
                <c:pt idx="36">
                  <c:v>0.63</c:v>
                </c:pt>
                <c:pt idx="37">
                  <c:v>0.63</c:v>
                </c:pt>
                <c:pt idx="38">
                  <c:v>0.63</c:v>
                </c:pt>
                <c:pt idx="39">
                  <c:v>0.63</c:v>
                </c:pt>
                <c:pt idx="40">
                  <c:v>0.63</c:v>
                </c:pt>
                <c:pt idx="41">
                  <c:v>0.63</c:v>
                </c:pt>
                <c:pt idx="42">
                  <c:v>0.63</c:v>
                </c:pt>
                <c:pt idx="43">
                  <c:v>0.63</c:v>
                </c:pt>
                <c:pt idx="44">
                  <c:v>0.63</c:v>
                </c:pt>
                <c:pt idx="45">
                  <c:v>0.63</c:v>
                </c:pt>
                <c:pt idx="46">
                  <c:v>0.63</c:v>
                </c:pt>
                <c:pt idx="47">
                  <c:v>0.63</c:v>
                </c:pt>
                <c:pt idx="48">
                  <c:v>0.63</c:v>
                </c:pt>
                <c:pt idx="49">
                  <c:v>0.63</c:v>
                </c:pt>
                <c:pt idx="50">
                  <c:v>0.63</c:v>
                </c:pt>
              </c:numCache>
            </c:numRef>
          </c:yVal>
          <c:smooth val="1"/>
          <c:extLst>
            <c:ext xmlns:c16="http://schemas.microsoft.com/office/drawing/2014/chart" uri="{C3380CC4-5D6E-409C-BE32-E72D297353CC}">
              <c16:uniqueId val="{00000000-936D-4052-B402-C234E7C4896C}"/>
            </c:ext>
          </c:extLst>
        </c:ser>
        <c:ser>
          <c:idx val="1"/>
          <c:order val="1"/>
          <c:tx>
            <c:v>LV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Calculations!$AG$6:$AG$56</c:f>
              <c:numCache>
                <c:formatCode>General</c:formatCode>
                <c:ptCount val="51"/>
                <c:pt idx="0">
                  <c:v>0</c:v>
                </c:pt>
                <c:pt idx="1">
                  <c:v>0.33585711247493327</c:v>
                </c:pt>
                <c:pt idx="2">
                  <c:v>0.4749736834815167</c:v>
                </c:pt>
                <c:pt idx="3">
                  <c:v>0.58172158288995945</c:v>
                </c:pt>
                <c:pt idx="4">
                  <c:v>0.6</c:v>
                </c:pt>
                <c:pt idx="5">
                  <c:v>0.6</c:v>
                </c:pt>
                <c:pt idx="6">
                  <c:v>0.6</c:v>
                </c:pt>
                <c:pt idx="7">
                  <c:v>0.6</c:v>
                </c:pt>
                <c:pt idx="8">
                  <c:v>0.6</c:v>
                </c:pt>
                <c:pt idx="9">
                  <c:v>0.6</c:v>
                </c:pt>
                <c:pt idx="10">
                  <c:v>0.6</c:v>
                </c:pt>
                <c:pt idx="11">
                  <c:v>0.6</c:v>
                </c:pt>
                <c:pt idx="12">
                  <c:v>0.6</c:v>
                </c:pt>
                <c:pt idx="13">
                  <c:v>0.6</c:v>
                </c:pt>
                <c:pt idx="14">
                  <c:v>0.6</c:v>
                </c:pt>
                <c:pt idx="15">
                  <c:v>0.6</c:v>
                </c:pt>
                <c:pt idx="16">
                  <c:v>0.6</c:v>
                </c:pt>
                <c:pt idx="17">
                  <c:v>0.6</c:v>
                </c:pt>
                <c:pt idx="18">
                  <c:v>0.6</c:v>
                </c:pt>
                <c:pt idx="19">
                  <c:v>0.6</c:v>
                </c:pt>
                <c:pt idx="20">
                  <c:v>0.6</c:v>
                </c:pt>
                <c:pt idx="21">
                  <c:v>0.6</c:v>
                </c:pt>
                <c:pt idx="22">
                  <c:v>0.6</c:v>
                </c:pt>
                <c:pt idx="23">
                  <c:v>0.6</c:v>
                </c:pt>
                <c:pt idx="24">
                  <c:v>0.6</c:v>
                </c:pt>
                <c:pt idx="25">
                  <c:v>0.6</c:v>
                </c:pt>
                <c:pt idx="26">
                  <c:v>0.6</c:v>
                </c:pt>
                <c:pt idx="27">
                  <c:v>0.6</c:v>
                </c:pt>
                <c:pt idx="28">
                  <c:v>0.6</c:v>
                </c:pt>
                <c:pt idx="29">
                  <c:v>0.6</c:v>
                </c:pt>
                <c:pt idx="30">
                  <c:v>0.6</c:v>
                </c:pt>
                <c:pt idx="31">
                  <c:v>0.6</c:v>
                </c:pt>
                <c:pt idx="32">
                  <c:v>0.6</c:v>
                </c:pt>
                <c:pt idx="33">
                  <c:v>0.6</c:v>
                </c:pt>
                <c:pt idx="34">
                  <c:v>0.6</c:v>
                </c:pt>
                <c:pt idx="35">
                  <c:v>0.6</c:v>
                </c:pt>
                <c:pt idx="36">
                  <c:v>0.6</c:v>
                </c:pt>
                <c:pt idx="37">
                  <c:v>0.6</c:v>
                </c:pt>
                <c:pt idx="38">
                  <c:v>0.6</c:v>
                </c:pt>
                <c:pt idx="39">
                  <c:v>0.6</c:v>
                </c:pt>
                <c:pt idx="40">
                  <c:v>0.6</c:v>
                </c:pt>
                <c:pt idx="41">
                  <c:v>0.6</c:v>
                </c:pt>
                <c:pt idx="42">
                  <c:v>0.6</c:v>
                </c:pt>
                <c:pt idx="43">
                  <c:v>0.6</c:v>
                </c:pt>
                <c:pt idx="44">
                  <c:v>0.6</c:v>
                </c:pt>
                <c:pt idx="45">
                  <c:v>0.6</c:v>
                </c:pt>
                <c:pt idx="46">
                  <c:v>0.6</c:v>
                </c:pt>
                <c:pt idx="47">
                  <c:v>0.6</c:v>
                </c:pt>
                <c:pt idx="48">
                  <c:v>0.6</c:v>
                </c:pt>
                <c:pt idx="49">
                  <c:v>0.6</c:v>
                </c:pt>
                <c:pt idx="50">
                  <c:v>0.6</c:v>
                </c:pt>
              </c:numCache>
            </c:numRef>
          </c:yVal>
          <c:smooth val="1"/>
          <c:extLst>
            <c:ext xmlns:c16="http://schemas.microsoft.com/office/drawing/2014/chart" uri="{C3380CC4-5D6E-409C-BE32-E72D297353CC}">
              <c16:uniqueId val="{00000001-936D-4052-B402-C234E7C4896C}"/>
            </c:ext>
          </c:extLst>
        </c:ser>
        <c:ser>
          <c:idx val="2"/>
          <c:order val="2"/>
          <c:tx>
            <c:v>LV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Calculations!$AK$6:$AK$56</c:f>
              <c:numCache>
                <c:formatCode>General</c:formatCode>
                <c:ptCount val="51"/>
                <c:pt idx="0">
                  <c:v>0</c:v>
                </c:pt>
                <c:pt idx="1">
                  <c:v>0.30936885898404659</c:v>
                </c:pt>
                <c:pt idx="2">
                  <c:v>0.4375136361511282</c:v>
                </c:pt>
                <c:pt idx="3">
                  <c:v>0.53584258203998003</c:v>
                </c:pt>
                <c:pt idx="4">
                  <c:v>0.56000000000000005</c:v>
                </c:pt>
                <c:pt idx="5">
                  <c:v>0.56000000000000005</c:v>
                </c:pt>
                <c:pt idx="6">
                  <c:v>0.56000000000000005</c:v>
                </c:pt>
                <c:pt idx="7">
                  <c:v>0.56000000000000005</c:v>
                </c:pt>
                <c:pt idx="8">
                  <c:v>0.56000000000000005</c:v>
                </c:pt>
                <c:pt idx="9">
                  <c:v>0.56000000000000005</c:v>
                </c:pt>
                <c:pt idx="10">
                  <c:v>0.56000000000000005</c:v>
                </c:pt>
                <c:pt idx="11">
                  <c:v>0.56000000000000005</c:v>
                </c:pt>
                <c:pt idx="12">
                  <c:v>0.56000000000000005</c:v>
                </c:pt>
                <c:pt idx="13">
                  <c:v>0.56000000000000005</c:v>
                </c:pt>
                <c:pt idx="14">
                  <c:v>0.56000000000000005</c:v>
                </c:pt>
                <c:pt idx="15">
                  <c:v>0.56000000000000005</c:v>
                </c:pt>
                <c:pt idx="16">
                  <c:v>0.56000000000000005</c:v>
                </c:pt>
                <c:pt idx="17">
                  <c:v>0.56000000000000005</c:v>
                </c:pt>
                <c:pt idx="18">
                  <c:v>0.56000000000000005</c:v>
                </c:pt>
                <c:pt idx="19">
                  <c:v>0.56000000000000005</c:v>
                </c:pt>
                <c:pt idx="20">
                  <c:v>0.56000000000000005</c:v>
                </c:pt>
                <c:pt idx="21">
                  <c:v>0.56000000000000005</c:v>
                </c:pt>
                <c:pt idx="22">
                  <c:v>0.56000000000000005</c:v>
                </c:pt>
                <c:pt idx="23">
                  <c:v>0.56000000000000005</c:v>
                </c:pt>
                <c:pt idx="24">
                  <c:v>0.56000000000000005</c:v>
                </c:pt>
                <c:pt idx="25">
                  <c:v>0.56000000000000005</c:v>
                </c:pt>
                <c:pt idx="26">
                  <c:v>0.56000000000000005</c:v>
                </c:pt>
                <c:pt idx="27">
                  <c:v>0.56000000000000005</c:v>
                </c:pt>
                <c:pt idx="28">
                  <c:v>0.56000000000000005</c:v>
                </c:pt>
                <c:pt idx="29">
                  <c:v>0.56000000000000005</c:v>
                </c:pt>
                <c:pt idx="30">
                  <c:v>0.56000000000000005</c:v>
                </c:pt>
                <c:pt idx="31">
                  <c:v>0.56000000000000005</c:v>
                </c:pt>
                <c:pt idx="32">
                  <c:v>0.56000000000000005</c:v>
                </c:pt>
                <c:pt idx="33">
                  <c:v>0.56000000000000005</c:v>
                </c:pt>
                <c:pt idx="34">
                  <c:v>0.56000000000000005</c:v>
                </c:pt>
                <c:pt idx="35">
                  <c:v>0.56000000000000005</c:v>
                </c:pt>
                <c:pt idx="36">
                  <c:v>0.56000000000000005</c:v>
                </c:pt>
                <c:pt idx="37">
                  <c:v>0.56000000000000005</c:v>
                </c:pt>
                <c:pt idx="38">
                  <c:v>0.56000000000000005</c:v>
                </c:pt>
                <c:pt idx="39">
                  <c:v>0.56000000000000005</c:v>
                </c:pt>
                <c:pt idx="40">
                  <c:v>0.56000000000000005</c:v>
                </c:pt>
                <c:pt idx="41">
                  <c:v>0.56000000000000005</c:v>
                </c:pt>
                <c:pt idx="42">
                  <c:v>0.56000000000000005</c:v>
                </c:pt>
                <c:pt idx="43">
                  <c:v>0.56000000000000005</c:v>
                </c:pt>
                <c:pt idx="44">
                  <c:v>0.56000000000000005</c:v>
                </c:pt>
                <c:pt idx="45">
                  <c:v>0.56000000000000005</c:v>
                </c:pt>
                <c:pt idx="46">
                  <c:v>0.56000000000000005</c:v>
                </c:pt>
                <c:pt idx="47">
                  <c:v>0.56000000000000005</c:v>
                </c:pt>
                <c:pt idx="48">
                  <c:v>0.56000000000000005</c:v>
                </c:pt>
                <c:pt idx="49">
                  <c:v>0.56000000000000005</c:v>
                </c:pt>
                <c:pt idx="50">
                  <c:v>0.56000000000000005</c:v>
                </c:pt>
              </c:numCache>
            </c:numRef>
          </c:yVal>
          <c:smooth val="1"/>
          <c:extLst>
            <c:ext xmlns:c16="http://schemas.microsoft.com/office/drawing/2014/chart" uri="{C3380CC4-5D6E-409C-BE32-E72D297353CC}">
              <c16:uniqueId val="{00000002-936D-4052-B402-C234E7C4896C}"/>
            </c:ext>
          </c:extLst>
        </c:ser>
        <c:ser>
          <c:idx val="3"/>
          <c:order val="3"/>
          <c:tx>
            <c:v>LV Min</c:v>
          </c:tx>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Calculations!$B$51</c:f>
              <c:numCache>
                <c:formatCode>0.000</c:formatCode>
                <c:ptCount val="1"/>
                <c:pt idx="0">
                  <c:v>3.0997340425531914</c:v>
                </c:pt>
              </c:numCache>
            </c:numRef>
          </c:xVal>
          <c:yVal>
            <c:numRef>
              <c:f>Calculations!$B$52</c:f>
              <c:numCache>
                <c:formatCode>General</c:formatCode>
                <c:ptCount val="1"/>
                <c:pt idx="0">
                  <c:v>0.63</c:v>
                </c:pt>
              </c:numCache>
            </c:numRef>
          </c:yVal>
          <c:smooth val="0"/>
          <c:extLst>
            <c:ext xmlns:c16="http://schemas.microsoft.com/office/drawing/2014/chart" uri="{C3380CC4-5D6E-409C-BE32-E72D297353CC}">
              <c16:uniqueId val="{00000003-936D-4052-B402-C234E7C4896C}"/>
            </c:ext>
          </c:extLst>
        </c:ser>
        <c:ser>
          <c:idx val="4"/>
          <c:order val="4"/>
          <c:tx>
            <c:v>LV Nom</c:v>
          </c:tx>
          <c:spPr>
            <a:ln w="47625"/>
          </c:spPr>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Calculations!$B$54</c:f>
              <c:numCache>
                <c:formatCode>0.000</c:formatCode>
                <c:ptCount val="1"/>
                <c:pt idx="0">
                  <c:v>3.191489361702128</c:v>
                </c:pt>
              </c:numCache>
            </c:numRef>
          </c:xVal>
          <c:yVal>
            <c:numRef>
              <c:f>Calculations!$B$55</c:f>
              <c:numCache>
                <c:formatCode>0.000</c:formatCode>
                <c:ptCount val="1"/>
                <c:pt idx="0">
                  <c:v>0.6</c:v>
                </c:pt>
              </c:numCache>
            </c:numRef>
          </c:yVal>
          <c:smooth val="0"/>
          <c:extLst>
            <c:ext xmlns:c16="http://schemas.microsoft.com/office/drawing/2014/chart" uri="{C3380CC4-5D6E-409C-BE32-E72D297353CC}">
              <c16:uniqueId val="{00000004-936D-4052-B402-C234E7C4896C}"/>
            </c:ext>
          </c:extLst>
        </c:ser>
        <c:ser>
          <c:idx val="5"/>
          <c:order val="5"/>
          <c:tx>
            <c:v>LV Max</c:v>
          </c:tx>
          <c:marker>
            <c:symbol val="circle"/>
            <c:size val="11"/>
            <c:spPr>
              <a:noFill/>
              <a:ln w="25400">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Calculations!$B$57</c:f>
              <c:numCache>
                <c:formatCode>0.000</c:formatCode>
                <c:ptCount val="1"/>
                <c:pt idx="0">
                  <c:v>3.2765957446808511</c:v>
                </c:pt>
              </c:numCache>
            </c:numRef>
          </c:xVal>
          <c:yVal>
            <c:numRef>
              <c:f>Calculations!$B$58</c:f>
              <c:numCache>
                <c:formatCode>General</c:formatCode>
                <c:ptCount val="1"/>
                <c:pt idx="0">
                  <c:v>0.56000000000000005</c:v>
                </c:pt>
              </c:numCache>
            </c:numRef>
          </c:yVal>
          <c:smooth val="1"/>
          <c:extLst>
            <c:ext xmlns:c16="http://schemas.microsoft.com/office/drawing/2014/chart" uri="{C3380CC4-5D6E-409C-BE32-E72D297353CC}">
              <c16:uniqueId val="{00000005-936D-4052-B402-C234E7C4896C}"/>
            </c:ext>
          </c:extLst>
        </c:ser>
        <c:dLbls>
          <c:showLegendKey val="0"/>
          <c:showVal val="0"/>
          <c:showCatName val="0"/>
          <c:showSerName val="0"/>
          <c:showPercent val="0"/>
          <c:showBubbleSize val="0"/>
        </c:dLbls>
        <c:axId val="185636352"/>
        <c:axId val="186201216"/>
      </c:scatterChart>
      <c:valAx>
        <c:axId val="185636352"/>
        <c:scaling>
          <c:orientation val="minMax"/>
        </c:scaling>
        <c:delete val="0"/>
        <c:axPos val="b"/>
        <c:majorGridlines/>
        <c:title>
          <c:tx>
            <c:rich>
              <a:bodyPr/>
              <a:lstStyle/>
              <a:p>
                <a:pPr>
                  <a:defRPr/>
                </a:pPr>
                <a:r>
                  <a:rPr lang="en-US"/>
                  <a:t>Per Phase Average Inductor Current  (A)</a:t>
                </a:r>
              </a:p>
            </c:rich>
          </c:tx>
          <c:overlay val="0"/>
        </c:title>
        <c:numFmt formatCode="General" sourceLinked="1"/>
        <c:majorTickMark val="out"/>
        <c:minorTickMark val="none"/>
        <c:tickLblPos val="nextTo"/>
        <c:crossAx val="186201216"/>
        <c:crosses val="autoZero"/>
        <c:crossBetween val="midCat"/>
      </c:valAx>
      <c:valAx>
        <c:axId val="186201216"/>
        <c:scaling>
          <c:orientation val="minMax"/>
          <c:max val="1"/>
          <c:min val="0"/>
        </c:scaling>
        <c:delete val="0"/>
        <c:axPos val="l"/>
        <c:majorGridlines/>
        <c:title>
          <c:tx>
            <c:rich>
              <a:bodyPr rot="-5400000" vert="horz"/>
              <a:lstStyle/>
              <a:p>
                <a:pPr>
                  <a:defRPr/>
                </a:pPr>
                <a:r>
                  <a:rPr lang="en-US"/>
                  <a:t>LO</a:t>
                </a:r>
                <a:r>
                  <a:rPr lang="en-US" baseline="0"/>
                  <a:t> Duty Cycle</a:t>
                </a:r>
                <a:endParaRPr lang="en-US"/>
              </a:p>
            </c:rich>
          </c:tx>
          <c:overlay val="0"/>
        </c:title>
        <c:numFmt formatCode="General" sourceLinked="1"/>
        <c:majorTickMark val="out"/>
        <c:minorTickMark val="none"/>
        <c:tickLblPos val="nextTo"/>
        <c:crossAx val="185636352"/>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Buck Mode Duty Cycle</a:t>
            </a:r>
          </a:p>
        </c:rich>
      </c:tx>
      <c:overlay val="0"/>
    </c:title>
    <c:autoTitleDeleted val="0"/>
    <c:plotArea>
      <c:layout/>
      <c:scatterChart>
        <c:scatterStyle val="smoothMarker"/>
        <c:varyColors val="0"/>
        <c:ser>
          <c:idx val="0"/>
          <c:order val="0"/>
          <c:tx>
            <c:v>HV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Calculations!$P$6:$P$56</c:f>
              <c:numCache>
                <c:formatCode>General</c:formatCode>
                <c:ptCount val="51"/>
                <c:pt idx="0">
                  <c:v>0</c:v>
                </c:pt>
                <c:pt idx="1">
                  <c:v>0.30659419433511781</c:v>
                </c:pt>
                <c:pt idx="2">
                  <c:v>0.43358966777357594</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numCache>
            </c:numRef>
          </c:yVal>
          <c:smooth val="1"/>
          <c:extLst>
            <c:ext xmlns:c16="http://schemas.microsoft.com/office/drawing/2014/chart" uri="{C3380CC4-5D6E-409C-BE32-E72D297353CC}">
              <c16:uniqueId val="{00000000-B177-4C92-8B7B-E9995D074EE2}"/>
            </c:ext>
          </c:extLst>
        </c:ser>
        <c:ser>
          <c:idx val="1"/>
          <c:order val="1"/>
          <c:tx>
            <c:v>HV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Calculations!$T$6:$T$56</c:f>
              <c:numCache>
                <c:formatCode>General</c:formatCode>
                <c:ptCount val="51"/>
                <c:pt idx="0">
                  <c:v>0</c:v>
                </c:pt>
                <c:pt idx="1">
                  <c:v>0.22390474164995552</c:v>
                </c:pt>
                <c:pt idx="2">
                  <c:v>0.31664912232101111</c:v>
                </c:pt>
                <c:pt idx="3">
                  <c:v>0.3878143885933063</c:v>
                </c:pt>
                <c:pt idx="4">
                  <c:v>0.4</c:v>
                </c:pt>
                <c:pt idx="5">
                  <c:v>0.4</c:v>
                </c:pt>
                <c:pt idx="6">
                  <c:v>0.4</c:v>
                </c:pt>
                <c:pt idx="7">
                  <c:v>0.4</c:v>
                </c:pt>
                <c:pt idx="8">
                  <c:v>0.4</c:v>
                </c:pt>
                <c:pt idx="9">
                  <c:v>0.4</c:v>
                </c:pt>
                <c:pt idx="10">
                  <c:v>0.4</c:v>
                </c:pt>
                <c:pt idx="11">
                  <c:v>0.4</c:v>
                </c:pt>
                <c:pt idx="12">
                  <c:v>0.4</c:v>
                </c:pt>
                <c:pt idx="13">
                  <c:v>0.4</c:v>
                </c:pt>
                <c:pt idx="14">
                  <c:v>0.4</c:v>
                </c:pt>
                <c:pt idx="15">
                  <c:v>0.4</c:v>
                </c:pt>
                <c:pt idx="16">
                  <c:v>0.4</c:v>
                </c:pt>
                <c:pt idx="17">
                  <c:v>0.4</c:v>
                </c:pt>
                <c:pt idx="18">
                  <c:v>0.4</c:v>
                </c:pt>
                <c:pt idx="19">
                  <c:v>0.4</c:v>
                </c:pt>
                <c:pt idx="20">
                  <c:v>0.4</c:v>
                </c:pt>
                <c:pt idx="21">
                  <c:v>0.4</c:v>
                </c:pt>
                <c:pt idx="22">
                  <c:v>0.4</c:v>
                </c:pt>
                <c:pt idx="23">
                  <c:v>0.4</c:v>
                </c:pt>
                <c:pt idx="24">
                  <c:v>0.4</c:v>
                </c:pt>
                <c:pt idx="25">
                  <c:v>0.4</c:v>
                </c:pt>
                <c:pt idx="26">
                  <c:v>0.4</c:v>
                </c:pt>
                <c:pt idx="27">
                  <c:v>0.4</c:v>
                </c:pt>
                <c:pt idx="28">
                  <c:v>0.4</c:v>
                </c:pt>
                <c:pt idx="29">
                  <c:v>0.4</c:v>
                </c:pt>
                <c:pt idx="30">
                  <c:v>0.4</c:v>
                </c:pt>
                <c:pt idx="31">
                  <c:v>0.4</c:v>
                </c:pt>
                <c:pt idx="32">
                  <c:v>0.4</c:v>
                </c:pt>
                <c:pt idx="33">
                  <c:v>0.4</c:v>
                </c:pt>
                <c:pt idx="34">
                  <c:v>0.4</c:v>
                </c:pt>
                <c:pt idx="35">
                  <c:v>0.4</c:v>
                </c:pt>
                <c:pt idx="36">
                  <c:v>0.4</c:v>
                </c:pt>
                <c:pt idx="37">
                  <c:v>0.4</c:v>
                </c:pt>
                <c:pt idx="38">
                  <c:v>0.4</c:v>
                </c:pt>
                <c:pt idx="39">
                  <c:v>0.4</c:v>
                </c:pt>
                <c:pt idx="40">
                  <c:v>0.4</c:v>
                </c:pt>
                <c:pt idx="41">
                  <c:v>0.4</c:v>
                </c:pt>
                <c:pt idx="42">
                  <c:v>0.4</c:v>
                </c:pt>
                <c:pt idx="43">
                  <c:v>0.4</c:v>
                </c:pt>
                <c:pt idx="44">
                  <c:v>0.4</c:v>
                </c:pt>
                <c:pt idx="45">
                  <c:v>0.4</c:v>
                </c:pt>
                <c:pt idx="46">
                  <c:v>0.4</c:v>
                </c:pt>
                <c:pt idx="47">
                  <c:v>0.4</c:v>
                </c:pt>
                <c:pt idx="48">
                  <c:v>0.4</c:v>
                </c:pt>
                <c:pt idx="49">
                  <c:v>0.4</c:v>
                </c:pt>
                <c:pt idx="50">
                  <c:v>0.4</c:v>
                </c:pt>
              </c:numCache>
            </c:numRef>
          </c:yVal>
          <c:smooth val="1"/>
          <c:extLst>
            <c:ext xmlns:c16="http://schemas.microsoft.com/office/drawing/2014/chart" uri="{C3380CC4-5D6E-409C-BE32-E72D297353CC}">
              <c16:uniqueId val="{00000001-B177-4C92-8B7B-E9995D074EE2}"/>
            </c:ext>
          </c:extLst>
        </c:ser>
        <c:ser>
          <c:idx val="2"/>
          <c:order val="2"/>
          <c:tx>
            <c:v>HV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Calculations!$X$6:$X$56</c:f>
              <c:numCache>
                <c:formatCode>General</c:formatCode>
                <c:ptCount val="51"/>
                <c:pt idx="0">
                  <c:v>0</c:v>
                </c:pt>
                <c:pt idx="1">
                  <c:v>0.14658006101006468</c:v>
                </c:pt>
                <c:pt idx="2">
                  <c:v>0.20729551025390916</c:v>
                </c:pt>
                <c:pt idx="3">
                  <c:v>0.25388411304597786</c:v>
                </c:pt>
                <c:pt idx="4">
                  <c:v>0.2857142857142857</c:v>
                </c:pt>
                <c:pt idx="5">
                  <c:v>0.2857142857142857</c:v>
                </c:pt>
                <c:pt idx="6">
                  <c:v>0.2857142857142857</c:v>
                </c:pt>
                <c:pt idx="7">
                  <c:v>0.2857142857142857</c:v>
                </c:pt>
                <c:pt idx="8">
                  <c:v>0.2857142857142857</c:v>
                </c:pt>
                <c:pt idx="9">
                  <c:v>0.2857142857142857</c:v>
                </c:pt>
                <c:pt idx="10">
                  <c:v>0.2857142857142857</c:v>
                </c:pt>
                <c:pt idx="11">
                  <c:v>0.2857142857142857</c:v>
                </c:pt>
                <c:pt idx="12">
                  <c:v>0.2857142857142857</c:v>
                </c:pt>
                <c:pt idx="13">
                  <c:v>0.2857142857142857</c:v>
                </c:pt>
                <c:pt idx="14">
                  <c:v>0.2857142857142857</c:v>
                </c:pt>
                <c:pt idx="15">
                  <c:v>0.2857142857142857</c:v>
                </c:pt>
                <c:pt idx="16">
                  <c:v>0.2857142857142857</c:v>
                </c:pt>
                <c:pt idx="17">
                  <c:v>0.2857142857142857</c:v>
                </c:pt>
                <c:pt idx="18">
                  <c:v>0.2857142857142857</c:v>
                </c:pt>
                <c:pt idx="19">
                  <c:v>0.2857142857142857</c:v>
                </c:pt>
                <c:pt idx="20">
                  <c:v>0.2857142857142857</c:v>
                </c:pt>
                <c:pt idx="21">
                  <c:v>0.2857142857142857</c:v>
                </c:pt>
                <c:pt idx="22">
                  <c:v>0.2857142857142857</c:v>
                </c:pt>
                <c:pt idx="23">
                  <c:v>0.2857142857142857</c:v>
                </c:pt>
                <c:pt idx="24">
                  <c:v>0.2857142857142857</c:v>
                </c:pt>
                <c:pt idx="25">
                  <c:v>0.2857142857142857</c:v>
                </c:pt>
                <c:pt idx="26">
                  <c:v>0.2857142857142857</c:v>
                </c:pt>
                <c:pt idx="27">
                  <c:v>0.2857142857142857</c:v>
                </c:pt>
                <c:pt idx="28">
                  <c:v>0.2857142857142857</c:v>
                </c:pt>
                <c:pt idx="29">
                  <c:v>0.2857142857142857</c:v>
                </c:pt>
                <c:pt idx="30">
                  <c:v>0.2857142857142857</c:v>
                </c:pt>
                <c:pt idx="31">
                  <c:v>0.2857142857142857</c:v>
                </c:pt>
                <c:pt idx="32">
                  <c:v>0.2857142857142857</c:v>
                </c:pt>
                <c:pt idx="33">
                  <c:v>0.2857142857142857</c:v>
                </c:pt>
                <c:pt idx="34">
                  <c:v>0.2857142857142857</c:v>
                </c:pt>
                <c:pt idx="35">
                  <c:v>0.2857142857142857</c:v>
                </c:pt>
                <c:pt idx="36">
                  <c:v>0.2857142857142857</c:v>
                </c:pt>
                <c:pt idx="37">
                  <c:v>0.2857142857142857</c:v>
                </c:pt>
                <c:pt idx="38">
                  <c:v>0.2857142857142857</c:v>
                </c:pt>
                <c:pt idx="39">
                  <c:v>0.2857142857142857</c:v>
                </c:pt>
                <c:pt idx="40">
                  <c:v>0.2857142857142857</c:v>
                </c:pt>
                <c:pt idx="41">
                  <c:v>0.2857142857142857</c:v>
                </c:pt>
                <c:pt idx="42">
                  <c:v>0.2857142857142857</c:v>
                </c:pt>
                <c:pt idx="43">
                  <c:v>0.2857142857142857</c:v>
                </c:pt>
                <c:pt idx="44">
                  <c:v>0.2857142857142857</c:v>
                </c:pt>
                <c:pt idx="45">
                  <c:v>0.2857142857142857</c:v>
                </c:pt>
                <c:pt idx="46">
                  <c:v>0.2857142857142857</c:v>
                </c:pt>
                <c:pt idx="47">
                  <c:v>0.2857142857142857</c:v>
                </c:pt>
                <c:pt idx="48">
                  <c:v>0.2857142857142857</c:v>
                </c:pt>
                <c:pt idx="49">
                  <c:v>0.2857142857142857</c:v>
                </c:pt>
                <c:pt idx="50">
                  <c:v>0.2857142857142857</c:v>
                </c:pt>
              </c:numCache>
            </c:numRef>
          </c:yVal>
          <c:smooth val="1"/>
          <c:extLst>
            <c:ext xmlns:c16="http://schemas.microsoft.com/office/drawing/2014/chart" uri="{C3380CC4-5D6E-409C-BE32-E72D297353CC}">
              <c16:uniqueId val="{00000002-B177-4C92-8B7B-E9995D074EE2}"/>
            </c:ext>
          </c:extLst>
        </c:ser>
        <c:ser>
          <c:idx val="3"/>
          <c:order val="3"/>
          <c:tx>
            <c:v>HV MIN</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Calculations!$B$42</c:f>
              <c:numCache>
                <c:formatCode>0.000</c:formatCode>
                <c:ptCount val="1"/>
                <c:pt idx="0">
                  <c:v>2.6595744680851063</c:v>
                </c:pt>
              </c:numCache>
            </c:numRef>
          </c:xVal>
          <c:yVal>
            <c:numRef>
              <c:f>Calculations!$B$43</c:f>
              <c:numCache>
                <c:formatCode>General</c:formatCode>
                <c:ptCount val="1"/>
                <c:pt idx="0">
                  <c:v>0.5</c:v>
                </c:pt>
              </c:numCache>
            </c:numRef>
          </c:yVal>
          <c:smooth val="1"/>
          <c:extLst>
            <c:ext xmlns:c16="http://schemas.microsoft.com/office/drawing/2014/chart" uri="{C3380CC4-5D6E-409C-BE32-E72D297353CC}">
              <c16:uniqueId val="{00000003-B177-4C92-8B7B-E9995D074EE2}"/>
            </c:ext>
          </c:extLst>
        </c:ser>
        <c:ser>
          <c:idx val="4"/>
          <c:order val="4"/>
          <c:tx>
            <c:v>HV Nom</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Calculations!$B$45</c:f>
              <c:numCache>
                <c:formatCode>0.000</c:formatCode>
                <c:ptCount val="1"/>
                <c:pt idx="0">
                  <c:v>3.191489361702128</c:v>
                </c:pt>
              </c:numCache>
            </c:numRef>
          </c:xVal>
          <c:yVal>
            <c:numRef>
              <c:f>Calculations!$B$46</c:f>
              <c:numCache>
                <c:formatCode>0.0000</c:formatCode>
                <c:ptCount val="1"/>
                <c:pt idx="0">
                  <c:v>0.4</c:v>
                </c:pt>
              </c:numCache>
            </c:numRef>
          </c:yVal>
          <c:smooth val="1"/>
          <c:extLst>
            <c:ext xmlns:c16="http://schemas.microsoft.com/office/drawing/2014/chart" uri="{C3380CC4-5D6E-409C-BE32-E72D297353CC}">
              <c16:uniqueId val="{00000004-B177-4C92-8B7B-E9995D074EE2}"/>
            </c:ext>
          </c:extLst>
        </c:ser>
        <c:ser>
          <c:idx val="5"/>
          <c:order val="5"/>
          <c:tx>
            <c:v>HV Max</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Calculations!$B$48</c:f>
              <c:numCache>
                <c:formatCode>0.000</c:formatCode>
                <c:ptCount val="1"/>
                <c:pt idx="0">
                  <c:v>3.7993920972644379</c:v>
                </c:pt>
              </c:numCache>
            </c:numRef>
          </c:xVal>
          <c:yVal>
            <c:numRef>
              <c:f>Calculations!$B$49</c:f>
              <c:numCache>
                <c:formatCode>0.000</c:formatCode>
                <c:ptCount val="1"/>
                <c:pt idx="0">
                  <c:v>0.2857142857142857</c:v>
                </c:pt>
              </c:numCache>
            </c:numRef>
          </c:yVal>
          <c:smooth val="1"/>
          <c:extLst>
            <c:ext xmlns:c16="http://schemas.microsoft.com/office/drawing/2014/chart" uri="{C3380CC4-5D6E-409C-BE32-E72D297353CC}">
              <c16:uniqueId val="{00000005-B177-4C92-8B7B-E9995D074EE2}"/>
            </c:ext>
          </c:extLst>
        </c:ser>
        <c:dLbls>
          <c:showLegendKey val="0"/>
          <c:showVal val="0"/>
          <c:showCatName val="0"/>
          <c:showSerName val="0"/>
          <c:showPercent val="0"/>
          <c:showBubbleSize val="0"/>
        </c:dLbls>
        <c:axId val="187404288"/>
        <c:axId val="187406208"/>
      </c:scatterChart>
      <c:valAx>
        <c:axId val="187404288"/>
        <c:scaling>
          <c:orientation val="minMax"/>
        </c:scaling>
        <c:delete val="0"/>
        <c:axPos val="b"/>
        <c:majorGridlines/>
        <c:title>
          <c:tx>
            <c:rich>
              <a:bodyPr/>
              <a:lstStyle/>
              <a:p>
                <a:pPr>
                  <a:defRPr/>
                </a:pPr>
                <a:r>
                  <a:rPr lang="en-US"/>
                  <a:t>Per</a:t>
                </a:r>
                <a:r>
                  <a:rPr lang="en-US" baseline="0"/>
                  <a:t> Phase Average Inductor Current (A)</a:t>
                </a:r>
                <a:endParaRPr lang="en-US"/>
              </a:p>
            </c:rich>
          </c:tx>
          <c:overlay val="0"/>
        </c:title>
        <c:numFmt formatCode="General" sourceLinked="1"/>
        <c:majorTickMark val="out"/>
        <c:minorTickMark val="none"/>
        <c:tickLblPos val="nextTo"/>
        <c:crossAx val="187406208"/>
        <c:crosses val="autoZero"/>
        <c:crossBetween val="midCat"/>
      </c:valAx>
      <c:valAx>
        <c:axId val="187406208"/>
        <c:scaling>
          <c:orientation val="minMax"/>
          <c:max val="1"/>
          <c:min val="0"/>
        </c:scaling>
        <c:delete val="0"/>
        <c:axPos val="l"/>
        <c:majorGridlines/>
        <c:title>
          <c:tx>
            <c:rich>
              <a:bodyPr rot="-5400000" vert="horz"/>
              <a:lstStyle/>
              <a:p>
                <a:pPr>
                  <a:defRPr/>
                </a:pPr>
                <a:r>
                  <a:rPr lang="en-US"/>
                  <a:t>HO</a:t>
                </a:r>
                <a:r>
                  <a:rPr lang="en-US" baseline="0"/>
                  <a:t> Duty Cycle</a:t>
                </a:r>
                <a:endParaRPr lang="en-US"/>
              </a:p>
            </c:rich>
          </c:tx>
          <c:overlay val="0"/>
        </c:title>
        <c:numFmt formatCode="General" sourceLinked="1"/>
        <c:majorTickMark val="out"/>
        <c:minorTickMark val="none"/>
        <c:tickLblPos val="nextTo"/>
        <c:crossAx val="187404288"/>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a:t>
            </a:r>
            <a:endParaRPr lang="en-US"/>
          </a:p>
        </c:rich>
      </c:tx>
      <c:overlay val="0"/>
    </c:title>
    <c:autoTitleDeleted val="0"/>
    <c:plotArea>
      <c:layout/>
      <c:scatterChart>
        <c:scatterStyle val="lineMarker"/>
        <c:varyColors val="0"/>
        <c:ser>
          <c:idx val="0"/>
          <c:order val="0"/>
          <c:tx>
            <c:v>Gain</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Compensation!$Y$79:$Y$133</c:f>
              <c:numCache>
                <c:formatCode>General</c:formatCode>
                <c:ptCount val="55"/>
                <c:pt idx="0">
                  <c:v>69.976824406359398</c:v>
                </c:pt>
                <c:pt idx="1">
                  <c:v>63.955873776097256</c:v>
                </c:pt>
                <c:pt idx="2">
                  <c:v>60.433464167268589</c:v>
                </c:pt>
                <c:pt idx="3">
                  <c:v>57.933871447462309</c:v>
                </c:pt>
                <c:pt idx="4">
                  <c:v>55.994619850713214</c:v>
                </c:pt>
                <c:pt idx="5">
                  <c:v>54.409710515220794</c:v>
                </c:pt>
                <c:pt idx="6">
                  <c:v>53.069257560934616</c:v>
                </c:pt>
                <c:pt idx="7">
                  <c:v>51.907669102975277</c:v>
                </c:pt>
                <c:pt idx="8">
                  <c:v>50.882637228596423</c:v>
                </c:pt>
                <c:pt idx="9">
                  <c:v>49.965274593611966</c:v>
                </c:pt>
                <c:pt idx="10">
                  <c:v>43.909972764950318</c:v>
                </c:pt>
                <c:pt idx="11">
                  <c:v>40.331284239838332</c:v>
                </c:pt>
                <c:pt idx="12">
                  <c:v>37.75487379117844</c:v>
                </c:pt>
                <c:pt idx="13">
                  <c:v>35.720078669168409</c:v>
                </c:pt>
                <c:pt idx="14">
                  <c:v>34.023026677276405</c:v>
                </c:pt>
                <c:pt idx="15">
                  <c:v>32.556155072646867</c:v>
                </c:pt>
                <c:pt idx="16">
                  <c:v>31.256279102159851</c:v>
                </c:pt>
                <c:pt idx="17">
                  <c:v>30.083482872361124</c:v>
                </c:pt>
                <c:pt idx="18">
                  <c:v>29.011175481743933</c:v>
                </c:pt>
                <c:pt idx="19">
                  <c:v>21.379308463621015</c:v>
                </c:pt>
                <c:pt idx="20">
                  <c:v>16.673793588215851</c:v>
                </c:pt>
                <c:pt idx="21">
                  <c:v>13.461923001339478</c:v>
                </c:pt>
                <c:pt idx="22">
                  <c:v>11.121749516767398</c:v>
                </c:pt>
                <c:pt idx="23">
                  <c:v>9.321388759234317</c:v>
                </c:pt>
                <c:pt idx="24">
                  <c:v>7.8730163451617239</c:v>
                </c:pt>
                <c:pt idx="25">
                  <c:v>6.6652319356827494</c:v>
                </c:pt>
                <c:pt idx="26">
                  <c:v>5.6290490358185998</c:v>
                </c:pt>
                <c:pt idx="27">
                  <c:v>4.7200298809957379</c:v>
                </c:pt>
                <c:pt idx="28">
                  <c:v>-1.1031695231007903</c:v>
                </c:pt>
                <c:pt idx="29">
                  <c:v>-4.5255577070343094</c:v>
                </c:pt>
                <c:pt idx="30">
                  <c:v>-6.9728718971939703</c:v>
                </c:pt>
                <c:pt idx="31">
                  <c:v>-8.8753505538023472</c:v>
                </c:pt>
                <c:pt idx="32">
                  <c:v>-10.42821612799791</c:v>
                </c:pt>
                <c:pt idx="33">
                  <c:v>-11.737255076557149</c:v>
                </c:pt>
                <c:pt idx="34">
                  <c:v>-12.866327009884646</c:v>
                </c:pt>
                <c:pt idx="35">
                  <c:v>-13.856981005725119</c:v>
                </c:pt>
                <c:pt idx="36">
                  <c:v>-14.737801191699297</c:v>
                </c:pt>
                <c:pt idx="37">
                  <c:v>-20.340750013545016</c:v>
                </c:pt>
                <c:pt idx="38">
                  <c:v>-23.613349037595501</c:v>
                </c:pt>
                <c:pt idx="39">
                  <c:v>-26.64558491284318</c:v>
                </c:pt>
                <c:pt idx="40">
                  <c:v>-30.181096369938572</c:v>
                </c:pt>
                <c:pt idx="41">
                  <c:v>-34.004699945555643</c:v>
                </c:pt>
                <c:pt idx="42">
                  <c:v>-37.708070290159426</c:v>
                </c:pt>
                <c:pt idx="43">
                  <c:v>-41.109552746519455</c:v>
                </c:pt>
                <c:pt idx="44">
                  <c:v>-44.184493139535249</c:v>
                </c:pt>
                <c:pt idx="45">
                  <c:v>-46.962869821683682</c:v>
                </c:pt>
                <c:pt idx="46">
                  <c:v>-65.274977523466362</c:v>
                </c:pt>
                <c:pt idx="47">
                  <c:v>-75.907789386736624</c:v>
                </c:pt>
                <c:pt idx="48">
                  <c:v>-83.428993905871764</c:v>
                </c:pt>
                <c:pt idx="49">
                  <c:v>-89.255331034613931</c:v>
                </c:pt>
                <c:pt idx="50">
                  <c:v>-94.012638456471535</c:v>
                </c:pt>
                <c:pt idx="51">
                  <c:v>-98.033343853577222</c:v>
                </c:pt>
                <c:pt idx="52">
                  <c:v>-101.51539837494167</c:v>
                </c:pt>
                <c:pt idx="53">
                  <c:v>-104.58629306958223</c:v>
                </c:pt>
                <c:pt idx="54">
                  <c:v>-107.33299125566302</c:v>
                </c:pt>
              </c:numCache>
            </c:numRef>
          </c:yVal>
          <c:smooth val="0"/>
          <c:extLst>
            <c:ext xmlns:c16="http://schemas.microsoft.com/office/drawing/2014/chart" uri="{C3380CC4-5D6E-409C-BE32-E72D297353CC}">
              <c16:uniqueId val="{00000000-78F6-4F9E-A5CC-2AB5793821F1}"/>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78F6-4F9E-A5CC-2AB5793821F1}"/>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78F6-4F9E-A5CC-2AB5793821F1}"/>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447.62327744595569</c:v>
                </c:pt>
              </c:numCache>
            </c:numRef>
          </c:xVal>
          <c:yVal>
            <c:numRef>
              <c:f>Compensation!$Y$137</c:f>
              <c:numCache>
                <c:formatCode>General</c:formatCode>
                <c:ptCount val="1"/>
                <c:pt idx="0">
                  <c:v>12.263635845665181</c:v>
                </c:pt>
              </c:numCache>
            </c:numRef>
          </c:yVal>
          <c:smooth val="0"/>
          <c:extLst>
            <c:ext xmlns:c16="http://schemas.microsoft.com/office/drawing/2014/chart" uri="{C3380CC4-5D6E-409C-BE32-E72D297353CC}">
              <c16:uniqueId val="{00000003-78F6-4F9E-A5CC-2AB5793821F1}"/>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78F6-4F9E-A5CC-2AB5793821F1}"/>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Compensation!$B$135</c:f>
              <c:numCache>
                <c:formatCode>General</c:formatCode>
                <c:ptCount val="1"/>
                <c:pt idx="0">
                  <c:v>777.88339732109148</c:v>
                </c:pt>
              </c:numCache>
            </c:numRef>
          </c:xVal>
          <c:yVal>
            <c:numRef>
              <c:f>Compensation!$Y$135</c:f>
              <c:numCache>
                <c:formatCode>General</c:formatCode>
                <c:ptCount val="1"/>
                <c:pt idx="0">
                  <c:v>6.9156275978950816</c:v>
                </c:pt>
              </c:numCache>
            </c:numRef>
          </c:yVal>
          <c:smooth val="0"/>
          <c:extLst>
            <c:ext xmlns:c16="http://schemas.microsoft.com/office/drawing/2014/chart" uri="{C3380CC4-5D6E-409C-BE32-E72D297353CC}">
              <c16:uniqueId val="{00000005-78F6-4F9E-A5CC-2AB5793821F1}"/>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78F6-4F9E-A5CC-2AB5793821F1}"/>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Compensation!$B$136</c:f>
              <c:numCache>
                <c:formatCode>General</c:formatCode>
                <c:ptCount val="1"/>
                <c:pt idx="0">
                  <c:v>42783.586852660039</c:v>
                </c:pt>
              </c:numCache>
            </c:numRef>
          </c:xVal>
          <c:yVal>
            <c:numRef>
              <c:f>Compensation!$Y$136</c:f>
              <c:numCache>
                <c:formatCode>General</c:formatCode>
                <c:ptCount val="1"/>
                <c:pt idx="0">
                  <c:v>-27.575674377292327</c:v>
                </c:pt>
              </c:numCache>
            </c:numRef>
          </c:yVal>
          <c:smooth val="0"/>
          <c:extLst>
            <c:ext xmlns:c16="http://schemas.microsoft.com/office/drawing/2014/chart" uri="{C3380CC4-5D6E-409C-BE32-E72D297353CC}">
              <c16:uniqueId val="{00000007-78F6-4F9E-A5CC-2AB5793821F1}"/>
            </c:ext>
          </c:extLst>
        </c:ser>
        <c:dLbls>
          <c:showLegendKey val="0"/>
          <c:showVal val="0"/>
          <c:showCatName val="0"/>
          <c:showSerName val="0"/>
          <c:showPercent val="0"/>
          <c:showBubbleSize val="0"/>
        </c:dLbls>
        <c:axId val="187990400"/>
        <c:axId val="187992320"/>
      </c:scatterChart>
      <c:scatterChart>
        <c:scatterStyle val="lineMarker"/>
        <c:varyColors val="0"/>
        <c:ser>
          <c:idx val="1"/>
          <c:order val="1"/>
          <c:tx>
            <c:v>Phase</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Compensation!$Z$79:$Z$133</c:f>
              <c:numCache>
                <c:formatCode>General</c:formatCode>
                <c:ptCount val="55"/>
                <c:pt idx="0">
                  <c:v>89.830099194957228</c:v>
                </c:pt>
                <c:pt idx="1">
                  <c:v>89.660219559513976</c:v>
                </c:pt>
                <c:pt idx="2">
                  <c:v>89.490382253624134</c:v>
                </c:pt>
                <c:pt idx="3">
                  <c:v>89.320608417960671</c:v>
                </c:pt>
                <c:pt idx="4">
                  <c:v>89.150919164300689</c:v>
                </c:pt>
                <c:pt idx="5">
                  <c:v>88.981335565941194</c:v>
                </c:pt>
                <c:pt idx="6">
                  <c:v>88.811878648155698</c:v>
                </c:pt>
                <c:pt idx="7">
                  <c:v>88.642569378701523</c:v>
                </c:pt>
                <c:pt idx="8">
                  <c:v>88.47342865838803</c:v>
                </c:pt>
                <c:pt idx="9">
                  <c:v>88.304477311715374</c:v>
                </c:pt>
                <c:pt idx="10">
                  <c:v>86.629887945035961</c:v>
                </c:pt>
                <c:pt idx="11">
                  <c:v>84.996233549725517</c:v>
                </c:pt>
                <c:pt idx="12">
                  <c:v>83.421747081023582</c:v>
                </c:pt>
                <c:pt idx="13">
                  <c:v>81.922227840822202</c:v>
                </c:pt>
                <c:pt idx="14">
                  <c:v>80.510596395437716</c:v>
                </c:pt>
                <c:pt idx="15">
                  <c:v>79.196683007348881</c:v>
                </c:pt>
                <c:pt idx="16">
                  <c:v>77.987232332970862</c:v>
                </c:pt>
                <c:pt idx="17">
                  <c:v>76.886085066046107</c:v>
                </c:pt>
                <c:pt idx="18">
                  <c:v>75.894486066113771</c:v>
                </c:pt>
                <c:pt idx="19">
                  <c:v>71.184833689930386</c:v>
                </c:pt>
                <c:pt idx="20">
                  <c:v>72.013044355301062</c:v>
                </c:pt>
                <c:pt idx="21">
                  <c:v>74.466643461875762</c:v>
                </c:pt>
                <c:pt idx="22">
                  <c:v>77.014715813939986</c:v>
                </c:pt>
                <c:pt idx="23">
                  <c:v>79.207466933276521</c:v>
                </c:pt>
                <c:pt idx="24">
                  <c:v>80.971473476213873</c:v>
                </c:pt>
                <c:pt idx="25">
                  <c:v>82.349369516527361</c:v>
                </c:pt>
                <c:pt idx="26">
                  <c:v>83.410277882502726</c:v>
                </c:pt>
                <c:pt idx="27">
                  <c:v>84.220570330981033</c:v>
                </c:pt>
                <c:pt idx="28">
                  <c:v>86.374969996366488</c:v>
                </c:pt>
                <c:pt idx="29">
                  <c:v>85.714621951772585</c:v>
                </c:pt>
                <c:pt idx="30">
                  <c:v>84.624086504967309</c:v>
                </c:pt>
                <c:pt idx="31">
                  <c:v>83.413783212090493</c:v>
                </c:pt>
                <c:pt idx="32">
                  <c:v>82.150968721563572</c:v>
                </c:pt>
                <c:pt idx="33">
                  <c:v>80.85489644346147</c:v>
                </c:pt>
                <c:pt idx="34">
                  <c:v>79.531538719900297</c:v>
                </c:pt>
                <c:pt idx="35">
                  <c:v>78.182268229411292</c:v>
                </c:pt>
                <c:pt idx="36">
                  <c:v>76.80659684684359</c:v>
                </c:pt>
                <c:pt idx="37">
                  <c:v>61.215606223326766</c:v>
                </c:pt>
                <c:pt idx="38">
                  <c:v>41.288347912315686</c:v>
                </c:pt>
                <c:pt idx="39">
                  <c:v>17.92168228897571</c:v>
                </c:pt>
                <c:pt idx="40">
                  <c:v>-4.2774290394451198</c:v>
                </c:pt>
                <c:pt idx="41">
                  <c:v>-21.567024773299106</c:v>
                </c:pt>
                <c:pt idx="42">
                  <c:v>-33.904169695320284</c:v>
                </c:pt>
                <c:pt idx="43">
                  <c:v>-42.681854068382606</c:v>
                </c:pt>
                <c:pt idx="44">
                  <c:v>-49.110789723331628</c:v>
                </c:pt>
                <c:pt idx="45">
                  <c:v>-53.984425885097004</c:v>
                </c:pt>
                <c:pt idx="46">
                  <c:v>-73.285081936152167</c:v>
                </c:pt>
                <c:pt idx="47">
                  <c:v>-79.016131572099624</c:v>
                </c:pt>
                <c:pt idx="48">
                  <c:v>-81.803736487257453</c:v>
                </c:pt>
                <c:pt idx="49">
                  <c:v>-83.458372201707149</c:v>
                </c:pt>
                <c:pt idx="50">
                  <c:v>-84.555598802465141</c:v>
                </c:pt>
                <c:pt idx="51">
                  <c:v>-85.336962647015625</c:v>
                </c:pt>
                <c:pt idx="52">
                  <c:v>-85.921881500421719</c:v>
                </c:pt>
                <c:pt idx="53">
                  <c:v>-86.376248135788245</c:v>
                </c:pt>
                <c:pt idx="54">
                  <c:v>-86.739422945110263</c:v>
                </c:pt>
              </c:numCache>
            </c:numRef>
          </c:yVal>
          <c:smooth val="0"/>
          <c:extLst>
            <c:ext xmlns:c16="http://schemas.microsoft.com/office/drawing/2014/chart" uri="{C3380CC4-5D6E-409C-BE32-E72D297353CC}">
              <c16:uniqueId val="{00000008-78F6-4F9E-A5CC-2AB5793821F1}"/>
            </c:ext>
          </c:extLst>
        </c:ser>
        <c:dLbls>
          <c:showLegendKey val="0"/>
          <c:showVal val="0"/>
          <c:showCatName val="0"/>
          <c:showSerName val="0"/>
          <c:showPercent val="0"/>
          <c:showBubbleSize val="0"/>
        </c:dLbls>
        <c:axId val="195000960"/>
        <c:axId val="188226176"/>
      </c:scatterChart>
      <c:valAx>
        <c:axId val="18799040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87992320"/>
        <c:crosses val="autoZero"/>
        <c:crossBetween val="midCat"/>
      </c:valAx>
      <c:valAx>
        <c:axId val="187992320"/>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87990400"/>
        <c:crosses val="autoZero"/>
        <c:crossBetween val="midCat"/>
        <c:majorUnit val="20"/>
      </c:valAx>
      <c:valAx>
        <c:axId val="188226176"/>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95000960"/>
        <c:crosses val="max"/>
        <c:crossBetween val="midCat"/>
        <c:majorUnit val="45"/>
      </c:valAx>
      <c:valAx>
        <c:axId val="195000960"/>
        <c:scaling>
          <c:logBase val="10"/>
          <c:orientation val="minMax"/>
        </c:scaling>
        <c:delete val="1"/>
        <c:axPos val="b"/>
        <c:numFmt formatCode="General" sourceLinked="1"/>
        <c:majorTickMark val="out"/>
        <c:minorTickMark val="none"/>
        <c:tickLblPos val="nextTo"/>
        <c:crossAx val="188226176"/>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Boost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Compensation!$Y$169:$Y$223</c:f>
              <c:numCache>
                <c:formatCode>General</c:formatCode>
                <c:ptCount val="55"/>
                <c:pt idx="0">
                  <c:v>83.385115861172096</c:v>
                </c:pt>
                <c:pt idx="1">
                  <c:v>77.363913506722511</c:v>
                </c:pt>
                <c:pt idx="2">
                  <c:v>73.841084481481303</c:v>
                </c:pt>
                <c:pt idx="3">
                  <c:v>71.340904838718856</c:v>
                </c:pt>
                <c:pt idx="4">
                  <c:v>69.400899072089075</c:v>
                </c:pt>
                <c:pt idx="5">
                  <c:v>67.815068653012673</c:v>
                </c:pt>
                <c:pt idx="6">
                  <c:v>66.47352810783525</c:v>
                </c:pt>
                <c:pt idx="7">
                  <c:v>65.310686030725563</c:v>
                </c:pt>
                <c:pt idx="8">
                  <c:v>64.284235060024173</c:v>
                </c:pt>
                <c:pt idx="9">
                  <c:v>63.365288473967311</c:v>
                </c:pt>
                <c:pt idx="10">
                  <c:v>57.285266221670852</c:v>
                </c:pt>
                <c:pt idx="11">
                  <c:v>53.66654531019239</c:v>
                </c:pt>
                <c:pt idx="12">
                  <c:v>51.036395130073579</c:v>
                </c:pt>
                <c:pt idx="13">
                  <c:v>48.936137365004981</c:v>
                </c:pt>
                <c:pt idx="14">
                  <c:v>47.164068836048223</c:v>
                </c:pt>
                <c:pt idx="15">
                  <c:v>45.614800232984379</c:v>
                </c:pt>
                <c:pt idx="16">
                  <c:v>44.227181874018989</c:v>
                </c:pt>
                <c:pt idx="17">
                  <c:v>42.963098916476412</c:v>
                </c:pt>
                <c:pt idx="18">
                  <c:v>41.797477816295014</c:v>
                </c:pt>
                <c:pt idx="19">
                  <c:v>33.279212438556904</c:v>
                </c:pt>
                <c:pt idx="20">
                  <c:v>27.845090178071253</c:v>
                </c:pt>
                <c:pt idx="21">
                  <c:v>24.008213629739718</c:v>
                </c:pt>
                <c:pt idx="22">
                  <c:v>21.124050669162347</c:v>
                </c:pt>
                <c:pt idx="23">
                  <c:v>18.85563568397318</c:v>
                </c:pt>
                <c:pt idx="24">
                  <c:v>17.009695884305255</c:v>
                </c:pt>
                <c:pt idx="25">
                  <c:v>15.466981891260758</c:v>
                </c:pt>
                <c:pt idx="26">
                  <c:v>14.149676184715927</c:v>
                </c:pt>
                <c:pt idx="27">
                  <c:v>13.004781566562889</c:v>
                </c:pt>
                <c:pt idx="28">
                  <c:v>6.1118200994395613</c:v>
                </c:pt>
                <c:pt idx="29">
                  <c:v>2.4151150772611754</c:v>
                </c:pt>
                <c:pt idx="30">
                  <c:v>-0.12495985011336962</c:v>
                </c:pt>
                <c:pt idx="31">
                  <c:v>-2.0578841410322757</c:v>
                </c:pt>
                <c:pt idx="32">
                  <c:v>-3.6127145720132257</c:v>
                </c:pt>
                <c:pt idx="33">
                  <c:v>-4.9076767715331497</c:v>
                </c:pt>
                <c:pt idx="34">
                  <c:v>-6.0121255788061791</c:v>
                </c:pt>
                <c:pt idx="35">
                  <c:v>-6.9704118087974631</c:v>
                </c:pt>
                <c:pt idx="36">
                  <c:v>-7.8127318784195507</c:v>
                </c:pt>
                <c:pt idx="37">
                  <c:v>-12.832160651836864</c:v>
                </c:pt>
                <c:pt idx="38">
                  <c:v>-15.346518207624019</c:v>
                </c:pt>
                <c:pt idx="39">
                  <c:v>-17.563987770700294</c:v>
                </c:pt>
                <c:pt idx="40">
                  <c:v>-20.269326237753262</c:v>
                </c:pt>
                <c:pt idx="41">
                  <c:v>-23.265430792686807</c:v>
                </c:pt>
                <c:pt idx="42">
                  <c:v>-26.161028355570913</c:v>
                </c:pt>
                <c:pt idx="43">
                  <c:v>-28.786735447832275</c:v>
                </c:pt>
                <c:pt idx="44">
                  <c:v>-31.123706239320846</c:v>
                </c:pt>
                <c:pt idx="45">
                  <c:v>-33.203445650322884</c:v>
                </c:pt>
                <c:pt idx="46">
                  <c:v>-46.274336825043427</c:v>
                </c:pt>
                <c:pt idx="47">
                  <c:v>-53.547289156603632</c:v>
                </c:pt>
                <c:pt idx="48">
                  <c:v>-58.62794272940679</c:v>
                </c:pt>
                <c:pt idx="49">
                  <c:v>-62.543309477150082</c:v>
                </c:pt>
                <c:pt idx="50">
                  <c:v>-65.731859147884975</c:v>
                </c:pt>
                <c:pt idx="51">
                  <c:v>-68.422619129612471</c:v>
                </c:pt>
                <c:pt idx="52">
                  <c:v>-70.750680306308865</c:v>
                </c:pt>
                <c:pt idx="53">
                  <c:v>-72.802537060288358</c:v>
                </c:pt>
                <c:pt idx="54">
                  <c:v>-74.636957952861039</c:v>
                </c:pt>
              </c:numCache>
            </c:numRef>
          </c:yVal>
          <c:smooth val="1"/>
          <c:extLst>
            <c:ext xmlns:c16="http://schemas.microsoft.com/office/drawing/2014/chart" uri="{C3380CC4-5D6E-409C-BE32-E72D297353CC}">
              <c16:uniqueId val="{00000000-9C3C-42EA-A958-A538A5401C57}"/>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9C3C-42EA-A958-A538A5401C57}"/>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9C3C-42EA-A958-A538A5401C57}"/>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Compensation!$B$227</c:f>
              <c:numCache>
                <c:formatCode>General</c:formatCode>
                <c:ptCount val="1"/>
                <c:pt idx="0">
                  <c:v>176.66198683200386</c:v>
                </c:pt>
              </c:numCache>
            </c:numRef>
          </c:xVal>
          <c:yVal>
            <c:numRef>
              <c:f>Compensation!$Y$227</c:f>
              <c:numCache>
                <c:formatCode>General</c:formatCode>
                <c:ptCount val="1"/>
                <c:pt idx="0">
                  <c:v>34.90081747890769</c:v>
                </c:pt>
              </c:numCache>
            </c:numRef>
          </c:yVal>
          <c:smooth val="0"/>
          <c:extLst>
            <c:ext xmlns:c16="http://schemas.microsoft.com/office/drawing/2014/chart" uri="{C3380CC4-5D6E-409C-BE32-E72D297353CC}">
              <c16:uniqueId val="{00000003-9C3C-42EA-A958-A538A5401C57}"/>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9C3C-42EA-A958-A538A5401C57}"/>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Compensation!$B$225</c:f>
              <c:numCache>
                <c:formatCode>0.00</c:formatCode>
                <c:ptCount val="1"/>
                <c:pt idx="0">
                  <c:v>678.61230158996841</c:v>
                </c:pt>
              </c:numCache>
            </c:numRef>
          </c:xVal>
          <c:yVal>
            <c:numRef>
              <c:f>Compensation!$Y$225</c:f>
              <c:numCache>
                <c:formatCode>General</c:formatCode>
                <c:ptCount val="1"/>
                <c:pt idx="0">
                  <c:v>17.375732972427439</c:v>
                </c:pt>
              </c:numCache>
            </c:numRef>
          </c:yVal>
          <c:smooth val="0"/>
          <c:extLst>
            <c:ext xmlns:c16="http://schemas.microsoft.com/office/drawing/2014/chart" uri="{C3380CC4-5D6E-409C-BE32-E72D297353CC}">
              <c16:uniqueId val="{00000005-9C3C-42EA-A958-A538A5401C57}"/>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9C3C-42EA-A958-A538A5401C57}"/>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Compensation!$B$226</c:f>
              <c:numCache>
                <c:formatCode>General</c:formatCode>
                <c:ptCount val="1"/>
                <c:pt idx="0">
                  <c:v>31894.778174728515</c:v>
                </c:pt>
              </c:numCache>
            </c:numRef>
          </c:xVal>
          <c:yVal>
            <c:numRef>
              <c:f>Compensation!$Y$226</c:f>
              <c:numCache>
                <c:formatCode>General</c:formatCode>
                <c:ptCount val="1"/>
                <c:pt idx="0">
                  <c:v>-15.749173937717513</c:v>
                </c:pt>
              </c:numCache>
            </c:numRef>
          </c:yVal>
          <c:smooth val="0"/>
          <c:extLst>
            <c:ext xmlns:c16="http://schemas.microsoft.com/office/drawing/2014/chart" uri="{C3380CC4-5D6E-409C-BE32-E72D297353CC}">
              <c16:uniqueId val="{00000007-9C3C-42EA-A958-A538A5401C57}"/>
            </c:ext>
          </c:extLst>
        </c:ser>
        <c:ser>
          <c:idx val="5"/>
          <c:order val="5"/>
          <c:tx>
            <c:v>FRHPZERO</c:v>
          </c:tx>
          <c:spPr>
            <a:ln>
              <a:solidFill>
                <a:srgbClr val="FFC000"/>
              </a:solidFill>
            </a:ln>
          </c:spPr>
          <c:marker>
            <c:symbol val="circle"/>
            <c:size val="10"/>
            <c:spPr>
              <a:noFill/>
              <a:ln w="28575">
                <a:solidFill>
                  <a:srgbClr val="FF0000"/>
                </a:solidFill>
              </a:ln>
            </c:spPr>
          </c:marker>
          <c:dLbls>
            <c:dLbl>
              <c:idx val="0"/>
              <c:tx>
                <c:rich>
                  <a:bodyPr/>
                  <a:lstStyle/>
                  <a:p>
                    <a:r>
                      <a:rPr lang="en-US" sz="1400" b="1"/>
                      <a:t>F</a:t>
                    </a:r>
                    <a:r>
                      <a:rPr lang="en-US" sz="1400" b="1" baseline="-25000"/>
                      <a:t>RHPzero</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9C3C-42EA-A958-A538A5401C57}"/>
                </c:ext>
              </c:extLst>
            </c:dLbl>
            <c:spPr>
              <a:noFill/>
              <a:ln>
                <a:noFill/>
              </a:ln>
              <a:effectLst/>
            </c:spPr>
            <c:txPr>
              <a:bodyPr/>
              <a:lstStyle/>
              <a:p>
                <a:pPr>
                  <a:defRPr sz="1400"/>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Compensation!$B$228</c:f>
              <c:numCache>
                <c:formatCode>General</c:formatCode>
                <c:ptCount val="1"/>
                <c:pt idx="0">
                  <c:v>27842.708720567978</c:v>
                </c:pt>
              </c:numCache>
            </c:numRef>
          </c:xVal>
          <c:yVal>
            <c:numRef>
              <c:f>Compensation!$Y$228</c:f>
              <c:numCache>
                <c:formatCode>General</c:formatCode>
                <c:ptCount val="1"/>
                <c:pt idx="0">
                  <c:v>-14.878380312151782</c:v>
                </c:pt>
              </c:numCache>
            </c:numRef>
          </c:yVal>
          <c:smooth val="0"/>
          <c:extLst>
            <c:ext xmlns:c16="http://schemas.microsoft.com/office/drawing/2014/chart" uri="{C3380CC4-5D6E-409C-BE32-E72D297353CC}">
              <c16:uniqueId val="{00000009-9C3C-42EA-A958-A538A5401C57}"/>
            </c:ext>
          </c:extLst>
        </c:ser>
        <c:dLbls>
          <c:showLegendKey val="0"/>
          <c:showVal val="0"/>
          <c:showCatName val="0"/>
          <c:showSerName val="0"/>
          <c:showPercent val="0"/>
          <c:showBubbleSize val="0"/>
        </c:dLbls>
        <c:axId val="205768960"/>
        <c:axId val="205775616"/>
      </c:scatterChart>
      <c:scatterChart>
        <c:scatterStyle val="lineMarker"/>
        <c:varyColors val="0"/>
        <c:ser>
          <c:idx val="1"/>
          <c:order val="1"/>
          <c:tx>
            <c:v>Phase</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Compensation!$Z$169:$Z$223</c:f>
              <c:numCache>
                <c:formatCode>General</c:formatCode>
                <c:ptCount val="55"/>
                <c:pt idx="0">
                  <c:v>89.703453258858019</c:v>
                </c:pt>
                <c:pt idx="1">
                  <c:v>89.406946982453491</c:v>
                </c:pt>
                <c:pt idx="2">
                  <c:v>89.110521609864875</c:v>
                </c:pt>
                <c:pt idx="3">
                  <c:v>88.81421752889203</c:v>
                </c:pt>
                <c:pt idx="4">
                  <c:v>88.51807505051579</c:v>
                </c:pt>
                <c:pt idx="5">
                  <c:v>88.222134383476089</c:v>
                </c:pt>
                <c:pt idx="6">
                  <c:v>87.926435609006546</c:v>
                </c:pt>
                <c:pt idx="7">
                  <c:v>87.631018655766653</c:v>
                </c:pt>
                <c:pt idx="8">
                  <c:v>87.335923275004902</c:v>
                </c:pt>
                <c:pt idx="9">
                  <c:v>87.041189015994732</c:v>
                </c:pt>
                <c:pt idx="10">
                  <c:v>84.122217133012413</c:v>
                </c:pt>
                <c:pt idx="11">
                  <c:v>81.280483051262181</c:v>
                </c:pt>
                <c:pt idx="12">
                  <c:v>78.548857539510649</c:v>
                </c:pt>
                <c:pt idx="13">
                  <c:v>75.954210434808118</c:v>
                </c:pt>
                <c:pt idx="14">
                  <c:v>73.516667559802627</c:v>
                </c:pt>
                <c:pt idx="15">
                  <c:v>71.249563972965291</c:v>
                </c:pt>
                <c:pt idx="16">
                  <c:v>69.159951315306088</c:v>
                </c:pt>
                <c:pt idx="17">
                  <c:v>67.249467051135724</c:v>
                </c:pt>
                <c:pt idx="18">
                  <c:v>65.515376319722805</c:v>
                </c:pt>
                <c:pt idx="19">
                  <c:v>55.915287036931737</c:v>
                </c:pt>
                <c:pt idx="20">
                  <c:v>54.113851574170361</c:v>
                </c:pt>
                <c:pt idx="21">
                  <c:v>54.99453364316458</c:v>
                </c:pt>
                <c:pt idx="22">
                  <c:v>56.698076346202548</c:v>
                </c:pt>
                <c:pt idx="23">
                  <c:v>58.561114506340473</c:v>
                </c:pt>
                <c:pt idx="24">
                  <c:v>60.337259618936223</c:v>
                </c:pt>
                <c:pt idx="25">
                  <c:v>61.93870838436419</c:v>
                </c:pt>
                <c:pt idx="26">
                  <c:v>63.342868683411659</c:v>
                </c:pt>
                <c:pt idx="27">
                  <c:v>64.5546220094662</c:v>
                </c:pt>
                <c:pt idx="28">
                  <c:v>69.747795545479889</c:v>
                </c:pt>
                <c:pt idx="29">
                  <c:v>69.421104869225942</c:v>
                </c:pt>
                <c:pt idx="30">
                  <c:v>67.311870741968008</c:v>
                </c:pt>
                <c:pt idx="31">
                  <c:v>64.450864329890365</c:v>
                </c:pt>
                <c:pt idx="32">
                  <c:v>61.217324870536324</c:v>
                </c:pt>
                <c:pt idx="33">
                  <c:v>57.782433318967087</c:v>
                </c:pt>
                <c:pt idx="34">
                  <c:v>54.23503559735677</c:v>
                </c:pt>
                <c:pt idx="35">
                  <c:v>50.626033764411943</c:v>
                </c:pt>
                <c:pt idx="36">
                  <c:v>46.986717565170594</c:v>
                </c:pt>
                <c:pt idx="37">
                  <c:v>11.248014501634291</c:v>
                </c:pt>
                <c:pt idx="38">
                  <c:v>-22.51503118026595</c:v>
                </c:pt>
                <c:pt idx="39">
                  <c:v>-54.575971477178349</c:v>
                </c:pt>
                <c:pt idx="40">
                  <c:v>-82.122191856208204</c:v>
                </c:pt>
                <c:pt idx="41">
                  <c:v>-102.74688391465828</c:v>
                </c:pt>
                <c:pt idx="42">
                  <c:v>-117.24231676060894</c:v>
                </c:pt>
                <c:pt idx="43">
                  <c:v>-127.47341103510044</c:v>
                </c:pt>
                <c:pt idx="44">
                  <c:v>-134.91670322630912</c:v>
                </c:pt>
                <c:pt idx="45">
                  <c:v>-140.52105041004415</c:v>
                </c:pt>
                <c:pt idx="46">
                  <c:v>-162.16159410823465</c:v>
                </c:pt>
                <c:pt idx="47">
                  <c:v>-168.35752137081815</c:v>
                </c:pt>
                <c:pt idx="48">
                  <c:v>-171.33452127666641</c:v>
                </c:pt>
                <c:pt idx="49">
                  <c:v>-173.09231108813808</c:v>
                </c:pt>
                <c:pt idx="50">
                  <c:v>-174.254796341743</c:v>
                </c:pt>
                <c:pt idx="51">
                  <c:v>-175.08133758521072</c:v>
                </c:pt>
                <c:pt idx="52">
                  <c:v>-175.69946566112455</c:v>
                </c:pt>
                <c:pt idx="53">
                  <c:v>-176.1793120725502</c:v>
                </c:pt>
                <c:pt idx="54">
                  <c:v>-176.56267483364525</c:v>
                </c:pt>
              </c:numCache>
            </c:numRef>
          </c:yVal>
          <c:smooth val="1"/>
          <c:extLst>
            <c:ext xmlns:c16="http://schemas.microsoft.com/office/drawing/2014/chart" uri="{C3380CC4-5D6E-409C-BE32-E72D297353CC}">
              <c16:uniqueId val="{0000000A-9C3C-42EA-A958-A538A5401C57}"/>
            </c:ext>
          </c:extLst>
        </c:ser>
        <c:dLbls>
          <c:showLegendKey val="0"/>
          <c:showVal val="0"/>
          <c:showCatName val="0"/>
          <c:showSerName val="0"/>
          <c:showPercent val="0"/>
          <c:showBubbleSize val="0"/>
        </c:dLbls>
        <c:axId val="205821440"/>
        <c:axId val="205777920"/>
      </c:scatterChart>
      <c:valAx>
        <c:axId val="20576896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205775616"/>
        <c:crosses val="autoZero"/>
        <c:crossBetween val="midCat"/>
      </c:valAx>
      <c:valAx>
        <c:axId val="205775616"/>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205768960"/>
        <c:crosses val="autoZero"/>
        <c:crossBetween val="midCat"/>
        <c:majorUnit val="20"/>
      </c:valAx>
      <c:valAx>
        <c:axId val="205777920"/>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205821440"/>
        <c:crosses val="max"/>
        <c:crossBetween val="midCat"/>
        <c:majorUnit val="45"/>
      </c:valAx>
      <c:valAx>
        <c:axId val="205821440"/>
        <c:scaling>
          <c:logBase val="10"/>
          <c:orientation val="minMax"/>
        </c:scaling>
        <c:delete val="1"/>
        <c:axPos val="b"/>
        <c:numFmt formatCode="General" sourceLinked="1"/>
        <c:majorTickMark val="out"/>
        <c:minorTickMark val="none"/>
        <c:tickLblPos val="nextTo"/>
        <c:crossAx val="205777920"/>
        <c:crosses val="autoZero"/>
        <c:crossBetween val="midCat"/>
      </c:valAx>
    </c:plotArea>
    <c:legend>
      <c:legendPos val="l"/>
      <c:legendEntry>
        <c:idx val="1"/>
        <c:delete val="1"/>
      </c:legendEntry>
      <c:legendEntry>
        <c:idx val="2"/>
        <c:delete val="1"/>
      </c:legendEntry>
      <c:legendEntry>
        <c:idx val="3"/>
        <c:delete val="1"/>
      </c:legendEntry>
      <c:legendEntry>
        <c:idx val="4"/>
        <c:delete val="1"/>
      </c:legendEntry>
      <c:layout>
        <c:manualLayout>
          <c:xMode val="edge"/>
          <c:yMode val="edge"/>
          <c:x val="0.79304241813100085"/>
          <c:y val="2.6664513567886527E-2"/>
          <c:w val="9.4543330754408461E-2"/>
          <c:h val="0.12361639853858421"/>
        </c:manualLayout>
      </c:layout>
      <c:overlay val="1"/>
      <c:spPr>
        <a:noFill/>
      </c:spPr>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Boost Mode Duty Cycle</a:t>
            </a:r>
          </a:p>
        </c:rich>
      </c:tx>
      <c:overlay val="0"/>
    </c:title>
    <c:autoTitleDeleted val="0"/>
    <c:plotArea>
      <c:layout/>
      <c:scatterChart>
        <c:scatterStyle val="smoothMarker"/>
        <c:varyColors val="0"/>
        <c:ser>
          <c:idx val="0"/>
          <c:order val="0"/>
          <c:tx>
            <c:v>LV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Calculations!$AC$6:$AC$56</c:f>
              <c:numCache>
                <c:formatCode>General</c:formatCode>
                <c:ptCount val="51"/>
                <c:pt idx="0">
                  <c:v>0</c:v>
                </c:pt>
                <c:pt idx="1">
                  <c:v>0.35783130556624476</c:v>
                </c:pt>
                <c:pt idx="2">
                  <c:v>0.50604988537345452</c:v>
                </c:pt>
                <c:pt idx="3">
                  <c:v>0.61978200177943998</c:v>
                </c:pt>
                <c:pt idx="4">
                  <c:v>0.63</c:v>
                </c:pt>
                <c:pt idx="5">
                  <c:v>0.63</c:v>
                </c:pt>
                <c:pt idx="6">
                  <c:v>0.63</c:v>
                </c:pt>
                <c:pt idx="7">
                  <c:v>0.63</c:v>
                </c:pt>
                <c:pt idx="8">
                  <c:v>0.63</c:v>
                </c:pt>
                <c:pt idx="9">
                  <c:v>0.63</c:v>
                </c:pt>
                <c:pt idx="10">
                  <c:v>0.63</c:v>
                </c:pt>
                <c:pt idx="11">
                  <c:v>0.63</c:v>
                </c:pt>
                <c:pt idx="12">
                  <c:v>0.63</c:v>
                </c:pt>
                <c:pt idx="13">
                  <c:v>0.63</c:v>
                </c:pt>
                <c:pt idx="14">
                  <c:v>0.63</c:v>
                </c:pt>
                <c:pt idx="15">
                  <c:v>0.63</c:v>
                </c:pt>
                <c:pt idx="16">
                  <c:v>0.63</c:v>
                </c:pt>
                <c:pt idx="17">
                  <c:v>0.63</c:v>
                </c:pt>
                <c:pt idx="18">
                  <c:v>0.63</c:v>
                </c:pt>
                <c:pt idx="19">
                  <c:v>0.63</c:v>
                </c:pt>
                <c:pt idx="20">
                  <c:v>0.63</c:v>
                </c:pt>
                <c:pt idx="21">
                  <c:v>0.63</c:v>
                </c:pt>
                <c:pt idx="22">
                  <c:v>0.63</c:v>
                </c:pt>
                <c:pt idx="23">
                  <c:v>0.63</c:v>
                </c:pt>
                <c:pt idx="24">
                  <c:v>0.63</c:v>
                </c:pt>
                <c:pt idx="25">
                  <c:v>0.63</c:v>
                </c:pt>
                <c:pt idx="26">
                  <c:v>0.63</c:v>
                </c:pt>
                <c:pt idx="27">
                  <c:v>0.63</c:v>
                </c:pt>
                <c:pt idx="28">
                  <c:v>0.63</c:v>
                </c:pt>
                <c:pt idx="29">
                  <c:v>0.63</c:v>
                </c:pt>
                <c:pt idx="30">
                  <c:v>0.63</c:v>
                </c:pt>
                <c:pt idx="31">
                  <c:v>0.63</c:v>
                </c:pt>
                <c:pt idx="32">
                  <c:v>0.63</c:v>
                </c:pt>
                <c:pt idx="33">
                  <c:v>0.63</c:v>
                </c:pt>
                <c:pt idx="34">
                  <c:v>0.63</c:v>
                </c:pt>
                <c:pt idx="35">
                  <c:v>0.63</c:v>
                </c:pt>
                <c:pt idx="36">
                  <c:v>0.63</c:v>
                </c:pt>
                <c:pt idx="37">
                  <c:v>0.63</c:v>
                </c:pt>
                <c:pt idx="38">
                  <c:v>0.63</c:v>
                </c:pt>
                <c:pt idx="39">
                  <c:v>0.63</c:v>
                </c:pt>
                <c:pt idx="40">
                  <c:v>0.63</c:v>
                </c:pt>
                <c:pt idx="41">
                  <c:v>0.63</c:v>
                </c:pt>
                <c:pt idx="42">
                  <c:v>0.63</c:v>
                </c:pt>
                <c:pt idx="43">
                  <c:v>0.63</c:v>
                </c:pt>
                <c:pt idx="44">
                  <c:v>0.63</c:v>
                </c:pt>
                <c:pt idx="45">
                  <c:v>0.63</c:v>
                </c:pt>
                <c:pt idx="46">
                  <c:v>0.63</c:v>
                </c:pt>
                <c:pt idx="47">
                  <c:v>0.63</c:v>
                </c:pt>
                <c:pt idx="48">
                  <c:v>0.63</c:v>
                </c:pt>
                <c:pt idx="49">
                  <c:v>0.63</c:v>
                </c:pt>
                <c:pt idx="50">
                  <c:v>0.63</c:v>
                </c:pt>
              </c:numCache>
            </c:numRef>
          </c:yVal>
          <c:smooth val="1"/>
          <c:extLst>
            <c:ext xmlns:c16="http://schemas.microsoft.com/office/drawing/2014/chart" uri="{C3380CC4-5D6E-409C-BE32-E72D297353CC}">
              <c16:uniqueId val="{00000000-E15A-46CF-BEE3-95231DA2F085}"/>
            </c:ext>
          </c:extLst>
        </c:ser>
        <c:ser>
          <c:idx val="1"/>
          <c:order val="1"/>
          <c:tx>
            <c:v>LV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Calculations!$AG$6:$AG$56</c:f>
              <c:numCache>
                <c:formatCode>General</c:formatCode>
                <c:ptCount val="51"/>
                <c:pt idx="0">
                  <c:v>0</c:v>
                </c:pt>
                <c:pt idx="1">
                  <c:v>0.33585711247493327</c:v>
                </c:pt>
                <c:pt idx="2">
                  <c:v>0.4749736834815167</c:v>
                </c:pt>
                <c:pt idx="3">
                  <c:v>0.58172158288995945</c:v>
                </c:pt>
                <c:pt idx="4">
                  <c:v>0.6</c:v>
                </c:pt>
                <c:pt idx="5">
                  <c:v>0.6</c:v>
                </c:pt>
                <c:pt idx="6">
                  <c:v>0.6</c:v>
                </c:pt>
                <c:pt idx="7">
                  <c:v>0.6</c:v>
                </c:pt>
                <c:pt idx="8">
                  <c:v>0.6</c:v>
                </c:pt>
                <c:pt idx="9">
                  <c:v>0.6</c:v>
                </c:pt>
                <c:pt idx="10">
                  <c:v>0.6</c:v>
                </c:pt>
                <c:pt idx="11">
                  <c:v>0.6</c:v>
                </c:pt>
                <c:pt idx="12">
                  <c:v>0.6</c:v>
                </c:pt>
                <c:pt idx="13">
                  <c:v>0.6</c:v>
                </c:pt>
                <c:pt idx="14">
                  <c:v>0.6</c:v>
                </c:pt>
                <c:pt idx="15">
                  <c:v>0.6</c:v>
                </c:pt>
                <c:pt idx="16">
                  <c:v>0.6</c:v>
                </c:pt>
                <c:pt idx="17">
                  <c:v>0.6</c:v>
                </c:pt>
                <c:pt idx="18">
                  <c:v>0.6</c:v>
                </c:pt>
                <c:pt idx="19">
                  <c:v>0.6</c:v>
                </c:pt>
                <c:pt idx="20">
                  <c:v>0.6</c:v>
                </c:pt>
                <c:pt idx="21">
                  <c:v>0.6</c:v>
                </c:pt>
                <c:pt idx="22">
                  <c:v>0.6</c:v>
                </c:pt>
                <c:pt idx="23">
                  <c:v>0.6</c:v>
                </c:pt>
                <c:pt idx="24">
                  <c:v>0.6</c:v>
                </c:pt>
                <c:pt idx="25">
                  <c:v>0.6</c:v>
                </c:pt>
                <c:pt idx="26">
                  <c:v>0.6</c:v>
                </c:pt>
                <c:pt idx="27">
                  <c:v>0.6</c:v>
                </c:pt>
                <c:pt idx="28">
                  <c:v>0.6</c:v>
                </c:pt>
                <c:pt idx="29">
                  <c:v>0.6</c:v>
                </c:pt>
                <c:pt idx="30">
                  <c:v>0.6</c:v>
                </c:pt>
                <c:pt idx="31">
                  <c:v>0.6</c:v>
                </c:pt>
                <c:pt idx="32">
                  <c:v>0.6</c:v>
                </c:pt>
                <c:pt idx="33">
                  <c:v>0.6</c:v>
                </c:pt>
                <c:pt idx="34">
                  <c:v>0.6</c:v>
                </c:pt>
                <c:pt idx="35">
                  <c:v>0.6</c:v>
                </c:pt>
                <c:pt idx="36">
                  <c:v>0.6</c:v>
                </c:pt>
                <c:pt idx="37">
                  <c:v>0.6</c:v>
                </c:pt>
                <c:pt idx="38">
                  <c:v>0.6</c:v>
                </c:pt>
                <c:pt idx="39">
                  <c:v>0.6</c:v>
                </c:pt>
                <c:pt idx="40">
                  <c:v>0.6</c:v>
                </c:pt>
                <c:pt idx="41">
                  <c:v>0.6</c:v>
                </c:pt>
                <c:pt idx="42">
                  <c:v>0.6</c:v>
                </c:pt>
                <c:pt idx="43">
                  <c:v>0.6</c:v>
                </c:pt>
                <c:pt idx="44">
                  <c:v>0.6</c:v>
                </c:pt>
                <c:pt idx="45">
                  <c:v>0.6</c:v>
                </c:pt>
                <c:pt idx="46">
                  <c:v>0.6</c:v>
                </c:pt>
                <c:pt idx="47">
                  <c:v>0.6</c:v>
                </c:pt>
                <c:pt idx="48">
                  <c:v>0.6</c:v>
                </c:pt>
                <c:pt idx="49">
                  <c:v>0.6</c:v>
                </c:pt>
                <c:pt idx="50">
                  <c:v>0.6</c:v>
                </c:pt>
              </c:numCache>
            </c:numRef>
          </c:yVal>
          <c:smooth val="1"/>
          <c:extLst>
            <c:ext xmlns:c16="http://schemas.microsoft.com/office/drawing/2014/chart" uri="{C3380CC4-5D6E-409C-BE32-E72D297353CC}">
              <c16:uniqueId val="{00000001-E15A-46CF-BEE3-95231DA2F085}"/>
            </c:ext>
          </c:extLst>
        </c:ser>
        <c:ser>
          <c:idx val="2"/>
          <c:order val="2"/>
          <c:tx>
            <c:v>LV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Calculations!$AK$6:$AK$56</c:f>
              <c:numCache>
                <c:formatCode>General</c:formatCode>
                <c:ptCount val="51"/>
                <c:pt idx="0">
                  <c:v>0</c:v>
                </c:pt>
                <c:pt idx="1">
                  <c:v>0.30936885898404659</c:v>
                </c:pt>
                <c:pt idx="2">
                  <c:v>0.4375136361511282</c:v>
                </c:pt>
                <c:pt idx="3">
                  <c:v>0.53584258203998003</c:v>
                </c:pt>
                <c:pt idx="4">
                  <c:v>0.56000000000000005</c:v>
                </c:pt>
                <c:pt idx="5">
                  <c:v>0.56000000000000005</c:v>
                </c:pt>
                <c:pt idx="6">
                  <c:v>0.56000000000000005</c:v>
                </c:pt>
                <c:pt idx="7">
                  <c:v>0.56000000000000005</c:v>
                </c:pt>
                <c:pt idx="8">
                  <c:v>0.56000000000000005</c:v>
                </c:pt>
                <c:pt idx="9">
                  <c:v>0.56000000000000005</c:v>
                </c:pt>
                <c:pt idx="10">
                  <c:v>0.56000000000000005</c:v>
                </c:pt>
                <c:pt idx="11">
                  <c:v>0.56000000000000005</c:v>
                </c:pt>
                <c:pt idx="12">
                  <c:v>0.56000000000000005</c:v>
                </c:pt>
                <c:pt idx="13">
                  <c:v>0.56000000000000005</c:v>
                </c:pt>
                <c:pt idx="14">
                  <c:v>0.56000000000000005</c:v>
                </c:pt>
                <c:pt idx="15">
                  <c:v>0.56000000000000005</c:v>
                </c:pt>
                <c:pt idx="16">
                  <c:v>0.56000000000000005</c:v>
                </c:pt>
                <c:pt idx="17">
                  <c:v>0.56000000000000005</c:v>
                </c:pt>
                <c:pt idx="18">
                  <c:v>0.56000000000000005</c:v>
                </c:pt>
                <c:pt idx="19">
                  <c:v>0.56000000000000005</c:v>
                </c:pt>
                <c:pt idx="20">
                  <c:v>0.56000000000000005</c:v>
                </c:pt>
                <c:pt idx="21">
                  <c:v>0.56000000000000005</c:v>
                </c:pt>
                <c:pt idx="22">
                  <c:v>0.56000000000000005</c:v>
                </c:pt>
                <c:pt idx="23">
                  <c:v>0.56000000000000005</c:v>
                </c:pt>
                <c:pt idx="24">
                  <c:v>0.56000000000000005</c:v>
                </c:pt>
                <c:pt idx="25">
                  <c:v>0.56000000000000005</c:v>
                </c:pt>
                <c:pt idx="26">
                  <c:v>0.56000000000000005</c:v>
                </c:pt>
                <c:pt idx="27">
                  <c:v>0.56000000000000005</c:v>
                </c:pt>
                <c:pt idx="28">
                  <c:v>0.56000000000000005</c:v>
                </c:pt>
                <c:pt idx="29">
                  <c:v>0.56000000000000005</c:v>
                </c:pt>
                <c:pt idx="30">
                  <c:v>0.56000000000000005</c:v>
                </c:pt>
                <c:pt idx="31">
                  <c:v>0.56000000000000005</c:v>
                </c:pt>
                <c:pt idx="32">
                  <c:v>0.56000000000000005</c:v>
                </c:pt>
                <c:pt idx="33">
                  <c:v>0.56000000000000005</c:v>
                </c:pt>
                <c:pt idx="34">
                  <c:v>0.56000000000000005</c:v>
                </c:pt>
                <c:pt idx="35">
                  <c:v>0.56000000000000005</c:v>
                </c:pt>
                <c:pt idx="36">
                  <c:v>0.56000000000000005</c:v>
                </c:pt>
                <c:pt idx="37">
                  <c:v>0.56000000000000005</c:v>
                </c:pt>
                <c:pt idx="38">
                  <c:v>0.56000000000000005</c:v>
                </c:pt>
                <c:pt idx="39">
                  <c:v>0.56000000000000005</c:v>
                </c:pt>
                <c:pt idx="40">
                  <c:v>0.56000000000000005</c:v>
                </c:pt>
                <c:pt idx="41">
                  <c:v>0.56000000000000005</c:v>
                </c:pt>
                <c:pt idx="42">
                  <c:v>0.56000000000000005</c:v>
                </c:pt>
                <c:pt idx="43">
                  <c:v>0.56000000000000005</c:v>
                </c:pt>
                <c:pt idx="44">
                  <c:v>0.56000000000000005</c:v>
                </c:pt>
                <c:pt idx="45">
                  <c:v>0.56000000000000005</c:v>
                </c:pt>
                <c:pt idx="46">
                  <c:v>0.56000000000000005</c:v>
                </c:pt>
                <c:pt idx="47">
                  <c:v>0.56000000000000005</c:v>
                </c:pt>
                <c:pt idx="48">
                  <c:v>0.56000000000000005</c:v>
                </c:pt>
                <c:pt idx="49">
                  <c:v>0.56000000000000005</c:v>
                </c:pt>
                <c:pt idx="50">
                  <c:v>0.56000000000000005</c:v>
                </c:pt>
              </c:numCache>
            </c:numRef>
          </c:yVal>
          <c:smooth val="1"/>
          <c:extLst>
            <c:ext xmlns:c16="http://schemas.microsoft.com/office/drawing/2014/chart" uri="{C3380CC4-5D6E-409C-BE32-E72D297353CC}">
              <c16:uniqueId val="{00000002-E15A-46CF-BEE3-95231DA2F085}"/>
            </c:ext>
          </c:extLst>
        </c:ser>
        <c:ser>
          <c:idx val="3"/>
          <c:order val="3"/>
          <c:tx>
            <c:v>LV Min</c:v>
          </c:tx>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Calculations!$B$51</c:f>
              <c:numCache>
                <c:formatCode>0.000</c:formatCode>
                <c:ptCount val="1"/>
                <c:pt idx="0">
                  <c:v>3.0997340425531914</c:v>
                </c:pt>
              </c:numCache>
            </c:numRef>
          </c:xVal>
          <c:yVal>
            <c:numRef>
              <c:f>Calculations!$B$52</c:f>
              <c:numCache>
                <c:formatCode>General</c:formatCode>
                <c:ptCount val="1"/>
                <c:pt idx="0">
                  <c:v>0.63</c:v>
                </c:pt>
              </c:numCache>
            </c:numRef>
          </c:yVal>
          <c:smooth val="0"/>
          <c:extLst>
            <c:ext xmlns:c16="http://schemas.microsoft.com/office/drawing/2014/chart" uri="{C3380CC4-5D6E-409C-BE32-E72D297353CC}">
              <c16:uniqueId val="{00000003-E15A-46CF-BEE3-95231DA2F085}"/>
            </c:ext>
          </c:extLst>
        </c:ser>
        <c:ser>
          <c:idx val="4"/>
          <c:order val="4"/>
          <c:tx>
            <c:v>LV Nom</c:v>
          </c:tx>
          <c:spPr>
            <a:ln w="47625"/>
          </c:spPr>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Calculations!$B$54</c:f>
              <c:numCache>
                <c:formatCode>0.000</c:formatCode>
                <c:ptCount val="1"/>
                <c:pt idx="0">
                  <c:v>3.191489361702128</c:v>
                </c:pt>
              </c:numCache>
            </c:numRef>
          </c:xVal>
          <c:yVal>
            <c:numRef>
              <c:f>Calculations!$B$55</c:f>
              <c:numCache>
                <c:formatCode>0.000</c:formatCode>
                <c:ptCount val="1"/>
                <c:pt idx="0">
                  <c:v>0.6</c:v>
                </c:pt>
              </c:numCache>
            </c:numRef>
          </c:yVal>
          <c:smooth val="0"/>
          <c:extLst>
            <c:ext xmlns:c16="http://schemas.microsoft.com/office/drawing/2014/chart" uri="{C3380CC4-5D6E-409C-BE32-E72D297353CC}">
              <c16:uniqueId val="{00000004-E15A-46CF-BEE3-95231DA2F085}"/>
            </c:ext>
          </c:extLst>
        </c:ser>
        <c:ser>
          <c:idx val="5"/>
          <c:order val="5"/>
          <c:tx>
            <c:v>LV Max</c:v>
          </c:tx>
          <c:marker>
            <c:symbol val="circle"/>
            <c:size val="11"/>
            <c:spPr>
              <a:noFill/>
              <a:ln w="25400">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Calculations!$B$57</c:f>
              <c:numCache>
                <c:formatCode>0.000</c:formatCode>
                <c:ptCount val="1"/>
                <c:pt idx="0">
                  <c:v>3.2765957446808511</c:v>
                </c:pt>
              </c:numCache>
            </c:numRef>
          </c:xVal>
          <c:yVal>
            <c:numRef>
              <c:f>Calculations!$B$58</c:f>
              <c:numCache>
                <c:formatCode>General</c:formatCode>
                <c:ptCount val="1"/>
                <c:pt idx="0">
                  <c:v>0.56000000000000005</c:v>
                </c:pt>
              </c:numCache>
            </c:numRef>
          </c:yVal>
          <c:smooth val="1"/>
          <c:extLst>
            <c:ext xmlns:c16="http://schemas.microsoft.com/office/drawing/2014/chart" uri="{C3380CC4-5D6E-409C-BE32-E72D297353CC}">
              <c16:uniqueId val="{00000005-E15A-46CF-BEE3-95231DA2F085}"/>
            </c:ext>
          </c:extLst>
        </c:ser>
        <c:dLbls>
          <c:showLegendKey val="0"/>
          <c:showVal val="0"/>
          <c:showCatName val="0"/>
          <c:showSerName val="0"/>
          <c:showPercent val="0"/>
          <c:showBubbleSize val="0"/>
        </c:dLbls>
        <c:axId val="206991744"/>
        <c:axId val="207034624"/>
      </c:scatterChart>
      <c:valAx>
        <c:axId val="206991744"/>
        <c:scaling>
          <c:orientation val="minMax"/>
        </c:scaling>
        <c:delete val="0"/>
        <c:axPos val="b"/>
        <c:majorGridlines/>
        <c:title>
          <c:tx>
            <c:rich>
              <a:bodyPr/>
              <a:lstStyle/>
              <a:p>
                <a:pPr>
                  <a:defRPr/>
                </a:pPr>
                <a:r>
                  <a:rPr lang="en-US"/>
                  <a:t>Per Phase Average Inductor Current  (A)</a:t>
                </a:r>
              </a:p>
            </c:rich>
          </c:tx>
          <c:overlay val="0"/>
        </c:title>
        <c:numFmt formatCode="General" sourceLinked="1"/>
        <c:majorTickMark val="out"/>
        <c:minorTickMark val="none"/>
        <c:tickLblPos val="nextTo"/>
        <c:crossAx val="207034624"/>
        <c:crosses val="autoZero"/>
        <c:crossBetween val="midCat"/>
      </c:valAx>
      <c:valAx>
        <c:axId val="207034624"/>
        <c:scaling>
          <c:orientation val="minMax"/>
          <c:max val="1"/>
          <c:min val="0"/>
        </c:scaling>
        <c:delete val="0"/>
        <c:axPos val="l"/>
        <c:majorGridlines/>
        <c:title>
          <c:tx>
            <c:rich>
              <a:bodyPr rot="-5400000" vert="horz"/>
              <a:lstStyle/>
              <a:p>
                <a:pPr>
                  <a:defRPr/>
                </a:pPr>
                <a:r>
                  <a:rPr lang="en-US"/>
                  <a:t>LO</a:t>
                </a:r>
                <a:r>
                  <a:rPr lang="en-US" baseline="0"/>
                  <a:t> Duty Cycle</a:t>
                </a:r>
                <a:endParaRPr lang="en-US"/>
              </a:p>
            </c:rich>
          </c:tx>
          <c:overlay val="0"/>
        </c:title>
        <c:numFmt formatCode="General" sourceLinked="1"/>
        <c:majorTickMark val="out"/>
        <c:minorTickMark val="none"/>
        <c:tickLblPos val="nextTo"/>
        <c:crossAx val="206991744"/>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Buck Mode Duty Cycle</a:t>
            </a:r>
          </a:p>
        </c:rich>
      </c:tx>
      <c:overlay val="0"/>
    </c:title>
    <c:autoTitleDeleted val="0"/>
    <c:plotArea>
      <c:layout/>
      <c:scatterChart>
        <c:scatterStyle val="smoothMarker"/>
        <c:varyColors val="0"/>
        <c:ser>
          <c:idx val="0"/>
          <c:order val="0"/>
          <c:tx>
            <c:v>HV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Calculations!$P$6:$P$56</c:f>
              <c:numCache>
                <c:formatCode>General</c:formatCode>
                <c:ptCount val="51"/>
                <c:pt idx="0">
                  <c:v>0</c:v>
                </c:pt>
                <c:pt idx="1">
                  <c:v>0.30659419433511781</c:v>
                </c:pt>
                <c:pt idx="2">
                  <c:v>0.43358966777357594</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numCache>
            </c:numRef>
          </c:yVal>
          <c:smooth val="1"/>
          <c:extLst>
            <c:ext xmlns:c16="http://schemas.microsoft.com/office/drawing/2014/chart" uri="{C3380CC4-5D6E-409C-BE32-E72D297353CC}">
              <c16:uniqueId val="{00000000-FF23-4024-97EC-227F4BDB9620}"/>
            </c:ext>
          </c:extLst>
        </c:ser>
        <c:ser>
          <c:idx val="1"/>
          <c:order val="1"/>
          <c:tx>
            <c:v>HV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Calculations!$T$6:$T$56</c:f>
              <c:numCache>
                <c:formatCode>General</c:formatCode>
                <c:ptCount val="51"/>
                <c:pt idx="0">
                  <c:v>0</c:v>
                </c:pt>
                <c:pt idx="1">
                  <c:v>0.22390474164995552</c:v>
                </c:pt>
                <c:pt idx="2">
                  <c:v>0.31664912232101111</c:v>
                </c:pt>
                <c:pt idx="3">
                  <c:v>0.3878143885933063</c:v>
                </c:pt>
                <c:pt idx="4">
                  <c:v>0.4</c:v>
                </c:pt>
                <c:pt idx="5">
                  <c:v>0.4</c:v>
                </c:pt>
                <c:pt idx="6">
                  <c:v>0.4</c:v>
                </c:pt>
                <c:pt idx="7">
                  <c:v>0.4</c:v>
                </c:pt>
                <c:pt idx="8">
                  <c:v>0.4</c:v>
                </c:pt>
                <c:pt idx="9">
                  <c:v>0.4</c:v>
                </c:pt>
                <c:pt idx="10">
                  <c:v>0.4</c:v>
                </c:pt>
                <c:pt idx="11">
                  <c:v>0.4</c:v>
                </c:pt>
                <c:pt idx="12">
                  <c:v>0.4</c:v>
                </c:pt>
                <c:pt idx="13">
                  <c:v>0.4</c:v>
                </c:pt>
                <c:pt idx="14">
                  <c:v>0.4</c:v>
                </c:pt>
                <c:pt idx="15">
                  <c:v>0.4</c:v>
                </c:pt>
                <c:pt idx="16">
                  <c:v>0.4</c:v>
                </c:pt>
                <c:pt idx="17">
                  <c:v>0.4</c:v>
                </c:pt>
                <c:pt idx="18">
                  <c:v>0.4</c:v>
                </c:pt>
                <c:pt idx="19">
                  <c:v>0.4</c:v>
                </c:pt>
                <c:pt idx="20">
                  <c:v>0.4</c:v>
                </c:pt>
                <c:pt idx="21">
                  <c:v>0.4</c:v>
                </c:pt>
                <c:pt idx="22">
                  <c:v>0.4</c:v>
                </c:pt>
                <c:pt idx="23">
                  <c:v>0.4</c:v>
                </c:pt>
                <c:pt idx="24">
                  <c:v>0.4</c:v>
                </c:pt>
                <c:pt idx="25">
                  <c:v>0.4</c:v>
                </c:pt>
                <c:pt idx="26">
                  <c:v>0.4</c:v>
                </c:pt>
                <c:pt idx="27">
                  <c:v>0.4</c:v>
                </c:pt>
                <c:pt idx="28">
                  <c:v>0.4</c:v>
                </c:pt>
                <c:pt idx="29">
                  <c:v>0.4</c:v>
                </c:pt>
                <c:pt idx="30">
                  <c:v>0.4</c:v>
                </c:pt>
                <c:pt idx="31">
                  <c:v>0.4</c:v>
                </c:pt>
                <c:pt idx="32">
                  <c:v>0.4</c:v>
                </c:pt>
                <c:pt idx="33">
                  <c:v>0.4</c:v>
                </c:pt>
                <c:pt idx="34">
                  <c:v>0.4</c:v>
                </c:pt>
                <c:pt idx="35">
                  <c:v>0.4</c:v>
                </c:pt>
                <c:pt idx="36">
                  <c:v>0.4</c:v>
                </c:pt>
                <c:pt idx="37">
                  <c:v>0.4</c:v>
                </c:pt>
                <c:pt idx="38">
                  <c:v>0.4</c:v>
                </c:pt>
                <c:pt idx="39">
                  <c:v>0.4</c:v>
                </c:pt>
                <c:pt idx="40">
                  <c:v>0.4</c:v>
                </c:pt>
                <c:pt idx="41">
                  <c:v>0.4</c:v>
                </c:pt>
                <c:pt idx="42">
                  <c:v>0.4</c:v>
                </c:pt>
                <c:pt idx="43">
                  <c:v>0.4</c:v>
                </c:pt>
                <c:pt idx="44">
                  <c:v>0.4</c:v>
                </c:pt>
                <c:pt idx="45">
                  <c:v>0.4</c:v>
                </c:pt>
                <c:pt idx="46">
                  <c:v>0.4</c:v>
                </c:pt>
                <c:pt idx="47">
                  <c:v>0.4</c:v>
                </c:pt>
                <c:pt idx="48">
                  <c:v>0.4</c:v>
                </c:pt>
                <c:pt idx="49">
                  <c:v>0.4</c:v>
                </c:pt>
                <c:pt idx="50">
                  <c:v>0.4</c:v>
                </c:pt>
              </c:numCache>
            </c:numRef>
          </c:yVal>
          <c:smooth val="1"/>
          <c:extLst>
            <c:ext xmlns:c16="http://schemas.microsoft.com/office/drawing/2014/chart" uri="{C3380CC4-5D6E-409C-BE32-E72D297353CC}">
              <c16:uniqueId val="{00000001-FF23-4024-97EC-227F4BDB9620}"/>
            </c:ext>
          </c:extLst>
        </c:ser>
        <c:ser>
          <c:idx val="2"/>
          <c:order val="2"/>
          <c:tx>
            <c:v>HV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Calculations!$X$6:$X$56</c:f>
              <c:numCache>
                <c:formatCode>General</c:formatCode>
                <c:ptCount val="51"/>
                <c:pt idx="0">
                  <c:v>0</c:v>
                </c:pt>
                <c:pt idx="1">
                  <c:v>0.14658006101006468</c:v>
                </c:pt>
                <c:pt idx="2">
                  <c:v>0.20729551025390916</c:v>
                </c:pt>
                <c:pt idx="3">
                  <c:v>0.25388411304597786</c:v>
                </c:pt>
                <c:pt idx="4">
                  <c:v>0.2857142857142857</c:v>
                </c:pt>
                <c:pt idx="5">
                  <c:v>0.2857142857142857</c:v>
                </c:pt>
                <c:pt idx="6">
                  <c:v>0.2857142857142857</c:v>
                </c:pt>
                <c:pt idx="7">
                  <c:v>0.2857142857142857</c:v>
                </c:pt>
                <c:pt idx="8">
                  <c:v>0.2857142857142857</c:v>
                </c:pt>
                <c:pt idx="9">
                  <c:v>0.2857142857142857</c:v>
                </c:pt>
                <c:pt idx="10">
                  <c:v>0.2857142857142857</c:v>
                </c:pt>
                <c:pt idx="11">
                  <c:v>0.2857142857142857</c:v>
                </c:pt>
                <c:pt idx="12">
                  <c:v>0.2857142857142857</c:v>
                </c:pt>
                <c:pt idx="13">
                  <c:v>0.2857142857142857</c:v>
                </c:pt>
                <c:pt idx="14">
                  <c:v>0.2857142857142857</c:v>
                </c:pt>
                <c:pt idx="15">
                  <c:v>0.2857142857142857</c:v>
                </c:pt>
                <c:pt idx="16">
                  <c:v>0.2857142857142857</c:v>
                </c:pt>
                <c:pt idx="17">
                  <c:v>0.2857142857142857</c:v>
                </c:pt>
                <c:pt idx="18">
                  <c:v>0.2857142857142857</c:v>
                </c:pt>
                <c:pt idx="19">
                  <c:v>0.2857142857142857</c:v>
                </c:pt>
                <c:pt idx="20">
                  <c:v>0.2857142857142857</c:v>
                </c:pt>
                <c:pt idx="21">
                  <c:v>0.2857142857142857</c:v>
                </c:pt>
                <c:pt idx="22">
                  <c:v>0.2857142857142857</c:v>
                </c:pt>
                <c:pt idx="23">
                  <c:v>0.2857142857142857</c:v>
                </c:pt>
                <c:pt idx="24">
                  <c:v>0.2857142857142857</c:v>
                </c:pt>
                <c:pt idx="25">
                  <c:v>0.2857142857142857</c:v>
                </c:pt>
                <c:pt idx="26">
                  <c:v>0.2857142857142857</c:v>
                </c:pt>
                <c:pt idx="27">
                  <c:v>0.2857142857142857</c:v>
                </c:pt>
                <c:pt idx="28">
                  <c:v>0.2857142857142857</c:v>
                </c:pt>
                <c:pt idx="29">
                  <c:v>0.2857142857142857</c:v>
                </c:pt>
                <c:pt idx="30">
                  <c:v>0.2857142857142857</c:v>
                </c:pt>
                <c:pt idx="31">
                  <c:v>0.2857142857142857</c:v>
                </c:pt>
                <c:pt idx="32">
                  <c:v>0.2857142857142857</c:v>
                </c:pt>
                <c:pt idx="33">
                  <c:v>0.2857142857142857</c:v>
                </c:pt>
                <c:pt idx="34">
                  <c:v>0.2857142857142857</c:v>
                </c:pt>
                <c:pt idx="35">
                  <c:v>0.2857142857142857</c:v>
                </c:pt>
                <c:pt idx="36">
                  <c:v>0.2857142857142857</c:v>
                </c:pt>
                <c:pt idx="37">
                  <c:v>0.2857142857142857</c:v>
                </c:pt>
                <c:pt idx="38">
                  <c:v>0.2857142857142857</c:v>
                </c:pt>
                <c:pt idx="39">
                  <c:v>0.2857142857142857</c:v>
                </c:pt>
                <c:pt idx="40">
                  <c:v>0.2857142857142857</c:v>
                </c:pt>
                <c:pt idx="41">
                  <c:v>0.2857142857142857</c:v>
                </c:pt>
                <c:pt idx="42">
                  <c:v>0.2857142857142857</c:v>
                </c:pt>
                <c:pt idx="43">
                  <c:v>0.2857142857142857</c:v>
                </c:pt>
                <c:pt idx="44">
                  <c:v>0.2857142857142857</c:v>
                </c:pt>
                <c:pt idx="45">
                  <c:v>0.2857142857142857</c:v>
                </c:pt>
                <c:pt idx="46">
                  <c:v>0.2857142857142857</c:v>
                </c:pt>
                <c:pt idx="47">
                  <c:v>0.2857142857142857</c:v>
                </c:pt>
                <c:pt idx="48">
                  <c:v>0.2857142857142857</c:v>
                </c:pt>
                <c:pt idx="49">
                  <c:v>0.2857142857142857</c:v>
                </c:pt>
                <c:pt idx="50">
                  <c:v>0.2857142857142857</c:v>
                </c:pt>
              </c:numCache>
            </c:numRef>
          </c:yVal>
          <c:smooth val="1"/>
          <c:extLst>
            <c:ext xmlns:c16="http://schemas.microsoft.com/office/drawing/2014/chart" uri="{C3380CC4-5D6E-409C-BE32-E72D297353CC}">
              <c16:uniqueId val="{00000002-FF23-4024-97EC-227F4BDB9620}"/>
            </c:ext>
          </c:extLst>
        </c:ser>
        <c:ser>
          <c:idx val="3"/>
          <c:order val="3"/>
          <c:tx>
            <c:v>HV MIN</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Calculations!$B$42</c:f>
              <c:numCache>
                <c:formatCode>0.000</c:formatCode>
                <c:ptCount val="1"/>
                <c:pt idx="0">
                  <c:v>2.6595744680851063</c:v>
                </c:pt>
              </c:numCache>
            </c:numRef>
          </c:xVal>
          <c:yVal>
            <c:numRef>
              <c:f>Calculations!$B$43</c:f>
              <c:numCache>
                <c:formatCode>General</c:formatCode>
                <c:ptCount val="1"/>
                <c:pt idx="0">
                  <c:v>0.5</c:v>
                </c:pt>
              </c:numCache>
            </c:numRef>
          </c:yVal>
          <c:smooth val="1"/>
          <c:extLst>
            <c:ext xmlns:c16="http://schemas.microsoft.com/office/drawing/2014/chart" uri="{C3380CC4-5D6E-409C-BE32-E72D297353CC}">
              <c16:uniqueId val="{00000003-FF23-4024-97EC-227F4BDB9620}"/>
            </c:ext>
          </c:extLst>
        </c:ser>
        <c:ser>
          <c:idx val="4"/>
          <c:order val="4"/>
          <c:tx>
            <c:v>HV Nom</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Calculations!$B$45</c:f>
              <c:numCache>
                <c:formatCode>0.000</c:formatCode>
                <c:ptCount val="1"/>
                <c:pt idx="0">
                  <c:v>3.191489361702128</c:v>
                </c:pt>
              </c:numCache>
            </c:numRef>
          </c:xVal>
          <c:yVal>
            <c:numRef>
              <c:f>Calculations!$B$46</c:f>
              <c:numCache>
                <c:formatCode>0.0000</c:formatCode>
                <c:ptCount val="1"/>
                <c:pt idx="0">
                  <c:v>0.4</c:v>
                </c:pt>
              </c:numCache>
            </c:numRef>
          </c:yVal>
          <c:smooth val="1"/>
          <c:extLst>
            <c:ext xmlns:c16="http://schemas.microsoft.com/office/drawing/2014/chart" uri="{C3380CC4-5D6E-409C-BE32-E72D297353CC}">
              <c16:uniqueId val="{00000004-FF23-4024-97EC-227F4BDB9620}"/>
            </c:ext>
          </c:extLst>
        </c:ser>
        <c:ser>
          <c:idx val="5"/>
          <c:order val="5"/>
          <c:tx>
            <c:v>HV Max</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Calculations!$B$48</c:f>
              <c:numCache>
                <c:formatCode>0.000</c:formatCode>
                <c:ptCount val="1"/>
                <c:pt idx="0">
                  <c:v>3.7993920972644379</c:v>
                </c:pt>
              </c:numCache>
            </c:numRef>
          </c:xVal>
          <c:yVal>
            <c:numRef>
              <c:f>Calculations!$B$49</c:f>
              <c:numCache>
                <c:formatCode>0.000</c:formatCode>
                <c:ptCount val="1"/>
                <c:pt idx="0">
                  <c:v>0.2857142857142857</c:v>
                </c:pt>
              </c:numCache>
            </c:numRef>
          </c:yVal>
          <c:smooth val="1"/>
          <c:extLst>
            <c:ext xmlns:c16="http://schemas.microsoft.com/office/drawing/2014/chart" uri="{C3380CC4-5D6E-409C-BE32-E72D297353CC}">
              <c16:uniqueId val="{00000005-FF23-4024-97EC-227F4BDB9620}"/>
            </c:ext>
          </c:extLst>
        </c:ser>
        <c:dLbls>
          <c:showLegendKey val="0"/>
          <c:showVal val="0"/>
          <c:showCatName val="0"/>
          <c:showSerName val="0"/>
          <c:showPercent val="0"/>
          <c:showBubbleSize val="0"/>
        </c:dLbls>
        <c:axId val="207993472"/>
        <c:axId val="208188928"/>
      </c:scatterChart>
      <c:valAx>
        <c:axId val="207993472"/>
        <c:scaling>
          <c:orientation val="minMax"/>
        </c:scaling>
        <c:delete val="0"/>
        <c:axPos val="b"/>
        <c:majorGridlines/>
        <c:title>
          <c:tx>
            <c:rich>
              <a:bodyPr/>
              <a:lstStyle/>
              <a:p>
                <a:pPr>
                  <a:defRPr/>
                </a:pPr>
                <a:r>
                  <a:rPr lang="en-US"/>
                  <a:t>Per</a:t>
                </a:r>
                <a:r>
                  <a:rPr lang="en-US" baseline="0"/>
                  <a:t> Phase Average Inductor Current (A)</a:t>
                </a:r>
                <a:endParaRPr lang="en-US"/>
              </a:p>
            </c:rich>
          </c:tx>
          <c:overlay val="0"/>
        </c:title>
        <c:numFmt formatCode="General" sourceLinked="1"/>
        <c:majorTickMark val="out"/>
        <c:minorTickMark val="none"/>
        <c:tickLblPos val="nextTo"/>
        <c:crossAx val="208188928"/>
        <c:crosses val="autoZero"/>
        <c:crossBetween val="midCat"/>
      </c:valAx>
      <c:valAx>
        <c:axId val="208188928"/>
        <c:scaling>
          <c:orientation val="minMax"/>
          <c:max val="1"/>
          <c:min val="0"/>
        </c:scaling>
        <c:delete val="0"/>
        <c:axPos val="l"/>
        <c:majorGridlines/>
        <c:title>
          <c:tx>
            <c:rich>
              <a:bodyPr rot="-5400000" vert="horz"/>
              <a:lstStyle/>
              <a:p>
                <a:pPr>
                  <a:defRPr/>
                </a:pPr>
                <a:r>
                  <a:rPr lang="en-US"/>
                  <a:t>HO</a:t>
                </a:r>
                <a:r>
                  <a:rPr lang="en-US" baseline="0"/>
                  <a:t> Duty Cycle</a:t>
                </a:r>
                <a:endParaRPr lang="en-US"/>
              </a:p>
            </c:rich>
          </c:tx>
          <c:overlay val="0"/>
        </c:title>
        <c:numFmt formatCode="General" sourceLinked="1"/>
        <c:majorTickMark val="out"/>
        <c:minorTickMark val="none"/>
        <c:tickLblPos val="nextTo"/>
        <c:crossAx val="207993472"/>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Current Loop Power Plant</a:t>
            </a:r>
          </a:p>
        </c:rich>
      </c:tx>
      <c:overlay val="0"/>
    </c:title>
    <c:autoTitleDeleted val="0"/>
    <c:plotArea>
      <c:layout/>
      <c:scatterChart>
        <c:scatterStyle val="lineMarker"/>
        <c:varyColors val="0"/>
        <c:ser>
          <c:idx val="0"/>
          <c:order val="0"/>
          <c:tx>
            <c:v>Power Plant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Compensation!$E$8:$E$62</c:f>
              <c:numCache>
                <c:formatCode>General</c:formatCode>
                <c:ptCount val="55"/>
                <c:pt idx="0">
                  <c:v>70.858739483574141</c:v>
                </c:pt>
                <c:pt idx="1">
                  <c:v>70.858645583091786</c:v>
                </c:pt>
                <c:pt idx="2">
                  <c:v>70.858489086799409</c:v>
                </c:pt>
                <c:pt idx="3">
                  <c:v>70.858270001463637</c:v>
                </c:pt>
                <c:pt idx="4">
                  <c:v>70.857988336556403</c:v>
                </c:pt>
                <c:pt idx="5">
                  <c:v>70.857644104253524</c:v>
                </c:pt>
                <c:pt idx="6">
                  <c:v>70.857237319433054</c:v>
                </c:pt>
                <c:pt idx="7">
                  <c:v>70.856767999672996</c:v>
                </c:pt>
                <c:pt idx="8">
                  <c:v>70.85623616524893</c:v>
                </c:pt>
                <c:pt idx="9">
                  <c:v>70.855641839130925</c:v>
                </c:pt>
                <c:pt idx="10">
                  <c:v>70.846268507065346</c:v>
                </c:pt>
                <c:pt idx="11">
                  <c:v>70.830691103648519</c:v>
                </c:pt>
                <c:pt idx="12">
                  <c:v>70.808976181981734</c:v>
                </c:pt>
                <c:pt idx="13">
                  <c:v>70.781215593134135</c:v>
                </c:pt>
                <c:pt idx="14">
                  <c:v>70.747525209876358</c:v>
                </c:pt>
                <c:pt idx="15">
                  <c:v>70.708043350265044</c:v>
                </c:pt>
                <c:pt idx="16">
                  <c:v>70.662928945024802</c:v>
                </c:pt>
                <c:pt idx="17">
                  <c:v>70.612359497936112</c:v>
                </c:pt>
                <c:pt idx="18">
                  <c:v>70.556528891521623</c:v>
                </c:pt>
                <c:pt idx="19">
                  <c:v>69.758633318354498</c:v>
                </c:pt>
                <c:pt idx="20">
                  <c:v>68.687477580036784</c:v>
                </c:pt>
                <c:pt idx="21">
                  <c:v>67.528005098927565</c:v>
                </c:pt>
                <c:pt idx="22">
                  <c:v>66.384376912846591</c:v>
                </c:pt>
                <c:pt idx="23">
                  <c:v>65.302249426416807</c:v>
                </c:pt>
                <c:pt idx="24">
                  <c:v>64.296296764539406</c:v>
                </c:pt>
                <c:pt idx="25">
                  <c:v>63.367094841853458</c:v>
                </c:pt>
                <c:pt idx="26">
                  <c:v>62.509556568094524</c:v>
                </c:pt>
                <c:pt idx="27">
                  <c:v>61.716789807220557</c:v>
                </c:pt>
                <c:pt idx="28">
                  <c:v>56.112379054437973</c:v>
                </c:pt>
                <c:pt idx="29">
                  <c:v>52.672202459071045</c:v>
                </c:pt>
                <c:pt idx="30">
                  <c:v>50.202371284430988</c:v>
                </c:pt>
                <c:pt idx="31">
                  <c:v>48.277633340999706</c:v>
                </c:pt>
                <c:pt idx="32">
                  <c:v>46.70133881238219</c:v>
                </c:pt>
                <c:pt idx="33">
                  <c:v>45.366829002007904</c:v>
                </c:pt>
                <c:pt idx="34">
                  <c:v>44.209865110870297</c:v>
                </c:pt>
                <c:pt idx="35">
                  <c:v>43.188786885988506</c:v>
                </c:pt>
                <c:pt idx="36">
                  <c:v>42.275048344691761</c:v>
                </c:pt>
                <c:pt idx="37">
                  <c:v>36.258963861085732</c:v>
                </c:pt>
                <c:pt idx="38">
                  <c:v>32.73797538609778</c:v>
                </c:pt>
                <c:pt idx="39">
                  <c:v>30.239493539163075</c:v>
                </c:pt>
                <c:pt idx="40">
                  <c:v>28.30142884971054</c:v>
                </c:pt>
                <c:pt idx="41">
                  <c:v>26.717877573879822</c:v>
                </c:pt>
                <c:pt idx="42">
                  <c:v>25.378986187556709</c:v>
                </c:pt>
                <c:pt idx="43">
                  <c:v>24.219176069635637</c:v>
                </c:pt>
                <c:pt idx="44">
                  <c:v>23.196145380814933</c:v>
                </c:pt>
                <c:pt idx="45">
                  <c:v>22.281009703959178</c:v>
                </c:pt>
                <c:pt idx="46">
                  <c:v>16.260454983737262</c:v>
                </c:pt>
                <c:pt idx="47">
                  <c:v>12.738638171760019</c:v>
                </c:pt>
                <c:pt idx="48">
                  <c:v>10.239866368795559</c:v>
                </c:pt>
                <c:pt idx="49">
                  <c:v>8.3016674644369246</c:v>
                </c:pt>
                <c:pt idx="50">
                  <c:v>6.7180432799699608</c:v>
                </c:pt>
                <c:pt idx="51">
                  <c:v>5.3791079314352501</c:v>
                </c:pt>
                <c:pt idx="52">
                  <c:v>4.2192692801049896</c:v>
                </c:pt>
                <c:pt idx="53">
                  <c:v>3.1962190287624392</c:v>
                </c:pt>
                <c:pt idx="54">
                  <c:v>2.2810693588946545</c:v>
                </c:pt>
              </c:numCache>
            </c:numRef>
          </c:yVal>
          <c:smooth val="0"/>
          <c:extLst>
            <c:ext xmlns:c16="http://schemas.microsoft.com/office/drawing/2014/chart" uri="{C3380CC4-5D6E-409C-BE32-E72D297353CC}">
              <c16:uniqueId val="{00000000-9FA7-4C6D-87EC-649F76AFEECF}"/>
            </c:ext>
          </c:extLst>
        </c:ser>
        <c:dLbls>
          <c:showLegendKey val="0"/>
          <c:showVal val="0"/>
          <c:showCatName val="0"/>
          <c:showSerName val="0"/>
          <c:showPercent val="0"/>
          <c:showBubbleSize val="0"/>
        </c:dLbls>
        <c:axId val="220836608"/>
        <c:axId val="220838528"/>
      </c:scatterChart>
      <c:scatterChart>
        <c:scatterStyle val="lineMarker"/>
        <c:varyColors val="0"/>
        <c:ser>
          <c:idx val="1"/>
          <c:order val="1"/>
          <c:tx>
            <c:v>Power Plant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Compensation!$F$8:$F$62</c:f>
              <c:numCache>
                <c:formatCode>General</c:formatCode>
                <c:ptCount val="55"/>
                <c:pt idx="0">
                  <c:v>-0.15381781228399447</c:v>
                </c:pt>
                <c:pt idx="1">
                  <c:v>-0.30763340740121742</c:v>
                </c:pt>
                <c:pt idx="2">
                  <c:v>-0.46144456837664133</c:v>
                </c:pt>
                <c:pt idx="3">
                  <c:v>-0.61524907861869493</c:v>
                </c:pt>
                <c:pt idx="4">
                  <c:v>-0.76904472211087804</c:v>
                </c:pt>
                <c:pt idx="5">
                  <c:v>-0.92282928360325778</c:v>
                </c:pt>
                <c:pt idx="6">
                  <c:v>-1.0766005488038277</c:v>
                </c:pt>
                <c:pt idx="7">
                  <c:v>-1.230356304569574</c:v>
                </c:pt>
                <c:pt idx="8">
                  <c:v>-1.384094339097421</c:v>
                </c:pt>
                <c:pt idx="9">
                  <c:v>-1.5378124421147814</c:v>
                </c:pt>
                <c:pt idx="10">
                  <c:v>-3.0734124531879621</c:v>
                </c:pt>
                <c:pt idx="11">
                  <c:v>-4.6046066408268533</c:v>
                </c:pt>
                <c:pt idx="12">
                  <c:v>-6.1292392822041633</c:v>
                </c:pt>
                <c:pt idx="13">
                  <c:v>-7.6452101557128476</c:v>
                </c:pt>
                <c:pt idx="14">
                  <c:v>-9.1504912132093867</c:v>
                </c:pt>
                <c:pt idx="15">
                  <c:v>-10.643141777292872</c:v>
                </c:pt>
                <c:pt idx="16">
                  <c:v>-12.121322003159664</c:v>
                </c:pt>
                <c:pt idx="17">
                  <c:v>-13.583304406944601</c:v>
                </c:pt>
                <c:pt idx="18">
                  <c:v>-15.0274833286113</c:v>
                </c:pt>
                <c:pt idx="19">
                  <c:v>-28.232540579888305</c:v>
                </c:pt>
                <c:pt idx="20">
                  <c:v>-38.847625293243858</c:v>
                </c:pt>
                <c:pt idx="21">
                  <c:v>-47.039539346060991</c:v>
                </c:pt>
                <c:pt idx="22">
                  <c:v>-53.314604683402216</c:v>
                </c:pt>
                <c:pt idx="23">
                  <c:v>-58.167280229220708</c:v>
                </c:pt>
                <c:pt idx="24">
                  <c:v>-61.981262642966392</c:v>
                </c:pt>
                <c:pt idx="25">
                  <c:v>-65.032707312611635</c:v>
                </c:pt>
                <c:pt idx="26">
                  <c:v>-67.516407607901343</c:v>
                </c:pt>
                <c:pt idx="27">
                  <c:v>-69.570126106722086</c:v>
                </c:pt>
                <c:pt idx="28">
                  <c:v>-79.449816495593808</c:v>
                </c:pt>
                <c:pt idx="29">
                  <c:v>-82.922182972077081</c:v>
                </c:pt>
                <c:pt idx="30">
                  <c:v>-84.679812740209158</c:v>
                </c:pt>
                <c:pt idx="31">
                  <c:v>-85.739446005491146</c:v>
                </c:pt>
                <c:pt idx="32">
                  <c:v>-86.447538935374155</c:v>
                </c:pt>
                <c:pt idx="33">
                  <c:v>-86.953998341545997</c:v>
                </c:pt>
                <c:pt idx="34">
                  <c:v>-87.334160152116411</c:v>
                </c:pt>
                <c:pt idx="35">
                  <c:v>-87.630005759087396</c:v>
                </c:pt>
                <c:pt idx="36">
                  <c:v>-87.866774079143525</c:v>
                </c:pt>
                <c:pt idx="37">
                  <c:v>-88.933017274553265</c:v>
                </c:pt>
                <c:pt idx="38">
                  <c:v>-89.288632499262874</c:v>
                </c:pt>
                <c:pt idx="39">
                  <c:v>-89.466462380585199</c:v>
                </c:pt>
                <c:pt idx="40">
                  <c:v>-89.57316546304952</c:v>
                </c:pt>
                <c:pt idx="41">
                  <c:v>-89.644302541964421</c:v>
                </c:pt>
                <c:pt idx="42">
                  <c:v>-89.695115425397347</c:v>
                </c:pt>
                <c:pt idx="43">
                  <c:v>-89.733225407078066</c:v>
                </c:pt>
                <c:pt idx="44">
                  <c:v>-89.762866668865911</c:v>
                </c:pt>
                <c:pt idx="45">
                  <c:v>-89.786579770449606</c:v>
                </c:pt>
                <c:pt idx="46">
                  <c:v>-89.893289515078862</c:v>
                </c:pt>
                <c:pt idx="47">
                  <c:v>-89.928859631021865</c:v>
                </c:pt>
                <c:pt idx="48">
                  <c:v>-89.946644711270821</c:v>
                </c:pt>
                <c:pt idx="49">
                  <c:v>-89.957315764574858</c:v>
                </c:pt>
                <c:pt idx="50">
                  <c:v>-89.9644298018017</c:v>
                </c:pt>
                <c:pt idx="51">
                  <c:v>-89.96951125764798</c:v>
                </c:pt>
                <c:pt idx="52">
                  <c:v>-89.973322349851827</c:v>
                </c:pt>
                <c:pt idx="53">
                  <c:v>-89.976286532841968</c:v>
                </c:pt>
                <c:pt idx="54">
                  <c:v>-89.978657879326235</c:v>
                </c:pt>
              </c:numCache>
            </c:numRef>
          </c:yVal>
          <c:smooth val="0"/>
          <c:extLst>
            <c:ext xmlns:c16="http://schemas.microsoft.com/office/drawing/2014/chart" uri="{C3380CC4-5D6E-409C-BE32-E72D297353CC}">
              <c16:uniqueId val="{00000001-9FA7-4C6D-87EC-649F76AFEECF}"/>
            </c:ext>
          </c:extLst>
        </c:ser>
        <c:dLbls>
          <c:showLegendKey val="0"/>
          <c:showVal val="0"/>
          <c:showCatName val="0"/>
          <c:showSerName val="0"/>
          <c:showPercent val="0"/>
          <c:showBubbleSize val="0"/>
        </c:dLbls>
        <c:axId val="220887680"/>
        <c:axId val="220886144"/>
      </c:scatterChart>
      <c:valAx>
        <c:axId val="220836608"/>
        <c:scaling>
          <c:logBase val="10"/>
          <c:orientation val="minMax"/>
          <c:min val="10"/>
        </c:scaling>
        <c:delete val="0"/>
        <c:axPos val="b"/>
        <c:majorGridlines/>
        <c:minorGridlines/>
        <c:numFmt formatCode="General" sourceLinked="1"/>
        <c:majorTickMark val="out"/>
        <c:minorTickMark val="cross"/>
        <c:tickLblPos val="low"/>
        <c:crossAx val="220838528"/>
        <c:crosses val="autoZero"/>
        <c:crossBetween val="midCat"/>
      </c:valAx>
      <c:valAx>
        <c:axId val="220838528"/>
        <c:scaling>
          <c:orientation val="minMax"/>
          <c:max val="60"/>
          <c:min val="-40"/>
        </c:scaling>
        <c:delete val="0"/>
        <c:axPos val="l"/>
        <c:majorGridlines/>
        <c:numFmt formatCode="General" sourceLinked="1"/>
        <c:majorTickMark val="out"/>
        <c:minorTickMark val="none"/>
        <c:tickLblPos val="nextTo"/>
        <c:crossAx val="220836608"/>
        <c:crosses val="autoZero"/>
        <c:crossBetween val="midCat"/>
        <c:majorUnit val="20"/>
      </c:valAx>
      <c:valAx>
        <c:axId val="220886144"/>
        <c:scaling>
          <c:orientation val="minMax"/>
          <c:max val="180"/>
          <c:min val="-180"/>
        </c:scaling>
        <c:delete val="0"/>
        <c:axPos val="r"/>
        <c:numFmt formatCode="General" sourceLinked="1"/>
        <c:majorTickMark val="out"/>
        <c:minorTickMark val="none"/>
        <c:tickLblPos val="nextTo"/>
        <c:crossAx val="220887680"/>
        <c:crosses val="max"/>
        <c:crossBetween val="midCat"/>
        <c:majorUnit val="45"/>
      </c:valAx>
      <c:valAx>
        <c:axId val="220887680"/>
        <c:scaling>
          <c:logBase val="10"/>
          <c:orientation val="minMax"/>
        </c:scaling>
        <c:delete val="1"/>
        <c:axPos val="b"/>
        <c:numFmt formatCode="General" sourceLinked="1"/>
        <c:majorTickMark val="out"/>
        <c:minorTickMark val="none"/>
        <c:tickLblPos val="nextTo"/>
        <c:crossAx val="220886144"/>
        <c:crosses val="autoZero"/>
        <c:crossBetween val="midCat"/>
      </c:valAx>
    </c:plotArea>
    <c:legend>
      <c:legendPos val="l"/>
      <c:layout>
        <c:manualLayout>
          <c:xMode val="edge"/>
          <c:yMode val="edge"/>
          <c:x val="0.69820093925399296"/>
          <c:y val="0.16336876104743336"/>
          <c:w val="0.22001818778535392"/>
          <c:h val="0.13077712429615321"/>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Current Loop Compensation</a:t>
            </a:r>
          </a:p>
        </c:rich>
      </c:tx>
      <c:overlay val="0"/>
    </c:title>
    <c:autoTitleDeleted val="0"/>
    <c:plotArea>
      <c:layout/>
      <c:scatterChart>
        <c:scatterStyle val="lineMarker"/>
        <c:varyColors val="0"/>
        <c:ser>
          <c:idx val="0"/>
          <c:order val="0"/>
          <c:tx>
            <c:v>Compensation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Compensation!$H$8:$H$62</c:f>
              <c:numCache>
                <c:formatCode>General</c:formatCode>
                <c:ptCount val="55"/>
                <c:pt idx="0">
                  <c:v>21.30582802753522</c:v>
                </c:pt>
                <c:pt idx="1">
                  <c:v>15.285323708823109</c:v>
                </c:pt>
                <c:pt idx="2">
                  <c:v>11.763657847312514</c:v>
                </c:pt>
                <c:pt idx="3">
                  <c:v>9.265106152771402</c:v>
                </c:pt>
                <c:pt idx="4">
                  <c:v>7.3271926384393193</c:v>
                </c:pt>
                <c:pt idx="5">
                  <c:v>5.743918158899799</c:v>
                </c:pt>
                <c:pt idx="6">
                  <c:v>4.4053964878635403</c:v>
                </c:pt>
                <c:pt idx="7">
                  <c:v>3.2460353318293262</c:v>
                </c:pt>
                <c:pt idx="8">
                  <c:v>2.2235263073296787</c:v>
                </c:pt>
                <c:pt idx="9">
                  <c:v>1.3089815376846508</c:v>
                </c:pt>
                <c:pt idx="10">
                  <c:v>-4.702076244618933</c:v>
                </c:pt>
                <c:pt idx="11">
                  <c:v>-8.2080443212685097</c:v>
                </c:pt>
                <c:pt idx="12">
                  <c:v>-10.684715937366844</c:v>
                </c:pt>
                <c:pt idx="13">
                  <c:v>-12.594662220896158</c:v>
                </c:pt>
                <c:pt idx="14">
                  <c:v>-14.14400229970105</c:v>
                </c:pt>
                <c:pt idx="15">
                  <c:v>-15.442765563409894</c:v>
                </c:pt>
                <c:pt idx="16">
                  <c:v>-16.556708721379604</c:v>
                </c:pt>
                <c:pt idx="17">
                  <c:v>-17.528323681557652</c:v>
                </c:pt>
                <c:pt idx="18">
                  <c:v>-18.386698650123709</c:v>
                </c:pt>
                <c:pt idx="19">
                  <c:v>-23.597181411607664</c:v>
                </c:pt>
                <c:pt idx="20">
                  <c:v>-26.034670538031083</c:v>
                </c:pt>
                <c:pt idx="21">
                  <c:v>-27.363005500510464</c:v>
                </c:pt>
                <c:pt idx="22">
                  <c:v>-28.149354664716441</c:v>
                </c:pt>
                <c:pt idx="23">
                  <c:v>-28.644908454107384</c:v>
                </c:pt>
                <c:pt idx="24">
                  <c:v>-28.973628448653752</c:v>
                </c:pt>
                <c:pt idx="25">
                  <c:v>-29.201198992043985</c:v>
                </c:pt>
                <c:pt idx="26">
                  <c:v>-29.364495718528897</c:v>
                </c:pt>
                <c:pt idx="27">
                  <c:v>-29.485276559140473</c:v>
                </c:pt>
                <c:pt idx="28">
                  <c:v>-29.899141775039766</c:v>
                </c:pt>
                <c:pt idx="29">
                  <c:v>-29.986865216948289</c:v>
                </c:pt>
                <c:pt idx="30">
                  <c:v>-30.025766029940382</c:v>
                </c:pt>
                <c:pt idx="31">
                  <c:v>-30.052409522358609</c:v>
                </c:pt>
                <c:pt idx="32">
                  <c:v>-30.075954814853731</c:v>
                </c:pt>
                <c:pt idx="33">
                  <c:v>-30.099539726194898</c:v>
                </c:pt>
                <c:pt idx="34">
                  <c:v>-30.124455344135541</c:v>
                </c:pt>
                <c:pt idx="35">
                  <c:v>-30.151294557794056</c:v>
                </c:pt>
                <c:pt idx="36">
                  <c:v>-30.180344466154931</c:v>
                </c:pt>
                <c:pt idx="37">
                  <c:v>-30.599717561708736</c:v>
                </c:pt>
                <c:pt idx="38">
                  <c:v>-31.214565846517679</c:v>
                </c:pt>
                <c:pt idx="39">
                  <c:v>-31.950507614075256</c:v>
                </c:pt>
                <c:pt idx="40">
                  <c:v>-32.743687789395281</c:v>
                </c:pt>
                <c:pt idx="41">
                  <c:v>-33.550000441807498</c:v>
                </c:pt>
                <c:pt idx="42">
                  <c:v>-34.3427107990195</c:v>
                </c:pt>
                <c:pt idx="43">
                  <c:v>-35.107311379841704</c:v>
                </c:pt>
                <c:pt idx="44">
                  <c:v>-35.836981630644672</c:v>
                </c:pt>
                <c:pt idx="45">
                  <c:v>-36.529411674573204</c:v>
                </c:pt>
                <c:pt idx="46">
                  <c:v>-41.749936716545264</c:v>
                </c:pt>
                <c:pt idx="47">
                  <c:v>-45.105946743694844</c:v>
                </c:pt>
                <c:pt idx="48">
                  <c:v>-47.545157275642097</c:v>
                </c:pt>
                <c:pt idx="49">
                  <c:v>-49.455508766073855</c:v>
                </c:pt>
                <c:pt idx="50">
                  <c:v>-51.023930767940875</c:v>
                </c:pt>
                <c:pt idx="51">
                  <c:v>-52.353673891699053</c:v>
                </c:pt>
                <c:pt idx="52">
                  <c:v>-53.507536004836275</c:v>
                </c:pt>
                <c:pt idx="53">
                  <c:v>-54.52648400284447</c:v>
                </c:pt>
                <c:pt idx="54">
                  <c:v>-55.438696975622612</c:v>
                </c:pt>
              </c:numCache>
            </c:numRef>
          </c:yVal>
          <c:smooth val="0"/>
          <c:extLst>
            <c:ext xmlns:c16="http://schemas.microsoft.com/office/drawing/2014/chart" uri="{C3380CC4-5D6E-409C-BE32-E72D297353CC}">
              <c16:uniqueId val="{00000000-6079-4A5C-B7BF-9412C455575C}"/>
            </c:ext>
          </c:extLst>
        </c:ser>
        <c:dLbls>
          <c:showLegendKey val="0"/>
          <c:showVal val="0"/>
          <c:showCatName val="0"/>
          <c:showSerName val="0"/>
          <c:showPercent val="0"/>
          <c:showBubbleSize val="0"/>
        </c:dLbls>
        <c:axId val="220981120"/>
        <c:axId val="221385088"/>
      </c:scatterChart>
      <c:scatterChart>
        <c:scatterStyle val="lineMarker"/>
        <c:varyColors val="0"/>
        <c:ser>
          <c:idx val="1"/>
          <c:order val="1"/>
          <c:tx>
            <c:v>Compensation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Compensation!$I$8:$I$62</c:f>
              <c:numCache>
                <c:formatCode>General</c:formatCode>
                <c:ptCount val="55"/>
                <c:pt idx="0">
                  <c:v>90.154137455942077</c:v>
                </c:pt>
                <c:pt idx="1">
                  <c:v>90.308272634286325</c:v>
                </c:pt>
                <c:pt idx="2">
                  <c:v>90.462403257635387</c:v>
                </c:pt>
                <c:pt idx="3">
                  <c:v>90.616527048993021</c:v>
                </c:pt>
                <c:pt idx="4">
                  <c:v>90.770641731964304</c:v>
                </c:pt>
                <c:pt idx="5">
                  <c:v>90.924745030956146</c:v>
                </c:pt>
                <c:pt idx="6">
                  <c:v>91.078834671377166</c:v>
                </c:pt>
                <c:pt idx="7">
                  <c:v>91.232908379837681</c:v>
                </c:pt>
                <c:pt idx="8">
                  <c:v>91.386963884349271</c:v>
                </c:pt>
                <c:pt idx="9">
                  <c:v>91.540998914524138</c:v>
                </c:pt>
                <c:pt idx="10">
                  <c:v>93.079725183815086</c:v>
                </c:pt>
                <c:pt idx="11">
                  <c:v>94.61392607142443</c:v>
                </c:pt>
                <c:pt idx="12">
                  <c:v>96.141388224467946</c:v>
                </c:pt>
                <c:pt idx="13">
                  <c:v>97.659956297948312</c:v>
                </c:pt>
                <c:pt idx="14">
                  <c:v>99.167550346147678</c:v>
                </c:pt>
                <c:pt idx="15">
                  <c:v>100.66218164685397</c:v>
                </c:pt>
                <c:pt idx="16">
                  <c:v>102.1419666837028</c:v>
                </c:pt>
                <c:pt idx="17">
                  <c:v>103.60513907915809</c:v>
                </c:pt>
                <c:pt idx="18">
                  <c:v>105.05005934182329</c:v>
                </c:pt>
                <c:pt idx="19">
                  <c:v>118.23405176052094</c:v>
                </c:pt>
                <c:pt idx="20">
                  <c:v>128.7791551632229</c:v>
                </c:pt>
                <c:pt idx="21">
                  <c:v>136.86946435113433</c:v>
                </c:pt>
                <c:pt idx="22">
                  <c:v>143.02767782220934</c:v>
                </c:pt>
                <c:pt idx="23">
                  <c:v>147.75777632467106</c:v>
                </c:pt>
                <c:pt idx="24">
                  <c:v>151.44800476263302</c:v>
                </c:pt>
                <c:pt idx="25">
                  <c:v>154.3764416780285</c:v>
                </c:pt>
                <c:pt idx="26">
                  <c:v>156.73857355388387</c:v>
                </c:pt>
                <c:pt idx="27">
                  <c:v>158.67231531152024</c:v>
                </c:pt>
                <c:pt idx="28">
                  <c:v>167.41213154214734</c:v>
                </c:pt>
                <c:pt idx="29">
                  <c:v>169.79192809397355</c:v>
                </c:pt>
                <c:pt idx="30">
                  <c:v>170.47339489847894</c:v>
                </c:pt>
                <c:pt idx="31">
                  <c:v>170.46577478275927</c:v>
                </c:pt>
                <c:pt idx="32">
                  <c:v>170.11329813326535</c:v>
                </c:pt>
                <c:pt idx="33">
                  <c:v>169.56526951683352</c:v>
                </c:pt>
                <c:pt idx="34">
                  <c:v>168.89704216225374</c:v>
                </c:pt>
                <c:pt idx="35">
                  <c:v>168.15088367181721</c:v>
                </c:pt>
                <c:pt idx="36">
                  <c:v>167.35244328495818</c:v>
                </c:pt>
                <c:pt idx="37">
                  <c:v>158.54325744435505</c:v>
                </c:pt>
                <c:pt idx="38">
                  <c:v>150.14117400278525</c:v>
                </c:pt>
                <c:pt idx="39">
                  <c:v>142.8306550557424</c:v>
                </c:pt>
                <c:pt idx="40">
                  <c:v>136.66318705118724</c:v>
                </c:pt>
                <c:pt idx="41">
                  <c:v>131.51864675075592</c:v>
                </c:pt>
                <c:pt idx="42">
                  <c:v>127.23262576886138</c:v>
                </c:pt>
                <c:pt idx="43">
                  <c:v>123.64679537878988</c:v>
                </c:pt>
                <c:pt idx="44">
                  <c:v>120.62585670619548</c:v>
                </c:pt>
                <c:pt idx="45">
                  <c:v>118.06004809106088</c:v>
                </c:pt>
                <c:pt idx="46">
                  <c:v>104.94517786640692</c:v>
                </c:pt>
                <c:pt idx="47">
                  <c:v>100.09284797283122</c:v>
                </c:pt>
                <c:pt idx="48">
                  <c:v>97.604681023641149</c:v>
                </c:pt>
                <c:pt idx="49">
                  <c:v>96.096879431107567</c:v>
                </c:pt>
                <c:pt idx="50">
                  <c:v>95.086714071792528</c:v>
                </c:pt>
                <c:pt idx="51">
                  <c:v>94.363142346531134</c:v>
                </c:pt>
                <c:pt idx="52">
                  <c:v>93.819514740348254</c:v>
                </c:pt>
                <c:pt idx="53">
                  <c:v>93.396201452270446</c:v>
                </c:pt>
                <c:pt idx="54">
                  <c:v>93.057275470191726</c:v>
                </c:pt>
              </c:numCache>
            </c:numRef>
          </c:yVal>
          <c:smooth val="0"/>
          <c:extLst>
            <c:ext xmlns:c16="http://schemas.microsoft.com/office/drawing/2014/chart" uri="{C3380CC4-5D6E-409C-BE32-E72D297353CC}">
              <c16:uniqueId val="{00000001-6079-4A5C-B7BF-9412C455575C}"/>
            </c:ext>
          </c:extLst>
        </c:ser>
        <c:dLbls>
          <c:showLegendKey val="0"/>
          <c:showVal val="0"/>
          <c:showCatName val="0"/>
          <c:showSerName val="0"/>
          <c:showPercent val="0"/>
          <c:showBubbleSize val="0"/>
        </c:dLbls>
        <c:axId val="222761344"/>
        <c:axId val="221386624"/>
      </c:scatterChart>
      <c:valAx>
        <c:axId val="220981120"/>
        <c:scaling>
          <c:logBase val="10"/>
          <c:orientation val="minMax"/>
          <c:min val="10"/>
        </c:scaling>
        <c:delete val="0"/>
        <c:axPos val="b"/>
        <c:majorGridlines/>
        <c:minorGridlines/>
        <c:numFmt formatCode="General" sourceLinked="1"/>
        <c:majorTickMark val="out"/>
        <c:minorTickMark val="cross"/>
        <c:tickLblPos val="low"/>
        <c:crossAx val="221385088"/>
        <c:crosses val="autoZero"/>
        <c:crossBetween val="midCat"/>
      </c:valAx>
      <c:valAx>
        <c:axId val="221385088"/>
        <c:scaling>
          <c:orientation val="minMax"/>
          <c:max val="60"/>
          <c:min val="-40"/>
        </c:scaling>
        <c:delete val="0"/>
        <c:axPos val="l"/>
        <c:majorGridlines/>
        <c:numFmt formatCode="General" sourceLinked="1"/>
        <c:majorTickMark val="out"/>
        <c:minorTickMark val="none"/>
        <c:tickLblPos val="nextTo"/>
        <c:crossAx val="220981120"/>
        <c:crosses val="autoZero"/>
        <c:crossBetween val="midCat"/>
        <c:majorUnit val="20"/>
      </c:valAx>
      <c:valAx>
        <c:axId val="221386624"/>
        <c:scaling>
          <c:orientation val="minMax"/>
          <c:max val="180"/>
          <c:min val="-180"/>
        </c:scaling>
        <c:delete val="0"/>
        <c:axPos val="r"/>
        <c:numFmt formatCode="General" sourceLinked="1"/>
        <c:majorTickMark val="out"/>
        <c:minorTickMark val="none"/>
        <c:tickLblPos val="nextTo"/>
        <c:crossAx val="222761344"/>
        <c:crosses val="max"/>
        <c:crossBetween val="midCat"/>
        <c:majorUnit val="45"/>
      </c:valAx>
      <c:valAx>
        <c:axId val="222761344"/>
        <c:scaling>
          <c:logBase val="10"/>
          <c:orientation val="minMax"/>
        </c:scaling>
        <c:delete val="1"/>
        <c:axPos val="b"/>
        <c:numFmt formatCode="General" sourceLinked="1"/>
        <c:majorTickMark val="out"/>
        <c:minorTickMark val="none"/>
        <c:tickLblPos val="nextTo"/>
        <c:crossAx val="221386624"/>
        <c:crosses val="autoZero"/>
        <c:crossBetween val="midCat"/>
      </c:valAx>
    </c:plotArea>
    <c:legend>
      <c:legendPos val="l"/>
      <c:layout>
        <c:manualLayout>
          <c:xMode val="edge"/>
          <c:yMode val="edge"/>
          <c:x val="0.65602831874863543"/>
          <c:y val="0.38756332343240335"/>
          <c:w val="0.25624167236024714"/>
          <c:h val="0.1741696202416313"/>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Open-Loop Current  </a:t>
            </a:r>
            <a:endParaRPr lang="en-US"/>
          </a:p>
        </c:rich>
      </c:tx>
      <c:overlay val="0"/>
    </c:title>
    <c:autoTitleDeleted val="0"/>
    <c:plotArea>
      <c:layout/>
      <c:scatterChart>
        <c:scatterStyle val="lineMarker"/>
        <c:varyColors val="0"/>
        <c:ser>
          <c:idx val="0"/>
          <c:order val="0"/>
          <c:tx>
            <c:v>Current Loop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Compensation!$K$8:$K$62</c:f>
              <c:numCache>
                <c:formatCode>General</c:formatCode>
                <c:ptCount val="55"/>
                <c:pt idx="0">
                  <c:v>92.16456751110934</c:v>
                </c:pt>
                <c:pt idx="1">
                  <c:v>86.143969291914885</c:v>
                </c:pt>
                <c:pt idx="2">
                  <c:v>82.622146934111939</c:v>
                </c:pt>
                <c:pt idx="3">
                  <c:v>80.123376154235046</c:v>
                </c:pt>
                <c:pt idx="4">
                  <c:v>78.185180974995717</c:v>
                </c:pt>
                <c:pt idx="5">
                  <c:v>76.601562263153326</c:v>
                </c:pt>
                <c:pt idx="6">
                  <c:v>75.262633807296581</c:v>
                </c:pt>
                <c:pt idx="7">
                  <c:v>74.102803331502315</c:v>
                </c:pt>
                <c:pt idx="8">
                  <c:v>73.079762472578608</c:v>
                </c:pt>
                <c:pt idx="9">
                  <c:v>72.164623376815598</c:v>
                </c:pt>
                <c:pt idx="10">
                  <c:v>66.14419226244641</c:v>
                </c:pt>
                <c:pt idx="11">
                  <c:v>62.622646782380031</c:v>
                </c:pt>
                <c:pt idx="12">
                  <c:v>60.124260244614909</c:v>
                </c:pt>
                <c:pt idx="13">
                  <c:v>58.18655337223796</c:v>
                </c:pt>
                <c:pt idx="14">
                  <c:v>56.6035229101753</c:v>
                </c:pt>
                <c:pt idx="15">
                  <c:v>55.265277786855137</c:v>
                </c:pt>
                <c:pt idx="16">
                  <c:v>54.106220223645202</c:v>
                </c:pt>
                <c:pt idx="17">
                  <c:v>53.084035816378474</c:v>
                </c:pt>
                <c:pt idx="18">
                  <c:v>52.169830241397918</c:v>
                </c:pt>
                <c:pt idx="19">
                  <c:v>46.161451906746855</c:v>
                </c:pt>
                <c:pt idx="20">
                  <c:v>42.652807042005733</c:v>
                </c:pt>
                <c:pt idx="21">
                  <c:v>40.164999598417062</c:v>
                </c:pt>
                <c:pt idx="22">
                  <c:v>38.235022248130157</c:v>
                </c:pt>
                <c:pt idx="23">
                  <c:v>36.65734097230942</c:v>
                </c:pt>
                <c:pt idx="24">
                  <c:v>35.32266831588565</c:v>
                </c:pt>
                <c:pt idx="25">
                  <c:v>34.16589584980948</c:v>
                </c:pt>
                <c:pt idx="26">
                  <c:v>33.145060849565617</c:v>
                </c:pt>
                <c:pt idx="27">
                  <c:v>32.231513248080084</c:v>
                </c:pt>
                <c:pt idx="28">
                  <c:v>26.213237279398207</c:v>
                </c:pt>
                <c:pt idx="29">
                  <c:v>22.685337242122742</c:v>
                </c:pt>
                <c:pt idx="30">
                  <c:v>20.176605254490553</c:v>
                </c:pt>
                <c:pt idx="31">
                  <c:v>18.225223818641098</c:v>
                </c:pt>
                <c:pt idx="32">
                  <c:v>16.625383997528456</c:v>
                </c:pt>
                <c:pt idx="33">
                  <c:v>15.267289275813003</c:v>
                </c:pt>
                <c:pt idx="34">
                  <c:v>14.085409766734751</c:v>
                </c:pt>
                <c:pt idx="35">
                  <c:v>13.037492328194457</c:v>
                </c:pt>
                <c:pt idx="36">
                  <c:v>12.094703878536844</c:v>
                </c:pt>
                <c:pt idx="37">
                  <c:v>5.6592462993770001</c:v>
                </c:pt>
                <c:pt idx="38">
                  <c:v>1.5234095395800877</c:v>
                </c:pt>
                <c:pt idx="39">
                  <c:v>-1.7110140749121805</c:v>
                </c:pt>
                <c:pt idx="40">
                  <c:v>-4.4422589396847458</c:v>
                </c:pt>
                <c:pt idx="41">
                  <c:v>-6.8321228679276791</c:v>
                </c:pt>
                <c:pt idx="42">
                  <c:v>-8.9637246114627835</c:v>
                </c:pt>
                <c:pt idx="43">
                  <c:v>-10.88813531020608</c:v>
                </c:pt>
                <c:pt idx="44">
                  <c:v>-12.640836249829734</c:v>
                </c:pt>
                <c:pt idx="45">
                  <c:v>-14.248401970614029</c:v>
                </c:pt>
                <c:pt idx="46">
                  <c:v>-25.489481732808009</c:v>
                </c:pt>
                <c:pt idx="47">
                  <c:v>-32.367308571934835</c:v>
                </c:pt>
                <c:pt idx="48">
                  <c:v>-37.305290906846515</c:v>
                </c:pt>
                <c:pt idx="49">
                  <c:v>-41.153841301636938</c:v>
                </c:pt>
                <c:pt idx="50">
                  <c:v>-44.305887487970921</c:v>
                </c:pt>
                <c:pt idx="51">
                  <c:v>-46.974565960263803</c:v>
                </c:pt>
                <c:pt idx="52">
                  <c:v>-49.28826672473128</c:v>
                </c:pt>
                <c:pt idx="53">
                  <c:v>-51.330264974082041</c:v>
                </c:pt>
                <c:pt idx="54">
                  <c:v>-53.157627616727972</c:v>
                </c:pt>
              </c:numCache>
            </c:numRef>
          </c:yVal>
          <c:smooth val="0"/>
          <c:extLst>
            <c:ext xmlns:c16="http://schemas.microsoft.com/office/drawing/2014/chart" uri="{C3380CC4-5D6E-409C-BE32-E72D297353CC}">
              <c16:uniqueId val="{00000000-F3FC-4182-80D6-CCE6972AFF8F}"/>
            </c:ext>
          </c:extLst>
        </c:ser>
        <c:dLbls>
          <c:showLegendKey val="0"/>
          <c:showVal val="0"/>
          <c:showCatName val="0"/>
          <c:showSerName val="0"/>
          <c:showPercent val="0"/>
          <c:showBubbleSize val="0"/>
        </c:dLbls>
        <c:axId val="222780416"/>
        <c:axId val="222795648"/>
      </c:scatterChart>
      <c:scatterChart>
        <c:scatterStyle val="lineMarker"/>
        <c:varyColors val="0"/>
        <c:ser>
          <c:idx val="1"/>
          <c:order val="1"/>
          <c:tx>
            <c:v>Current Loop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Compensation!$L$8:$L$62</c:f>
              <c:numCache>
                <c:formatCode>General</c:formatCode>
                <c:ptCount val="55"/>
                <c:pt idx="0">
                  <c:v>90.000319643658088</c:v>
                </c:pt>
                <c:pt idx="1">
                  <c:v>90.000639226885099</c:v>
                </c:pt>
                <c:pt idx="2">
                  <c:v>90.000958689258752</c:v>
                </c:pt>
                <c:pt idx="3">
                  <c:v>90.001277970374318</c:v>
                </c:pt>
                <c:pt idx="4">
                  <c:v>90.001597009853427</c:v>
                </c:pt>
                <c:pt idx="5">
                  <c:v>90.001915747352896</c:v>
                </c:pt>
                <c:pt idx="6">
                  <c:v>90.002234122573327</c:v>
                </c:pt>
                <c:pt idx="7">
                  <c:v>90.002552075268113</c:v>
                </c:pt>
                <c:pt idx="8">
                  <c:v>90.002869545251855</c:v>
                </c:pt>
                <c:pt idx="9">
                  <c:v>90.00318647240934</c:v>
                </c:pt>
                <c:pt idx="10">
                  <c:v>90.006312730627116</c:v>
                </c:pt>
                <c:pt idx="11">
                  <c:v>90.009319430597586</c:v>
                </c:pt>
                <c:pt idx="12">
                  <c:v>90.012148942263778</c:v>
                </c:pt>
                <c:pt idx="13">
                  <c:v>90.014746142235467</c:v>
                </c:pt>
                <c:pt idx="14">
                  <c:v>90.017059132938272</c:v>
                </c:pt>
                <c:pt idx="15">
                  <c:v>90.019039869561098</c:v>
                </c:pt>
                <c:pt idx="16">
                  <c:v>90.020644680543128</c:v>
                </c:pt>
                <c:pt idx="17">
                  <c:v>90.021834672213487</c:v>
                </c:pt>
                <c:pt idx="18">
                  <c:v>90.022576013211989</c:v>
                </c:pt>
                <c:pt idx="19">
                  <c:v>90.001511180632647</c:v>
                </c:pt>
                <c:pt idx="20">
                  <c:v>89.93152986997903</c:v>
                </c:pt>
                <c:pt idx="21">
                  <c:v>89.829925005073349</c:v>
                </c:pt>
                <c:pt idx="22">
                  <c:v>89.713073138807133</c:v>
                </c:pt>
                <c:pt idx="23">
                  <c:v>89.590496095450348</c:v>
                </c:pt>
                <c:pt idx="24">
                  <c:v>89.46674211966662</c:v>
                </c:pt>
                <c:pt idx="25">
                  <c:v>89.343734365416879</c:v>
                </c:pt>
                <c:pt idx="26">
                  <c:v>89.222165945982539</c:v>
                </c:pt>
                <c:pt idx="27">
                  <c:v>89.102189204798179</c:v>
                </c:pt>
                <c:pt idx="28">
                  <c:v>87.962315046553542</c:v>
                </c:pt>
                <c:pt idx="29">
                  <c:v>86.869745121896472</c:v>
                </c:pt>
                <c:pt idx="30">
                  <c:v>85.7935821582698</c:v>
                </c:pt>
                <c:pt idx="31">
                  <c:v>84.726328777268137</c:v>
                </c:pt>
                <c:pt idx="32">
                  <c:v>83.665759197891234</c:v>
                </c:pt>
                <c:pt idx="33">
                  <c:v>82.611271175287541</c:v>
                </c:pt>
                <c:pt idx="34">
                  <c:v>81.562882010137329</c:v>
                </c:pt>
                <c:pt idx="35">
                  <c:v>80.520877912729844</c:v>
                </c:pt>
                <c:pt idx="36">
                  <c:v>79.485669205814702</c:v>
                </c:pt>
                <c:pt idx="37">
                  <c:v>69.610240169801799</c:v>
                </c:pt>
                <c:pt idx="38">
                  <c:v>60.852541503522367</c:v>
                </c:pt>
                <c:pt idx="39">
                  <c:v>53.364192675157177</c:v>
                </c:pt>
                <c:pt idx="40">
                  <c:v>47.090021588137702</c:v>
                </c:pt>
                <c:pt idx="41">
                  <c:v>41.874344208791463</c:v>
                </c:pt>
                <c:pt idx="42">
                  <c:v>37.537510343463943</c:v>
                </c:pt>
                <c:pt idx="43">
                  <c:v>33.913569971711809</c:v>
                </c:pt>
                <c:pt idx="44">
                  <c:v>30.862990037329538</c:v>
                </c:pt>
                <c:pt idx="45">
                  <c:v>28.273468320611265</c:v>
                </c:pt>
                <c:pt idx="46">
                  <c:v>15.051888351328124</c:v>
                </c:pt>
                <c:pt idx="47">
                  <c:v>10.163988341809379</c:v>
                </c:pt>
                <c:pt idx="48">
                  <c:v>7.6580363123703208</c:v>
                </c:pt>
                <c:pt idx="49">
                  <c:v>6.1395636665326956</c:v>
                </c:pt>
                <c:pt idx="50">
                  <c:v>5.1222842699908497</c:v>
                </c:pt>
                <c:pt idx="51">
                  <c:v>4.3936310888831471</c:v>
                </c:pt>
                <c:pt idx="52">
                  <c:v>3.8461923904964324</c:v>
                </c:pt>
                <c:pt idx="53">
                  <c:v>3.419914919428487</c:v>
                </c:pt>
                <c:pt idx="54">
                  <c:v>3.0786175908655151</c:v>
                </c:pt>
              </c:numCache>
            </c:numRef>
          </c:yVal>
          <c:smooth val="0"/>
          <c:extLst>
            <c:ext xmlns:c16="http://schemas.microsoft.com/office/drawing/2014/chart" uri="{C3380CC4-5D6E-409C-BE32-E72D297353CC}">
              <c16:uniqueId val="{00000001-F3FC-4182-80D6-CCE6972AFF8F}"/>
            </c:ext>
          </c:extLst>
        </c:ser>
        <c:dLbls>
          <c:showLegendKey val="0"/>
          <c:showVal val="0"/>
          <c:showCatName val="0"/>
          <c:showSerName val="0"/>
          <c:showPercent val="0"/>
          <c:showBubbleSize val="0"/>
        </c:dLbls>
        <c:axId val="223315072"/>
        <c:axId val="222797184"/>
      </c:scatterChart>
      <c:valAx>
        <c:axId val="222780416"/>
        <c:scaling>
          <c:logBase val="10"/>
          <c:orientation val="minMax"/>
          <c:min val="10"/>
        </c:scaling>
        <c:delete val="0"/>
        <c:axPos val="b"/>
        <c:majorGridlines/>
        <c:minorGridlines/>
        <c:numFmt formatCode="General" sourceLinked="1"/>
        <c:majorTickMark val="out"/>
        <c:minorTickMark val="cross"/>
        <c:tickLblPos val="low"/>
        <c:crossAx val="222795648"/>
        <c:crosses val="autoZero"/>
        <c:crossBetween val="midCat"/>
      </c:valAx>
      <c:valAx>
        <c:axId val="222795648"/>
        <c:scaling>
          <c:orientation val="minMax"/>
          <c:max val="60"/>
          <c:min val="-40"/>
        </c:scaling>
        <c:delete val="0"/>
        <c:axPos val="l"/>
        <c:majorGridlines/>
        <c:numFmt formatCode="General" sourceLinked="1"/>
        <c:majorTickMark val="out"/>
        <c:minorTickMark val="none"/>
        <c:tickLblPos val="nextTo"/>
        <c:crossAx val="222780416"/>
        <c:crosses val="autoZero"/>
        <c:crossBetween val="midCat"/>
        <c:majorUnit val="20"/>
      </c:valAx>
      <c:valAx>
        <c:axId val="222797184"/>
        <c:scaling>
          <c:orientation val="minMax"/>
          <c:max val="180"/>
          <c:min val="-180"/>
        </c:scaling>
        <c:delete val="0"/>
        <c:axPos val="r"/>
        <c:numFmt formatCode="General" sourceLinked="1"/>
        <c:majorTickMark val="out"/>
        <c:minorTickMark val="none"/>
        <c:tickLblPos val="nextTo"/>
        <c:crossAx val="223315072"/>
        <c:crosses val="max"/>
        <c:crossBetween val="midCat"/>
        <c:majorUnit val="45"/>
      </c:valAx>
      <c:valAx>
        <c:axId val="223315072"/>
        <c:scaling>
          <c:logBase val="10"/>
          <c:orientation val="minMax"/>
        </c:scaling>
        <c:delete val="1"/>
        <c:axPos val="b"/>
        <c:numFmt formatCode="General" sourceLinked="1"/>
        <c:majorTickMark val="out"/>
        <c:minorTickMark val="none"/>
        <c:tickLblPos val="nextTo"/>
        <c:crossAx val="222797184"/>
        <c:crosses val="autoZero"/>
        <c:crossBetween val="midCat"/>
      </c:valAx>
    </c:plotArea>
    <c:legend>
      <c:legendPos val="l"/>
      <c:layout>
        <c:manualLayout>
          <c:xMode val="edge"/>
          <c:yMode val="edge"/>
          <c:x val="0.66446284284970702"/>
          <c:y val="0.15975271971864352"/>
          <c:w val="0.25624167236024714"/>
          <c:h val="0.1741696202416313"/>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6"/>
          <c:order val="0"/>
          <c:tx>
            <c:v>Gain_Boost_iL</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Compensation!$S$169:$S$223</c:f>
              <c:numCache>
                <c:formatCode>General</c:formatCode>
                <c:ptCount val="55"/>
                <c:pt idx="0">
                  <c:v>26.935539461784064</c:v>
                </c:pt>
                <c:pt idx="1">
                  <c:v>26.934908741147488</c:v>
                </c:pt>
                <c:pt idx="2">
                  <c:v>26.933857764985056</c:v>
                </c:pt>
                <c:pt idx="3">
                  <c:v>26.93238687039991</c:v>
                </c:pt>
                <c:pt idx="4">
                  <c:v>26.9304965288486</c:v>
                </c:pt>
                <c:pt idx="5">
                  <c:v>26.928187345653942</c:v>
                </c:pt>
                <c:pt idx="6">
                  <c:v>26.92546005938102</c:v>
                </c:pt>
                <c:pt idx="7">
                  <c:v>26.922315541077193</c:v>
                </c:pt>
                <c:pt idx="8">
                  <c:v>26.918754793377872</c:v>
                </c:pt>
                <c:pt idx="9">
                  <c:v>26.914778949478734</c:v>
                </c:pt>
                <c:pt idx="10">
                  <c:v>26.852530183389703</c:v>
                </c:pt>
                <c:pt idx="11">
                  <c:v>26.75092782864338</c:v>
                </c:pt>
                <c:pt idx="12">
                  <c:v>26.612971671522331</c:v>
                </c:pt>
                <c:pt idx="13">
                  <c:v>26.442467893192916</c:v>
                </c:pt>
                <c:pt idx="14">
                  <c:v>26.243723339460793</c:v>
                </c:pt>
                <c:pt idx="15">
                  <c:v>26.021248127853308</c:v>
                </c:pt>
                <c:pt idx="16">
                  <c:v>25.779500337705898</c:v>
                </c:pt>
                <c:pt idx="17">
                  <c:v>25.522691178672709</c:v>
                </c:pt>
                <c:pt idx="18">
                  <c:v>25.254654780109703</c:v>
                </c:pt>
                <c:pt idx="19">
                  <c:v>22.488675675437175</c:v>
                </c:pt>
                <c:pt idx="20">
                  <c:v>20.163062376719019</c:v>
                </c:pt>
                <c:pt idx="21">
                  <c:v>18.305415465700488</c:v>
                </c:pt>
                <c:pt idx="22">
                  <c:v>16.771611107349859</c:v>
                </c:pt>
                <c:pt idx="23">
                  <c:v>15.462138139563141</c:v>
                </c:pt>
                <c:pt idx="24">
                  <c:v>14.316941281368516</c:v>
                </c:pt>
                <c:pt idx="25">
                  <c:v>13.298309744973263</c:v>
                </c:pt>
                <c:pt idx="26">
                  <c:v>12.380911362738964</c:v>
                </c:pt>
                <c:pt idx="27">
                  <c:v>11.54668119089974</c:v>
                </c:pt>
                <c:pt idx="28">
                  <c:v>5.8377797374748921</c:v>
                </c:pt>
                <c:pt idx="29">
                  <c:v>2.417943182749001</c:v>
                </c:pt>
                <c:pt idx="30">
                  <c:v>-3.2490541691909951E-4</c:v>
                </c:pt>
                <c:pt idx="31">
                  <c:v>-1.8531462617638623</c:v>
                </c:pt>
                <c:pt idx="32">
                  <c:v>-3.340140946117713</c:v>
                </c:pt>
                <c:pt idx="33">
                  <c:v>-4.5693633999489434</c:v>
                </c:pt>
                <c:pt idx="34">
                  <c:v>-5.606030550903899</c:v>
                </c:pt>
                <c:pt idx="35">
                  <c:v>-6.4926658075421404</c:v>
                </c:pt>
                <c:pt idx="36">
                  <c:v>-7.2586590026261959</c:v>
                </c:pt>
                <c:pt idx="37">
                  <c:v>-11.264970716962011</c:v>
                </c:pt>
                <c:pt idx="38">
                  <c:v>-12.498298568801243</c:v>
                </c:pt>
                <c:pt idx="39">
                  <c:v>-13.389138505682123</c:v>
                </c:pt>
                <c:pt idx="40">
                  <c:v>-14.828766718501463</c:v>
                </c:pt>
                <c:pt idx="41">
                  <c:v>-16.655562992134488</c:v>
                </c:pt>
                <c:pt idx="42">
                  <c:v>-18.48261822678985</c:v>
                </c:pt>
                <c:pt idx="43">
                  <c:v>-20.133454256800892</c:v>
                </c:pt>
                <c:pt idx="44">
                  <c:v>-21.578903818198341</c:v>
                </c:pt>
                <c:pt idx="45">
                  <c:v>-22.840083324720318</c:v>
                </c:pt>
                <c:pt idx="46">
                  <c:v>-30.214480599774912</c:v>
                </c:pt>
                <c:pt idx="47">
                  <c:v>-34.02837771743939</c:v>
                </c:pt>
                <c:pt idx="48">
                  <c:v>-36.63244234265062</c:v>
                </c:pt>
                <c:pt idx="49">
                  <c:v>-38.619916208455017</c:v>
                </c:pt>
                <c:pt idx="50">
                  <c:v>-40.230450307380082</c:v>
                </c:pt>
                <c:pt idx="51">
                  <c:v>-41.585660264801795</c:v>
                </c:pt>
                <c:pt idx="52">
                  <c:v>-42.756081410414268</c:v>
                </c:pt>
                <c:pt idx="53">
                  <c:v>-43.786395923984607</c:v>
                </c:pt>
                <c:pt idx="54">
                  <c:v>-44.706746139725063</c:v>
                </c:pt>
              </c:numCache>
            </c:numRef>
          </c:yVal>
          <c:smooth val="1"/>
          <c:extLst>
            <c:ext xmlns:c16="http://schemas.microsoft.com/office/drawing/2014/chart" uri="{C3380CC4-5D6E-409C-BE32-E72D297353CC}">
              <c16:uniqueId val="{00000000-6D16-4FE1-8702-619082452D5B}"/>
            </c:ext>
          </c:extLst>
        </c:ser>
        <c:ser>
          <c:idx val="1"/>
          <c:order val="2"/>
          <c:tx>
            <c:v>Simplis_Gain</c:v>
          </c:tx>
          <c:marker>
            <c:symbol val="none"/>
          </c:marker>
          <c:xVal>
            <c:numRef>
              <c:f>Compensation!$AD$182:$AD$1243</c:f>
              <c:numCache>
                <c:formatCode>General</c:formatCode>
                <c:ptCount val="1062"/>
              </c:numCache>
            </c:numRef>
          </c:xVal>
          <c:yVal>
            <c:numRef>
              <c:f>Compensation!$AE$182:$AE$1243</c:f>
              <c:numCache>
                <c:formatCode>General</c:formatCode>
                <c:ptCount val="1062"/>
              </c:numCache>
            </c:numRef>
          </c:yVal>
          <c:smooth val="0"/>
          <c:extLst>
            <c:ext xmlns:c16="http://schemas.microsoft.com/office/drawing/2014/chart" uri="{C3380CC4-5D6E-409C-BE32-E72D297353CC}">
              <c16:uniqueId val="{00000001-6D16-4FE1-8702-619082452D5B}"/>
            </c:ext>
          </c:extLst>
        </c:ser>
        <c:dLbls>
          <c:showLegendKey val="0"/>
          <c:showVal val="0"/>
          <c:showCatName val="0"/>
          <c:showSerName val="0"/>
          <c:showPercent val="0"/>
          <c:showBubbleSize val="0"/>
        </c:dLbls>
        <c:axId val="224078080"/>
        <c:axId val="225329536"/>
      </c:scatterChart>
      <c:scatterChart>
        <c:scatterStyle val="lineMarker"/>
        <c:varyColors val="0"/>
        <c:ser>
          <c:idx val="0"/>
          <c:order val="1"/>
          <c:tx>
            <c:v>Phase_Boost_iL</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Compensation!$T$169:$T$223</c:f>
              <c:numCache>
                <c:formatCode>General</c:formatCode>
                <c:ptCount val="55"/>
                <c:pt idx="0">
                  <c:v>-0.3792185050292593</c:v>
                </c:pt>
                <c:pt idx="1">
                  <c:v>-0.75839617864656406</c:v>
                </c:pt>
                <c:pt idx="2">
                  <c:v>-1.1374922151085518</c:v>
                </c:pt>
                <c:pt idx="3">
                  <c:v>-1.51646585996955</c:v>
                </c:pt>
                <c:pt idx="4">
                  <c:v>-1.8952764356315457</c:v>
                </c:pt>
                <c:pt idx="5">
                  <c:v>-2.2738833667756717</c:v>
                </c:pt>
                <c:pt idx="6">
                  <c:v>-2.6522462056371339</c:v>
                </c:pt>
                <c:pt idx="7">
                  <c:v>-3.0303246570825544</c:v>
                </c:pt>
                <c:pt idx="8">
                  <c:v>-3.408078603456385</c:v>
                </c:pt>
                <c:pt idx="9">
                  <c:v>-3.785468129154598</c:v>
                </c:pt>
                <c:pt idx="10">
                  <c:v>-7.530730719131614</c:v>
                </c:pt>
                <c:pt idx="11">
                  <c:v>-11.198023584984158</c:v>
                </c:pt>
                <c:pt idx="12">
                  <c:v>-14.754112373848439</c:v>
                </c:pt>
                <c:pt idx="13">
                  <c:v>-18.171766500130186</c:v>
                </c:pt>
                <c:pt idx="14">
                  <c:v>-21.430503144822637</c:v>
                </c:pt>
                <c:pt idx="15">
                  <c:v>-24.516634897881058</c:v>
                </c:pt>
                <c:pt idx="16">
                  <c:v>-27.422763274611938</c:v>
                </c:pt>
                <c:pt idx="17">
                  <c:v>-30.146910303399597</c:v>
                </c:pt>
                <c:pt idx="18">
                  <c:v>-32.691477463206326</c:v>
                </c:pt>
                <c:pt idx="19">
                  <c:v>-50.154174052862494</c:v>
                </c:pt>
                <c:pt idx="20">
                  <c:v>-59.207668509747293</c:v>
                </c:pt>
                <c:pt idx="21">
                  <c:v>-64.818632712770039</c:v>
                </c:pt>
                <c:pt idx="22">
                  <c:v>-68.805208974199246</c:v>
                </c:pt>
                <c:pt idx="23">
                  <c:v>-71.865359802131778</c:v>
                </c:pt>
                <c:pt idx="24">
                  <c:v>-74.320458933645497</c:v>
                </c:pt>
                <c:pt idx="25">
                  <c:v>-76.347606313658531</c:v>
                </c:pt>
                <c:pt idx="26">
                  <c:v>-78.057663750574633</c:v>
                </c:pt>
                <c:pt idx="27">
                  <c:v>-79.52565726154053</c:v>
                </c:pt>
                <c:pt idx="28">
                  <c:v>-87.996274809785319</c:v>
                </c:pt>
                <c:pt idx="29">
                  <c:v>-92.570782813535075</c:v>
                </c:pt>
                <c:pt idx="30">
                  <c:v>-96.058553991303668</c:v>
                </c:pt>
                <c:pt idx="31">
                  <c:v>-99.093278634205603</c:v>
                </c:pt>
                <c:pt idx="32">
                  <c:v>-101.89296634870492</c:v>
                </c:pt>
                <c:pt idx="33">
                  <c:v>-104.55198559409006</c:v>
                </c:pt>
                <c:pt idx="34">
                  <c:v>-107.1176829770489</c:v>
                </c:pt>
                <c:pt idx="35">
                  <c:v>-109.61651514495968</c:v>
                </c:pt>
                <c:pt idx="36">
                  <c:v>-112.06463585606949</c:v>
                </c:pt>
                <c:pt idx="37">
                  <c:v>-135.25880389335572</c:v>
                </c:pt>
                <c:pt idx="38">
                  <c:v>-158.57421470788302</c:v>
                </c:pt>
                <c:pt idx="39">
                  <c:v>177.23885193044327</c:v>
                </c:pt>
                <c:pt idx="40">
                  <c:v>155.57244414119202</c:v>
                </c:pt>
                <c:pt idx="41">
                  <c:v>139.40402982480373</c:v>
                </c:pt>
                <c:pt idx="42">
                  <c:v>128.35895028987161</c:v>
                </c:pt>
                <c:pt idx="43">
                  <c:v>120.85804752880213</c:v>
                </c:pt>
                <c:pt idx="44">
                  <c:v>115.61877092290024</c:v>
                </c:pt>
                <c:pt idx="45">
                  <c:v>111.8255739661535</c:v>
                </c:pt>
                <c:pt idx="46">
                  <c:v>98.782444277587544</c:v>
                </c:pt>
                <c:pt idx="47">
                  <c:v>95.575300051107291</c:v>
                </c:pt>
                <c:pt idx="48">
                  <c:v>94.107160942812683</c:v>
                </c:pt>
                <c:pt idx="49">
                  <c:v>93.258083665552121</c:v>
                </c:pt>
                <c:pt idx="50">
                  <c:v>92.702527156426157</c:v>
                </c:pt>
                <c:pt idx="51">
                  <c:v>92.309961193293702</c:v>
                </c:pt>
                <c:pt idx="52">
                  <c:v>92.017527024003343</c:v>
                </c:pt>
                <c:pt idx="53">
                  <c:v>91.791108012564379</c:v>
                </c:pt>
                <c:pt idx="54">
                  <c:v>91.610548633000178</c:v>
                </c:pt>
              </c:numCache>
            </c:numRef>
          </c:yVal>
          <c:smooth val="1"/>
          <c:extLst>
            <c:ext xmlns:c16="http://schemas.microsoft.com/office/drawing/2014/chart" uri="{C3380CC4-5D6E-409C-BE32-E72D297353CC}">
              <c16:uniqueId val="{00000002-6D16-4FE1-8702-619082452D5B}"/>
            </c:ext>
          </c:extLst>
        </c:ser>
        <c:ser>
          <c:idx val="2"/>
          <c:order val="3"/>
          <c:tx>
            <c:v>Simplis_Phase</c:v>
          </c:tx>
          <c:marker>
            <c:symbol val="none"/>
          </c:marker>
          <c:xVal>
            <c:numRef>
              <c:f>Compensation!$AG$183:$AG$1244</c:f>
              <c:numCache>
                <c:formatCode>General</c:formatCode>
                <c:ptCount val="1062"/>
              </c:numCache>
            </c:numRef>
          </c:xVal>
          <c:yVal>
            <c:numRef>
              <c:f>Compensation!$AH$183:$AH$1244</c:f>
              <c:numCache>
                <c:formatCode>General</c:formatCode>
                <c:ptCount val="1062"/>
              </c:numCache>
            </c:numRef>
          </c:yVal>
          <c:smooth val="0"/>
          <c:extLst>
            <c:ext xmlns:c16="http://schemas.microsoft.com/office/drawing/2014/chart" uri="{C3380CC4-5D6E-409C-BE32-E72D297353CC}">
              <c16:uniqueId val="{00000003-6D16-4FE1-8702-619082452D5B}"/>
            </c:ext>
          </c:extLst>
        </c:ser>
        <c:dLbls>
          <c:showLegendKey val="0"/>
          <c:showVal val="0"/>
          <c:showCatName val="0"/>
          <c:showSerName val="0"/>
          <c:showPercent val="0"/>
          <c:showBubbleSize val="0"/>
        </c:dLbls>
        <c:axId val="281326720"/>
        <c:axId val="225331072"/>
      </c:scatterChart>
      <c:valAx>
        <c:axId val="224078080"/>
        <c:scaling>
          <c:logBase val="10"/>
          <c:orientation val="minMax"/>
        </c:scaling>
        <c:delete val="0"/>
        <c:axPos val="b"/>
        <c:majorGridlines/>
        <c:minorGridlines/>
        <c:numFmt formatCode="General" sourceLinked="1"/>
        <c:majorTickMark val="out"/>
        <c:minorTickMark val="cross"/>
        <c:tickLblPos val="low"/>
        <c:crossAx val="225329536"/>
        <c:crosses val="autoZero"/>
        <c:crossBetween val="midCat"/>
      </c:valAx>
      <c:valAx>
        <c:axId val="225329536"/>
        <c:scaling>
          <c:orientation val="minMax"/>
          <c:min val="-40"/>
        </c:scaling>
        <c:delete val="0"/>
        <c:axPos val="l"/>
        <c:majorGridlines/>
        <c:numFmt formatCode="General" sourceLinked="1"/>
        <c:majorTickMark val="out"/>
        <c:minorTickMark val="none"/>
        <c:tickLblPos val="nextTo"/>
        <c:crossAx val="224078080"/>
        <c:crosses val="autoZero"/>
        <c:crossBetween val="midCat"/>
        <c:majorUnit val="20"/>
      </c:valAx>
      <c:valAx>
        <c:axId val="225331072"/>
        <c:scaling>
          <c:orientation val="minMax"/>
          <c:max val="180"/>
          <c:min val="-180"/>
        </c:scaling>
        <c:delete val="0"/>
        <c:axPos val="r"/>
        <c:numFmt formatCode="General" sourceLinked="1"/>
        <c:majorTickMark val="out"/>
        <c:minorTickMark val="none"/>
        <c:tickLblPos val="nextTo"/>
        <c:crossAx val="281326720"/>
        <c:crosses val="max"/>
        <c:crossBetween val="midCat"/>
        <c:majorUnit val="45"/>
      </c:valAx>
      <c:valAx>
        <c:axId val="281326720"/>
        <c:scaling>
          <c:logBase val="10"/>
          <c:orientation val="minMax"/>
        </c:scaling>
        <c:delete val="1"/>
        <c:axPos val="b"/>
        <c:numFmt formatCode="General" sourceLinked="1"/>
        <c:majorTickMark val="out"/>
        <c:minorTickMark val="none"/>
        <c:tickLblPos val="nextTo"/>
        <c:crossAx val="225331072"/>
        <c:crosses val="autoZero"/>
        <c:crossBetween val="midCat"/>
      </c:valAx>
    </c:plotArea>
    <c:plotVisOnly val="1"/>
    <c:dispBlanksAs val="gap"/>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6"/>
          <c:order val="0"/>
          <c:tx>
            <c:v>Gain_Buck</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Compensation!$S$79:$S$133</c:f>
              <c:numCache>
                <c:formatCode>General</c:formatCode>
                <c:ptCount val="55"/>
                <c:pt idx="0">
                  <c:v>24.997425373700398</c:v>
                </c:pt>
                <c:pt idx="1">
                  <c:v>24.99705313205996</c:v>
                </c:pt>
                <c:pt idx="2">
                  <c:v>24.996432830152312</c:v>
                </c:pt>
                <c:pt idx="3">
                  <c:v>24.995564619140531</c:v>
                </c:pt>
                <c:pt idx="4">
                  <c:v>24.994448710500308</c:v>
                </c:pt>
                <c:pt idx="5">
                  <c:v>24.99308537586775</c:v>
                </c:pt>
                <c:pt idx="6">
                  <c:v>24.991474946843574</c:v>
                </c:pt>
                <c:pt idx="7">
                  <c:v>24.989617814755082</c:v>
                </c:pt>
                <c:pt idx="8">
                  <c:v>24.987514430375377</c:v>
                </c:pt>
                <c:pt idx="9">
                  <c:v>24.985165303599864</c:v>
                </c:pt>
                <c:pt idx="10">
                  <c:v>24.948311802705689</c:v>
                </c:pt>
                <c:pt idx="11">
                  <c:v>24.887864851426585</c:v>
                </c:pt>
                <c:pt idx="12">
                  <c:v>24.805217050540151</c:v>
                </c:pt>
                <c:pt idx="13">
                  <c:v>24.702186573360589</c:v>
                </c:pt>
                <c:pt idx="14">
                  <c:v>24.580906687631753</c:v>
                </c:pt>
                <c:pt idx="15">
                  <c:v>24.44370855750115</c:v>
                </c:pt>
                <c:pt idx="16">
                  <c:v>24.293008740970773</c:v>
                </c:pt>
                <c:pt idx="17">
                  <c:v>24.131210053503608</c:v>
                </c:pt>
                <c:pt idx="18">
                  <c:v>23.96062107053779</c:v>
                </c:pt>
                <c:pt idx="19">
                  <c:v>22.142610322641254</c:v>
                </c:pt>
                <c:pt idx="20">
                  <c:v>20.634833840046873</c:v>
                </c:pt>
                <c:pt idx="21">
                  <c:v>19.505190520401261</c:v>
                </c:pt>
                <c:pt idx="22">
                  <c:v>18.620437748755354</c:v>
                </c:pt>
                <c:pt idx="23">
                  <c:v>17.878401024672272</c:v>
                </c:pt>
                <c:pt idx="24">
                  <c:v>17.220448605735147</c:v>
                </c:pt>
                <c:pt idx="25">
                  <c:v>16.615343021980809</c:v>
                </c:pt>
                <c:pt idx="26">
                  <c:v>16.046771595436645</c:v>
                </c:pt>
                <c:pt idx="27">
                  <c:v>15.50618818733836</c:v>
                </c:pt>
                <c:pt idx="28">
                  <c:v>11.133080453363009</c:v>
                </c:pt>
                <c:pt idx="29">
                  <c:v>8.0512946530134712</c:v>
                </c:pt>
                <c:pt idx="30">
                  <c:v>5.7412753623851689</c:v>
                </c:pt>
                <c:pt idx="31">
                  <c:v>3.9165251325407664</c:v>
                </c:pt>
                <c:pt idx="32">
                  <c:v>2.4199103700629565</c:v>
                </c:pt>
                <c:pt idx="33">
                  <c:v>1.1590607668603057</c:v>
                </c:pt>
                <c:pt idx="34">
                  <c:v>7.5760398937154291E-2</c:v>
                </c:pt>
                <c:pt idx="35">
                  <c:v>-0.86887260757737539</c:v>
                </c:pt>
                <c:pt idx="36">
                  <c:v>-1.7020647033604772</c:v>
                </c:pt>
                <c:pt idx="37">
                  <c:v>-6.6777198442249883</c:v>
                </c:pt>
                <c:pt idx="38">
                  <c:v>-9.0915615562754954</c:v>
                </c:pt>
                <c:pt idx="39">
                  <c:v>-11.152675953083264</c:v>
                </c:pt>
                <c:pt idx="40">
                  <c:v>-13.693140902556614</c:v>
                </c:pt>
                <c:pt idx="41">
                  <c:v>-16.546849548370009</c:v>
                </c:pt>
                <c:pt idx="42">
                  <c:v>-19.328201834178994</c:v>
                </c:pt>
                <c:pt idx="43">
                  <c:v>-21.863589902981772</c:v>
                </c:pt>
                <c:pt idx="44">
                  <c:v>-24.129011658308936</c:v>
                </c:pt>
                <c:pt idx="45">
                  <c:v>-26.151690749740375</c:v>
                </c:pt>
                <c:pt idx="46">
                  <c:v>-38.996303981830607</c:v>
                </c:pt>
                <c:pt idx="47">
                  <c:v>-46.217929208931423</c:v>
                </c:pt>
                <c:pt idx="48">
                  <c:v>-51.279758575521939</c:v>
                </c:pt>
                <c:pt idx="49">
                  <c:v>-55.186253618054963</c:v>
                </c:pt>
                <c:pt idx="50">
                  <c:v>-58.369941103825241</c:v>
                </c:pt>
                <c:pt idx="51">
                  <c:v>-61.057754563501724</c:v>
                </c:pt>
                <c:pt idx="52">
                  <c:v>-63.383897348537197</c:v>
                </c:pt>
                <c:pt idx="53">
                  <c:v>-65.434436126602932</c:v>
                </c:pt>
                <c:pt idx="54">
                  <c:v>-67.267912911393154</c:v>
                </c:pt>
              </c:numCache>
            </c:numRef>
          </c:yVal>
          <c:smooth val="1"/>
          <c:extLst>
            <c:ext xmlns:c16="http://schemas.microsoft.com/office/drawing/2014/chart" uri="{C3380CC4-5D6E-409C-BE32-E72D297353CC}">
              <c16:uniqueId val="{00000000-5E18-4167-8361-43420AF8C5B9}"/>
            </c:ext>
          </c:extLst>
        </c:ser>
        <c:ser>
          <c:idx val="1"/>
          <c:order val="2"/>
          <c:tx>
            <c:v>Simplis_Gain</c:v>
          </c:tx>
          <c:marker>
            <c:symbol val="none"/>
          </c:marker>
          <c:xVal>
            <c:numRef>
              <c:f>Compensation!$AQ$84:$AQ$1284</c:f>
              <c:numCache>
                <c:formatCode>General</c:formatCode>
                <c:ptCount val="1201"/>
              </c:numCache>
            </c:numRef>
          </c:xVal>
          <c:yVal>
            <c:numRef>
              <c:f>Compensation!$AR$84:$AR$1284</c:f>
              <c:numCache>
                <c:formatCode>General</c:formatCode>
                <c:ptCount val="1201"/>
              </c:numCache>
            </c:numRef>
          </c:yVal>
          <c:smooth val="0"/>
          <c:extLst>
            <c:ext xmlns:c16="http://schemas.microsoft.com/office/drawing/2014/chart" uri="{C3380CC4-5D6E-409C-BE32-E72D297353CC}">
              <c16:uniqueId val="{00000001-5E18-4167-8361-43420AF8C5B9}"/>
            </c:ext>
          </c:extLst>
        </c:ser>
        <c:dLbls>
          <c:showLegendKey val="0"/>
          <c:showVal val="0"/>
          <c:showCatName val="0"/>
          <c:showSerName val="0"/>
          <c:showPercent val="0"/>
          <c:showBubbleSize val="0"/>
        </c:dLbls>
        <c:axId val="283349376"/>
        <c:axId val="283350912"/>
      </c:scatterChart>
      <c:scatterChart>
        <c:scatterStyle val="lineMarker"/>
        <c:varyColors val="0"/>
        <c:ser>
          <c:idx val="0"/>
          <c:order val="1"/>
          <c:tx>
            <c:v>Phase_Buck</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Compensation!$T$79:$T$133</c:f>
              <c:numCache>
                <c:formatCode>General</c:formatCode>
                <c:ptCount val="55"/>
                <c:pt idx="0">
                  <c:v>-0.24224147875381954</c:v>
                </c:pt>
                <c:pt idx="1">
                  <c:v>-0.48446154446108797</c:v>
                </c:pt>
                <c:pt idx="2">
                  <c:v>-0.72663879372568119</c:v>
                </c:pt>
                <c:pt idx="3">
                  <c:v>-0.96875184244209478</c:v>
                </c:pt>
                <c:pt idx="4">
                  <c:v>-1.2107793354151726</c:v>
                </c:pt>
                <c:pt idx="5">
                  <c:v>-1.4526999559491054</c:v>
                </c:pt>
                <c:pt idx="6">
                  <c:v>-1.6944924353957744</c:v>
                </c:pt>
                <c:pt idx="7">
                  <c:v>-1.9361355626521894</c:v>
                </c:pt>
                <c:pt idx="8">
                  <c:v>-2.1776081935970923</c:v>
                </c:pt>
                <c:pt idx="9">
                  <c:v>-2.4188892604570569</c:v>
                </c:pt>
                <c:pt idx="10">
                  <c:v>-4.8166018717023391</c:v>
                </c:pt>
                <c:pt idx="11">
                  <c:v>-7.1728933383621643</c:v>
                </c:pt>
                <c:pt idx="12">
                  <c:v>-9.4692888211960238</c:v>
                </c:pt>
                <c:pt idx="13">
                  <c:v>-11.689748570785097</c:v>
                </c:pt>
                <c:pt idx="14">
                  <c:v>-13.821113477560468</c:v>
                </c:pt>
                <c:pt idx="15">
                  <c:v>-15.853317098544943</c:v>
                </c:pt>
                <c:pt idx="16">
                  <c:v>-17.77938140657038</c:v>
                </c:pt>
                <c:pt idx="17">
                  <c:v>-19.595235580322942</c:v>
                </c:pt>
                <c:pt idx="18">
                  <c:v>-21.299408293809901</c:v>
                </c:pt>
                <c:pt idx="19">
                  <c:v>-32.971007751580714</c:v>
                </c:pt>
                <c:pt idx="20">
                  <c:v>-38.682103569376338</c:v>
                </c:pt>
                <c:pt idx="21">
                  <c:v>-42.220204468941525</c:v>
                </c:pt>
                <c:pt idx="22">
                  <c:v>-45.059357643198737</c:v>
                </c:pt>
                <c:pt idx="23">
                  <c:v>-47.647269633313797</c:v>
                </c:pt>
                <c:pt idx="24">
                  <c:v>-50.091249754026045</c:v>
                </c:pt>
                <c:pt idx="25">
                  <c:v>-52.401561152481804</c:v>
                </c:pt>
                <c:pt idx="26">
                  <c:v>-54.56878925835214</c:v>
                </c:pt>
                <c:pt idx="27">
                  <c:v>-56.585620883432874</c:v>
                </c:pt>
                <c:pt idx="28">
                  <c:v>-69.743170839875702</c:v>
                </c:pt>
                <c:pt idx="29">
                  <c:v>-75.809396185606587</c:v>
                </c:pt>
                <c:pt idx="30">
                  <c:v>-79.124484447405877</c:v>
                </c:pt>
                <c:pt idx="31">
                  <c:v>-81.195446218599713</c:v>
                </c:pt>
                <c:pt idx="32">
                  <c:v>-82.619626842775574</c:v>
                </c:pt>
                <c:pt idx="33">
                  <c:v>-83.675100167427928</c:v>
                </c:pt>
                <c:pt idx="34">
                  <c:v>-84.508411838842278</c:v>
                </c:pt>
                <c:pt idx="35">
                  <c:v>-85.20452169391784</c:v>
                </c:pt>
                <c:pt idx="36">
                  <c:v>-85.816562008320062</c:v>
                </c:pt>
                <c:pt idx="37">
                  <c:v>-91.896180226632197</c:v>
                </c:pt>
                <c:pt idx="38">
                  <c:v>-102.67185245518247</c:v>
                </c:pt>
                <c:pt idx="39">
                  <c:v>-118.40474643527224</c:v>
                </c:pt>
                <c:pt idx="40">
                  <c:v>-134.44945004468909</c:v>
                </c:pt>
                <c:pt idx="41">
                  <c:v>-146.8048114836821</c:v>
                </c:pt>
                <c:pt idx="42">
                  <c:v>-155.16177138712794</c:v>
                </c:pt>
                <c:pt idx="43">
                  <c:v>-160.69385790042887</c:v>
                </c:pt>
                <c:pt idx="44">
                  <c:v>-164.44332656540749</c:v>
                </c:pt>
                <c:pt idx="45">
                  <c:v>-167.0773898899325</c:v>
                </c:pt>
                <c:pt idx="46">
                  <c:v>-175.34976966447149</c:v>
                </c:pt>
                <c:pt idx="47">
                  <c:v>-177.12945221706934</c:v>
                </c:pt>
                <c:pt idx="48">
                  <c:v>-177.90754036869268</c:v>
                </c:pt>
                <c:pt idx="49">
                  <c:v>-178.34843752919934</c:v>
                </c:pt>
                <c:pt idx="50">
                  <c:v>-178.63384451793249</c:v>
                </c:pt>
                <c:pt idx="51">
                  <c:v>-178.83425484279078</c:v>
                </c:pt>
                <c:pt idx="52">
                  <c:v>-178.98295222587123</c:v>
                </c:pt>
                <c:pt idx="53">
                  <c:v>-179.09777330348376</c:v>
                </c:pt>
                <c:pt idx="54">
                  <c:v>-179.18916497422873</c:v>
                </c:pt>
              </c:numCache>
            </c:numRef>
          </c:yVal>
          <c:smooth val="1"/>
          <c:extLst>
            <c:ext xmlns:c16="http://schemas.microsoft.com/office/drawing/2014/chart" uri="{C3380CC4-5D6E-409C-BE32-E72D297353CC}">
              <c16:uniqueId val="{00000002-5E18-4167-8361-43420AF8C5B9}"/>
            </c:ext>
          </c:extLst>
        </c:ser>
        <c:dLbls>
          <c:showLegendKey val="0"/>
          <c:showVal val="0"/>
          <c:showCatName val="0"/>
          <c:showSerName val="0"/>
          <c:showPercent val="0"/>
          <c:showBubbleSize val="0"/>
        </c:dLbls>
        <c:axId val="283589248"/>
        <c:axId val="283586944"/>
      </c:scatterChart>
      <c:valAx>
        <c:axId val="283349376"/>
        <c:scaling>
          <c:logBase val="10"/>
          <c:orientation val="minMax"/>
        </c:scaling>
        <c:delete val="0"/>
        <c:axPos val="b"/>
        <c:majorGridlines/>
        <c:minorGridlines/>
        <c:numFmt formatCode="General" sourceLinked="1"/>
        <c:majorTickMark val="out"/>
        <c:minorTickMark val="cross"/>
        <c:tickLblPos val="low"/>
        <c:crossAx val="283350912"/>
        <c:crosses val="autoZero"/>
        <c:crossBetween val="midCat"/>
      </c:valAx>
      <c:valAx>
        <c:axId val="283350912"/>
        <c:scaling>
          <c:orientation val="minMax"/>
          <c:min val="-40"/>
        </c:scaling>
        <c:delete val="0"/>
        <c:axPos val="l"/>
        <c:majorGridlines/>
        <c:numFmt formatCode="General" sourceLinked="1"/>
        <c:majorTickMark val="out"/>
        <c:minorTickMark val="none"/>
        <c:tickLblPos val="nextTo"/>
        <c:crossAx val="283349376"/>
        <c:crosses val="autoZero"/>
        <c:crossBetween val="midCat"/>
        <c:majorUnit val="20"/>
      </c:valAx>
      <c:valAx>
        <c:axId val="283586944"/>
        <c:scaling>
          <c:orientation val="minMax"/>
          <c:max val="180"/>
          <c:min val="-180"/>
        </c:scaling>
        <c:delete val="0"/>
        <c:axPos val="r"/>
        <c:numFmt formatCode="General" sourceLinked="1"/>
        <c:majorTickMark val="out"/>
        <c:minorTickMark val="none"/>
        <c:tickLblPos val="nextTo"/>
        <c:crossAx val="283589248"/>
        <c:crosses val="max"/>
        <c:crossBetween val="midCat"/>
        <c:majorUnit val="45"/>
      </c:valAx>
      <c:valAx>
        <c:axId val="283589248"/>
        <c:scaling>
          <c:logBase val="10"/>
          <c:orientation val="minMax"/>
        </c:scaling>
        <c:delete val="1"/>
        <c:axPos val="b"/>
        <c:numFmt formatCode="General" sourceLinked="1"/>
        <c:majorTickMark val="out"/>
        <c:minorTickMark val="none"/>
        <c:tickLblPos val="nextTo"/>
        <c:crossAx val="283586944"/>
        <c:crosses val="autoZero"/>
        <c:crossBetween val="midCat"/>
      </c:valAx>
    </c:plotArea>
    <c:plotVisOnly val="1"/>
    <c:dispBlanksAs val="gap"/>
    <c:showDLblsOverMax val="0"/>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Compensation!$Y$79:$Y$133</c:f>
              <c:numCache>
                <c:formatCode>General</c:formatCode>
                <c:ptCount val="55"/>
                <c:pt idx="0">
                  <c:v>69.976824406359398</c:v>
                </c:pt>
                <c:pt idx="1">
                  <c:v>63.955873776097256</c:v>
                </c:pt>
                <c:pt idx="2">
                  <c:v>60.433464167268589</c:v>
                </c:pt>
                <c:pt idx="3">
                  <c:v>57.933871447462309</c:v>
                </c:pt>
                <c:pt idx="4">
                  <c:v>55.994619850713214</c:v>
                </c:pt>
                <c:pt idx="5">
                  <c:v>54.409710515220794</c:v>
                </c:pt>
                <c:pt idx="6">
                  <c:v>53.069257560934616</c:v>
                </c:pt>
                <c:pt idx="7">
                  <c:v>51.907669102975277</c:v>
                </c:pt>
                <c:pt idx="8">
                  <c:v>50.882637228596423</c:v>
                </c:pt>
                <c:pt idx="9">
                  <c:v>49.965274593611966</c:v>
                </c:pt>
                <c:pt idx="10">
                  <c:v>43.909972764950318</c:v>
                </c:pt>
                <c:pt idx="11">
                  <c:v>40.331284239838332</c:v>
                </c:pt>
                <c:pt idx="12">
                  <c:v>37.75487379117844</c:v>
                </c:pt>
                <c:pt idx="13">
                  <c:v>35.720078669168409</c:v>
                </c:pt>
                <c:pt idx="14">
                  <c:v>34.023026677276405</c:v>
                </c:pt>
                <c:pt idx="15">
                  <c:v>32.556155072646867</c:v>
                </c:pt>
                <c:pt idx="16">
                  <c:v>31.256279102159851</c:v>
                </c:pt>
                <c:pt idx="17">
                  <c:v>30.083482872361124</c:v>
                </c:pt>
                <c:pt idx="18">
                  <c:v>29.011175481743933</c:v>
                </c:pt>
                <c:pt idx="19">
                  <c:v>21.379308463621015</c:v>
                </c:pt>
                <c:pt idx="20">
                  <c:v>16.673793588215851</c:v>
                </c:pt>
                <c:pt idx="21">
                  <c:v>13.461923001339478</c:v>
                </c:pt>
                <c:pt idx="22">
                  <c:v>11.121749516767398</c:v>
                </c:pt>
                <c:pt idx="23">
                  <c:v>9.321388759234317</c:v>
                </c:pt>
                <c:pt idx="24">
                  <c:v>7.8730163451617239</c:v>
                </c:pt>
                <c:pt idx="25">
                  <c:v>6.6652319356827494</c:v>
                </c:pt>
                <c:pt idx="26">
                  <c:v>5.6290490358185998</c:v>
                </c:pt>
                <c:pt idx="27">
                  <c:v>4.7200298809957379</c:v>
                </c:pt>
                <c:pt idx="28">
                  <c:v>-1.1031695231007903</c:v>
                </c:pt>
                <c:pt idx="29">
                  <c:v>-4.5255577070343094</c:v>
                </c:pt>
                <c:pt idx="30">
                  <c:v>-6.9728718971939703</c:v>
                </c:pt>
                <c:pt idx="31">
                  <c:v>-8.8753505538023472</c:v>
                </c:pt>
                <c:pt idx="32">
                  <c:v>-10.42821612799791</c:v>
                </c:pt>
                <c:pt idx="33">
                  <c:v>-11.737255076557149</c:v>
                </c:pt>
                <c:pt idx="34">
                  <c:v>-12.866327009884646</c:v>
                </c:pt>
                <c:pt idx="35">
                  <c:v>-13.856981005725119</c:v>
                </c:pt>
                <c:pt idx="36">
                  <c:v>-14.737801191699297</c:v>
                </c:pt>
                <c:pt idx="37">
                  <c:v>-20.340750013545016</c:v>
                </c:pt>
                <c:pt idx="38">
                  <c:v>-23.613349037595501</c:v>
                </c:pt>
                <c:pt idx="39">
                  <c:v>-26.64558491284318</c:v>
                </c:pt>
                <c:pt idx="40">
                  <c:v>-30.181096369938572</c:v>
                </c:pt>
                <c:pt idx="41">
                  <c:v>-34.004699945555643</c:v>
                </c:pt>
                <c:pt idx="42">
                  <c:v>-37.708070290159426</c:v>
                </c:pt>
                <c:pt idx="43">
                  <c:v>-41.109552746519455</c:v>
                </c:pt>
                <c:pt idx="44">
                  <c:v>-44.184493139535249</c:v>
                </c:pt>
                <c:pt idx="45">
                  <c:v>-46.962869821683682</c:v>
                </c:pt>
                <c:pt idx="46">
                  <c:v>-65.274977523466362</c:v>
                </c:pt>
                <c:pt idx="47">
                  <c:v>-75.907789386736624</c:v>
                </c:pt>
                <c:pt idx="48">
                  <c:v>-83.428993905871764</c:v>
                </c:pt>
                <c:pt idx="49">
                  <c:v>-89.255331034613931</c:v>
                </c:pt>
                <c:pt idx="50">
                  <c:v>-94.012638456471535</c:v>
                </c:pt>
                <c:pt idx="51">
                  <c:v>-98.033343853577222</c:v>
                </c:pt>
                <c:pt idx="52">
                  <c:v>-101.51539837494167</c:v>
                </c:pt>
                <c:pt idx="53">
                  <c:v>-104.58629306958223</c:v>
                </c:pt>
                <c:pt idx="54">
                  <c:v>-107.33299125566302</c:v>
                </c:pt>
              </c:numCache>
            </c:numRef>
          </c:yVal>
          <c:smooth val="0"/>
          <c:extLst>
            <c:ext xmlns:c16="http://schemas.microsoft.com/office/drawing/2014/chart" uri="{C3380CC4-5D6E-409C-BE32-E72D297353CC}">
              <c16:uniqueId val="{00000000-7D40-4DFE-B3D3-C9F941065FBF}"/>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7D40-4DFE-B3D3-C9F941065FBF}"/>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7D40-4DFE-B3D3-C9F941065FBF}"/>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447.62327744595569</c:v>
                </c:pt>
              </c:numCache>
            </c:numRef>
          </c:xVal>
          <c:yVal>
            <c:numRef>
              <c:f>Compensation!$Y$137</c:f>
              <c:numCache>
                <c:formatCode>General</c:formatCode>
                <c:ptCount val="1"/>
                <c:pt idx="0">
                  <c:v>12.263635845665181</c:v>
                </c:pt>
              </c:numCache>
            </c:numRef>
          </c:yVal>
          <c:smooth val="0"/>
          <c:extLst>
            <c:ext xmlns:c16="http://schemas.microsoft.com/office/drawing/2014/chart" uri="{C3380CC4-5D6E-409C-BE32-E72D297353CC}">
              <c16:uniqueId val="{00000003-7D40-4DFE-B3D3-C9F941065FBF}"/>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7D40-4DFE-B3D3-C9F941065FBF}"/>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Compensation!$B$135</c:f>
              <c:numCache>
                <c:formatCode>General</c:formatCode>
                <c:ptCount val="1"/>
                <c:pt idx="0">
                  <c:v>777.88339732109148</c:v>
                </c:pt>
              </c:numCache>
            </c:numRef>
          </c:xVal>
          <c:yVal>
            <c:numRef>
              <c:f>Compensation!$Y$135</c:f>
              <c:numCache>
                <c:formatCode>General</c:formatCode>
                <c:ptCount val="1"/>
                <c:pt idx="0">
                  <c:v>6.9156275978950816</c:v>
                </c:pt>
              </c:numCache>
            </c:numRef>
          </c:yVal>
          <c:smooth val="0"/>
          <c:extLst>
            <c:ext xmlns:c16="http://schemas.microsoft.com/office/drawing/2014/chart" uri="{C3380CC4-5D6E-409C-BE32-E72D297353CC}">
              <c16:uniqueId val="{00000005-7D40-4DFE-B3D3-C9F941065FBF}"/>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7D40-4DFE-B3D3-C9F941065FBF}"/>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447.62327744595569</c:v>
                </c:pt>
              </c:numCache>
            </c:numRef>
          </c:xVal>
          <c:yVal>
            <c:numRef>
              <c:f>Compensation!$Y$136</c:f>
              <c:numCache>
                <c:formatCode>General</c:formatCode>
                <c:ptCount val="1"/>
                <c:pt idx="0">
                  <c:v>-27.575674377292327</c:v>
                </c:pt>
              </c:numCache>
            </c:numRef>
          </c:yVal>
          <c:smooth val="0"/>
          <c:extLst>
            <c:ext xmlns:c16="http://schemas.microsoft.com/office/drawing/2014/chart" uri="{C3380CC4-5D6E-409C-BE32-E72D297353CC}">
              <c16:uniqueId val="{00000007-7D40-4DFE-B3D3-C9F941065FBF}"/>
            </c:ext>
          </c:extLst>
        </c:ser>
        <c:dLbls>
          <c:showLegendKey val="0"/>
          <c:showVal val="0"/>
          <c:showCatName val="0"/>
          <c:showSerName val="0"/>
          <c:showPercent val="0"/>
          <c:showBubbleSize val="0"/>
        </c:dLbls>
        <c:axId val="284427008"/>
        <c:axId val="284672000"/>
      </c:scatterChart>
      <c:scatterChart>
        <c:scatterStyle val="lineMarker"/>
        <c:varyColors val="0"/>
        <c:ser>
          <c:idx val="1"/>
          <c:order val="1"/>
          <c:tx>
            <c:v>Phase</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Compensation!$Z$79:$Z$133</c:f>
              <c:numCache>
                <c:formatCode>General</c:formatCode>
                <c:ptCount val="55"/>
                <c:pt idx="0">
                  <c:v>89.830099194957228</c:v>
                </c:pt>
                <c:pt idx="1">
                  <c:v>89.660219559513976</c:v>
                </c:pt>
                <c:pt idx="2">
                  <c:v>89.490382253624134</c:v>
                </c:pt>
                <c:pt idx="3">
                  <c:v>89.320608417960671</c:v>
                </c:pt>
                <c:pt idx="4">
                  <c:v>89.150919164300689</c:v>
                </c:pt>
                <c:pt idx="5">
                  <c:v>88.981335565941194</c:v>
                </c:pt>
                <c:pt idx="6">
                  <c:v>88.811878648155698</c:v>
                </c:pt>
                <c:pt idx="7">
                  <c:v>88.642569378701523</c:v>
                </c:pt>
                <c:pt idx="8">
                  <c:v>88.47342865838803</c:v>
                </c:pt>
                <c:pt idx="9">
                  <c:v>88.304477311715374</c:v>
                </c:pt>
                <c:pt idx="10">
                  <c:v>86.629887945035961</c:v>
                </c:pt>
                <c:pt idx="11">
                  <c:v>84.996233549725517</c:v>
                </c:pt>
                <c:pt idx="12">
                  <c:v>83.421747081023582</c:v>
                </c:pt>
                <c:pt idx="13">
                  <c:v>81.922227840822202</c:v>
                </c:pt>
                <c:pt idx="14">
                  <c:v>80.510596395437716</c:v>
                </c:pt>
                <c:pt idx="15">
                  <c:v>79.196683007348881</c:v>
                </c:pt>
                <c:pt idx="16">
                  <c:v>77.987232332970862</c:v>
                </c:pt>
                <c:pt idx="17">
                  <c:v>76.886085066046107</c:v>
                </c:pt>
                <c:pt idx="18">
                  <c:v>75.894486066113771</c:v>
                </c:pt>
                <c:pt idx="19">
                  <c:v>71.184833689930386</c:v>
                </c:pt>
                <c:pt idx="20">
                  <c:v>72.013044355301062</c:v>
                </c:pt>
                <c:pt idx="21">
                  <c:v>74.466643461875762</c:v>
                </c:pt>
                <c:pt idx="22">
                  <c:v>77.014715813939986</c:v>
                </c:pt>
                <c:pt idx="23">
                  <c:v>79.207466933276521</c:v>
                </c:pt>
                <c:pt idx="24">
                  <c:v>80.971473476213873</c:v>
                </c:pt>
                <c:pt idx="25">
                  <c:v>82.349369516527361</c:v>
                </c:pt>
                <c:pt idx="26">
                  <c:v>83.410277882502726</c:v>
                </c:pt>
                <c:pt idx="27">
                  <c:v>84.220570330981033</c:v>
                </c:pt>
                <c:pt idx="28">
                  <c:v>86.374969996366488</c:v>
                </c:pt>
                <c:pt idx="29">
                  <c:v>85.714621951772585</c:v>
                </c:pt>
                <c:pt idx="30">
                  <c:v>84.624086504967309</c:v>
                </c:pt>
                <c:pt idx="31">
                  <c:v>83.413783212090493</c:v>
                </c:pt>
                <c:pt idx="32">
                  <c:v>82.150968721563572</c:v>
                </c:pt>
                <c:pt idx="33">
                  <c:v>80.85489644346147</c:v>
                </c:pt>
                <c:pt idx="34">
                  <c:v>79.531538719900297</c:v>
                </c:pt>
                <c:pt idx="35">
                  <c:v>78.182268229411292</c:v>
                </c:pt>
                <c:pt idx="36">
                  <c:v>76.80659684684359</c:v>
                </c:pt>
                <c:pt idx="37">
                  <c:v>61.215606223326766</c:v>
                </c:pt>
                <c:pt idx="38">
                  <c:v>41.288347912315686</c:v>
                </c:pt>
                <c:pt idx="39">
                  <c:v>17.92168228897571</c:v>
                </c:pt>
                <c:pt idx="40">
                  <c:v>-4.2774290394451198</c:v>
                </c:pt>
                <c:pt idx="41">
                  <c:v>-21.567024773299106</c:v>
                </c:pt>
                <c:pt idx="42">
                  <c:v>-33.904169695320284</c:v>
                </c:pt>
                <c:pt idx="43">
                  <c:v>-42.681854068382606</c:v>
                </c:pt>
                <c:pt idx="44">
                  <c:v>-49.110789723331628</c:v>
                </c:pt>
                <c:pt idx="45">
                  <c:v>-53.984425885097004</c:v>
                </c:pt>
                <c:pt idx="46">
                  <c:v>-73.285081936152167</c:v>
                </c:pt>
                <c:pt idx="47">
                  <c:v>-79.016131572099624</c:v>
                </c:pt>
                <c:pt idx="48">
                  <c:v>-81.803736487257453</c:v>
                </c:pt>
                <c:pt idx="49">
                  <c:v>-83.458372201707149</c:v>
                </c:pt>
                <c:pt idx="50">
                  <c:v>-84.555598802465141</c:v>
                </c:pt>
                <c:pt idx="51">
                  <c:v>-85.336962647015625</c:v>
                </c:pt>
                <c:pt idx="52">
                  <c:v>-85.921881500421719</c:v>
                </c:pt>
                <c:pt idx="53">
                  <c:v>-86.376248135788245</c:v>
                </c:pt>
                <c:pt idx="54">
                  <c:v>-86.739422945110263</c:v>
                </c:pt>
              </c:numCache>
            </c:numRef>
          </c:yVal>
          <c:smooth val="0"/>
          <c:extLst>
            <c:ext xmlns:c16="http://schemas.microsoft.com/office/drawing/2014/chart" uri="{C3380CC4-5D6E-409C-BE32-E72D297353CC}">
              <c16:uniqueId val="{00000008-7D40-4DFE-B3D3-C9F941065FBF}"/>
            </c:ext>
          </c:extLst>
        </c:ser>
        <c:dLbls>
          <c:showLegendKey val="0"/>
          <c:showVal val="0"/>
          <c:showCatName val="0"/>
          <c:showSerName val="0"/>
          <c:showPercent val="0"/>
          <c:showBubbleSize val="0"/>
        </c:dLbls>
        <c:axId val="340130432"/>
        <c:axId val="340128128"/>
      </c:scatterChart>
      <c:valAx>
        <c:axId val="284427008"/>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284672000"/>
        <c:crosses val="autoZero"/>
        <c:crossBetween val="midCat"/>
      </c:valAx>
      <c:valAx>
        <c:axId val="284672000"/>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284427008"/>
        <c:crosses val="autoZero"/>
        <c:crossBetween val="midCat"/>
        <c:majorUnit val="20"/>
      </c:valAx>
      <c:valAx>
        <c:axId val="340128128"/>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340130432"/>
        <c:crosses val="max"/>
        <c:crossBetween val="midCat"/>
        <c:majorUnit val="45"/>
      </c:valAx>
      <c:valAx>
        <c:axId val="340130432"/>
        <c:scaling>
          <c:logBase val="10"/>
          <c:orientation val="minMax"/>
        </c:scaling>
        <c:delete val="1"/>
        <c:axPos val="b"/>
        <c:numFmt formatCode="General" sourceLinked="1"/>
        <c:majorTickMark val="out"/>
        <c:minorTickMark val="none"/>
        <c:tickLblPos val="nextTo"/>
        <c:crossAx val="340128128"/>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Compensation!$Y$169:$Y$223</c:f>
              <c:numCache>
                <c:formatCode>General</c:formatCode>
                <c:ptCount val="55"/>
                <c:pt idx="0">
                  <c:v>83.385115861172096</c:v>
                </c:pt>
                <c:pt idx="1">
                  <c:v>77.363913506722511</c:v>
                </c:pt>
                <c:pt idx="2">
                  <c:v>73.841084481481303</c:v>
                </c:pt>
                <c:pt idx="3">
                  <c:v>71.340904838718856</c:v>
                </c:pt>
                <c:pt idx="4">
                  <c:v>69.400899072089075</c:v>
                </c:pt>
                <c:pt idx="5">
                  <c:v>67.815068653012673</c:v>
                </c:pt>
                <c:pt idx="6">
                  <c:v>66.47352810783525</c:v>
                </c:pt>
                <c:pt idx="7">
                  <c:v>65.310686030725563</c:v>
                </c:pt>
                <c:pt idx="8">
                  <c:v>64.284235060024173</c:v>
                </c:pt>
                <c:pt idx="9">
                  <c:v>63.365288473967311</c:v>
                </c:pt>
                <c:pt idx="10">
                  <c:v>57.285266221670852</c:v>
                </c:pt>
                <c:pt idx="11">
                  <c:v>53.66654531019239</c:v>
                </c:pt>
                <c:pt idx="12">
                  <c:v>51.036395130073579</c:v>
                </c:pt>
                <c:pt idx="13">
                  <c:v>48.936137365004981</c:v>
                </c:pt>
                <c:pt idx="14">
                  <c:v>47.164068836048223</c:v>
                </c:pt>
                <c:pt idx="15">
                  <c:v>45.614800232984379</c:v>
                </c:pt>
                <c:pt idx="16">
                  <c:v>44.227181874018989</c:v>
                </c:pt>
                <c:pt idx="17">
                  <c:v>42.963098916476412</c:v>
                </c:pt>
                <c:pt idx="18">
                  <c:v>41.797477816295014</c:v>
                </c:pt>
                <c:pt idx="19">
                  <c:v>33.279212438556904</c:v>
                </c:pt>
                <c:pt idx="20">
                  <c:v>27.845090178071253</c:v>
                </c:pt>
                <c:pt idx="21">
                  <c:v>24.008213629739718</c:v>
                </c:pt>
                <c:pt idx="22">
                  <c:v>21.124050669162347</c:v>
                </c:pt>
                <c:pt idx="23">
                  <c:v>18.85563568397318</c:v>
                </c:pt>
                <c:pt idx="24">
                  <c:v>17.009695884305255</c:v>
                </c:pt>
                <c:pt idx="25">
                  <c:v>15.466981891260758</c:v>
                </c:pt>
                <c:pt idx="26">
                  <c:v>14.149676184715927</c:v>
                </c:pt>
                <c:pt idx="27">
                  <c:v>13.004781566562889</c:v>
                </c:pt>
                <c:pt idx="28">
                  <c:v>6.1118200994395613</c:v>
                </c:pt>
                <c:pt idx="29">
                  <c:v>2.4151150772611754</c:v>
                </c:pt>
                <c:pt idx="30">
                  <c:v>-0.12495985011336962</c:v>
                </c:pt>
                <c:pt idx="31">
                  <c:v>-2.0578841410322757</c:v>
                </c:pt>
                <c:pt idx="32">
                  <c:v>-3.6127145720132257</c:v>
                </c:pt>
                <c:pt idx="33">
                  <c:v>-4.9076767715331497</c:v>
                </c:pt>
                <c:pt idx="34">
                  <c:v>-6.0121255788061791</c:v>
                </c:pt>
                <c:pt idx="35">
                  <c:v>-6.9704118087974631</c:v>
                </c:pt>
                <c:pt idx="36">
                  <c:v>-7.8127318784195507</c:v>
                </c:pt>
                <c:pt idx="37">
                  <c:v>-12.832160651836864</c:v>
                </c:pt>
                <c:pt idx="38">
                  <c:v>-15.346518207624019</c:v>
                </c:pt>
                <c:pt idx="39">
                  <c:v>-17.563987770700294</c:v>
                </c:pt>
                <c:pt idx="40">
                  <c:v>-20.269326237753262</c:v>
                </c:pt>
                <c:pt idx="41">
                  <c:v>-23.265430792686807</c:v>
                </c:pt>
                <c:pt idx="42">
                  <c:v>-26.161028355570913</c:v>
                </c:pt>
                <c:pt idx="43">
                  <c:v>-28.786735447832275</c:v>
                </c:pt>
                <c:pt idx="44">
                  <c:v>-31.123706239320846</c:v>
                </c:pt>
                <c:pt idx="45">
                  <c:v>-33.203445650322884</c:v>
                </c:pt>
                <c:pt idx="46">
                  <c:v>-46.274336825043427</c:v>
                </c:pt>
                <c:pt idx="47">
                  <c:v>-53.547289156603632</c:v>
                </c:pt>
                <c:pt idx="48">
                  <c:v>-58.62794272940679</c:v>
                </c:pt>
                <c:pt idx="49">
                  <c:v>-62.543309477150082</c:v>
                </c:pt>
                <c:pt idx="50">
                  <c:v>-65.731859147884975</c:v>
                </c:pt>
                <c:pt idx="51">
                  <c:v>-68.422619129612471</c:v>
                </c:pt>
                <c:pt idx="52">
                  <c:v>-70.750680306308865</c:v>
                </c:pt>
                <c:pt idx="53">
                  <c:v>-72.802537060288358</c:v>
                </c:pt>
                <c:pt idx="54">
                  <c:v>-74.636957952861039</c:v>
                </c:pt>
              </c:numCache>
            </c:numRef>
          </c:yVal>
          <c:smooth val="0"/>
          <c:extLst>
            <c:ext xmlns:c16="http://schemas.microsoft.com/office/drawing/2014/chart" uri="{C3380CC4-5D6E-409C-BE32-E72D297353CC}">
              <c16:uniqueId val="{00000000-553E-4D1A-8BD0-091BE3DF87C8}"/>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553E-4D1A-8BD0-091BE3DF87C8}"/>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553E-4D1A-8BD0-091BE3DF87C8}"/>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Compensation!$B$227</c:f>
              <c:numCache>
                <c:formatCode>General</c:formatCode>
                <c:ptCount val="1"/>
                <c:pt idx="0">
                  <c:v>176.66198683200386</c:v>
                </c:pt>
              </c:numCache>
            </c:numRef>
          </c:xVal>
          <c:yVal>
            <c:numRef>
              <c:f>Compensation!$Y$227</c:f>
              <c:numCache>
                <c:formatCode>General</c:formatCode>
                <c:ptCount val="1"/>
                <c:pt idx="0">
                  <c:v>34.90081747890769</c:v>
                </c:pt>
              </c:numCache>
            </c:numRef>
          </c:yVal>
          <c:smooth val="0"/>
          <c:extLst>
            <c:ext xmlns:c16="http://schemas.microsoft.com/office/drawing/2014/chart" uri="{C3380CC4-5D6E-409C-BE32-E72D297353CC}">
              <c16:uniqueId val="{00000003-553E-4D1A-8BD0-091BE3DF87C8}"/>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553E-4D1A-8BD0-091BE3DF87C8}"/>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Compensation!$B$225</c:f>
              <c:numCache>
                <c:formatCode>0.00</c:formatCode>
                <c:ptCount val="1"/>
                <c:pt idx="0">
                  <c:v>678.61230158996841</c:v>
                </c:pt>
              </c:numCache>
            </c:numRef>
          </c:xVal>
          <c:yVal>
            <c:numRef>
              <c:f>Compensation!$Y$225</c:f>
              <c:numCache>
                <c:formatCode>General</c:formatCode>
                <c:ptCount val="1"/>
                <c:pt idx="0">
                  <c:v>17.375732972427439</c:v>
                </c:pt>
              </c:numCache>
            </c:numRef>
          </c:yVal>
          <c:smooth val="0"/>
          <c:extLst>
            <c:ext xmlns:c16="http://schemas.microsoft.com/office/drawing/2014/chart" uri="{C3380CC4-5D6E-409C-BE32-E72D297353CC}">
              <c16:uniqueId val="{00000005-553E-4D1A-8BD0-091BE3DF87C8}"/>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553E-4D1A-8BD0-091BE3DF87C8}"/>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Compensation!$B$226</c:f>
              <c:numCache>
                <c:formatCode>General</c:formatCode>
                <c:ptCount val="1"/>
                <c:pt idx="0">
                  <c:v>31894.778174728515</c:v>
                </c:pt>
              </c:numCache>
            </c:numRef>
          </c:xVal>
          <c:yVal>
            <c:numRef>
              <c:f>Compensation!$Y$226</c:f>
              <c:numCache>
                <c:formatCode>General</c:formatCode>
                <c:ptCount val="1"/>
                <c:pt idx="0">
                  <c:v>-15.749173937717513</c:v>
                </c:pt>
              </c:numCache>
            </c:numRef>
          </c:yVal>
          <c:smooth val="0"/>
          <c:extLst>
            <c:ext xmlns:c16="http://schemas.microsoft.com/office/drawing/2014/chart" uri="{C3380CC4-5D6E-409C-BE32-E72D297353CC}">
              <c16:uniqueId val="{00000007-553E-4D1A-8BD0-091BE3DF87C8}"/>
            </c:ext>
          </c:extLst>
        </c:ser>
        <c:ser>
          <c:idx val="5"/>
          <c:order val="5"/>
          <c:tx>
            <c:v>FRHPZERO</c:v>
          </c:tx>
          <c:spPr>
            <a:ln>
              <a:solidFill>
                <a:srgbClr val="FFC000"/>
              </a:solidFill>
            </a:ln>
          </c:spPr>
          <c:marker>
            <c:symbol val="circle"/>
            <c:size val="10"/>
            <c:spPr>
              <a:noFill/>
              <a:ln w="28575">
                <a:solidFill>
                  <a:srgbClr val="FF0000"/>
                </a:solidFill>
              </a:ln>
            </c:spPr>
          </c:marker>
          <c:dLbls>
            <c:dLbl>
              <c:idx val="0"/>
              <c:tx>
                <c:rich>
                  <a:bodyPr/>
                  <a:lstStyle/>
                  <a:p>
                    <a:r>
                      <a:rPr lang="en-US" sz="1400" b="1"/>
                      <a:t>F</a:t>
                    </a:r>
                    <a:r>
                      <a:rPr lang="en-US" sz="1400" b="1" baseline="-25000"/>
                      <a:t>RHPzero</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553E-4D1A-8BD0-091BE3DF87C8}"/>
                </c:ext>
              </c:extLst>
            </c:dLbl>
            <c:spPr>
              <a:noFill/>
              <a:ln>
                <a:noFill/>
              </a:ln>
              <a:effectLst/>
            </c:spPr>
            <c:txPr>
              <a:bodyPr/>
              <a:lstStyle/>
              <a:p>
                <a:pPr>
                  <a:defRPr sz="1400"/>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Compensation!$B$228</c:f>
              <c:numCache>
                <c:formatCode>General</c:formatCode>
                <c:ptCount val="1"/>
                <c:pt idx="0">
                  <c:v>27842.708720567978</c:v>
                </c:pt>
              </c:numCache>
            </c:numRef>
          </c:xVal>
          <c:yVal>
            <c:numRef>
              <c:f>Compensation!$Y$228</c:f>
              <c:numCache>
                <c:formatCode>General</c:formatCode>
                <c:ptCount val="1"/>
                <c:pt idx="0">
                  <c:v>-14.878380312151782</c:v>
                </c:pt>
              </c:numCache>
            </c:numRef>
          </c:yVal>
          <c:smooth val="0"/>
          <c:extLst>
            <c:ext xmlns:c16="http://schemas.microsoft.com/office/drawing/2014/chart" uri="{C3380CC4-5D6E-409C-BE32-E72D297353CC}">
              <c16:uniqueId val="{00000009-553E-4D1A-8BD0-091BE3DF87C8}"/>
            </c:ext>
          </c:extLst>
        </c:ser>
        <c:dLbls>
          <c:showLegendKey val="0"/>
          <c:showVal val="0"/>
          <c:showCatName val="0"/>
          <c:showSerName val="0"/>
          <c:showPercent val="0"/>
          <c:showBubbleSize val="0"/>
        </c:dLbls>
        <c:axId val="178864896"/>
        <c:axId val="178866816"/>
      </c:scatterChart>
      <c:scatterChart>
        <c:scatterStyle val="lineMarker"/>
        <c:varyColors val="0"/>
        <c:ser>
          <c:idx val="1"/>
          <c:order val="1"/>
          <c:tx>
            <c:v>Phase</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Compensation!$Z$169:$Z$223</c:f>
              <c:numCache>
                <c:formatCode>General</c:formatCode>
                <c:ptCount val="55"/>
                <c:pt idx="0">
                  <c:v>89.703453258858019</c:v>
                </c:pt>
                <c:pt idx="1">
                  <c:v>89.406946982453491</c:v>
                </c:pt>
                <c:pt idx="2">
                  <c:v>89.110521609864875</c:v>
                </c:pt>
                <c:pt idx="3">
                  <c:v>88.81421752889203</c:v>
                </c:pt>
                <c:pt idx="4">
                  <c:v>88.51807505051579</c:v>
                </c:pt>
                <c:pt idx="5">
                  <c:v>88.222134383476089</c:v>
                </c:pt>
                <c:pt idx="6">
                  <c:v>87.926435609006546</c:v>
                </c:pt>
                <c:pt idx="7">
                  <c:v>87.631018655766653</c:v>
                </c:pt>
                <c:pt idx="8">
                  <c:v>87.335923275004902</c:v>
                </c:pt>
                <c:pt idx="9">
                  <c:v>87.041189015994732</c:v>
                </c:pt>
                <c:pt idx="10">
                  <c:v>84.122217133012413</c:v>
                </c:pt>
                <c:pt idx="11">
                  <c:v>81.280483051262181</c:v>
                </c:pt>
                <c:pt idx="12">
                  <c:v>78.548857539510649</c:v>
                </c:pt>
                <c:pt idx="13">
                  <c:v>75.954210434808118</c:v>
                </c:pt>
                <c:pt idx="14">
                  <c:v>73.516667559802627</c:v>
                </c:pt>
                <c:pt idx="15">
                  <c:v>71.249563972965291</c:v>
                </c:pt>
                <c:pt idx="16">
                  <c:v>69.159951315306088</c:v>
                </c:pt>
                <c:pt idx="17">
                  <c:v>67.249467051135724</c:v>
                </c:pt>
                <c:pt idx="18">
                  <c:v>65.515376319722805</c:v>
                </c:pt>
                <c:pt idx="19">
                  <c:v>55.915287036931737</c:v>
                </c:pt>
                <c:pt idx="20">
                  <c:v>54.113851574170361</c:v>
                </c:pt>
                <c:pt idx="21">
                  <c:v>54.99453364316458</c:v>
                </c:pt>
                <c:pt idx="22">
                  <c:v>56.698076346202548</c:v>
                </c:pt>
                <c:pt idx="23">
                  <c:v>58.561114506340473</c:v>
                </c:pt>
                <c:pt idx="24">
                  <c:v>60.337259618936223</c:v>
                </c:pt>
                <c:pt idx="25">
                  <c:v>61.93870838436419</c:v>
                </c:pt>
                <c:pt idx="26">
                  <c:v>63.342868683411659</c:v>
                </c:pt>
                <c:pt idx="27">
                  <c:v>64.5546220094662</c:v>
                </c:pt>
                <c:pt idx="28">
                  <c:v>69.747795545479889</c:v>
                </c:pt>
                <c:pt idx="29">
                  <c:v>69.421104869225942</c:v>
                </c:pt>
                <c:pt idx="30">
                  <c:v>67.311870741968008</c:v>
                </c:pt>
                <c:pt idx="31">
                  <c:v>64.450864329890365</c:v>
                </c:pt>
                <c:pt idx="32">
                  <c:v>61.217324870536324</c:v>
                </c:pt>
                <c:pt idx="33">
                  <c:v>57.782433318967087</c:v>
                </c:pt>
                <c:pt idx="34">
                  <c:v>54.23503559735677</c:v>
                </c:pt>
                <c:pt idx="35">
                  <c:v>50.626033764411943</c:v>
                </c:pt>
                <c:pt idx="36">
                  <c:v>46.986717565170594</c:v>
                </c:pt>
                <c:pt idx="37">
                  <c:v>11.248014501634291</c:v>
                </c:pt>
                <c:pt idx="38">
                  <c:v>-22.51503118026595</c:v>
                </c:pt>
                <c:pt idx="39">
                  <c:v>-54.575971477178349</c:v>
                </c:pt>
                <c:pt idx="40">
                  <c:v>-82.122191856208204</c:v>
                </c:pt>
                <c:pt idx="41">
                  <c:v>-102.74688391465828</c:v>
                </c:pt>
                <c:pt idx="42">
                  <c:v>-117.24231676060894</c:v>
                </c:pt>
                <c:pt idx="43">
                  <c:v>-127.47341103510044</c:v>
                </c:pt>
                <c:pt idx="44">
                  <c:v>-134.91670322630912</c:v>
                </c:pt>
                <c:pt idx="45">
                  <c:v>-140.52105041004415</c:v>
                </c:pt>
                <c:pt idx="46">
                  <c:v>-162.16159410823465</c:v>
                </c:pt>
                <c:pt idx="47">
                  <c:v>-168.35752137081815</c:v>
                </c:pt>
                <c:pt idx="48">
                  <c:v>-171.33452127666641</c:v>
                </c:pt>
                <c:pt idx="49">
                  <c:v>-173.09231108813808</c:v>
                </c:pt>
                <c:pt idx="50">
                  <c:v>-174.254796341743</c:v>
                </c:pt>
                <c:pt idx="51">
                  <c:v>-175.08133758521072</c:v>
                </c:pt>
                <c:pt idx="52">
                  <c:v>-175.69946566112455</c:v>
                </c:pt>
                <c:pt idx="53">
                  <c:v>-176.1793120725502</c:v>
                </c:pt>
                <c:pt idx="54">
                  <c:v>-176.56267483364525</c:v>
                </c:pt>
              </c:numCache>
            </c:numRef>
          </c:yVal>
          <c:smooth val="0"/>
          <c:extLst>
            <c:ext xmlns:c16="http://schemas.microsoft.com/office/drawing/2014/chart" uri="{C3380CC4-5D6E-409C-BE32-E72D297353CC}">
              <c16:uniqueId val="{0000000A-553E-4D1A-8BD0-091BE3DF87C8}"/>
            </c:ext>
          </c:extLst>
        </c:ser>
        <c:dLbls>
          <c:showLegendKey val="0"/>
          <c:showVal val="0"/>
          <c:showCatName val="0"/>
          <c:showSerName val="0"/>
          <c:showPercent val="0"/>
          <c:showBubbleSize val="0"/>
        </c:dLbls>
        <c:axId val="178879104"/>
        <c:axId val="178877184"/>
      </c:scatterChart>
      <c:valAx>
        <c:axId val="178864896"/>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78866816"/>
        <c:crosses val="autoZero"/>
        <c:crossBetween val="midCat"/>
      </c:valAx>
      <c:valAx>
        <c:axId val="178866816"/>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78864896"/>
        <c:crosses val="autoZero"/>
        <c:crossBetween val="midCat"/>
        <c:majorUnit val="20"/>
      </c:valAx>
      <c:valAx>
        <c:axId val="178877184"/>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78879104"/>
        <c:crosses val="max"/>
        <c:crossBetween val="midCat"/>
        <c:majorUnit val="45"/>
      </c:valAx>
      <c:valAx>
        <c:axId val="178879104"/>
        <c:scaling>
          <c:logBase val="10"/>
          <c:orientation val="minMax"/>
        </c:scaling>
        <c:delete val="1"/>
        <c:axPos val="b"/>
        <c:numFmt formatCode="General" sourceLinked="1"/>
        <c:majorTickMark val="out"/>
        <c:minorTickMark val="none"/>
        <c:tickLblPos val="nextTo"/>
        <c:crossAx val="178877184"/>
        <c:crosses val="autoZero"/>
        <c:crossBetween val="midCat"/>
      </c:valAx>
    </c:plotArea>
    <c:legend>
      <c:legendPos val="l"/>
      <c:legendEntry>
        <c:idx val="1"/>
        <c:delete val="1"/>
      </c:legendEntry>
      <c:legendEntry>
        <c:idx val="2"/>
        <c:delete val="1"/>
      </c:legendEntry>
      <c:legendEntry>
        <c:idx val="3"/>
        <c:delete val="1"/>
      </c:legendEntry>
      <c:legendEntry>
        <c:idx val="4"/>
        <c:delete val="1"/>
      </c:legendEntry>
      <c:layout>
        <c:manualLayout>
          <c:xMode val="edge"/>
          <c:yMode val="edge"/>
          <c:x val="0.79304241813100085"/>
          <c:y val="2.6664513567886527E-2"/>
          <c:w val="9.4543330754408461E-2"/>
          <c:h val="0.12361639853858421"/>
        </c:manualLayout>
      </c:layout>
      <c:overlay val="1"/>
      <c:spPr>
        <a:noFill/>
      </c:sp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chart" Target="../charts/chart5.xml"/><Relationship Id="rId3" Type="http://schemas.openxmlformats.org/officeDocument/2006/relationships/image" Target="../media/image1.jpg"/><Relationship Id="rId7" Type="http://schemas.openxmlformats.org/officeDocument/2006/relationships/image" Target="../media/image5.png"/><Relationship Id="rId12" Type="http://schemas.openxmlformats.org/officeDocument/2006/relationships/chart" Target="../charts/chart4.xml"/><Relationship Id="rId17" Type="http://schemas.openxmlformats.org/officeDocument/2006/relationships/image" Target="../media/image11.png"/><Relationship Id="rId2" Type="http://schemas.openxmlformats.org/officeDocument/2006/relationships/hyperlink" Target="http://www.ti.com/product/lm5170-q1?qgpn=lm5170-q1" TargetMode="External"/><Relationship Id="rId16" Type="http://schemas.openxmlformats.org/officeDocument/2006/relationships/image" Target="../media/image10.png"/><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chart" Target="../charts/chart3.xml"/><Relationship Id="rId5" Type="http://schemas.openxmlformats.org/officeDocument/2006/relationships/image" Target="../media/image3.png"/><Relationship Id="rId15" Type="http://schemas.openxmlformats.org/officeDocument/2006/relationships/image" Target="../media/image9.png"/><Relationship Id="rId10" Type="http://schemas.openxmlformats.org/officeDocument/2006/relationships/chart" Target="../charts/chart2.xml"/><Relationship Id="rId4" Type="http://schemas.openxmlformats.org/officeDocument/2006/relationships/image" Target="../media/image2.png"/><Relationship Id="rId9" Type="http://schemas.openxmlformats.org/officeDocument/2006/relationships/image" Target="../media/image7.png"/><Relationship Id="rId14" Type="http://schemas.openxmlformats.org/officeDocument/2006/relationships/image" Target="../media/image8.png"/></Relationships>
</file>

<file path=xl/drawings/_rels/drawing2.xml.rels><?xml version="1.0" encoding="UTF-8" standalone="yes"?>
<Relationships xmlns="http://schemas.openxmlformats.org/package/2006/relationships"><Relationship Id="rId3" Type="http://schemas.openxmlformats.org/officeDocument/2006/relationships/hyperlink" Target="http://www.ti.com/corp/docs/legal/copyright.shtml" TargetMode="External"/><Relationship Id="rId2" Type="http://schemas.openxmlformats.org/officeDocument/2006/relationships/image" Target="../media/image12.gif"/><Relationship Id="rId1" Type="http://schemas.openxmlformats.org/officeDocument/2006/relationships/hyperlink" Target="http://www.ti.com" TargetMode="External"/></Relationships>
</file>

<file path=xl/drawings/_rels/drawing3.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image" Target="../media/image13.emf"/></Relationships>
</file>

<file path=xl/drawings/drawing1.xml><?xml version="1.0" encoding="utf-8"?>
<xdr:wsDr xmlns:xdr="http://schemas.openxmlformats.org/drawingml/2006/spreadsheetDrawing" xmlns:a="http://schemas.openxmlformats.org/drawingml/2006/main">
  <xdr:twoCellAnchor>
    <xdr:from>
      <xdr:col>7</xdr:col>
      <xdr:colOff>257175</xdr:colOff>
      <xdr:row>129</xdr:row>
      <xdr:rowOff>189675</xdr:rowOff>
    </xdr:from>
    <xdr:to>
      <xdr:col>19</xdr:col>
      <xdr:colOff>10584</xdr:colOff>
      <xdr:row>146</xdr:row>
      <xdr:rowOff>171450</xdr:rowOff>
    </xdr:to>
    <xdr:graphicFrame macro="">
      <xdr:nvGraphicFramePr>
        <xdr:cNvPr id="4" name="Chart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0</xdr:col>
      <xdr:colOff>2283071</xdr:colOff>
      <xdr:row>3</xdr:row>
      <xdr:rowOff>5256</xdr:rowOff>
    </xdr:to>
    <xdr:pic>
      <xdr:nvPicPr>
        <xdr:cNvPr id="6" name="Picture 5">
          <a:hlinkClick xmlns:r="http://schemas.openxmlformats.org/officeDocument/2006/relationships" r:id="rId2"/>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Lst>
        </a:blip>
        <a:srcRect t="4896" b="8304"/>
        <a:stretch/>
      </xdr:blipFill>
      <xdr:spPr>
        <a:xfrm>
          <a:off x="0" y="0"/>
          <a:ext cx="2283071" cy="538656"/>
        </a:xfrm>
        <a:prstGeom prst="rect">
          <a:avLst/>
        </a:prstGeom>
      </xdr:spPr>
    </xdr:pic>
    <xdr:clientData/>
  </xdr:twoCellAnchor>
  <xdr:twoCellAnchor editAs="oneCell">
    <xdr:from>
      <xdr:col>8</xdr:col>
      <xdr:colOff>380998</xdr:colOff>
      <xdr:row>94</xdr:row>
      <xdr:rowOff>47624</xdr:rowOff>
    </xdr:from>
    <xdr:to>
      <xdr:col>13</xdr:col>
      <xdr:colOff>159046</xdr:colOff>
      <xdr:row>103</xdr:row>
      <xdr:rowOff>114914</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486648" y="17906999"/>
          <a:ext cx="2826048" cy="1972290"/>
        </a:xfrm>
        <a:prstGeom prst="rect">
          <a:avLst/>
        </a:prstGeom>
      </xdr:spPr>
    </xdr:pic>
    <xdr:clientData/>
  </xdr:twoCellAnchor>
  <xdr:twoCellAnchor editAs="oneCell">
    <xdr:from>
      <xdr:col>3</xdr:col>
      <xdr:colOff>361950</xdr:colOff>
      <xdr:row>94</xdr:row>
      <xdr:rowOff>47624</xdr:rowOff>
    </xdr:from>
    <xdr:to>
      <xdr:col>8</xdr:col>
      <xdr:colOff>82848</xdr:colOff>
      <xdr:row>103</xdr:row>
      <xdr:rowOff>114914</xdr:rowOff>
    </xdr:to>
    <xdr:pic>
      <xdr:nvPicPr>
        <xdr:cNvPr id="8" name="Picture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362450" y="17906999"/>
          <a:ext cx="2826048" cy="1972290"/>
        </a:xfrm>
        <a:prstGeom prst="rect">
          <a:avLst/>
        </a:prstGeom>
      </xdr:spPr>
    </xdr:pic>
    <xdr:clientData/>
  </xdr:twoCellAnchor>
  <xdr:twoCellAnchor editAs="oneCell">
    <xdr:from>
      <xdr:col>13</xdr:col>
      <xdr:colOff>504824</xdr:colOff>
      <xdr:row>96</xdr:row>
      <xdr:rowOff>126656</xdr:rowOff>
    </xdr:from>
    <xdr:to>
      <xdr:col>18</xdr:col>
      <xdr:colOff>120397</xdr:colOff>
      <xdr:row>103</xdr:row>
      <xdr:rowOff>105389</xdr:rowOff>
    </xdr:to>
    <xdr:pic>
      <xdr:nvPicPr>
        <xdr:cNvPr id="9" name="Picture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763249" y="18443231"/>
          <a:ext cx="2901698" cy="1426533"/>
        </a:xfrm>
        <a:prstGeom prst="rect">
          <a:avLst/>
        </a:prstGeom>
      </xdr:spPr>
    </xdr:pic>
    <xdr:clientData/>
  </xdr:twoCellAnchor>
  <xdr:twoCellAnchor editAs="oneCell">
    <xdr:from>
      <xdr:col>3</xdr:col>
      <xdr:colOff>476250</xdr:colOff>
      <xdr:row>107</xdr:row>
      <xdr:rowOff>95250</xdr:rowOff>
    </xdr:from>
    <xdr:to>
      <xdr:col>10</xdr:col>
      <xdr:colOff>239358</xdr:colOff>
      <xdr:row>116</xdr:row>
      <xdr:rowOff>123825</xdr:rowOff>
    </xdr:to>
    <xdr:pic>
      <xdr:nvPicPr>
        <xdr:cNvPr id="11" name="Picture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4800600" y="21307425"/>
          <a:ext cx="4087458" cy="1933575"/>
        </a:xfrm>
        <a:prstGeom prst="rect">
          <a:avLst/>
        </a:prstGeom>
      </xdr:spPr>
    </xdr:pic>
    <xdr:clientData/>
  </xdr:twoCellAnchor>
  <xdr:twoCellAnchor editAs="oneCell">
    <xdr:from>
      <xdr:col>4</xdr:col>
      <xdr:colOff>438150</xdr:colOff>
      <xdr:row>122</xdr:row>
      <xdr:rowOff>123825</xdr:rowOff>
    </xdr:from>
    <xdr:to>
      <xdr:col>6</xdr:col>
      <xdr:colOff>266702</xdr:colOff>
      <xdr:row>128</xdr:row>
      <xdr:rowOff>38102</xdr:rowOff>
    </xdr:to>
    <xdr:pic>
      <xdr:nvPicPr>
        <xdr:cNvPr id="13" name="Picture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372100" y="24079200"/>
          <a:ext cx="1104902" cy="1143002"/>
        </a:xfrm>
        <a:prstGeom prst="rect">
          <a:avLst/>
        </a:prstGeom>
      </xdr:spPr>
    </xdr:pic>
    <xdr:clientData/>
  </xdr:twoCellAnchor>
  <xdr:twoCellAnchor editAs="oneCell">
    <xdr:from>
      <xdr:col>8</xdr:col>
      <xdr:colOff>304800</xdr:colOff>
      <xdr:row>122</xdr:row>
      <xdr:rowOff>142875</xdr:rowOff>
    </xdr:from>
    <xdr:to>
      <xdr:col>10</xdr:col>
      <xdr:colOff>419103</xdr:colOff>
      <xdr:row>128</xdr:row>
      <xdr:rowOff>66296</xdr:rowOff>
    </xdr:to>
    <xdr:pic>
      <xdr:nvPicPr>
        <xdr:cNvPr id="14" name="Picture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7734300" y="24098250"/>
          <a:ext cx="1333503" cy="1152146"/>
        </a:xfrm>
        <a:prstGeom prst="rect">
          <a:avLst/>
        </a:prstGeom>
      </xdr:spPr>
    </xdr:pic>
    <xdr:clientData/>
  </xdr:twoCellAnchor>
  <xdr:twoCellAnchor>
    <xdr:from>
      <xdr:col>4</xdr:col>
      <xdr:colOff>323849</xdr:colOff>
      <xdr:row>56</xdr:row>
      <xdr:rowOff>47625</xdr:rowOff>
    </xdr:from>
    <xdr:to>
      <xdr:col>14</xdr:col>
      <xdr:colOff>361950</xdr:colOff>
      <xdr:row>71</xdr:row>
      <xdr:rowOff>186523</xdr:rowOff>
    </xdr:to>
    <xdr:graphicFrame macro="">
      <xdr:nvGraphicFramePr>
        <xdr:cNvPr id="16" name="Chart 15">
          <a:extLst>
            <a:ext uri="{FF2B5EF4-FFF2-40B4-BE49-F238E27FC236}">
              <a16:creationId xmlns:a16="http://schemas.microsoft.com/office/drawing/2014/main" id="{00000000-0008-0000-00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323849</xdr:colOff>
      <xdr:row>72</xdr:row>
      <xdr:rowOff>9526</xdr:rowOff>
    </xdr:from>
    <xdr:to>
      <xdr:col>14</xdr:col>
      <xdr:colOff>360698</xdr:colOff>
      <xdr:row>86</xdr:row>
      <xdr:rowOff>171451</xdr:rowOff>
    </xdr:to>
    <xdr:graphicFrame macro="">
      <xdr:nvGraphicFramePr>
        <xdr:cNvPr id="17" name="Chart 16">
          <a:extLst>
            <a:ext uri="{FF2B5EF4-FFF2-40B4-BE49-F238E27FC236}">
              <a16:creationId xmlns:a16="http://schemas.microsoft.com/office/drawing/2014/main" id="{00000000-0008-0000-0000-00001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xdr:col>
      <xdr:colOff>51288</xdr:colOff>
      <xdr:row>60</xdr:row>
      <xdr:rowOff>19782</xdr:rowOff>
    </xdr:from>
    <xdr:to>
      <xdr:col>15</xdr:col>
      <xdr:colOff>205154</xdr:colOff>
      <xdr:row>60</xdr:row>
      <xdr:rowOff>158993</xdr:rowOff>
    </xdr:to>
    <xdr:sp macro="" textlink="">
      <xdr:nvSpPr>
        <xdr:cNvPr id="18" name="Oval 17">
          <a:extLst>
            <a:ext uri="{FF2B5EF4-FFF2-40B4-BE49-F238E27FC236}">
              <a16:creationId xmlns:a16="http://schemas.microsoft.com/office/drawing/2014/main" id="{00000000-0008-0000-0000-000012000000}"/>
            </a:ext>
          </a:extLst>
        </xdr:cNvPr>
        <xdr:cNvSpPr/>
      </xdr:nvSpPr>
      <xdr:spPr>
        <a:xfrm>
          <a:off x="11747988" y="11783157"/>
          <a:ext cx="153866" cy="139211"/>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51288</xdr:colOff>
      <xdr:row>72</xdr:row>
      <xdr:rowOff>38832</xdr:rowOff>
    </xdr:from>
    <xdr:to>
      <xdr:col>15</xdr:col>
      <xdr:colOff>205154</xdr:colOff>
      <xdr:row>72</xdr:row>
      <xdr:rowOff>178043</xdr:rowOff>
    </xdr:to>
    <xdr:sp macro="" textlink="">
      <xdr:nvSpPr>
        <xdr:cNvPr id="19" name="Oval 18">
          <a:extLst>
            <a:ext uri="{FF2B5EF4-FFF2-40B4-BE49-F238E27FC236}">
              <a16:creationId xmlns:a16="http://schemas.microsoft.com/office/drawing/2014/main" id="{00000000-0008-0000-0000-000013000000}"/>
            </a:ext>
          </a:extLst>
        </xdr:cNvPr>
        <xdr:cNvSpPr/>
      </xdr:nvSpPr>
      <xdr:spPr>
        <a:xfrm>
          <a:off x="11747988" y="14173932"/>
          <a:ext cx="153866" cy="139211"/>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257175</xdr:colOff>
      <xdr:row>147</xdr:row>
      <xdr:rowOff>171450</xdr:rowOff>
    </xdr:from>
    <xdr:to>
      <xdr:col>19</xdr:col>
      <xdr:colOff>10584</xdr:colOff>
      <xdr:row>165</xdr:row>
      <xdr:rowOff>172275</xdr:rowOff>
    </xdr:to>
    <xdr:graphicFrame macro="">
      <xdr:nvGraphicFramePr>
        <xdr:cNvPr id="15" name="Chart 14">
          <a:extLst>
            <a:ext uri="{FF2B5EF4-FFF2-40B4-BE49-F238E27FC236}">
              <a16:creationId xmlns:a16="http://schemas.microsoft.com/office/drawing/2014/main" id="{00000000-0008-0000-00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xdr:col>
      <xdr:colOff>247650</xdr:colOff>
      <xdr:row>167</xdr:row>
      <xdr:rowOff>0</xdr:rowOff>
    </xdr:from>
    <xdr:to>
      <xdr:col>19</xdr:col>
      <xdr:colOff>1059</xdr:colOff>
      <xdr:row>184</xdr:row>
      <xdr:rowOff>105600</xdr:rowOff>
    </xdr:to>
    <xdr:graphicFrame macro="">
      <xdr:nvGraphicFramePr>
        <xdr:cNvPr id="20" name="Chart 19">
          <a:extLst>
            <a:ext uri="{FF2B5EF4-FFF2-40B4-BE49-F238E27FC236}">
              <a16:creationId xmlns:a16="http://schemas.microsoft.com/office/drawing/2014/main" id="{00000000-0008-0000-00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xdr:col>
      <xdr:colOff>104775</xdr:colOff>
      <xdr:row>10</xdr:row>
      <xdr:rowOff>133350</xdr:rowOff>
    </xdr:from>
    <xdr:to>
      <xdr:col>15</xdr:col>
      <xdr:colOff>276239</xdr:colOff>
      <xdr:row>55</xdr:row>
      <xdr:rowOff>19068</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5038725" y="2085975"/>
          <a:ext cx="6934214" cy="8801118"/>
        </a:xfrm>
        <a:prstGeom prst="rect">
          <a:avLst/>
        </a:prstGeom>
      </xdr:spPr>
    </xdr:pic>
    <xdr:clientData/>
  </xdr:twoCellAnchor>
  <xdr:twoCellAnchor editAs="oneCell">
    <xdr:from>
      <xdr:col>3</xdr:col>
      <xdr:colOff>285751</xdr:colOff>
      <xdr:row>133</xdr:row>
      <xdr:rowOff>104776</xdr:rowOff>
    </xdr:from>
    <xdr:to>
      <xdr:col>6</xdr:col>
      <xdr:colOff>457201</xdr:colOff>
      <xdr:row>144</xdr:row>
      <xdr:rowOff>10306</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4610101" y="26708101"/>
          <a:ext cx="2057400" cy="2382030"/>
        </a:xfrm>
        <a:prstGeom prst="rect">
          <a:avLst/>
        </a:prstGeom>
      </xdr:spPr>
    </xdr:pic>
    <xdr:clientData/>
  </xdr:twoCellAnchor>
  <xdr:twoCellAnchor editAs="oneCell">
    <xdr:from>
      <xdr:col>3</xdr:col>
      <xdr:colOff>200025</xdr:colOff>
      <xdr:row>172</xdr:row>
      <xdr:rowOff>38100</xdr:rowOff>
    </xdr:from>
    <xdr:to>
      <xdr:col>7</xdr:col>
      <xdr:colOff>121812</xdr:colOff>
      <xdr:row>180</xdr:row>
      <xdr:rowOff>38100</xdr:rowOff>
    </xdr:to>
    <xdr:pic>
      <xdr:nvPicPr>
        <xdr:cNvPr id="10" name="Picture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4524375" y="35080575"/>
          <a:ext cx="2417337" cy="1752600"/>
        </a:xfrm>
        <a:prstGeom prst="rect">
          <a:avLst/>
        </a:prstGeom>
      </xdr:spPr>
    </xdr:pic>
    <xdr:clientData/>
  </xdr:twoCellAnchor>
  <xdr:twoCellAnchor editAs="oneCell">
    <xdr:from>
      <xdr:col>3</xdr:col>
      <xdr:colOff>152400</xdr:colOff>
      <xdr:row>153</xdr:row>
      <xdr:rowOff>190500</xdr:rowOff>
    </xdr:from>
    <xdr:to>
      <xdr:col>7</xdr:col>
      <xdr:colOff>113600</xdr:colOff>
      <xdr:row>162</xdr:row>
      <xdr:rowOff>3175</xdr:rowOff>
    </xdr:to>
    <xdr:pic>
      <xdr:nvPicPr>
        <xdr:cNvPr id="12" name="Picture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4476750" y="31080075"/>
          <a:ext cx="2456750" cy="17811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152400</xdr:rowOff>
    </xdr:from>
    <xdr:to>
      <xdr:col>1</xdr:col>
      <xdr:colOff>600075</xdr:colOff>
      <xdr:row>2</xdr:row>
      <xdr:rowOff>66626</xdr:rowOff>
    </xdr:to>
    <xdr:pic>
      <xdr:nvPicPr>
        <xdr:cNvPr id="2" name="Picture 1" descr="ti logo">
          <a:hlinkClick xmlns:r="http://schemas.openxmlformats.org/officeDocument/2006/relationships" r:id="rId1"/>
          <a:extLst>
            <a:ext uri="{FF2B5EF4-FFF2-40B4-BE49-F238E27FC236}">
              <a16:creationId xmlns:a16="http://schemas.microsoft.com/office/drawing/2014/main" id="{6CBE7879-D8BF-4B91-8FED-E81569EB672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152400"/>
          <a:ext cx="2314575" cy="2761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xdr:col>
      <xdr:colOff>200025</xdr:colOff>
      <xdr:row>0</xdr:row>
      <xdr:rowOff>114300</xdr:rowOff>
    </xdr:from>
    <xdr:ext cx="3752850" cy="381708"/>
    <xdr:sp macro="" textlink="">
      <xdr:nvSpPr>
        <xdr:cNvPr id="3" name="TextBox 2">
          <a:extLst>
            <a:ext uri="{FF2B5EF4-FFF2-40B4-BE49-F238E27FC236}">
              <a16:creationId xmlns:a16="http://schemas.microsoft.com/office/drawing/2014/main" id="{B20834D7-DD46-41F5-BFFD-4BA1E4791233}"/>
            </a:ext>
          </a:extLst>
        </xdr:cNvPr>
        <xdr:cNvSpPr txBox="1"/>
      </xdr:nvSpPr>
      <xdr:spPr>
        <a:xfrm>
          <a:off x="1914525" y="114300"/>
          <a:ext cx="3752850"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a:latin typeface="Arial Black" panose="020B0A04020102020204" pitchFamily="34" charset="0"/>
            </a:rPr>
            <a:t>About this tool...</a:t>
          </a:r>
        </a:p>
      </xdr:txBody>
    </xdr:sp>
    <xdr:clientData/>
  </xdr:oneCellAnchor>
  <xdr:oneCellAnchor>
    <xdr:from>
      <xdr:col>3</xdr:col>
      <xdr:colOff>323850</xdr:colOff>
      <xdr:row>1</xdr:row>
      <xdr:rowOff>28575</xdr:rowOff>
    </xdr:from>
    <xdr:ext cx="4719497" cy="254557"/>
    <xdr:sp macro="" textlink="">
      <xdr:nvSpPr>
        <xdr:cNvPr id="4" name="TextBox 3">
          <a:hlinkClick xmlns:r="http://schemas.openxmlformats.org/officeDocument/2006/relationships" r:id="rId3"/>
          <a:extLst>
            <a:ext uri="{FF2B5EF4-FFF2-40B4-BE49-F238E27FC236}">
              <a16:creationId xmlns:a16="http://schemas.microsoft.com/office/drawing/2014/main" id="{D26BF0EB-EFBF-4C6E-A9D6-8AC39E01AA55}"/>
            </a:ext>
          </a:extLst>
        </xdr:cNvPr>
        <xdr:cNvSpPr txBox="1"/>
      </xdr:nvSpPr>
      <xdr:spPr>
        <a:xfrm>
          <a:off x="6419850" y="209550"/>
          <a:ext cx="4719497" cy="2545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i="0" u="none" strike="noStrike">
              <a:solidFill>
                <a:schemeClr val="tx1"/>
              </a:solidFill>
              <a:effectLst/>
              <a:latin typeface="Arial" panose="020B0604020202020204" pitchFamily="34" charset="0"/>
              <a:ea typeface="+mn-ea"/>
              <a:cs typeface="Arial" panose="020B0604020202020204" pitchFamily="34" charset="0"/>
              <a:hlinkClick xmlns:r="http://schemas.openxmlformats.org/officeDocument/2006/relationships" r:id=""/>
            </a:rPr>
            <a:t>© Copyright 2023</a:t>
          </a:r>
          <a:r>
            <a:rPr lang="en-US" sz="1100" b="0" i="0">
              <a:solidFill>
                <a:schemeClr val="tx1"/>
              </a:solidFill>
              <a:effectLst/>
              <a:latin typeface="Arial" panose="020B0604020202020204" pitchFamily="34" charset="0"/>
              <a:ea typeface="+mn-ea"/>
              <a:cs typeface="Arial" panose="020B0604020202020204" pitchFamily="34" charset="0"/>
            </a:rPr>
            <a:t> Texas Instruments Incorporated. All rights reserved.</a:t>
          </a:r>
          <a:endParaRPr lang="en-US" sz="1100" b="0">
            <a:latin typeface="Arial" panose="020B0604020202020204" pitchFamily="34" charset="0"/>
            <a:cs typeface="Arial" panose="020B0604020202020204" pitchFamily="34" charset="0"/>
          </a:endParaRPr>
        </a:p>
      </xdr:txBody>
    </xdr:sp>
    <xdr:clientData/>
  </xdr:oneCellAnchor>
  <xdr:oneCellAnchor>
    <xdr:from>
      <xdr:col>0</xdr:col>
      <xdr:colOff>95247</xdr:colOff>
      <xdr:row>6</xdr:row>
      <xdr:rowOff>47624</xdr:rowOff>
    </xdr:from>
    <xdr:ext cx="11229977" cy="4219576"/>
    <xdr:sp macro="" textlink="">
      <xdr:nvSpPr>
        <xdr:cNvPr id="5" name="TextBox 4">
          <a:extLst>
            <a:ext uri="{FF2B5EF4-FFF2-40B4-BE49-F238E27FC236}">
              <a16:creationId xmlns:a16="http://schemas.microsoft.com/office/drawing/2014/main" id="{EE6E5671-1500-40EE-AFCA-AE46D71C30D2}"/>
            </a:ext>
          </a:extLst>
        </xdr:cNvPr>
        <xdr:cNvSpPr txBox="1"/>
      </xdr:nvSpPr>
      <xdr:spPr>
        <a:xfrm>
          <a:off x="95247" y="1133474"/>
          <a:ext cx="11229977" cy="4219576"/>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bIns="0" rtlCol="0" anchor="t">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800" b="1" i="0" u="none" strike="noStrike" kern="0" cap="none" spc="0" normalizeH="0" baseline="0" noProof="0">
              <a:ln>
                <a:noFill/>
              </a:ln>
              <a:solidFill>
                <a:sysClr val="windowText" lastClr="000000"/>
              </a:solidFill>
              <a:effectLst/>
              <a:uLnTx/>
              <a:uFillTx/>
              <a:latin typeface="+mn-lt"/>
              <a:ea typeface="+mn-ea"/>
              <a:cs typeface="+mn-cs"/>
            </a:rPr>
            <a:t>IMPORTANT NOTICE AND DISCLAIMER</a:t>
          </a:r>
        </a:p>
        <a:p>
          <a:pPr marL="0" marR="0" lvl="0" indent="0" defTabSz="914400" eaLnBrk="1" fontAlgn="auto" latinLnBrk="0" hangingPunct="1">
            <a:lnSpc>
              <a:spcPct val="100000"/>
            </a:lnSpc>
            <a:spcBef>
              <a:spcPts val="0"/>
            </a:spcBef>
            <a:spcAft>
              <a:spcPts val="0"/>
            </a:spcAft>
            <a:buClrTx/>
            <a:buSzTx/>
            <a:buFontTx/>
            <a:buNone/>
            <a:tabLst/>
            <a:defRPr/>
          </a:pPr>
          <a:br>
            <a:rPr kumimoji="0" lang="en-US" sz="10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PROVIDES TECHNICAL AND RELIABILITY DATA (INCLUDING DATA SHEETS), DESIGN RESOURCES (INCLUDING REFERENCE DESIGNS), APPLICATION OR OTHER DESIGN ADVICE, WEB TOOLS, SAFETY INFORMATION, AND OTHER RESOURCES “AS IS” AND WITH ALL FAULTS, AND DISCLAIMS ALL WARRANTIES, EXPRESS AND IMPLIED, INCLUDING WITHOUT LIMITATION ANY IMPLIED WARRANTIES OF MERCHANTABILITY, FITNESS FOR A PARTICULAR PURPOSE OR NON-INFRINGEMENT OF THIRD PARTY INTELLECTUAL PROPERTY RIGHTS.</a:t>
          </a:r>
        </a:p>
        <a:p>
          <a:pPr marL="0" marR="0" lvl="0" indent="0" defTabSz="914400" eaLnBrk="1" fontAlgn="auto" latinLnBrk="0" hangingPunct="1">
            <a:lnSpc>
              <a:spcPct val="100000"/>
            </a:lnSpc>
            <a:spcBef>
              <a:spcPts val="0"/>
            </a:spcBef>
            <a:spcAft>
              <a:spcPts val="0"/>
            </a:spcAft>
            <a:buClrTx/>
            <a:buSzTx/>
            <a:buFontTx/>
            <a:buNone/>
            <a:tabLst/>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lang="en-US" sz="1050"/>
            <a:t>These resources are intended for skilled developers designing with TI products. You are solely responsible for (1) selecting the appropriate TI products for your application, (2) designing, validating and testing your application, and (3) ensuring your application meets applicable standards, and any other safety, security, regulatory or other requirements.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defTabSz="914400" eaLnBrk="1" fontAlgn="auto" latinLnBrk="0" hangingPunct="1">
            <a:lnSpc>
              <a:spcPct val="100000"/>
            </a:lnSpc>
            <a:spcBef>
              <a:spcPts val="0"/>
            </a:spcBef>
            <a:spcAft>
              <a:spcPts val="0"/>
            </a:spcAft>
            <a:buClrTx/>
            <a:buSzTx/>
            <a:buFontTx/>
            <a:buNone/>
            <a:tabLst/>
            <a:defRPr/>
          </a:pPr>
          <a:r>
            <a:rPr lang="en-US" sz="1050"/>
            <a:t>These resources are subject to change without notice. TI grants you permission to use these resources only for development of an application that uses the TI products described in the resource. Other reproduction and display of these resources is prohibited. No license is granted to any other TI intellectual property right or to any third party intellectual property right. TI disclaims responsibility for, and you will fully indemnify TI and its representatives against, any claims, damages, costs, losses, and liabilities arising out of your use of these resources.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defTabSz="914400" eaLnBrk="1" fontAlgn="auto" latinLnBrk="0" hangingPunct="1">
            <a:lnSpc>
              <a:spcPct val="100000"/>
            </a:lnSpc>
            <a:spcBef>
              <a:spcPts val="0"/>
            </a:spcBef>
            <a:spcAft>
              <a:spcPts val="0"/>
            </a:spcAft>
            <a:buClrTx/>
            <a:buSzTx/>
            <a:buFontTx/>
            <a:buNone/>
            <a:tabLst/>
            <a:defRPr/>
          </a:pPr>
          <a:r>
            <a:rPr lang="en-US" sz="1050"/>
            <a:t>TI’s products are provided subject to TI’s Terms of Sale or other applicable terms available either on ti.com or provided in conjunction with such TI products. TI’s provision of these resources does not expand or otherwise alter TI’s applicable warranties or warranty disclaimers for TI products.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algn="l" defTabSz="914400" eaLnBrk="1" fontAlgn="auto" latinLnBrk="0" hangingPunct="1">
            <a:lnSpc>
              <a:spcPct val="100000"/>
            </a:lnSpc>
            <a:spcBef>
              <a:spcPts val="0"/>
            </a:spcBef>
            <a:spcAft>
              <a:spcPts val="0"/>
            </a:spcAft>
            <a:buClrTx/>
            <a:buSzTx/>
            <a:buFontTx/>
            <a:buNone/>
            <a:tabLst/>
            <a:defRPr/>
          </a:pPr>
          <a:r>
            <a:rPr lang="en-US" sz="1050"/>
            <a:t>TI objects to and rejects any additional or different terms you may have proposed. </a:t>
          </a:r>
        </a:p>
        <a:p>
          <a:pPr marL="0" marR="0" lvl="0" indent="0" algn="ctr" defTabSz="914400" eaLnBrk="1" fontAlgn="auto" latinLnBrk="0" hangingPunct="1">
            <a:lnSpc>
              <a:spcPct val="100000"/>
            </a:lnSpc>
            <a:spcBef>
              <a:spcPts val="0"/>
            </a:spcBef>
            <a:spcAft>
              <a:spcPts val="0"/>
            </a:spcAft>
            <a:buClrTx/>
            <a:buSzTx/>
            <a:buFontTx/>
            <a:buNone/>
            <a:tabLst/>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lang="en-US" sz="1050"/>
            <a:t>Mailing Address: Texas Instruments, Post Office Box 655303, Dallas, Texas 75265</a:t>
          </a:r>
        </a:p>
        <a:p>
          <a:pPr marL="0" marR="0" lvl="0" indent="0" algn="ctr" defTabSz="914400" eaLnBrk="1" fontAlgn="auto" latinLnBrk="0" hangingPunct="1">
            <a:lnSpc>
              <a:spcPct val="100000"/>
            </a:lnSpc>
            <a:spcBef>
              <a:spcPts val="0"/>
            </a:spcBef>
            <a:spcAft>
              <a:spcPts val="0"/>
            </a:spcAft>
            <a:buClrTx/>
            <a:buSzTx/>
            <a:buFontTx/>
            <a:buNone/>
            <a:tabLst/>
            <a:defRPr/>
          </a:pPr>
          <a:r>
            <a:rPr lang="en-US" sz="1050"/>
            <a:t>Copyright © 2023, Texas Instruments Incorporated</a:t>
          </a:r>
          <a:endParaRPr kumimoji="0" lang="en-US" sz="700" b="0" i="0" u="none" strike="noStrike" kern="0" cap="none" spc="0" normalizeH="0" baseline="0" noProof="0">
            <a:ln>
              <a:noFill/>
            </a:ln>
            <a:solidFill>
              <a:sysClr val="windowText" lastClr="000000"/>
            </a:solidFill>
            <a:effectLst/>
            <a:uLnTx/>
            <a:uFillTx/>
            <a:latin typeface="Arial" panose="020B0604020202020204" pitchFamily="34" charset="0"/>
            <a:ea typeface="+mn-ea"/>
            <a:cs typeface="Arial" panose="020B0604020202020204" pitchFamily="34" charset="0"/>
          </a:endParaRPr>
        </a:p>
      </xdr:txBody>
    </xdr:sp>
    <xdr:clientData/>
  </xdr:oneCellAnchor>
  <xdr:oneCellAnchor>
    <xdr:from>
      <xdr:col>0</xdr:col>
      <xdr:colOff>99057</xdr:colOff>
      <xdr:row>30</xdr:row>
      <xdr:rowOff>16998</xdr:rowOff>
    </xdr:from>
    <xdr:ext cx="11229977" cy="634512"/>
    <xdr:sp macro="" textlink="">
      <xdr:nvSpPr>
        <xdr:cNvPr id="6" name="TextBox 5">
          <a:extLst>
            <a:ext uri="{FF2B5EF4-FFF2-40B4-BE49-F238E27FC236}">
              <a16:creationId xmlns:a16="http://schemas.microsoft.com/office/drawing/2014/main" id="{1D513D81-2D3B-40A4-B433-3FF0B1C6D4F9}"/>
            </a:ext>
          </a:extLst>
        </xdr:cNvPr>
        <xdr:cNvSpPr txBox="1"/>
      </xdr:nvSpPr>
      <xdr:spPr>
        <a:xfrm>
          <a:off x="99057" y="5446248"/>
          <a:ext cx="11229977" cy="634512"/>
        </a:xfrm>
        <a:prstGeom prst="rect">
          <a:avLst/>
        </a:prstGeom>
        <a:solidFill>
          <a:schemeClr val="bg1">
            <a:lumMod val="9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solidFill>
                <a:schemeClr val="tx1"/>
              </a:solidFill>
              <a:effectLst/>
              <a:latin typeface="+mn-lt"/>
              <a:ea typeface="+mn-ea"/>
              <a:cs typeface="+mn-cs"/>
            </a:rPr>
            <a:t>IMPORTANT</a:t>
          </a:r>
          <a:r>
            <a:rPr lang="en-US" sz="1100" b="1" baseline="0">
              <a:solidFill>
                <a:schemeClr val="tx1"/>
              </a:solidFill>
              <a:effectLst/>
              <a:latin typeface="+mn-lt"/>
              <a:ea typeface="+mn-ea"/>
              <a:cs typeface="+mn-cs"/>
            </a:rPr>
            <a:t>:   </a:t>
          </a:r>
          <a:endParaRPr lang="en-US" sz="800">
            <a:effectLst/>
          </a:endParaRPr>
        </a:p>
        <a:p>
          <a:r>
            <a:rPr lang="en-US" sz="1100" baseline="0">
              <a:solidFill>
                <a:schemeClr val="tx1"/>
              </a:solidFill>
              <a:effectLst/>
              <a:latin typeface="+mn-lt"/>
              <a:ea typeface="+mn-ea"/>
              <a:cs typeface="+mn-cs"/>
            </a:rPr>
            <a:t>1.  Do not delete this worksheet!</a:t>
          </a:r>
          <a:endParaRPr lang="en-US" sz="800">
            <a:effectLst/>
          </a:endParaRPr>
        </a:p>
        <a:p>
          <a:pPr eaLnBrk="1" fontAlgn="auto" latinLnBrk="0" hangingPunct="1"/>
          <a:r>
            <a:rPr lang="en-US" sz="1100" baseline="0">
              <a:solidFill>
                <a:schemeClr val="tx1"/>
              </a:solidFill>
              <a:effectLst/>
              <a:latin typeface="+mn-lt"/>
              <a:ea typeface="+mn-ea"/>
              <a:cs typeface="+mn-cs"/>
            </a:rPr>
            <a:t>2.  Redistributions must retain the above copyright and the following disclaimer.</a:t>
          </a:r>
          <a:endParaRPr lang="en-US" sz="800">
            <a:effectLst/>
          </a:endParaRPr>
        </a:p>
        <a:p>
          <a:endParaRPr lang="en-US" sz="800" baseline="0">
            <a:latin typeface="Arial" panose="020B0604020202020204" pitchFamily="34" charset="0"/>
            <a:cs typeface="Arial" panose="020B0604020202020204" pitchFamily="34" charset="0"/>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28</xdr:col>
      <xdr:colOff>235451</xdr:colOff>
      <xdr:row>7</xdr:row>
      <xdr:rowOff>180950</xdr:rowOff>
    </xdr:from>
    <xdr:to>
      <xdr:col>37</xdr:col>
      <xdr:colOff>532280</xdr:colOff>
      <xdr:row>26</xdr:row>
      <xdr:rowOff>133070</xdr:rowOff>
    </xdr:to>
    <xdr:graphicFrame macro="">
      <xdr:nvGraphicFramePr>
        <xdr:cNvPr id="24" name="Chart 23">
          <a:extLst>
            <a:ext uri="{FF2B5EF4-FFF2-40B4-BE49-F238E27FC236}">
              <a16:creationId xmlns:a16="http://schemas.microsoft.com/office/drawing/2014/main" id="{00000000-0008-0000-0100-00001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746687</xdr:colOff>
      <xdr:row>8</xdr:row>
      <xdr:rowOff>169779</xdr:rowOff>
    </xdr:from>
    <xdr:to>
      <xdr:col>25</xdr:col>
      <xdr:colOff>7248</xdr:colOff>
      <xdr:row>27</xdr:row>
      <xdr:rowOff>137698</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12</xdr:col>
      <xdr:colOff>612320</xdr:colOff>
      <xdr:row>5</xdr:row>
      <xdr:rowOff>176894</xdr:rowOff>
    </xdr:from>
    <xdr:to>
      <xdr:col>22</xdr:col>
      <xdr:colOff>511971</xdr:colOff>
      <xdr:row>23</xdr:row>
      <xdr:rowOff>69522</xdr:rowOff>
    </xdr:to>
    <xdr:graphicFrame macro="">
      <xdr:nvGraphicFramePr>
        <xdr:cNvPr id="4" name="Chart 3">
          <a:extLst>
            <a:ext uri="{FF2B5EF4-FFF2-40B4-BE49-F238E27FC236}">
              <a16:creationId xmlns:a16="http://schemas.microsoft.com/office/drawing/2014/main" id="{00000000-0008-0000-0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598714</xdr:colOff>
      <xdr:row>24</xdr:row>
      <xdr:rowOff>0</xdr:rowOff>
    </xdr:from>
    <xdr:to>
      <xdr:col>22</xdr:col>
      <xdr:colOff>498365</xdr:colOff>
      <xdr:row>42</xdr:row>
      <xdr:rowOff>83128</xdr:rowOff>
    </xdr:to>
    <xdr:graphicFrame macro="">
      <xdr:nvGraphicFramePr>
        <xdr:cNvPr id="5" name="Chart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27214</xdr:colOff>
      <xdr:row>44</xdr:row>
      <xdr:rowOff>0</xdr:rowOff>
    </xdr:from>
    <xdr:to>
      <xdr:col>22</xdr:col>
      <xdr:colOff>539186</xdr:colOff>
      <xdr:row>62</xdr:row>
      <xdr:rowOff>83128</xdr:rowOff>
    </xdr:to>
    <xdr:graphicFrame macro="">
      <xdr:nvGraphicFramePr>
        <xdr:cNvPr id="6" name="Chart 5">
          <a:extLst>
            <a:ext uri="{FF2B5EF4-FFF2-40B4-BE49-F238E27FC236}">
              <a16:creationId xmlns:a16="http://schemas.microsoft.com/office/drawing/2014/main" id="{00000000-0008-0000-0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27</xdr:col>
      <xdr:colOff>69274</xdr:colOff>
      <xdr:row>167</xdr:row>
      <xdr:rowOff>123825</xdr:rowOff>
    </xdr:from>
    <xdr:to>
      <xdr:col>42</xdr:col>
      <xdr:colOff>548452</xdr:colOff>
      <xdr:row>187</xdr:row>
      <xdr:rowOff>138113</xdr:rowOff>
    </xdr:to>
    <xdr:graphicFrame macro="">
      <xdr:nvGraphicFramePr>
        <xdr:cNvPr id="7" name="Chart 6">
          <a:extLst>
            <a:ext uri="{FF2B5EF4-FFF2-40B4-BE49-F238E27FC236}">
              <a16:creationId xmlns:a16="http://schemas.microsoft.com/office/drawing/2014/main" id="{00000000-0008-0000-02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27</xdr:col>
      <xdr:colOff>125867</xdr:colOff>
      <xdr:row>77</xdr:row>
      <xdr:rowOff>551397</xdr:rowOff>
    </xdr:from>
    <xdr:to>
      <xdr:col>42</xdr:col>
      <xdr:colOff>88284</xdr:colOff>
      <xdr:row>99</xdr:row>
      <xdr:rowOff>143864</xdr:rowOff>
    </xdr:to>
    <xdr:graphicFrame macro="">
      <xdr:nvGraphicFramePr>
        <xdr:cNvPr id="8" name="Chart 7">
          <a:extLst>
            <a:ext uri="{FF2B5EF4-FFF2-40B4-BE49-F238E27FC236}">
              <a16:creationId xmlns:a16="http://schemas.microsoft.com/office/drawing/2014/main" id="{00000000-0008-0000-02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27</xdr:col>
      <xdr:colOff>95250</xdr:colOff>
      <xdr:row>101</xdr:row>
      <xdr:rowOff>0</xdr:rowOff>
    </xdr:from>
    <xdr:to>
      <xdr:col>38</xdr:col>
      <xdr:colOff>370494</xdr:colOff>
      <xdr:row>120</xdr:row>
      <xdr:rowOff>96075</xdr:rowOff>
    </xdr:to>
    <xdr:graphicFrame macro="">
      <xdr:nvGraphicFramePr>
        <xdr:cNvPr id="10" name="Chart 9">
          <a:extLst>
            <a:ext uri="{FF2B5EF4-FFF2-40B4-BE49-F238E27FC236}">
              <a16:creationId xmlns:a16="http://schemas.microsoft.com/office/drawing/2014/main" id="{00000000-0008-0000-02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0</xdr:colOff>
      <xdr:row>189</xdr:row>
      <xdr:rowOff>23812</xdr:rowOff>
    </xdr:from>
    <xdr:to>
      <xdr:col>38</xdr:col>
      <xdr:colOff>275244</xdr:colOff>
      <xdr:row>208</xdr:row>
      <xdr:rowOff>119887</xdr:rowOff>
    </xdr:to>
    <xdr:graphicFrame macro="">
      <xdr:nvGraphicFramePr>
        <xdr:cNvPr id="11" name="Chart 10">
          <a:extLst>
            <a:ext uri="{FF2B5EF4-FFF2-40B4-BE49-F238E27FC236}">
              <a16:creationId xmlns:a16="http://schemas.microsoft.com/office/drawing/2014/main" id="{00000000-0008-0000-02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2</xdr:col>
      <xdr:colOff>28575</xdr:colOff>
      <xdr:row>4</xdr:row>
      <xdr:rowOff>19050</xdr:rowOff>
    </xdr:to>
    <xdr:pic>
      <xdr:nvPicPr>
        <xdr:cNvPr id="2" name="Picture 1">
          <a:extLst>
            <a:ext uri="{FF2B5EF4-FFF2-40B4-BE49-F238E27FC236}">
              <a16:creationId xmlns:a16="http://schemas.microsoft.com/office/drawing/2014/main" id="{00000000-0008-0000-06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09600" y="0"/>
          <a:ext cx="9182100" cy="438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a0499631/TI%20Drive/device/0-5171/!%20Calc/LM5171%20BuckBoost%20Quickstart%20Tool%20V1_0_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sign_Converter"/>
      <sheetName val="Licenses"/>
      <sheetName val="Calculations"/>
      <sheetName val="Compensation"/>
      <sheetName val="Constants"/>
      <sheetName val="Lists"/>
    </sheetNames>
    <sheetDataSet>
      <sheetData sheetId="0">
        <row r="39">
          <cell r="B39">
            <v>1</v>
          </cell>
        </row>
        <row r="53">
          <cell r="B53">
            <v>800</v>
          </cell>
        </row>
        <row r="54">
          <cell r="B54">
            <v>5</v>
          </cell>
        </row>
        <row r="56">
          <cell r="B56">
            <v>600</v>
          </cell>
        </row>
        <row r="57">
          <cell r="B57">
            <v>5</v>
          </cell>
        </row>
      </sheetData>
      <sheetData sheetId="1"/>
      <sheetData sheetId="2">
        <row r="7">
          <cell r="B7">
            <v>48</v>
          </cell>
        </row>
        <row r="8">
          <cell r="B8">
            <v>48</v>
          </cell>
        </row>
        <row r="9">
          <cell r="B9">
            <v>48</v>
          </cell>
        </row>
        <row r="11">
          <cell r="B11">
            <v>12</v>
          </cell>
        </row>
        <row r="12">
          <cell r="B12">
            <v>12</v>
          </cell>
        </row>
        <row r="13">
          <cell r="B13">
            <v>12</v>
          </cell>
        </row>
        <row r="15">
          <cell r="B15">
            <v>108000</v>
          </cell>
        </row>
        <row r="24">
          <cell r="B24">
            <v>2</v>
          </cell>
        </row>
        <row r="25">
          <cell r="B25">
            <v>30</v>
          </cell>
        </row>
        <row r="31">
          <cell r="B31">
            <v>1</v>
          </cell>
        </row>
        <row r="32">
          <cell r="B32">
            <v>50</v>
          </cell>
        </row>
        <row r="43">
          <cell r="B43">
            <v>4.7</v>
          </cell>
        </row>
        <row r="75">
          <cell r="B75">
            <v>38.865248226950357</v>
          </cell>
        </row>
        <row r="77">
          <cell r="B77">
            <v>40.808510638297875</v>
          </cell>
        </row>
        <row r="154">
          <cell r="B154">
            <v>3.65</v>
          </cell>
        </row>
        <row r="156">
          <cell r="B156">
            <v>100</v>
          </cell>
        </row>
        <row r="158">
          <cell r="B158">
            <v>1</v>
          </cell>
        </row>
      </sheetData>
      <sheetData sheetId="3"/>
      <sheetData sheetId="4">
        <row r="4">
          <cell r="C4">
            <v>1E-4</v>
          </cell>
        </row>
        <row r="5">
          <cell r="C5">
            <v>40</v>
          </cell>
        </row>
      </sheetData>
      <sheetData sheetId="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V184"/>
  <sheetViews>
    <sheetView tabSelected="1" zoomScaleNormal="100" workbookViewId="0">
      <selection activeCell="D41" sqref="D41"/>
    </sheetView>
  </sheetViews>
  <sheetFormatPr baseColWidth="10" defaultColWidth="9.1640625" defaultRowHeight="14"/>
  <cols>
    <col min="1" max="1" width="50.1640625" style="127" customWidth="1"/>
    <col min="2" max="2" width="10" style="128" customWidth="1"/>
    <col min="3" max="3" width="4.6640625" style="128" customWidth="1"/>
    <col min="4" max="4" width="9.1640625" style="128"/>
    <col min="5" max="5" width="10" style="128" bestFit="1" customWidth="1"/>
    <col min="6" max="9" width="9.1640625" style="128"/>
    <col min="10" max="10" width="9.1640625" style="128" customWidth="1"/>
    <col min="11" max="17" width="9.1640625" style="128"/>
    <col min="18" max="18" width="12.6640625" style="128" customWidth="1"/>
    <col min="19" max="19" width="9.1640625" style="148"/>
    <col min="20" max="16384" width="9.1640625" style="128"/>
  </cols>
  <sheetData>
    <row r="1" spans="1:22" s="178" customFormat="1">
      <c r="A1" s="177" t="s">
        <v>462</v>
      </c>
    </row>
    <row r="2" spans="1:22" s="180" customFormat="1">
      <c r="A2" s="179"/>
    </row>
    <row r="3" spans="1:22" s="180" customFormat="1" ht="12.75" customHeight="1">
      <c r="A3" s="179"/>
    </row>
    <row r="4" spans="1:22" s="116" customFormat="1" ht="15" thickBot="1">
      <c r="A4" s="115"/>
      <c r="F4" s="117"/>
      <c r="G4" s="117"/>
      <c r="H4" s="117"/>
      <c r="I4" s="117"/>
      <c r="J4" s="117"/>
      <c r="K4" s="117"/>
      <c r="L4" s="117"/>
      <c r="M4" s="117"/>
      <c r="N4" s="117"/>
      <c r="O4" s="117"/>
      <c r="P4" s="117"/>
      <c r="Q4" s="117"/>
      <c r="R4" s="117"/>
      <c r="S4" s="118"/>
      <c r="T4" s="117"/>
      <c r="U4" s="117"/>
      <c r="V4" s="117"/>
    </row>
    <row r="5" spans="1:22" s="116" customFormat="1" ht="15" thickBot="1">
      <c r="A5" s="119"/>
      <c r="B5" s="120"/>
      <c r="C5" s="121" t="s">
        <v>127</v>
      </c>
      <c r="F5" s="117"/>
      <c r="G5" s="122" t="s">
        <v>284</v>
      </c>
      <c r="H5" s="122"/>
      <c r="I5" s="122"/>
      <c r="K5" s="117"/>
      <c r="L5" s="117"/>
      <c r="M5" s="117"/>
      <c r="N5" s="117"/>
      <c r="O5" s="117"/>
      <c r="P5" s="117"/>
      <c r="R5" s="172" t="s">
        <v>285</v>
      </c>
      <c r="S5" s="118"/>
      <c r="T5" s="117"/>
      <c r="U5" s="117"/>
      <c r="V5" s="117"/>
    </row>
    <row r="6" spans="1:22" s="124" customFormat="1" ht="15" thickBot="1">
      <c r="A6" s="123"/>
      <c r="F6" s="125"/>
      <c r="G6" s="125"/>
      <c r="H6" s="125"/>
      <c r="I6" s="125"/>
      <c r="J6" s="125"/>
      <c r="K6" s="125"/>
      <c r="L6" s="125"/>
      <c r="M6" s="125"/>
      <c r="N6" s="125"/>
      <c r="O6" s="125"/>
      <c r="P6" s="125"/>
      <c r="Q6" s="125"/>
      <c r="R6" s="125"/>
      <c r="S6" s="126"/>
      <c r="T6" s="125"/>
      <c r="U6" s="125"/>
      <c r="V6" s="125"/>
    </row>
    <row r="7" spans="1:22">
      <c r="F7" s="129"/>
      <c r="G7" s="129"/>
      <c r="H7" s="129"/>
      <c r="I7" s="129"/>
      <c r="J7" s="129"/>
      <c r="K7" s="129"/>
      <c r="L7" s="129"/>
      <c r="M7" s="129"/>
      <c r="N7" s="129"/>
      <c r="O7" s="129"/>
      <c r="P7" s="129"/>
      <c r="Q7" s="129"/>
      <c r="R7" s="129"/>
      <c r="S7" s="130"/>
      <c r="T7" s="129"/>
      <c r="U7" s="129"/>
      <c r="V7" s="129"/>
    </row>
    <row r="8" spans="1:22" ht="17">
      <c r="A8" s="173" t="s">
        <v>469</v>
      </c>
      <c r="B8" s="173"/>
      <c r="C8" s="173"/>
      <c r="F8" s="129"/>
      <c r="G8" s="129"/>
      <c r="H8" s="129"/>
      <c r="I8" s="129"/>
      <c r="J8" s="129"/>
      <c r="K8" s="129"/>
      <c r="L8" s="129"/>
      <c r="M8" s="129"/>
      <c r="N8" s="129"/>
      <c r="O8" s="129"/>
      <c r="P8" s="129"/>
      <c r="Q8" s="129"/>
      <c r="R8" s="129"/>
      <c r="S8" s="130"/>
      <c r="T8" s="129"/>
      <c r="U8" s="129"/>
      <c r="V8" s="129"/>
    </row>
    <row r="9" spans="1:22" ht="12.75" customHeight="1" thickBot="1">
      <c r="A9" s="131"/>
      <c r="B9" s="131"/>
      <c r="C9" s="131"/>
      <c r="F9" s="129"/>
      <c r="G9" s="129"/>
      <c r="H9" s="129"/>
      <c r="I9" s="129"/>
      <c r="J9" s="129"/>
      <c r="K9" s="129"/>
      <c r="L9" s="129"/>
      <c r="M9" s="129"/>
      <c r="N9" s="129"/>
      <c r="O9" s="129"/>
      <c r="P9" s="129"/>
      <c r="Q9" s="129"/>
      <c r="R9" s="129"/>
      <c r="S9" s="130"/>
      <c r="T9" s="129"/>
      <c r="U9" s="129"/>
      <c r="V9" s="129"/>
    </row>
    <row r="10" spans="1:22" ht="17.25" customHeight="1" thickBot="1">
      <c r="A10" s="174" t="s">
        <v>321</v>
      </c>
      <c r="B10" s="175"/>
      <c r="C10" s="176"/>
      <c r="F10" s="129"/>
      <c r="G10" s="184" t="s">
        <v>281</v>
      </c>
      <c r="H10" s="184"/>
      <c r="I10" s="184"/>
      <c r="J10" s="184"/>
      <c r="K10" s="184"/>
      <c r="L10" s="184"/>
      <c r="M10" s="184"/>
      <c r="N10" s="132"/>
      <c r="O10" s="132"/>
      <c r="P10" s="129"/>
      <c r="Q10" s="129"/>
      <c r="R10" s="129"/>
      <c r="S10" s="130"/>
      <c r="T10" s="129"/>
      <c r="U10" s="129"/>
      <c r="V10" s="129"/>
    </row>
    <row r="11" spans="1:22" ht="15" customHeight="1">
      <c r="A11" s="133" t="s">
        <v>330</v>
      </c>
      <c r="B11" s="154">
        <v>40</v>
      </c>
      <c r="C11" s="134" t="s">
        <v>1</v>
      </c>
      <c r="F11" s="129"/>
      <c r="G11" s="184"/>
      <c r="H11" s="184"/>
      <c r="I11" s="184"/>
      <c r="J11" s="184"/>
      <c r="K11" s="184"/>
      <c r="L11" s="184"/>
      <c r="M11" s="184"/>
      <c r="N11" s="132"/>
      <c r="O11" s="132"/>
      <c r="Q11" s="129"/>
      <c r="R11" s="129"/>
      <c r="S11" s="130"/>
      <c r="T11" s="129"/>
      <c r="U11" s="129"/>
      <c r="V11" s="129"/>
    </row>
    <row r="12" spans="1:22" ht="15" customHeight="1">
      <c r="A12" s="133" t="s">
        <v>331</v>
      </c>
      <c r="B12" s="154">
        <v>50</v>
      </c>
      <c r="C12" s="134" t="s">
        <v>1</v>
      </c>
      <c r="F12" s="129"/>
      <c r="G12" s="129"/>
      <c r="Q12" s="129"/>
      <c r="R12" s="129"/>
      <c r="S12" s="130"/>
      <c r="T12" s="129"/>
      <c r="U12" s="129"/>
      <c r="V12" s="129"/>
    </row>
    <row r="13" spans="1:22" ht="15" thickBot="1">
      <c r="A13" s="135" t="s">
        <v>332</v>
      </c>
      <c r="B13" s="155">
        <v>70</v>
      </c>
      <c r="C13" s="136" t="s">
        <v>1</v>
      </c>
      <c r="F13" s="129"/>
      <c r="G13" s="129"/>
      <c r="H13" s="129"/>
      <c r="I13" s="129"/>
      <c r="J13" s="129"/>
      <c r="K13" s="129"/>
      <c r="L13" s="129"/>
      <c r="M13" s="129"/>
      <c r="N13" s="129"/>
      <c r="O13" s="129"/>
      <c r="P13" s="129"/>
      <c r="Q13" s="129"/>
      <c r="R13" s="129"/>
      <c r="S13" s="130"/>
      <c r="T13" s="129"/>
      <c r="U13" s="129"/>
      <c r="V13" s="129"/>
    </row>
    <row r="14" spans="1:22" ht="15" thickBot="1">
      <c r="B14" s="137"/>
      <c r="F14" s="129"/>
      <c r="G14" s="129"/>
      <c r="H14" s="129"/>
      <c r="I14" s="129"/>
      <c r="J14" s="129"/>
      <c r="K14" s="129"/>
      <c r="L14" s="129"/>
      <c r="M14" s="129"/>
      <c r="N14" s="129"/>
      <c r="O14" s="129"/>
      <c r="P14" s="129"/>
      <c r="Q14" s="129"/>
      <c r="R14" s="129"/>
      <c r="S14" s="130"/>
      <c r="T14" s="129"/>
      <c r="U14" s="129"/>
      <c r="V14" s="129"/>
    </row>
    <row r="15" spans="1:22" ht="15" thickBot="1">
      <c r="A15" s="174" t="s">
        <v>320</v>
      </c>
      <c r="B15" s="175"/>
      <c r="C15" s="176"/>
      <c r="F15" s="129"/>
      <c r="G15" s="129"/>
      <c r="H15" s="129"/>
      <c r="I15" s="129"/>
      <c r="J15" s="129"/>
      <c r="K15" s="129"/>
      <c r="L15" s="129"/>
      <c r="M15" s="129"/>
      <c r="N15" s="129"/>
      <c r="O15" s="129"/>
      <c r="P15" s="129"/>
      <c r="Q15" s="129"/>
      <c r="R15" s="129"/>
      <c r="S15" s="130"/>
      <c r="T15" s="129"/>
      <c r="U15" s="129"/>
      <c r="V15" s="129"/>
    </row>
    <row r="16" spans="1:22">
      <c r="A16" s="133" t="s">
        <v>327</v>
      </c>
      <c r="B16" s="154">
        <v>18.5</v>
      </c>
      <c r="C16" s="134" t="s">
        <v>1</v>
      </c>
      <c r="F16" s="129"/>
      <c r="G16" s="129"/>
      <c r="H16" s="129"/>
      <c r="I16" s="129"/>
      <c r="J16" s="129"/>
      <c r="K16" s="129"/>
      <c r="L16" s="129"/>
      <c r="M16" s="129"/>
      <c r="N16" s="129"/>
      <c r="O16" s="129"/>
      <c r="P16" s="129"/>
      <c r="Q16" s="129"/>
      <c r="R16" s="129"/>
      <c r="S16" s="130"/>
      <c r="T16" s="129"/>
      <c r="U16" s="129"/>
      <c r="V16" s="129"/>
    </row>
    <row r="17" spans="1:22">
      <c r="A17" s="133" t="s">
        <v>328</v>
      </c>
      <c r="B17" s="154">
        <v>20</v>
      </c>
      <c r="C17" s="134" t="s">
        <v>1</v>
      </c>
      <c r="F17" s="129"/>
      <c r="G17" s="129"/>
      <c r="H17" s="129"/>
      <c r="I17" s="129"/>
      <c r="J17" s="129"/>
      <c r="K17" s="129"/>
      <c r="L17" s="129"/>
      <c r="M17" s="129"/>
      <c r="N17" s="129"/>
      <c r="O17" s="129"/>
      <c r="P17" s="129"/>
      <c r="Q17" s="129"/>
      <c r="R17" s="129"/>
      <c r="S17" s="130"/>
      <c r="T17" s="129"/>
      <c r="U17" s="129"/>
      <c r="V17" s="129"/>
    </row>
    <row r="18" spans="1:22" ht="15" thickBot="1">
      <c r="A18" s="135" t="s">
        <v>329</v>
      </c>
      <c r="B18" s="155">
        <v>22</v>
      </c>
      <c r="C18" s="136" t="s">
        <v>1</v>
      </c>
      <c r="F18" s="129"/>
      <c r="G18" s="129"/>
      <c r="H18" s="129"/>
      <c r="I18" s="129"/>
      <c r="J18" s="129"/>
      <c r="K18" s="129"/>
      <c r="L18" s="129"/>
      <c r="M18" s="129"/>
      <c r="N18" s="129"/>
      <c r="O18" s="129"/>
      <c r="P18" s="129"/>
      <c r="Q18" s="129"/>
      <c r="R18" s="129"/>
      <c r="S18" s="130"/>
      <c r="T18" s="129"/>
      <c r="U18" s="129"/>
      <c r="V18" s="129"/>
    </row>
    <row r="19" spans="1:22" ht="15" thickBot="1">
      <c r="B19" s="137"/>
      <c r="F19" s="129"/>
      <c r="G19" s="129"/>
      <c r="H19" s="129"/>
      <c r="I19" s="129"/>
      <c r="J19" s="129"/>
      <c r="K19" s="129"/>
      <c r="L19" s="129"/>
      <c r="M19" s="129"/>
      <c r="N19" s="129"/>
      <c r="O19" s="129"/>
      <c r="P19" s="129"/>
      <c r="Q19" s="129"/>
      <c r="R19" s="129"/>
      <c r="S19" s="130"/>
      <c r="T19" s="129"/>
      <c r="U19" s="129"/>
      <c r="V19" s="129"/>
    </row>
    <row r="20" spans="1:22" ht="15" thickBot="1">
      <c r="A20" s="174" t="s">
        <v>2</v>
      </c>
      <c r="B20" s="175"/>
      <c r="C20" s="176"/>
      <c r="F20" s="129"/>
      <c r="G20" s="129"/>
      <c r="H20" s="129"/>
      <c r="I20" s="129"/>
      <c r="J20" s="129"/>
      <c r="K20" s="129"/>
      <c r="L20" s="129"/>
      <c r="M20" s="129"/>
      <c r="N20" s="129"/>
      <c r="O20" s="129"/>
      <c r="P20" s="129"/>
      <c r="Q20" s="129"/>
      <c r="R20" s="129"/>
      <c r="S20" s="130"/>
      <c r="T20" s="129"/>
      <c r="U20" s="129"/>
      <c r="V20" s="129"/>
    </row>
    <row r="21" spans="1:22">
      <c r="A21" s="133" t="s">
        <v>326</v>
      </c>
      <c r="B21" s="154">
        <v>400</v>
      </c>
      <c r="C21" s="134" t="s">
        <v>3</v>
      </c>
      <c r="F21" s="129"/>
      <c r="G21" s="129"/>
      <c r="H21" s="129"/>
      <c r="I21" s="129"/>
      <c r="J21" s="129"/>
      <c r="K21" s="129"/>
      <c r="L21" s="129"/>
      <c r="M21" s="129"/>
      <c r="N21" s="129"/>
      <c r="O21" s="129"/>
      <c r="P21" s="129"/>
      <c r="Q21" s="129"/>
      <c r="R21" s="129"/>
      <c r="S21" s="130"/>
      <c r="T21" s="129"/>
      <c r="U21" s="129"/>
      <c r="V21" s="129"/>
    </row>
    <row r="22" spans="1:22" ht="17" thickBot="1">
      <c r="A22" s="135" t="s">
        <v>470</v>
      </c>
      <c r="B22" s="138">
        <f>Calculations!B16</f>
        <v>10</v>
      </c>
      <c r="C22" s="136" t="s">
        <v>16</v>
      </c>
      <c r="F22" s="129"/>
      <c r="G22" s="129"/>
      <c r="H22" s="129"/>
      <c r="I22" s="129"/>
      <c r="J22" s="129"/>
      <c r="K22" s="129"/>
      <c r="L22" s="129"/>
      <c r="M22" s="129"/>
      <c r="N22" s="129"/>
      <c r="O22" s="129"/>
      <c r="P22" s="129"/>
      <c r="Q22" s="129"/>
      <c r="R22" s="129"/>
      <c r="S22" s="130"/>
      <c r="T22" s="129"/>
      <c r="U22" s="129"/>
      <c r="V22" s="129"/>
    </row>
    <row r="23" spans="1:22" ht="15" thickBot="1">
      <c r="F23" s="129"/>
      <c r="G23" s="129"/>
      <c r="H23" s="129"/>
      <c r="I23" s="129"/>
      <c r="J23" s="129"/>
      <c r="K23" s="129"/>
      <c r="L23" s="129"/>
      <c r="M23" s="129"/>
      <c r="N23" s="129"/>
      <c r="O23" s="129"/>
      <c r="P23" s="129"/>
      <c r="Q23" s="129"/>
      <c r="R23" s="129"/>
      <c r="S23" s="130"/>
      <c r="T23" s="129"/>
      <c r="U23" s="129"/>
      <c r="V23" s="129"/>
    </row>
    <row r="24" spans="1:22" ht="15" thickBot="1">
      <c r="A24" s="174" t="s">
        <v>282</v>
      </c>
      <c r="B24" s="175"/>
      <c r="C24" s="176"/>
      <c r="F24" s="129"/>
      <c r="G24" s="129"/>
      <c r="H24" s="129"/>
      <c r="I24" s="129"/>
      <c r="J24" s="129"/>
      <c r="K24" s="129"/>
      <c r="L24" s="129"/>
      <c r="M24" s="129"/>
      <c r="N24" s="129"/>
      <c r="O24" s="129"/>
      <c r="P24" s="129"/>
      <c r="Q24" s="129"/>
      <c r="R24" s="129"/>
      <c r="S24" s="130"/>
      <c r="T24" s="129"/>
      <c r="U24" s="129"/>
      <c r="V24" s="129"/>
    </row>
    <row r="25" spans="1:22">
      <c r="A25" s="133" t="s">
        <v>27</v>
      </c>
      <c r="B25" s="154">
        <v>2</v>
      </c>
      <c r="C25" s="134"/>
      <c r="F25" s="129"/>
      <c r="G25" s="129"/>
      <c r="H25" s="129"/>
      <c r="I25" s="129"/>
      <c r="J25" s="129"/>
      <c r="K25" s="129"/>
      <c r="L25" s="129"/>
      <c r="M25" s="129"/>
      <c r="N25" s="129"/>
      <c r="O25" s="129"/>
      <c r="P25" s="129"/>
      <c r="Q25" s="129"/>
      <c r="R25" s="129"/>
      <c r="S25" s="130"/>
      <c r="T25" s="129"/>
      <c r="U25" s="129"/>
      <c r="V25" s="129"/>
    </row>
    <row r="26" spans="1:22">
      <c r="A26" s="133" t="s">
        <v>325</v>
      </c>
      <c r="B26" s="154">
        <v>45</v>
      </c>
      <c r="C26" s="134" t="s">
        <v>4</v>
      </c>
      <c r="F26" s="129"/>
      <c r="G26" s="129"/>
      <c r="H26" s="129"/>
      <c r="I26" s="129"/>
      <c r="J26" s="129"/>
      <c r="K26" s="129"/>
      <c r="L26" s="129"/>
      <c r="M26" s="129"/>
      <c r="N26" s="129"/>
      <c r="O26" s="129"/>
      <c r="P26" s="129"/>
      <c r="Q26" s="129"/>
      <c r="R26" s="129"/>
      <c r="S26" s="130"/>
      <c r="T26" s="129"/>
      <c r="U26" s="129"/>
      <c r="V26" s="129"/>
    </row>
    <row r="27" spans="1:22" ht="16">
      <c r="A27" s="133" t="s">
        <v>324</v>
      </c>
      <c r="B27" s="139">
        <f>Calculations!B27</f>
        <v>2.2222222222222223</v>
      </c>
      <c r="C27" s="134" t="s">
        <v>7</v>
      </c>
      <c r="F27" s="129"/>
      <c r="G27" s="129"/>
      <c r="H27" s="129"/>
      <c r="I27" s="129"/>
      <c r="J27" s="129"/>
      <c r="K27" s="129"/>
      <c r="L27" s="129"/>
      <c r="M27" s="129"/>
      <c r="N27" s="129"/>
      <c r="O27" s="129"/>
      <c r="P27" s="129"/>
      <c r="Q27" s="129"/>
      <c r="R27" s="129"/>
      <c r="S27" s="130"/>
      <c r="T27" s="129"/>
      <c r="U27" s="129"/>
      <c r="V27" s="129"/>
    </row>
    <row r="28" spans="1:22" ht="16">
      <c r="A28" s="133" t="s">
        <v>323</v>
      </c>
      <c r="B28" s="154">
        <v>1</v>
      </c>
      <c r="C28" s="134" t="s">
        <v>7</v>
      </c>
      <c r="F28" s="129"/>
      <c r="G28" s="129"/>
      <c r="H28" s="129"/>
      <c r="I28" s="129"/>
      <c r="J28" s="129"/>
      <c r="K28" s="129"/>
      <c r="L28" s="129"/>
      <c r="M28" s="129"/>
      <c r="N28" s="129"/>
      <c r="O28" s="129"/>
      <c r="P28" s="129"/>
      <c r="Q28" s="129"/>
      <c r="R28" s="129"/>
      <c r="S28" s="130"/>
      <c r="T28" s="129"/>
      <c r="U28" s="129"/>
      <c r="V28" s="129"/>
    </row>
    <row r="29" spans="1:22">
      <c r="A29" s="133" t="s">
        <v>158</v>
      </c>
      <c r="B29" s="128">
        <f>VCS_Max/Rcs</f>
        <v>50</v>
      </c>
      <c r="C29" s="134" t="s">
        <v>4</v>
      </c>
      <c r="F29" s="129"/>
      <c r="G29" s="129"/>
      <c r="H29" s="129"/>
      <c r="I29" s="129"/>
      <c r="J29" s="129"/>
      <c r="K29" s="129"/>
      <c r="L29" s="129"/>
      <c r="M29" s="129"/>
      <c r="N29" s="129"/>
      <c r="O29" s="129"/>
      <c r="P29" s="129"/>
      <c r="Q29" s="129"/>
      <c r="R29" s="129"/>
      <c r="S29" s="130"/>
      <c r="T29" s="129"/>
      <c r="U29" s="129"/>
      <c r="V29" s="129"/>
    </row>
    <row r="30" spans="1:22" ht="15" thickBot="1">
      <c r="A30" s="135" t="s">
        <v>322</v>
      </c>
      <c r="B30" s="138">
        <f>Calculations!B31</f>
        <v>100</v>
      </c>
      <c r="C30" s="136" t="s">
        <v>4</v>
      </c>
      <c r="F30" s="129"/>
      <c r="G30" s="129"/>
      <c r="H30" s="129"/>
      <c r="I30" s="129"/>
      <c r="J30" s="129"/>
      <c r="K30" s="129"/>
      <c r="L30" s="129"/>
      <c r="M30" s="129"/>
      <c r="N30" s="129"/>
      <c r="O30" s="129"/>
      <c r="P30" s="129"/>
      <c r="Q30" s="129"/>
      <c r="R30" s="129"/>
      <c r="S30" s="130"/>
      <c r="T30" s="129"/>
      <c r="U30" s="129"/>
      <c r="V30" s="129"/>
    </row>
    <row r="31" spans="1:22" ht="17">
      <c r="A31" s="181"/>
      <c r="B31" s="181"/>
      <c r="C31" s="181"/>
      <c r="F31" s="129"/>
      <c r="G31" s="129"/>
      <c r="H31" s="129"/>
      <c r="I31" s="129"/>
      <c r="J31" s="129"/>
      <c r="K31" s="129"/>
      <c r="L31" s="129"/>
      <c r="M31" s="129"/>
      <c r="N31" s="129"/>
      <c r="O31" s="129"/>
      <c r="P31" s="129"/>
      <c r="Q31" s="129"/>
      <c r="R31" s="129"/>
      <c r="S31" s="130"/>
      <c r="T31" s="129"/>
      <c r="U31" s="129"/>
      <c r="V31" s="129"/>
    </row>
    <row r="32" spans="1:22" ht="17">
      <c r="A32" s="173" t="s">
        <v>283</v>
      </c>
      <c r="B32" s="173"/>
      <c r="C32" s="173"/>
      <c r="F32" s="129"/>
      <c r="G32" s="129"/>
      <c r="H32" s="129"/>
      <c r="I32" s="129"/>
      <c r="J32" s="129"/>
      <c r="K32" s="129"/>
      <c r="L32" s="129"/>
      <c r="M32" s="129"/>
      <c r="N32" s="129"/>
      <c r="O32" s="129"/>
      <c r="P32" s="129"/>
      <c r="Q32" s="129"/>
      <c r="R32" s="129"/>
      <c r="S32" s="130"/>
      <c r="T32" s="129"/>
      <c r="U32" s="129"/>
      <c r="V32" s="129"/>
    </row>
    <row r="33" spans="1:22" ht="9" customHeight="1" thickBot="1">
      <c r="A33" s="140"/>
      <c r="B33" s="140"/>
      <c r="C33" s="140"/>
      <c r="F33" s="129"/>
      <c r="G33" s="129"/>
      <c r="H33" s="129"/>
      <c r="I33" s="129"/>
      <c r="J33" s="129"/>
      <c r="K33" s="129"/>
      <c r="L33" s="129"/>
      <c r="M33" s="129"/>
      <c r="N33" s="129"/>
      <c r="O33" s="129"/>
      <c r="P33" s="129"/>
      <c r="Q33" s="129"/>
      <c r="R33" s="129"/>
      <c r="S33" s="130"/>
      <c r="T33" s="129"/>
      <c r="U33" s="129"/>
      <c r="V33" s="129"/>
    </row>
    <row r="34" spans="1:22" ht="15" thickBot="1">
      <c r="A34" s="174" t="s">
        <v>9</v>
      </c>
      <c r="B34" s="175"/>
      <c r="C34" s="176"/>
      <c r="F34" s="129"/>
      <c r="G34" s="129"/>
      <c r="H34" s="129"/>
      <c r="I34" s="129"/>
      <c r="J34" s="129"/>
      <c r="K34" s="129"/>
      <c r="L34" s="129"/>
      <c r="M34" s="129"/>
      <c r="N34" s="129"/>
      <c r="O34" s="129"/>
      <c r="P34" s="129"/>
      <c r="Q34" s="129"/>
      <c r="R34" s="129"/>
      <c r="S34" s="130"/>
      <c r="T34" s="129"/>
      <c r="U34" s="129"/>
      <c r="V34" s="129"/>
    </row>
    <row r="35" spans="1:22">
      <c r="A35" s="133" t="s">
        <v>471</v>
      </c>
      <c r="B35" s="156">
        <v>80</v>
      </c>
      <c r="C35" s="141" t="s">
        <v>26</v>
      </c>
      <c r="F35" s="129"/>
      <c r="G35" s="129"/>
      <c r="H35" s="129"/>
      <c r="I35" s="129"/>
      <c r="J35" s="129"/>
      <c r="K35" s="129"/>
      <c r="L35" s="129"/>
      <c r="M35" s="129"/>
      <c r="N35" s="129"/>
      <c r="O35" s="129"/>
      <c r="P35" s="129"/>
      <c r="Q35" s="129"/>
      <c r="R35" s="129"/>
      <c r="S35" s="130"/>
      <c r="T35" s="129"/>
      <c r="U35" s="129"/>
      <c r="V35" s="129"/>
    </row>
    <row r="36" spans="1:22">
      <c r="A36" s="133" t="s">
        <v>472</v>
      </c>
      <c r="B36" s="139">
        <f>Calculations!B37</f>
        <v>1.984126984126984</v>
      </c>
      <c r="C36" s="134" t="s">
        <v>6</v>
      </c>
      <c r="F36" s="129"/>
      <c r="G36" s="129"/>
      <c r="H36" s="129"/>
      <c r="I36" s="129"/>
      <c r="J36" s="129"/>
      <c r="K36" s="129"/>
      <c r="L36" s="129"/>
      <c r="M36" s="129"/>
      <c r="N36" s="129"/>
      <c r="O36" s="129"/>
      <c r="P36" s="129"/>
      <c r="Q36" s="129"/>
      <c r="R36" s="129"/>
      <c r="S36" s="130"/>
      <c r="T36" s="129"/>
      <c r="U36" s="129"/>
      <c r="V36" s="129"/>
    </row>
    <row r="37" spans="1:22" ht="16">
      <c r="A37" s="133" t="s">
        <v>473</v>
      </c>
      <c r="B37" s="154">
        <v>4.7</v>
      </c>
      <c r="C37" s="134" t="s">
        <v>6</v>
      </c>
      <c r="E37" s="142"/>
      <c r="F37" s="129"/>
      <c r="G37" s="129"/>
      <c r="H37" s="129"/>
      <c r="I37" s="129"/>
      <c r="J37" s="129"/>
      <c r="K37" s="129"/>
      <c r="L37" s="129"/>
      <c r="M37" s="129"/>
      <c r="N37" s="129"/>
      <c r="O37" s="129"/>
      <c r="P37" s="129"/>
      <c r="Q37" s="129"/>
      <c r="R37" s="129"/>
      <c r="S37" s="130"/>
      <c r="T37" s="129"/>
      <c r="U37" s="129"/>
      <c r="V37" s="129"/>
    </row>
    <row r="38" spans="1:22" ht="15">
      <c r="A38" s="133" t="s">
        <v>29</v>
      </c>
      <c r="B38" s="154">
        <v>1.31</v>
      </c>
      <c r="C38" s="134" t="s">
        <v>7</v>
      </c>
      <c r="F38" s="129"/>
      <c r="G38" s="129"/>
      <c r="H38" s="129"/>
      <c r="I38" s="129"/>
      <c r="J38" s="129"/>
      <c r="K38" s="129"/>
      <c r="L38" s="129"/>
      <c r="M38" s="129"/>
      <c r="N38" s="129"/>
      <c r="O38" s="129"/>
      <c r="P38" s="129"/>
      <c r="Q38" s="129"/>
      <c r="R38" s="129"/>
      <c r="S38" s="130"/>
      <c r="T38" s="129"/>
      <c r="U38" s="129"/>
      <c r="V38" s="129"/>
    </row>
    <row r="39" spans="1:22" ht="15" thickBot="1">
      <c r="A39" s="135" t="s">
        <v>474</v>
      </c>
      <c r="B39" s="143">
        <f>I_Channel_Peak_No_Ilimit</f>
        <v>26.299392097264437</v>
      </c>
      <c r="C39" s="136" t="s">
        <v>4</v>
      </c>
      <c r="F39" s="129"/>
      <c r="G39" s="129"/>
      <c r="H39" s="129"/>
      <c r="I39" s="129"/>
      <c r="J39" s="129"/>
      <c r="K39" s="129"/>
      <c r="L39" s="129"/>
      <c r="M39" s="129"/>
      <c r="N39" s="129"/>
      <c r="O39" s="129"/>
      <c r="P39" s="129"/>
      <c r="Q39" s="129"/>
      <c r="R39" s="129"/>
      <c r="S39" s="130"/>
      <c r="T39" s="129"/>
      <c r="U39" s="129"/>
      <c r="V39" s="129"/>
    </row>
    <row r="40" spans="1:22">
      <c r="A40" s="133"/>
      <c r="B40" s="144"/>
      <c r="F40" s="129"/>
      <c r="G40" s="129"/>
      <c r="H40" s="129"/>
      <c r="I40" s="129"/>
      <c r="J40" s="129"/>
      <c r="K40" s="129"/>
      <c r="L40" s="129"/>
      <c r="M40" s="129"/>
      <c r="N40" s="129"/>
      <c r="O40" s="129"/>
      <c r="P40" s="129"/>
      <c r="Q40" s="129"/>
      <c r="R40" s="129"/>
      <c r="S40" s="130"/>
      <c r="T40" s="129"/>
      <c r="U40" s="129"/>
      <c r="V40" s="129"/>
    </row>
    <row r="41" spans="1:22" ht="17">
      <c r="A41" s="173" t="s">
        <v>286</v>
      </c>
      <c r="B41" s="173"/>
      <c r="C41" s="173"/>
      <c r="F41" s="129"/>
      <c r="G41" s="129"/>
      <c r="H41" s="129"/>
      <c r="I41" s="129"/>
      <c r="J41" s="129"/>
      <c r="K41" s="129"/>
      <c r="L41" s="129"/>
      <c r="M41" s="129"/>
      <c r="N41" s="129"/>
      <c r="O41" s="129"/>
      <c r="P41" s="129"/>
      <c r="Q41" s="129"/>
      <c r="R41" s="129"/>
      <c r="S41" s="130"/>
      <c r="T41" s="129"/>
      <c r="U41" s="129"/>
      <c r="V41" s="129"/>
    </row>
    <row r="42" spans="1:22" ht="7.5" customHeight="1" thickBot="1">
      <c r="A42" s="133"/>
      <c r="B42" s="144"/>
      <c r="F42" s="129"/>
      <c r="G42" s="129"/>
      <c r="H42" s="129"/>
      <c r="I42" s="129"/>
      <c r="J42" s="129"/>
      <c r="K42" s="129"/>
      <c r="L42" s="129"/>
      <c r="M42" s="129"/>
      <c r="N42" s="129"/>
      <c r="O42" s="129"/>
      <c r="P42" s="129"/>
      <c r="Q42" s="129"/>
      <c r="R42" s="129"/>
      <c r="S42" s="130"/>
      <c r="T42" s="129"/>
      <c r="U42" s="129"/>
      <c r="V42" s="129"/>
    </row>
    <row r="43" spans="1:22" ht="15" thickBot="1">
      <c r="A43" s="174" t="s">
        <v>287</v>
      </c>
      <c r="B43" s="175"/>
      <c r="C43" s="176"/>
      <c r="F43" s="129"/>
      <c r="G43" s="129"/>
      <c r="H43" s="129"/>
      <c r="I43" s="129"/>
      <c r="J43" s="129"/>
      <c r="K43" s="129"/>
      <c r="L43" s="129"/>
      <c r="M43" s="129"/>
      <c r="N43" s="129"/>
      <c r="O43" s="129"/>
      <c r="P43" s="129"/>
      <c r="Q43" s="129"/>
      <c r="R43" s="129"/>
      <c r="S43" s="130"/>
      <c r="T43" s="129"/>
      <c r="U43" s="129"/>
      <c r="V43" s="129"/>
    </row>
    <row r="44" spans="1:22">
      <c r="A44" s="133" t="s">
        <v>340</v>
      </c>
      <c r="B44" s="156">
        <v>10</v>
      </c>
      <c r="C44" s="141" t="s">
        <v>26</v>
      </c>
      <c r="F44" s="129"/>
      <c r="G44" s="129"/>
      <c r="H44" s="129"/>
      <c r="I44" s="129"/>
      <c r="J44" s="129"/>
      <c r="K44" s="129"/>
      <c r="L44" s="129"/>
      <c r="M44" s="129"/>
      <c r="N44" s="129"/>
      <c r="O44" s="129"/>
      <c r="P44" s="129"/>
      <c r="Q44" s="129"/>
      <c r="R44" s="129"/>
      <c r="S44" s="130"/>
      <c r="T44" s="129"/>
      <c r="U44" s="129"/>
      <c r="V44" s="129"/>
    </row>
    <row r="45" spans="1:22">
      <c r="A45" s="133" t="s">
        <v>344</v>
      </c>
      <c r="B45" s="144">
        <f>I_Channel_Peak_Select</f>
        <v>28.929331306990882</v>
      </c>
      <c r="C45" s="134" t="s">
        <v>4</v>
      </c>
      <c r="F45" s="129"/>
      <c r="G45" s="129"/>
      <c r="H45" s="129"/>
      <c r="I45" s="129"/>
      <c r="J45" s="129"/>
      <c r="K45" s="129"/>
      <c r="L45" s="129"/>
      <c r="M45" s="129"/>
      <c r="N45" s="129"/>
      <c r="O45" s="129"/>
      <c r="P45" s="129"/>
      <c r="Q45" s="129"/>
      <c r="R45" s="129"/>
      <c r="S45" s="130"/>
      <c r="T45" s="129"/>
      <c r="U45" s="129"/>
      <c r="V45" s="129"/>
    </row>
    <row r="46" spans="1:22" ht="16">
      <c r="A46" s="133" t="s">
        <v>341</v>
      </c>
      <c r="B46" s="144">
        <f>Calculations!B68</f>
        <v>26.299392097264437</v>
      </c>
      <c r="C46" s="134" t="s">
        <v>16</v>
      </c>
      <c r="F46" s="129"/>
      <c r="G46" s="129"/>
      <c r="H46" s="129"/>
      <c r="I46" s="129"/>
      <c r="J46" s="129"/>
      <c r="K46" s="129"/>
      <c r="L46" s="129"/>
      <c r="M46" s="129"/>
      <c r="N46" s="129"/>
      <c r="O46" s="129"/>
      <c r="P46" s="129"/>
      <c r="Q46" s="129"/>
      <c r="R46" s="129"/>
      <c r="S46" s="130"/>
      <c r="T46" s="129"/>
      <c r="U46" s="129"/>
      <c r="V46" s="129"/>
    </row>
    <row r="47" spans="1:22" ht="16">
      <c r="A47" s="133" t="s">
        <v>342</v>
      </c>
      <c r="B47" s="157">
        <v>40.200000000000003</v>
      </c>
      <c r="C47" s="134" t="s">
        <v>16</v>
      </c>
      <c r="F47" s="129"/>
      <c r="G47" s="129"/>
      <c r="H47" s="129"/>
      <c r="I47" s="129"/>
      <c r="J47" s="129"/>
      <c r="K47" s="129"/>
      <c r="L47" s="129"/>
      <c r="M47" s="129"/>
      <c r="N47" s="129"/>
      <c r="O47" s="129"/>
      <c r="P47" s="129"/>
      <c r="Q47" s="129"/>
      <c r="R47" s="129"/>
      <c r="S47" s="130"/>
      <c r="T47" s="129"/>
      <c r="U47" s="129"/>
      <c r="V47" s="129"/>
    </row>
    <row r="48" spans="1:22" ht="15" thickBot="1">
      <c r="A48" s="135" t="s">
        <v>343</v>
      </c>
      <c r="B48" s="143">
        <f>Calculations!B70</f>
        <v>44.22</v>
      </c>
      <c r="C48" s="136" t="s">
        <v>4</v>
      </c>
      <c r="F48" s="129"/>
      <c r="G48" s="129"/>
      <c r="H48" s="129"/>
      <c r="I48" s="129"/>
      <c r="J48" s="129"/>
      <c r="K48" s="129"/>
      <c r="L48" s="129"/>
      <c r="M48" s="129"/>
      <c r="N48" s="129"/>
      <c r="O48" s="129"/>
      <c r="P48" s="129"/>
      <c r="Q48" s="129"/>
      <c r="R48" s="129"/>
      <c r="S48" s="130"/>
      <c r="T48" s="129"/>
      <c r="U48" s="129"/>
      <c r="V48" s="129"/>
    </row>
    <row r="49" spans="1:22">
      <c r="B49" s="144"/>
      <c r="F49" s="129"/>
      <c r="G49" s="129"/>
      <c r="H49" s="129"/>
      <c r="I49" s="129"/>
      <c r="J49" s="129"/>
      <c r="K49" s="129"/>
      <c r="L49" s="129"/>
      <c r="M49" s="129"/>
      <c r="N49" s="129"/>
      <c r="O49" s="129"/>
      <c r="P49" s="129"/>
      <c r="Q49" s="129"/>
      <c r="R49" s="129"/>
      <c r="S49" s="130"/>
      <c r="T49" s="129"/>
      <c r="U49" s="129"/>
      <c r="V49" s="129"/>
    </row>
    <row r="50" spans="1:22" ht="17">
      <c r="A50" s="173" t="s">
        <v>289</v>
      </c>
      <c r="B50" s="173"/>
      <c r="C50" s="173"/>
      <c r="F50" s="129"/>
      <c r="G50" s="129"/>
      <c r="H50" s="129"/>
      <c r="I50" s="129"/>
      <c r="J50" s="129"/>
      <c r="K50" s="129"/>
      <c r="L50" s="129"/>
      <c r="M50" s="129"/>
      <c r="N50" s="129"/>
      <c r="O50" s="129"/>
      <c r="P50" s="129"/>
      <c r="Q50" s="129"/>
      <c r="R50" s="129"/>
      <c r="S50" s="130"/>
      <c r="T50" s="129"/>
      <c r="U50" s="129"/>
      <c r="V50" s="129"/>
    </row>
    <row r="51" spans="1:22" ht="6.75" customHeight="1" thickBot="1">
      <c r="B51" s="144"/>
      <c r="F51" s="129"/>
      <c r="G51" s="129"/>
      <c r="H51" s="129"/>
      <c r="I51" s="129"/>
      <c r="J51" s="129"/>
      <c r="K51" s="129"/>
      <c r="L51" s="129"/>
      <c r="M51" s="129"/>
      <c r="N51" s="129"/>
      <c r="O51" s="129"/>
      <c r="P51" s="129"/>
      <c r="Q51" s="129"/>
      <c r="R51" s="129"/>
      <c r="S51" s="130"/>
      <c r="T51" s="129"/>
      <c r="U51" s="129"/>
      <c r="V51" s="129"/>
    </row>
    <row r="52" spans="1:22" ht="15" thickBot="1">
      <c r="A52" s="174" t="s">
        <v>338</v>
      </c>
      <c r="B52" s="175"/>
      <c r="C52" s="176"/>
      <c r="F52" s="129"/>
      <c r="G52" s="129"/>
      <c r="H52" s="129"/>
      <c r="I52" s="129"/>
      <c r="J52" s="129"/>
      <c r="K52" s="129"/>
      <c r="L52" s="129"/>
      <c r="M52" s="129"/>
      <c r="N52" s="129"/>
      <c r="O52" s="129"/>
      <c r="P52" s="129"/>
      <c r="Q52" s="129"/>
      <c r="R52" s="129"/>
      <c r="S52" s="130"/>
      <c r="T52" s="129"/>
      <c r="U52" s="129"/>
      <c r="V52" s="129"/>
    </row>
    <row r="53" spans="1:22" ht="16">
      <c r="A53" s="133" t="s">
        <v>347</v>
      </c>
      <c r="B53" s="154">
        <v>800</v>
      </c>
      <c r="C53" s="145" t="s">
        <v>32</v>
      </c>
      <c r="F53" s="129"/>
      <c r="G53" s="129"/>
      <c r="H53" s="129"/>
      <c r="I53" s="129"/>
      <c r="J53" s="129"/>
      <c r="K53" s="129"/>
      <c r="L53" s="129"/>
      <c r="M53" s="129"/>
      <c r="N53" s="129"/>
      <c r="O53" s="129"/>
      <c r="P53" s="129"/>
      <c r="Q53" s="129"/>
      <c r="R53" s="129"/>
      <c r="S53" s="130"/>
      <c r="T53" s="129"/>
      <c r="U53" s="129"/>
      <c r="V53" s="129"/>
    </row>
    <row r="54" spans="1:22" ht="16" thickBot="1">
      <c r="A54" s="135" t="s">
        <v>345</v>
      </c>
      <c r="B54" s="155">
        <v>5</v>
      </c>
      <c r="C54" s="136" t="s">
        <v>7</v>
      </c>
      <c r="F54" s="129"/>
      <c r="G54" s="129"/>
      <c r="H54" s="129"/>
      <c r="I54" s="129"/>
      <c r="J54" s="129"/>
      <c r="K54" s="129"/>
      <c r="L54" s="129"/>
      <c r="M54" s="129"/>
      <c r="N54" s="129"/>
      <c r="O54" s="129"/>
      <c r="P54" s="129"/>
      <c r="Q54" s="129"/>
      <c r="R54" s="129"/>
      <c r="S54" s="130"/>
      <c r="T54" s="129"/>
      <c r="U54" s="129"/>
      <c r="V54" s="129"/>
    </row>
    <row r="55" spans="1:22" ht="15" thickBot="1">
      <c r="A55" s="174" t="s">
        <v>339</v>
      </c>
      <c r="B55" s="175"/>
      <c r="C55" s="176"/>
      <c r="F55" s="129"/>
      <c r="G55" s="129"/>
      <c r="H55" s="129"/>
      <c r="I55" s="129"/>
      <c r="J55" s="129"/>
      <c r="K55" s="129"/>
      <c r="L55" s="129"/>
      <c r="M55" s="129"/>
      <c r="N55" s="129"/>
      <c r="O55" s="129"/>
      <c r="P55" s="129"/>
      <c r="Q55" s="129"/>
      <c r="R55" s="129"/>
      <c r="S55" s="130"/>
      <c r="T55" s="129"/>
      <c r="U55" s="129"/>
      <c r="V55" s="129"/>
    </row>
    <row r="56" spans="1:22" ht="16">
      <c r="A56" s="133" t="s">
        <v>348</v>
      </c>
      <c r="B56" s="154">
        <v>600</v>
      </c>
      <c r="C56" s="145" t="s">
        <v>32</v>
      </c>
      <c r="F56" s="129"/>
      <c r="G56" s="129"/>
      <c r="H56" s="129"/>
      <c r="I56" s="129"/>
      <c r="J56" s="129"/>
      <c r="K56" s="129"/>
      <c r="L56" s="129"/>
      <c r="M56" s="129"/>
      <c r="N56" s="129"/>
      <c r="O56" s="129"/>
      <c r="P56" s="129"/>
      <c r="Q56" s="129"/>
      <c r="R56" s="129"/>
      <c r="S56" s="130"/>
      <c r="T56" s="129"/>
      <c r="U56" s="129"/>
      <c r="V56" s="129"/>
    </row>
    <row r="57" spans="1:22" ht="16" thickBot="1">
      <c r="A57" s="135" t="s">
        <v>346</v>
      </c>
      <c r="B57" s="155">
        <v>5</v>
      </c>
      <c r="C57" s="136" t="s">
        <v>7</v>
      </c>
      <c r="F57" s="129"/>
      <c r="G57" s="129"/>
      <c r="H57" s="129"/>
      <c r="I57" s="129"/>
      <c r="J57" s="129"/>
      <c r="K57" s="129"/>
      <c r="L57" s="129"/>
      <c r="M57" s="129"/>
      <c r="N57" s="129"/>
      <c r="O57" s="129"/>
      <c r="P57" s="129"/>
      <c r="Q57" s="129"/>
      <c r="R57" s="129"/>
      <c r="S57" s="130"/>
      <c r="T57" s="129"/>
      <c r="U57" s="129"/>
      <c r="V57" s="129"/>
    </row>
    <row r="58" spans="1:22">
      <c r="F58" s="129"/>
      <c r="G58" s="129"/>
      <c r="H58" s="129"/>
      <c r="I58" s="129"/>
      <c r="J58" s="129"/>
      <c r="K58" s="129"/>
      <c r="L58" s="129"/>
      <c r="M58" s="129"/>
      <c r="N58" s="129"/>
      <c r="O58" s="129"/>
      <c r="P58" s="129"/>
      <c r="Q58" s="129"/>
      <c r="R58" s="129"/>
      <c r="S58" s="130"/>
      <c r="T58" s="129"/>
      <c r="U58" s="129"/>
      <c r="V58" s="129"/>
    </row>
    <row r="59" spans="1:22" ht="17">
      <c r="A59" s="173" t="s">
        <v>295</v>
      </c>
      <c r="B59" s="173"/>
      <c r="C59" s="173"/>
      <c r="F59" s="129"/>
      <c r="G59" s="129"/>
      <c r="H59" s="129"/>
      <c r="I59" s="129"/>
      <c r="J59" s="129"/>
      <c r="K59" s="129"/>
      <c r="L59" s="129"/>
      <c r="M59" s="129"/>
      <c r="N59" s="129"/>
      <c r="O59" s="129"/>
      <c r="P59" s="129"/>
      <c r="Q59" s="129"/>
      <c r="R59" s="129"/>
      <c r="S59" s="130"/>
      <c r="T59" s="129"/>
      <c r="U59" s="129"/>
      <c r="V59" s="129"/>
    </row>
    <row r="60" spans="1:22" ht="6" customHeight="1" thickBot="1">
      <c r="F60" s="129"/>
      <c r="G60" s="129"/>
      <c r="H60" s="129"/>
      <c r="I60" s="129"/>
      <c r="J60" s="129"/>
      <c r="K60" s="129"/>
      <c r="L60" s="129"/>
      <c r="M60" s="129"/>
      <c r="N60" s="129"/>
      <c r="O60" s="129"/>
      <c r="P60" s="129"/>
      <c r="Q60" s="129"/>
      <c r="R60" s="129"/>
      <c r="S60" s="130"/>
      <c r="T60" s="129"/>
      <c r="U60" s="129"/>
      <c r="V60" s="129"/>
    </row>
    <row r="61" spans="1:22" ht="15" thickBot="1">
      <c r="A61" s="174" t="s">
        <v>296</v>
      </c>
      <c r="B61" s="175"/>
      <c r="C61" s="176"/>
      <c r="F61" s="129"/>
      <c r="G61" s="129"/>
      <c r="H61" s="129"/>
      <c r="I61" s="129"/>
      <c r="J61" s="129"/>
      <c r="K61" s="129"/>
      <c r="L61" s="129"/>
      <c r="M61" s="129"/>
      <c r="N61" s="129"/>
      <c r="O61" s="129"/>
      <c r="P61" s="187" t="s">
        <v>384</v>
      </c>
      <c r="Q61" s="188"/>
      <c r="R61" s="129"/>
      <c r="S61" s="130"/>
      <c r="T61" s="129"/>
      <c r="U61" s="129"/>
      <c r="V61" s="129"/>
    </row>
    <row r="62" spans="1:22" ht="16">
      <c r="A62" s="146" t="s">
        <v>349</v>
      </c>
      <c r="B62" s="158">
        <v>1</v>
      </c>
      <c r="C62" s="147" t="s">
        <v>40</v>
      </c>
      <c r="F62" s="129"/>
      <c r="G62" s="129"/>
      <c r="H62" s="129"/>
      <c r="I62" s="129"/>
      <c r="J62" s="129"/>
      <c r="K62" s="129"/>
      <c r="L62" s="129"/>
      <c r="M62" s="129"/>
      <c r="N62" s="129"/>
      <c r="O62" s="129"/>
      <c r="P62" s="129"/>
      <c r="Q62" s="129"/>
      <c r="R62" s="129"/>
      <c r="S62" s="130"/>
      <c r="T62" s="129"/>
      <c r="U62" s="129"/>
      <c r="V62" s="129"/>
    </row>
    <row r="63" spans="1:22" ht="16">
      <c r="A63" s="133" t="s">
        <v>350</v>
      </c>
      <c r="B63" s="144">
        <f>Calculations!B76</f>
        <v>23.999999999999996</v>
      </c>
      <c r="C63" s="134" t="s">
        <v>104</v>
      </c>
      <c r="F63" s="129"/>
      <c r="G63" s="129"/>
      <c r="H63" s="129"/>
      <c r="I63" s="129"/>
      <c r="J63" s="129"/>
      <c r="K63" s="129"/>
      <c r="L63" s="129"/>
      <c r="M63" s="129"/>
      <c r="N63" s="129"/>
      <c r="O63" s="129"/>
      <c r="P63" s="129"/>
      <c r="Q63" s="129"/>
      <c r="R63" s="129"/>
      <c r="S63" s="130"/>
      <c r="T63" s="129"/>
      <c r="U63" s="129"/>
      <c r="V63" s="129"/>
    </row>
    <row r="64" spans="1:22" ht="16">
      <c r="A64" s="133" t="s">
        <v>351</v>
      </c>
      <c r="B64" s="154">
        <v>96</v>
      </c>
      <c r="C64" s="134" t="s">
        <v>16</v>
      </c>
      <c r="F64" s="129"/>
      <c r="G64" s="129"/>
      <c r="H64" s="129"/>
      <c r="I64" s="129"/>
      <c r="J64" s="129"/>
      <c r="K64" s="129"/>
      <c r="L64" s="129"/>
      <c r="M64" s="129"/>
      <c r="N64" s="129"/>
      <c r="O64" s="129"/>
      <c r="P64" s="129"/>
      <c r="Q64" s="129"/>
      <c r="R64" s="129"/>
      <c r="S64" s="130"/>
      <c r="T64" s="129"/>
      <c r="U64" s="129"/>
      <c r="V64" s="129"/>
    </row>
    <row r="65" spans="1:22">
      <c r="A65" s="133" t="s">
        <v>475</v>
      </c>
      <c r="B65" s="144">
        <f>Calculations!B78</f>
        <v>1.0416666666666667</v>
      </c>
      <c r="C65" s="134" t="s">
        <v>1</v>
      </c>
      <c r="F65" s="129"/>
      <c r="G65" s="129"/>
      <c r="H65" s="129"/>
      <c r="I65" s="129"/>
      <c r="J65" s="129"/>
      <c r="K65" s="129"/>
      <c r="L65" s="129"/>
      <c r="M65" s="129"/>
      <c r="N65" s="129"/>
      <c r="O65" s="129"/>
      <c r="P65" s="129"/>
      <c r="Q65" s="129"/>
      <c r="R65" s="129"/>
      <c r="S65" s="130"/>
      <c r="T65" s="129"/>
      <c r="U65" s="129"/>
      <c r="V65" s="129"/>
    </row>
    <row r="66" spans="1:22">
      <c r="A66" s="133" t="s">
        <v>476</v>
      </c>
      <c r="B66" s="144">
        <f>Calculations!B79</f>
        <v>1.3020833333333335</v>
      </c>
      <c r="C66" s="134" t="s">
        <v>1</v>
      </c>
      <c r="F66" s="129"/>
      <c r="G66" s="129"/>
      <c r="H66" s="129"/>
      <c r="I66" s="129"/>
      <c r="J66" s="129"/>
      <c r="K66" s="129"/>
      <c r="L66" s="129"/>
      <c r="M66" s="129"/>
      <c r="N66" s="129"/>
      <c r="O66" s="129"/>
      <c r="P66" s="129"/>
      <c r="Q66" s="129"/>
      <c r="R66" s="129"/>
      <c r="S66" s="130"/>
      <c r="T66" s="129"/>
      <c r="U66" s="129"/>
      <c r="V66" s="129"/>
    </row>
    <row r="67" spans="1:22" ht="15" thickBot="1">
      <c r="A67" s="135" t="s">
        <v>477</v>
      </c>
      <c r="B67" s="143">
        <f>Calculations!B80</f>
        <v>1.8229166666666667</v>
      </c>
      <c r="C67" s="136" t="s">
        <v>1</v>
      </c>
      <c r="F67" s="129"/>
      <c r="G67" s="129"/>
      <c r="H67" s="129"/>
      <c r="I67" s="129"/>
      <c r="J67" s="129"/>
      <c r="K67" s="129"/>
      <c r="L67" s="129"/>
      <c r="M67" s="129"/>
      <c r="N67" s="129"/>
      <c r="O67" s="129"/>
      <c r="P67" s="129"/>
      <c r="Q67" s="129"/>
      <c r="R67" s="129"/>
      <c r="S67" s="130"/>
      <c r="T67" s="129"/>
      <c r="U67" s="129"/>
      <c r="V67" s="129"/>
    </row>
    <row r="68" spans="1:22">
      <c r="F68" s="129"/>
      <c r="G68" s="129"/>
      <c r="H68" s="129"/>
      <c r="I68" s="129"/>
      <c r="J68" s="129"/>
      <c r="K68" s="129"/>
      <c r="L68" s="129"/>
      <c r="M68" s="129"/>
      <c r="N68" s="129"/>
      <c r="O68" s="129"/>
      <c r="P68" s="129"/>
      <c r="Q68" s="129"/>
      <c r="R68" s="129"/>
      <c r="S68" s="130"/>
      <c r="T68" s="129"/>
      <c r="U68" s="129"/>
      <c r="V68" s="129"/>
    </row>
    <row r="69" spans="1:22" ht="17">
      <c r="A69" s="173" t="s">
        <v>297</v>
      </c>
      <c r="B69" s="173"/>
      <c r="C69" s="173"/>
      <c r="F69" s="129"/>
      <c r="G69" s="129"/>
      <c r="H69" s="129"/>
      <c r="I69" s="129"/>
      <c r="J69" s="129"/>
      <c r="K69" s="129"/>
      <c r="L69" s="129"/>
      <c r="M69" s="129"/>
      <c r="N69" s="129"/>
      <c r="O69" s="129"/>
      <c r="P69" s="129"/>
      <c r="Q69" s="129"/>
      <c r="R69" s="129"/>
      <c r="S69" s="130"/>
      <c r="T69" s="129"/>
      <c r="U69" s="129"/>
      <c r="V69" s="129"/>
    </row>
    <row r="70" spans="1:22" ht="6" customHeight="1" thickBot="1">
      <c r="F70" s="129"/>
      <c r="G70" s="129"/>
      <c r="H70" s="129"/>
      <c r="I70" s="129"/>
      <c r="J70" s="129"/>
      <c r="K70" s="129"/>
      <c r="L70" s="129"/>
      <c r="M70" s="129"/>
      <c r="N70" s="129"/>
      <c r="O70" s="129"/>
      <c r="P70" s="129"/>
      <c r="Q70" s="129"/>
      <c r="R70" s="129"/>
      <c r="S70" s="130"/>
      <c r="T70" s="129"/>
      <c r="U70" s="129"/>
      <c r="V70" s="129"/>
    </row>
    <row r="71" spans="1:22" ht="15" thickBot="1">
      <c r="A71" s="174" t="s">
        <v>112</v>
      </c>
      <c r="B71" s="175"/>
      <c r="C71" s="176"/>
      <c r="F71" s="129"/>
      <c r="G71" s="129"/>
      <c r="H71" s="129"/>
      <c r="I71" s="129"/>
      <c r="J71" s="129"/>
      <c r="K71" s="129"/>
      <c r="L71" s="129"/>
      <c r="M71" s="129"/>
      <c r="N71" s="129"/>
      <c r="O71" s="129"/>
      <c r="P71" s="129"/>
      <c r="Q71" s="129"/>
      <c r="R71" s="129"/>
      <c r="S71" s="130"/>
      <c r="T71" s="129"/>
      <c r="U71" s="129"/>
      <c r="V71" s="129"/>
    </row>
    <row r="72" spans="1:22" ht="15" thickBot="1">
      <c r="A72" s="133" t="s">
        <v>352</v>
      </c>
      <c r="B72" s="154">
        <v>2</v>
      </c>
      <c r="C72" s="134" t="s">
        <v>114</v>
      </c>
      <c r="F72" s="129"/>
      <c r="G72" s="129"/>
      <c r="H72" s="129"/>
      <c r="I72" s="129"/>
      <c r="J72" s="129"/>
      <c r="K72" s="129"/>
      <c r="L72" s="129"/>
      <c r="M72" s="129"/>
      <c r="N72" s="129"/>
      <c r="O72" s="129"/>
      <c r="P72" s="129"/>
      <c r="Q72" s="129"/>
      <c r="R72" s="129"/>
      <c r="S72" s="130"/>
      <c r="T72" s="129"/>
      <c r="U72" s="129"/>
      <c r="V72" s="129"/>
    </row>
    <row r="73" spans="1:22" ht="17" thickBot="1">
      <c r="A73" s="133" t="s">
        <v>353</v>
      </c>
      <c r="B73" s="128">
        <f>Calculations!B84</f>
        <v>0.01</v>
      </c>
      <c r="C73" s="134" t="s">
        <v>32</v>
      </c>
      <c r="P73" s="187" t="s">
        <v>384</v>
      </c>
      <c r="Q73" s="188"/>
    </row>
    <row r="74" spans="1:22" ht="16">
      <c r="A74" s="133" t="s">
        <v>354</v>
      </c>
      <c r="B74" s="154">
        <v>0.01</v>
      </c>
      <c r="C74" s="134" t="s">
        <v>32</v>
      </c>
    </row>
    <row r="75" spans="1:22" ht="15" thickBot="1">
      <c r="A75" s="135" t="s">
        <v>182</v>
      </c>
      <c r="B75" s="138">
        <f>Calculations!B86</f>
        <v>2</v>
      </c>
      <c r="C75" s="136" t="s">
        <v>114</v>
      </c>
    </row>
    <row r="77" spans="1:22" ht="17">
      <c r="A77" s="173" t="s">
        <v>300</v>
      </c>
      <c r="B77" s="173"/>
      <c r="C77" s="173"/>
    </row>
    <row r="78" spans="1:22" ht="7.5" customHeight="1" thickBot="1"/>
    <row r="79" spans="1:22" ht="15" thickBot="1">
      <c r="A79" s="174" t="s">
        <v>298</v>
      </c>
      <c r="B79" s="175"/>
      <c r="C79" s="176"/>
    </row>
    <row r="80" spans="1:22">
      <c r="A80" s="133" t="s">
        <v>337</v>
      </c>
      <c r="B80" s="154">
        <v>70</v>
      </c>
      <c r="C80" s="134" t="s">
        <v>1</v>
      </c>
    </row>
    <row r="81" spans="1:19" ht="16">
      <c r="A81" s="133" t="s">
        <v>355</v>
      </c>
      <c r="B81" s="144">
        <f>Calculations!B90</f>
        <v>50.660248492334517</v>
      </c>
      <c r="C81" s="134" t="s">
        <v>104</v>
      </c>
    </row>
    <row r="82" spans="1:19" ht="16">
      <c r="A82" s="133" t="s">
        <v>356</v>
      </c>
      <c r="B82" s="154">
        <v>51.1</v>
      </c>
      <c r="C82" s="134" t="s">
        <v>104</v>
      </c>
    </row>
    <row r="83" spans="1:19" ht="15" thickBot="1">
      <c r="A83" s="135" t="s">
        <v>336</v>
      </c>
      <c r="B83" s="143">
        <f>Calculations!B92</f>
        <v>69.396420345489446</v>
      </c>
      <c r="C83" s="136" t="s">
        <v>1</v>
      </c>
    </row>
    <row r="84" spans="1:19" ht="15" thickBot="1">
      <c r="A84" s="174" t="s">
        <v>299</v>
      </c>
      <c r="B84" s="175"/>
      <c r="C84" s="176"/>
    </row>
    <row r="85" spans="1:19">
      <c r="A85" s="133" t="s">
        <v>335</v>
      </c>
      <c r="B85" s="154">
        <v>23</v>
      </c>
      <c r="C85" s="134" t="s">
        <v>1</v>
      </c>
    </row>
    <row r="86" spans="1:19" ht="16">
      <c r="A86" s="133" t="s">
        <v>357</v>
      </c>
      <c r="B86" s="144">
        <f>Calculations!B94</f>
        <v>53.320421728168689</v>
      </c>
      <c r="C86" s="134" t="s">
        <v>104</v>
      </c>
    </row>
    <row r="87" spans="1:19" ht="16">
      <c r="A87" s="133" t="s">
        <v>358</v>
      </c>
      <c r="B87" s="154">
        <v>54.9</v>
      </c>
      <c r="C87" s="134" t="s">
        <v>104</v>
      </c>
    </row>
    <row r="88" spans="1:19" ht="15" thickBot="1">
      <c r="A88" s="135" t="s">
        <v>334</v>
      </c>
      <c r="B88" s="143">
        <f>Calculations!B96</f>
        <v>22.769699453551912</v>
      </c>
      <c r="C88" s="136" t="s">
        <v>1</v>
      </c>
    </row>
    <row r="90" spans="1:19" ht="17">
      <c r="A90" s="173" t="s">
        <v>463</v>
      </c>
      <c r="B90" s="173"/>
      <c r="C90" s="173"/>
    </row>
    <row r="91" spans="1:19" ht="6" customHeight="1" thickBot="1">
      <c r="E91" s="129"/>
      <c r="F91" s="129"/>
      <c r="G91" s="129"/>
      <c r="H91" s="129"/>
      <c r="I91" s="129"/>
      <c r="J91" s="129"/>
      <c r="K91" s="129"/>
      <c r="L91" s="129"/>
      <c r="M91" s="129"/>
      <c r="N91" s="129"/>
      <c r="O91" s="129"/>
      <c r="P91" s="129"/>
      <c r="Q91" s="129"/>
      <c r="R91" s="129"/>
      <c r="S91" s="130"/>
    </row>
    <row r="92" spans="1:19" ht="15" thickBot="1">
      <c r="A92" s="174" t="s">
        <v>113</v>
      </c>
      <c r="B92" s="175"/>
      <c r="C92" s="176"/>
      <c r="E92" s="129"/>
      <c r="F92" s="129"/>
      <c r="G92" s="129"/>
      <c r="H92" s="129"/>
      <c r="I92" s="129"/>
      <c r="J92" s="129"/>
      <c r="K92" s="129"/>
      <c r="L92" s="129"/>
      <c r="M92" s="129"/>
      <c r="N92" s="129"/>
      <c r="O92" s="129"/>
      <c r="P92" s="129"/>
      <c r="Q92" s="129"/>
      <c r="R92" s="129"/>
      <c r="S92" s="130"/>
    </row>
    <row r="93" spans="1:19">
      <c r="A93" s="133" t="s">
        <v>117</v>
      </c>
      <c r="B93" s="182" t="s">
        <v>173</v>
      </c>
      <c r="C93" s="183"/>
      <c r="E93" s="129"/>
      <c r="F93" s="185" t="s">
        <v>309</v>
      </c>
      <c r="G93" s="185"/>
      <c r="H93" s="185"/>
      <c r="I93" s="129"/>
      <c r="J93" s="129"/>
      <c r="K93" s="185" t="s">
        <v>307</v>
      </c>
      <c r="L93" s="185"/>
      <c r="M93" s="185"/>
      <c r="N93" s="129"/>
      <c r="O93" s="129"/>
      <c r="P93" s="129"/>
      <c r="Q93" s="185" t="s">
        <v>308</v>
      </c>
      <c r="R93" s="185"/>
      <c r="S93" s="130"/>
    </row>
    <row r="94" spans="1:19">
      <c r="A94" s="133" t="s">
        <v>318</v>
      </c>
      <c r="B94" s="154">
        <v>24</v>
      </c>
      <c r="C94" s="134" t="s">
        <v>1</v>
      </c>
      <c r="E94" s="129"/>
      <c r="F94" s="129"/>
      <c r="G94" s="129"/>
      <c r="H94" s="129"/>
      <c r="I94" s="129"/>
      <c r="J94" s="129"/>
      <c r="K94" s="129"/>
      <c r="L94" s="129"/>
      <c r="M94" s="129"/>
      <c r="N94" s="129"/>
      <c r="O94" s="129"/>
      <c r="P94" s="129"/>
      <c r="Q94" s="129"/>
      <c r="R94" s="129"/>
      <c r="S94" s="130"/>
    </row>
    <row r="95" spans="1:19" ht="16">
      <c r="A95" s="133" t="s">
        <v>310</v>
      </c>
      <c r="B95" s="154">
        <v>10</v>
      </c>
      <c r="C95" s="134" t="s">
        <v>104</v>
      </c>
      <c r="E95" s="129"/>
      <c r="F95" s="129"/>
      <c r="G95" s="129"/>
      <c r="H95" s="129"/>
      <c r="I95" s="129"/>
      <c r="J95" s="129"/>
      <c r="K95" s="129"/>
      <c r="L95" s="129"/>
      <c r="M95" s="129"/>
      <c r="N95" s="129"/>
      <c r="O95" s="129"/>
      <c r="P95" s="129"/>
      <c r="Q95" s="129"/>
      <c r="R95" s="129"/>
      <c r="S95" s="130"/>
    </row>
    <row r="96" spans="1:19" ht="16">
      <c r="A96" s="133" t="s">
        <v>464</v>
      </c>
      <c r="B96" s="149">
        <f>Calculations!B102</f>
        <v>86</v>
      </c>
      <c r="C96" s="134" t="s">
        <v>104</v>
      </c>
      <c r="E96" s="129"/>
      <c r="F96" s="129"/>
      <c r="G96" s="129"/>
      <c r="H96" s="129"/>
      <c r="I96" s="129"/>
      <c r="J96" s="129"/>
      <c r="K96" s="129"/>
      <c r="L96" s="129"/>
      <c r="M96" s="129"/>
      <c r="N96" s="129"/>
      <c r="O96" s="129"/>
      <c r="P96" s="129"/>
      <c r="Q96" s="129"/>
      <c r="R96" s="129"/>
      <c r="S96" s="130"/>
    </row>
    <row r="97" spans="1:21" ht="16">
      <c r="A97" s="133" t="s">
        <v>311</v>
      </c>
      <c r="B97" s="154">
        <v>86.6</v>
      </c>
      <c r="C97" s="134" t="s">
        <v>104</v>
      </c>
      <c r="E97" s="129"/>
      <c r="F97" s="129"/>
      <c r="G97" s="129"/>
      <c r="H97" s="129"/>
      <c r="I97" s="129"/>
      <c r="J97" s="129"/>
      <c r="K97" s="129"/>
      <c r="L97" s="129"/>
      <c r="M97" s="129"/>
      <c r="N97" s="129"/>
      <c r="O97" s="129"/>
      <c r="P97" s="129"/>
      <c r="Q97" s="129"/>
      <c r="R97" s="129"/>
      <c r="S97" s="130"/>
    </row>
    <row r="98" spans="1:21">
      <c r="A98" s="133" t="s">
        <v>316</v>
      </c>
      <c r="B98" s="182" t="s">
        <v>222</v>
      </c>
      <c r="C98" s="183"/>
      <c r="E98" s="129"/>
      <c r="F98" s="129"/>
      <c r="G98" s="129"/>
      <c r="H98" s="129"/>
      <c r="I98" s="129"/>
      <c r="J98" s="129"/>
      <c r="K98" s="129"/>
      <c r="L98" s="129"/>
      <c r="M98" s="129"/>
      <c r="N98" s="129"/>
      <c r="O98" s="129"/>
      <c r="P98" s="129"/>
      <c r="Q98" s="129"/>
      <c r="R98" s="129"/>
      <c r="S98" s="130"/>
      <c r="T98" s="150"/>
      <c r="U98" s="150"/>
    </row>
    <row r="99" spans="1:21">
      <c r="A99" s="133" t="s">
        <v>241</v>
      </c>
      <c r="B99" s="154">
        <v>2.4</v>
      </c>
      <c r="C99" s="134" t="s">
        <v>1</v>
      </c>
      <c r="E99" s="129"/>
      <c r="F99" s="129"/>
      <c r="G99" s="129"/>
      <c r="H99" s="129"/>
      <c r="I99" s="129"/>
      <c r="J99" s="129"/>
      <c r="K99" s="129"/>
      <c r="L99" s="129"/>
      <c r="M99" s="129"/>
      <c r="N99" s="129"/>
      <c r="O99" s="129"/>
      <c r="P99" s="129"/>
      <c r="Q99" s="129"/>
      <c r="R99" s="129"/>
      <c r="S99" s="130"/>
    </row>
    <row r="100" spans="1:21" ht="16">
      <c r="A100" s="133" t="s">
        <v>313</v>
      </c>
      <c r="B100" s="139">
        <f>Calculations!B106</f>
        <v>0.97308488612836441</v>
      </c>
      <c r="C100" s="134" t="s">
        <v>104</v>
      </c>
      <c r="E100" s="129"/>
      <c r="F100" s="129"/>
      <c r="G100" s="129"/>
      <c r="H100" s="129"/>
      <c r="I100" s="129"/>
      <c r="J100" s="129"/>
      <c r="K100" s="129"/>
      <c r="L100" s="129"/>
      <c r="M100" s="129"/>
      <c r="N100" s="129"/>
      <c r="O100" s="129"/>
      <c r="P100" s="129"/>
      <c r="Q100" s="129"/>
      <c r="R100" s="129"/>
      <c r="S100" s="130"/>
    </row>
    <row r="101" spans="1:21" ht="16">
      <c r="A101" s="133" t="s">
        <v>314</v>
      </c>
      <c r="B101" s="154">
        <v>0.97299999999999998</v>
      </c>
      <c r="C101" s="134" t="s">
        <v>104</v>
      </c>
      <c r="E101" s="129"/>
      <c r="F101" s="129"/>
      <c r="G101" s="129"/>
      <c r="H101" s="129"/>
      <c r="I101" s="129"/>
      <c r="J101" s="129"/>
      <c r="K101" s="129"/>
      <c r="L101" s="129"/>
      <c r="M101" s="129"/>
      <c r="N101" s="129"/>
      <c r="O101" s="129"/>
      <c r="P101" s="129"/>
      <c r="Q101" s="129"/>
      <c r="R101" s="129"/>
      <c r="S101" s="130"/>
    </row>
    <row r="102" spans="1:21">
      <c r="A102" s="133" t="s">
        <v>315</v>
      </c>
      <c r="B102" s="144">
        <f>Calculations!B108</f>
        <v>2.165</v>
      </c>
      <c r="C102" s="134" t="s">
        <v>1</v>
      </c>
      <c r="E102" s="129"/>
      <c r="F102" s="129"/>
      <c r="G102" s="129"/>
      <c r="H102" s="129"/>
      <c r="I102" s="129"/>
      <c r="J102" s="129"/>
      <c r="K102" s="129"/>
      <c r="L102" s="129"/>
      <c r="M102" s="129"/>
      <c r="N102" s="129"/>
      <c r="O102" s="129"/>
      <c r="P102" s="129"/>
      <c r="Q102" s="129"/>
      <c r="R102" s="129"/>
      <c r="S102" s="130"/>
    </row>
    <row r="103" spans="1:21">
      <c r="A103" s="133" t="s">
        <v>317</v>
      </c>
      <c r="B103" s="149">
        <f>Calculations!B109</f>
        <v>24.15</v>
      </c>
      <c r="C103" s="134" t="s">
        <v>1</v>
      </c>
      <c r="E103" s="129"/>
      <c r="F103" s="129"/>
      <c r="G103" s="129"/>
      <c r="H103" s="129"/>
      <c r="I103" s="129"/>
      <c r="J103" s="129"/>
      <c r="K103" s="129"/>
      <c r="L103" s="151"/>
      <c r="M103" s="129"/>
      <c r="N103" s="129"/>
      <c r="O103" s="129"/>
      <c r="P103" s="129"/>
      <c r="Q103" s="129"/>
      <c r="R103" s="129"/>
      <c r="S103" s="130"/>
    </row>
    <row r="104" spans="1:21">
      <c r="A104" s="133" t="s">
        <v>319</v>
      </c>
      <c r="B104" s="149">
        <f>Calculations!B110</f>
        <v>21.984999999999999</v>
      </c>
      <c r="C104" s="134" t="s">
        <v>1</v>
      </c>
      <c r="E104" s="129"/>
      <c r="F104" s="129"/>
      <c r="G104" s="129"/>
      <c r="H104" s="129"/>
      <c r="I104" s="129"/>
      <c r="J104" s="129"/>
      <c r="K104" s="129"/>
      <c r="L104" s="151"/>
      <c r="M104" s="129"/>
      <c r="N104" s="129"/>
      <c r="O104" s="129"/>
      <c r="P104" s="129"/>
      <c r="Q104" s="129"/>
      <c r="R104" s="129"/>
      <c r="S104" s="130"/>
    </row>
    <row r="105" spans="1:21" ht="15" thickBot="1">
      <c r="A105" s="135" t="s">
        <v>178</v>
      </c>
      <c r="B105" s="152">
        <f>Calculations!B111</f>
        <v>12.074999999999999</v>
      </c>
      <c r="C105" s="136" t="s">
        <v>1</v>
      </c>
      <c r="E105" s="129"/>
      <c r="F105" s="129"/>
      <c r="G105" s="129"/>
      <c r="H105" s="129"/>
      <c r="I105" s="129"/>
      <c r="J105" s="129"/>
      <c r="K105" s="129"/>
      <c r="L105" s="151"/>
      <c r="M105" s="129"/>
      <c r="N105" s="129"/>
      <c r="O105" s="129"/>
      <c r="P105" s="129"/>
      <c r="Q105" s="129"/>
      <c r="R105" s="129"/>
      <c r="S105" s="130"/>
    </row>
    <row r="106" spans="1:21">
      <c r="E106" s="129"/>
      <c r="F106" s="151"/>
      <c r="G106" s="151"/>
      <c r="H106" s="151"/>
      <c r="I106" s="151"/>
      <c r="J106" s="151"/>
      <c r="K106" s="151"/>
      <c r="L106" s="151"/>
      <c r="M106" s="129"/>
      <c r="N106" s="129"/>
      <c r="O106" s="129"/>
      <c r="P106" s="129"/>
      <c r="Q106" s="129"/>
      <c r="R106" s="129"/>
      <c r="S106" s="130"/>
    </row>
    <row r="107" spans="1:21" ht="17">
      <c r="A107" s="173" t="s">
        <v>301</v>
      </c>
      <c r="B107" s="173"/>
      <c r="C107" s="173"/>
      <c r="E107" s="129"/>
      <c r="F107" s="151"/>
      <c r="G107" s="151"/>
      <c r="H107" s="151"/>
      <c r="I107" s="151"/>
      <c r="J107" s="151"/>
      <c r="K107" s="151"/>
      <c r="L107" s="151"/>
      <c r="M107" s="129"/>
      <c r="N107" s="129"/>
      <c r="O107" s="129"/>
      <c r="P107" s="129"/>
      <c r="Q107" s="129"/>
      <c r="R107" s="129"/>
      <c r="S107" s="130"/>
    </row>
    <row r="108" spans="1:21" ht="8.25" customHeight="1" thickBot="1">
      <c r="E108" s="129"/>
      <c r="F108" s="151"/>
      <c r="G108" s="151"/>
      <c r="H108" s="151"/>
      <c r="I108" s="151"/>
      <c r="J108" s="151"/>
      <c r="K108" s="151"/>
      <c r="L108" s="151"/>
      <c r="M108" s="129"/>
      <c r="N108" s="129"/>
      <c r="O108" s="129"/>
      <c r="P108" s="129"/>
      <c r="Q108" s="129"/>
      <c r="R108" s="129"/>
      <c r="S108" s="130"/>
    </row>
    <row r="109" spans="1:21" ht="15" thickBot="1">
      <c r="A109" s="174" t="s">
        <v>302</v>
      </c>
      <c r="B109" s="175"/>
      <c r="C109" s="176"/>
      <c r="E109" s="129"/>
      <c r="F109" s="129"/>
      <c r="G109" s="129"/>
      <c r="H109" s="129"/>
      <c r="I109" s="129"/>
      <c r="J109" s="129"/>
      <c r="K109" s="129"/>
      <c r="L109" s="129"/>
      <c r="M109" s="129"/>
      <c r="N109" s="129"/>
      <c r="O109" s="129"/>
      <c r="P109" s="129"/>
      <c r="Q109" s="129"/>
      <c r="R109" s="129"/>
      <c r="S109" s="130"/>
    </row>
    <row r="110" spans="1:21" ht="16">
      <c r="A110" s="133" t="s">
        <v>478</v>
      </c>
      <c r="B110" s="154">
        <v>3.3</v>
      </c>
      <c r="C110" s="134" t="s">
        <v>1</v>
      </c>
      <c r="E110" s="129"/>
      <c r="F110" s="129"/>
      <c r="G110" s="129"/>
      <c r="H110" s="129"/>
      <c r="I110" s="129"/>
      <c r="J110" s="129"/>
      <c r="K110" s="129"/>
      <c r="L110" s="129"/>
      <c r="M110" s="129"/>
      <c r="N110" s="129"/>
      <c r="O110" s="129"/>
      <c r="P110" s="129"/>
      <c r="Q110" s="129"/>
      <c r="R110" s="129"/>
      <c r="S110" s="130"/>
    </row>
    <row r="111" spans="1:21" ht="16">
      <c r="A111" s="133" t="s">
        <v>465</v>
      </c>
      <c r="B111" s="144">
        <f>Calculations!B116</f>
        <v>11.999999999999998</v>
      </c>
      <c r="C111" s="134" t="s">
        <v>104</v>
      </c>
      <c r="E111" s="129"/>
      <c r="F111" s="129"/>
      <c r="G111" s="129"/>
      <c r="H111" s="129"/>
      <c r="I111" s="129"/>
      <c r="J111" s="129"/>
      <c r="K111" s="129"/>
      <c r="L111" s="129"/>
      <c r="M111" s="129"/>
      <c r="N111" s="129"/>
      <c r="O111" s="129"/>
      <c r="P111" s="129"/>
      <c r="Q111" s="129"/>
      <c r="R111" s="129"/>
      <c r="S111" s="130"/>
    </row>
    <row r="112" spans="1:21" ht="16">
      <c r="A112" s="133" t="s">
        <v>364</v>
      </c>
      <c r="B112" s="154">
        <v>9.09</v>
      </c>
      <c r="C112" s="134" t="s">
        <v>104</v>
      </c>
      <c r="E112" s="129"/>
      <c r="F112" s="129"/>
      <c r="G112" s="129"/>
      <c r="H112" s="129"/>
      <c r="I112" s="129"/>
      <c r="J112" s="129"/>
      <c r="K112" s="129"/>
      <c r="L112" s="129"/>
      <c r="M112" s="129"/>
      <c r="N112" s="129"/>
      <c r="O112" s="129"/>
      <c r="P112" s="129"/>
      <c r="Q112" s="129"/>
      <c r="R112" s="129"/>
      <c r="S112" s="130"/>
    </row>
    <row r="113" spans="1:19" ht="16">
      <c r="A113" s="133" t="s">
        <v>480</v>
      </c>
      <c r="B113" s="139">
        <f>Calculations!B118</f>
        <v>2.4997500000000001</v>
      </c>
      <c r="C113" s="134" t="s">
        <v>1</v>
      </c>
      <c r="E113" s="129"/>
      <c r="F113" s="129"/>
      <c r="G113" s="129"/>
      <c r="H113" s="129"/>
      <c r="I113" s="129"/>
      <c r="J113" s="129"/>
      <c r="K113" s="129"/>
      <c r="L113" s="129"/>
      <c r="M113" s="129"/>
      <c r="N113" s="129"/>
      <c r="O113" s="129"/>
      <c r="P113" s="129"/>
      <c r="Q113" s="129"/>
      <c r="R113" s="129"/>
      <c r="S113" s="130"/>
    </row>
    <row r="114" spans="1:19" ht="16">
      <c r="A114" s="133" t="s">
        <v>479</v>
      </c>
      <c r="B114" s="139">
        <f>Calculations!B119</f>
        <v>0.22724999999999998</v>
      </c>
      <c r="C114" s="134" t="s">
        <v>1</v>
      </c>
      <c r="E114" s="129"/>
      <c r="F114" s="129"/>
      <c r="G114" s="129"/>
      <c r="H114" s="129"/>
      <c r="I114" s="129"/>
      <c r="J114" s="129"/>
      <c r="K114" s="129"/>
      <c r="L114" s="129"/>
      <c r="M114" s="129"/>
      <c r="N114" s="129"/>
      <c r="O114" s="129"/>
      <c r="P114" s="129"/>
      <c r="Q114" s="129"/>
      <c r="R114" s="129"/>
      <c r="S114" s="130"/>
    </row>
    <row r="115" spans="1:19" ht="16">
      <c r="A115" s="133" t="s">
        <v>365</v>
      </c>
      <c r="B115" s="144">
        <f>Calculations!B120</f>
        <v>11.001100110011</v>
      </c>
      <c r="C115" s="134" t="s">
        <v>40</v>
      </c>
      <c r="E115" s="129"/>
      <c r="F115" s="129"/>
      <c r="G115" s="129"/>
      <c r="H115" s="129"/>
      <c r="I115" s="129"/>
      <c r="J115" s="129"/>
      <c r="K115" s="129"/>
      <c r="L115" s="129"/>
      <c r="M115" s="129"/>
      <c r="N115" s="129"/>
      <c r="O115" s="129"/>
      <c r="P115" s="129"/>
      <c r="Q115" s="129"/>
      <c r="R115" s="129"/>
      <c r="S115" s="130"/>
    </row>
    <row r="116" spans="1:19" ht="16">
      <c r="A116" s="133" t="s">
        <v>366</v>
      </c>
      <c r="B116" s="154">
        <v>10</v>
      </c>
      <c r="C116" s="134" t="s">
        <v>40</v>
      </c>
      <c r="E116" s="129"/>
      <c r="F116" s="129"/>
      <c r="G116" s="129"/>
      <c r="H116" s="129"/>
      <c r="I116" s="129"/>
      <c r="J116" s="129"/>
      <c r="K116" s="129"/>
      <c r="L116" s="129"/>
      <c r="M116" s="129"/>
      <c r="N116" s="129"/>
      <c r="O116" s="129"/>
      <c r="P116" s="129"/>
      <c r="Q116" s="129"/>
      <c r="R116" s="129"/>
      <c r="S116" s="130"/>
    </row>
    <row r="117" spans="1:19" ht="16">
      <c r="A117" s="133" t="s">
        <v>481</v>
      </c>
      <c r="B117" s="149">
        <f>Calculations!B123</f>
        <v>1.5117300825597952</v>
      </c>
      <c r="C117" s="134" t="s">
        <v>72</v>
      </c>
      <c r="E117" s="129"/>
      <c r="F117" s="129"/>
      <c r="G117" s="129"/>
      <c r="H117" s="129"/>
      <c r="I117" s="129"/>
      <c r="J117" s="129"/>
      <c r="K117" s="129"/>
      <c r="L117" s="129"/>
      <c r="M117" s="129"/>
      <c r="N117" s="129"/>
      <c r="O117" s="129"/>
      <c r="P117" s="129"/>
      <c r="Q117" s="129"/>
      <c r="R117" s="129"/>
      <c r="S117" s="130"/>
    </row>
    <row r="118" spans="1:19" ht="17" thickBot="1">
      <c r="A118" s="135" t="s">
        <v>482</v>
      </c>
      <c r="B118" s="143">
        <f>Calculations!B122</f>
        <v>1.7508794619570447</v>
      </c>
      <c r="C118" s="136" t="s">
        <v>3</v>
      </c>
      <c r="E118" s="129"/>
      <c r="F118" s="129"/>
      <c r="G118" s="129"/>
      <c r="H118" s="129"/>
      <c r="I118" s="129"/>
      <c r="J118" s="129"/>
      <c r="K118" s="129"/>
      <c r="L118" s="129"/>
      <c r="M118" s="129"/>
      <c r="N118" s="129"/>
      <c r="O118" s="129"/>
      <c r="P118" s="129"/>
      <c r="Q118" s="129"/>
      <c r="R118" s="129"/>
      <c r="S118" s="130"/>
    </row>
    <row r="119" spans="1:19">
      <c r="E119" s="129"/>
      <c r="F119" s="129"/>
      <c r="G119" s="129"/>
      <c r="H119" s="129"/>
      <c r="I119" s="129"/>
      <c r="J119" s="129"/>
      <c r="K119" s="129"/>
      <c r="L119" s="129"/>
      <c r="M119" s="129"/>
      <c r="N119" s="129"/>
      <c r="O119" s="129"/>
      <c r="P119" s="129"/>
      <c r="Q119" s="129"/>
      <c r="R119" s="129"/>
      <c r="S119" s="130"/>
    </row>
    <row r="120" spans="1:19" ht="17">
      <c r="A120" s="173" t="s">
        <v>304</v>
      </c>
      <c r="B120" s="173"/>
      <c r="C120" s="173"/>
      <c r="E120" s="129"/>
      <c r="F120" s="129"/>
      <c r="G120" s="129"/>
      <c r="H120" s="129"/>
      <c r="I120" s="129"/>
      <c r="J120" s="129"/>
      <c r="K120" s="129"/>
      <c r="L120" s="129"/>
      <c r="M120" s="129"/>
      <c r="N120" s="129"/>
      <c r="O120" s="129"/>
      <c r="P120" s="129"/>
      <c r="Q120" s="129"/>
      <c r="R120" s="129"/>
      <c r="S120" s="130"/>
    </row>
    <row r="121" spans="1:19" ht="6.75" customHeight="1" thickBot="1">
      <c r="E121" s="129"/>
      <c r="F121" s="129"/>
      <c r="G121" s="129"/>
      <c r="H121" s="129"/>
      <c r="I121" s="129"/>
      <c r="J121" s="129"/>
      <c r="K121" s="129"/>
      <c r="L121" s="129"/>
      <c r="M121" s="129"/>
      <c r="N121" s="129"/>
      <c r="O121" s="129"/>
      <c r="P121" s="129"/>
      <c r="Q121" s="129"/>
      <c r="R121" s="129"/>
      <c r="S121" s="130"/>
    </row>
    <row r="122" spans="1:19" ht="15" thickBot="1">
      <c r="A122" s="174" t="s">
        <v>303</v>
      </c>
      <c r="B122" s="175"/>
      <c r="C122" s="176"/>
      <c r="E122" s="186" t="s">
        <v>361</v>
      </c>
      <c r="F122" s="186"/>
      <c r="G122" s="186"/>
      <c r="I122" s="186" t="s">
        <v>362</v>
      </c>
      <c r="J122" s="186"/>
      <c r="K122" s="186"/>
    </row>
    <row r="123" spans="1:19">
      <c r="A123" s="133" t="s">
        <v>224</v>
      </c>
      <c r="B123" s="182" t="s">
        <v>226</v>
      </c>
      <c r="C123" s="183"/>
    </row>
    <row r="124" spans="1:19">
      <c r="A124" s="133" t="s">
        <v>359</v>
      </c>
      <c r="B124" s="154">
        <v>55</v>
      </c>
      <c r="C124" s="134" t="s">
        <v>97</v>
      </c>
    </row>
    <row r="125" spans="1:19" ht="16">
      <c r="A125" s="133" t="s">
        <v>466</v>
      </c>
      <c r="B125" s="128">
        <f>Calculations!B129</f>
        <v>9.75</v>
      </c>
      <c r="C125" s="134" t="s">
        <v>104</v>
      </c>
    </row>
    <row r="126" spans="1:19" ht="16">
      <c r="A126" s="133" t="s">
        <v>360</v>
      </c>
      <c r="B126" s="154">
        <v>9.75</v>
      </c>
      <c r="C126" s="134" t="s">
        <v>104</v>
      </c>
    </row>
    <row r="127" spans="1:19">
      <c r="A127" s="133" t="s">
        <v>237</v>
      </c>
      <c r="B127" s="128">
        <f>Calculations!B131</f>
        <v>55</v>
      </c>
      <c r="C127" s="134" t="s">
        <v>97</v>
      </c>
    </row>
    <row r="128" spans="1:19" ht="15" thickBot="1">
      <c r="A128" s="135" t="s">
        <v>238</v>
      </c>
      <c r="B128" s="138">
        <f>Calculations!B132</f>
        <v>55</v>
      </c>
      <c r="C128" s="136" t="s">
        <v>97</v>
      </c>
    </row>
    <row r="131" spans="1:3" ht="17">
      <c r="A131" s="173" t="s">
        <v>305</v>
      </c>
      <c r="B131" s="173"/>
      <c r="C131" s="173"/>
    </row>
    <row r="132" spans="1:3" ht="15" thickBot="1"/>
    <row r="133" spans="1:3" ht="15" thickBot="1">
      <c r="A133" s="174" t="s">
        <v>306</v>
      </c>
      <c r="B133" s="175"/>
      <c r="C133" s="176"/>
    </row>
    <row r="134" spans="1:3">
      <c r="A134" s="133" t="s">
        <v>250</v>
      </c>
      <c r="B134" s="154">
        <v>10</v>
      </c>
      <c r="C134" s="134" t="s">
        <v>251</v>
      </c>
    </row>
    <row r="135" spans="1:3" ht="16">
      <c r="A135" s="133" t="s">
        <v>363</v>
      </c>
      <c r="B135" s="139">
        <f>Calculations!B137</f>
        <v>0.37249029234273373</v>
      </c>
      <c r="C135" s="134" t="s">
        <v>3</v>
      </c>
    </row>
    <row r="136" spans="1:3" ht="16">
      <c r="A136" s="133" t="s">
        <v>467</v>
      </c>
      <c r="B136" s="128">
        <f>Calculations!B139/1000</f>
        <v>40</v>
      </c>
      <c r="C136" s="134" t="s">
        <v>3</v>
      </c>
    </row>
    <row r="137" spans="1:3" ht="16">
      <c r="A137" s="133" t="s">
        <v>468</v>
      </c>
      <c r="B137" s="154">
        <v>10</v>
      </c>
      <c r="C137" s="134" t="s">
        <v>3</v>
      </c>
    </row>
    <row r="138" spans="1:3" ht="16">
      <c r="A138" s="133" t="s">
        <v>367</v>
      </c>
      <c r="B138" s="139">
        <f>Calculations!B143</f>
        <v>0.15391380629365956</v>
      </c>
      <c r="C138" s="134" t="s">
        <v>104</v>
      </c>
    </row>
    <row r="139" spans="1:3" ht="16">
      <c r="A139" s="133" t="s">
        <v>368</v>
      </c>
      <c r="B139" s="154">
        <v>0.63400000000000001</v>
      </c>
      <c r="C139" s="134" t="s">
        <v>104</v>
      </c>
    </row>
    <row r="140" spans="1:3" ht="16">
      <c r="A140" s="133" t="s">
        <v>370</v>
      </c>
      <c r="B140" s="144">
        <f>Calculations!B145</f>
        <v>2776.0519836505969</v>
      </c>
      <c r="C140" s="134" t="s">
        <v>40</v>
      </c>
    </row>
    <row r="141" spans="1:3" ht="16">
      <c r="A141" s="133" t="s">
        <v>369</v>
      </c>
      <c r="B141" s="154">
        <v>680</v>
      </c>
      <c r="C141" s="134" t="s">
        <v>40</v>
      </c>
    </row>
    <row r="142" spans="1:3" ht="16">
      <c r="A142" s="133" t="s">
        <v>372</v>
      </c>
      <c r="B142" s="144">
        <f>Calculations!B147</f>
        <v>27.760519836505967</v>
      </c>
      <c r="C142" s="134" t="s">
        <v>40</v>
      </c>
    </row>
    <row r="143" spans="1:3" ht="16">
      <c r="A143" s="133" t="s">
        <v>371</v>
      </c>
      <c r="B143" s="154">
        <v>4.7</v>
      </c>
      <c r="C143" s="134" t="s">
        <v>40</v>
      </c>
    </row>
    <row r="144" spans="1:3" ht="16">
      <c r="A144" s="133" t="s">
        <v>374</v>
      </c>
      <c r="B144" s="139">
        <f>Calculations!B149</f>
        <v>0.36916622539407895</v>
      </c>
      <c r="C144" s="134" t="s">
        <v>3</v>
      </c>
    </row>
    <row r="145" spans="1:3" ht="17" thickBot="1">
      <c r="A145" s="135" t="s">
        <v>373</v>
      </c>
      <c r="B145" s="152">
        <f>Calculations!B150</f>
        <v>53.411283674036959</v>
      </c>
      <c r="C145" s="136" t="s">
        <v>3</v>
      </c>
    </row>
    <row r="149" spans="1:3" ht="17">
      <c r="A149" s="173" t="s">
        <v>460</v>
      </c>
      <c r="B149" s="173"/>
      <c r="C149" s="173"/>
    </row>
    <row r="150" spans="1:3" ht="8.25" customHeight="1" thickBot="1"/>
    <row r="151" spans="1:3" ht="15" thickBot="1">
      <c r="A151" s="174" t="s">
        <v>459</v>
      </c>
      <c r="B151" s="175"/>
      <c r="C151" s="176"/>
    </row>
    <row r="152" spans="1:3" ht="16">
      <c r="A152" s="146" t="s">
        <v>484</v>
      </c>
      <c r="B152" s="158">
        <v>2</v>
      </c>
      <c r="C152" s="147" t="s">
        <v>1</v>
      </c>
    </row>
    <row r="153" spans="1:3" ht="16">
      <c r="A153" s="133" t="s">
        <v>485</v>
      </c>
      <c r="B153" s="154">
        <v>4.42</v>
      </c>
      <c r="C153" s="134" t="s">
        <v>104</v>
      </c>
    </row>
    <row r="154" spans="1:3" ht="16">
      <c r="A154" s="133" t="s">
        <v>487</v>
      </c>
      <c r="B154" s="128">
        <f>Calculations!B159/1000</f>
        <v>39.78</v>
      </c>
      <c r="C154" s="134" t="s">
        <v>104</v>
      </c>
    </row>
    <row r="155" spans="1:3" ht="16">
      <c r="A155" s="133" t="s">
        <v>486</v>
      </c>
      <c r="B155" s="154">
        <v>26.7</v>
      </c>
      <c r="C155" s="134" t="s">
        <v>104</v>
      </c>
    </row>
    <row r="156" spans="1:3">
      <c r="A156" s="133" t="s">
        <v>432</v>
      </c>
      <c r="B156" s="128">
        <f>Calculations!B164/1000</f>
        <v>1</v>
      </c>
      <c r="C156" s="134" t="s">
        <v>3</v>
      </c>
    </row>
    <row r="157" spans="1:3">
      <c r="A157" s="133" t="s">
        <v>258</v>
      </c>
      <c r="B157" s="154">
        <v>1</v>
      </c>
      <c r="C157" s="134" t="s">
        <v>3</v>
      </c>
    </row>
    <row r="158" spans="1:3" ht="16">
      <c r="A158" s="133" t="s">
        <v>455</v>
      </c>
      <c r="B158" s="139">
        <f>Calculations!B170/1000</f>
        <v>4.0896111824771566</v>
      </c>
      <c r="C158" s="134" t="s">
        <v>104</v>
      </c>
    </row>
    <row r="159" spans="1:3" ht="16">
      <c r="A159" s="133" t="s">
        <v>456</v>
      </c>
      <c r="B159" s="154">
        <v>6.2</v>
      </c>
      <c r="C159" s="134" t="s">
        <v>104</v>
      </c>
    </row>
    <row r="160" spans="1:3" ht="16">
      <c r="A160" s="133" t="s">
        <v>457</v>
      </c>
      <c r="B160" s="144">
        <f>Calculations!B172*(10^9)</f>
        <v>86.94116376613303</v>
      </c>
      <c r="C160" s="134" t="s">
        <v>40</v>
      </c>
    </row>
    <row r="161" spans="1:3" ht="16">
      <c r="A161" s="133" t="s">
        <v>458</v>
      </c>
      <c r="B161" s="154">
        <v>33</v>
      </c>
      <c r="C161" s="134" t="s">
        <v>40</v>
      </c>
    </row>
    <row r="162" spans="1:3" ht="16">
      <c r="A162" s="133" t="s">
        <v>454</v>
      </c>
      <c r="B162" s="139">
        <f>Calculations!B174*(10^9)</f>
        <v>0.97808809236899696</v>
      </c>
      <c r="C162" s="134" t="s">
        <v>40</v>
      </c>
    </row>
    <row r="163" spans="1:3" ht="16">
      <c r="A163" s="133" t="s">
        <v>453</v>
      </c>
      <c r="B163" s="154">
        <v>0.6</v>
      </c>
      <c r="C163" s="134" t="s">
        <v>40</v>
      </c>
    </row>
    <row r="164" spans="1:3" ht="16">
      <c r="A164" s="133" t="s">
        <v>374</v>
      </c>
      <c r="B164" s="139">
        <f>Calculations!B176</f>
        <v>0.77788339732109146</v>
      </c>
      <c r="C164" s="134" t="s">
        <v>3</v>
      </c>
    </row>
    <row r="165" spans="1:3" ht="17" thickBot="1">
      <c r="A165" s="135" t="s">
        <v>373</v>
      </c>
      <c r="B165" s="143">
        <f>Calculations!B177</f>
        <v>42.783586852660036</v>
      </c>
      <c r="C165" s="136" t="s">
        <v>3</v>
      </c>
    </row>
    <row r="168" spans="1:3" ht="17">
      <c r="A168" s="173" t="s">
        <v>483</v>
      </c>
      <c r="B168" s="173"/>
      <c r="C168" s="173"/>
    </row>
    <row r="169" spans="1:3" ht="15" thickBot="1"/>
    <row r="170" spans="1:3" ht="15" thickBot="1">
      <c r="A170" s="174" t="s">
        <v>461</v>
      </c>
      <c r="B170" s="175"/>
      <c r="C170" s="176"/>
    </row>
    <row r="171" spans="1:3" ht="16">
      <c r="A171" s="146" t="s">
        <v>484</v>
      </c>
      <c r="B171" s="158">
        <v>2</v>
      </c>
      <c r="C171" s="147" t="s">
        <v>1</v>
      </c>
    </row>
    <row r="172" spans="1:3" ht="16">
      <c r="A172" s="133" t="s">
        <v>485</v>
      </c>
      <c r="B172" s="154">
        <v>2.1</v>
      </c>
      <c r="C172" s="134" t="s">
        <v>104</v>
      </c>
    </row>
    <row r="173" spans="1:3" ht="16">
      <c r="A173" s="133" t="s">
        <v>487</v>
      </c>
      <c r="B173" s="128">
        <f>Calculations!B183/1000</f>
        <v>50.4</v>
      </c>
      <c r="C173" s="134" t="s">
        <v>104</v>
      </c>
    </row>
    <row r="174" spans="1:3" ht="16">
      <c r="A174" s="133" t="s">
        <v>486</v>
      </c>
      <c r="B174" s="154">
        <v>49.9</v>
      </c>
      <c r="C174" s="134" t="s">
        <v>104</v>
      </c>
    </row>
    <row r="175" spans="1:3">
      <c r="A175" s="133" t="s">
        <v>432</v>
      </c>
      <c r="B175" s="139">
        <f>Calculations!B188/1000</f>
        <v>5.5685417441135963</v>
      </c>
      <c r="C175" s="134" t="s">
        <v>3</v>
      </c>
    </row>
    <row r="176" spans="1:3">
      <c r="A176" s="133" t="s">
        <v>258</v>
      </c>
      <c r="B176" s="159">
        <v>2</v>
      </c>
      <c r="C176" s="134" t="s">
        <v>3</v>
      </c>
    </row>
    <row r="177" spans="1:3" ht="16">
      <c r="A177" s="133" t="s">
        <v>428</v>
      </c>
      <c r="B177" s="144">
        <f>Calculations!B194/1000</f>
        <v>25.383154074835886</v>
      </c>
      <c r="C177" s="134" t="s">
        <v>104</v>
      </c>
    </row>
    <row r="178" spans="1:3" ht="16">
      <c r="A178" s="133" t="s">
        <v>427</v>
      </c>
      <c r="B178" s="154">
        <v>49.9</v>
      </c>
      <c r="C178" s="134" t="s">
        <v>104</v>
      </c>
    </row>
    <row r="179" spans="1:3" ht="16">
      <c r="A179" s="133" t="s">
        <v>426</v>
      </c>
      <c r="B179" s="139">
        <f>Calculations!B196*(10^9)</f>
        <v>35.492078653614897</v>
      </c>
      <c r="C179" s="134" t="s">
        <v>40</v>
      </c>
    </row>
    <row r="180" spans="1:3" ht="16">
      <c r="A180" s="133" t="s">
        <v>429</v>
      </c>
      <c r="B180" s="154">
        <v>4.7</v>
      </c>
      <c r="C180" s="134" t="s">
        <v>40</v>
      </c>
    </row>
    <row r="181" spans="1:3" ht="16">
      <c r="A181" s="133" t="s">
        <v>430</v>
      </c>
      <c r="B181" s="153">
        <f>Calculations!B198*(10^9)</f>
        <v>3.1350505658726803E-2</v>
      </c>
      <c r="C181" s="134" t="s">
        <v>40</v>
      </c>
    </row>
    <row r="182" spans="1:3" ht="16">
      <c r="A182" s="133" t="s">
        <v>431</v>
      </c>
      <c r="B182" s="154">
        <v>0.1</v>
      </c>
      <c r="C182" s="134" t="s">
        <v>40</v>
      </c>
    </row>
    <row r="183" spans="1:3" ht="16">
      <c r="A183" s="133" t="s">
        <v>374</v>
      </c>
      <c r="B183" s="139">
        <f>Calculations!B200/1000</f>
        <v>0.67861230158996844</v>
      </c>
      <c r="C183" s="134" t="s">
        <v>3</v>
      </c>
    </row>
    <row r="184" spans="1:3" ht="17" thickBot="1">
      <c r="A184" s="135" t="s">
        <v>373</v>
      </c>
      <c r="B184" s="143">
        <f>Calculations!B201/1000</f>
        <v>31.894778174728515</v>
      </c>
      <c r="C184" s="136" t="s">
        <v>3</v>
      </c>
    </row>
  </sheetData>
  <sheetProtection algorithmName="SHA-512" hashValue="fdU52W4crYajbraSt7Ih5pmYR8gmHjUDwlpQIF4YYH9Fakzt1D1AAwKy17nH/MLXUijSXtaMyzWZLUNwvQ0pfg==" saltValue="U5ME1tcmw0TPKCAZJxVidQ==" spinCount="100000" sheet="1" objects="1" scenarios="1"/>
  <mergeCells count="44">
    <mergeCell ref="A131:C131"/>
    <mergeCell ref="G10:M11"/>
    <mergeCell ref="F93:H93"/>
    <mergeCell ref="K93:M93"/>
    <mergeCell ref="Q93:R93"/>
    <mergeCell ref="E122:G122"/>
    <mergeCell ref="I122:K122"/>
    <mergeCell ref="P61:Q61"/>
    <mergeCell ref="P73:Q73"/>
    <mergeCell ref="A120:C120"/>
    <mergeCell ref="A79:C79"/>
    <mergeCell ref="B93:C93"/>
    <mergeCell ref="A92:C92"/>
    <mergeCell ref="A71:C71"/>
    <mergeCell ref="A43:C43"/>
    <mergeCell ref="A61:C61"/>
    <mergeCell ref="A90:C90"/>
    <mergeCell ref="A109:C109"/>
    <mergeCell ref="A107:C107"/>
    <mergeCell ref="A122:C122"/>
    <mergeCell ref="B123:C123"/>
    <mergeCell ref="B98:C98"/>
    <mergeCell ref="A52:C52"/>
    <mergeCell ref="A55:C55"/>
    <mergeCell ref="A59:C59"/>
    <mergeCell ref="A69:C69"/>
    <mergeCell ref="A84:C84"/>
    <mergeCell ref="A77:C77"/>
    <mergeCell ref="A149:C149"/>
    <mergeCell ref="A151:C151"/>
    <mergeCell ref="A168:C168"/>
    <mergeCell ref="A170:C170"/>
    <mergeCell ref="A1:XFD3"/>
    <mergeCell ref="A15:C15"/>
    <mergeCell ref="A10:C10"/>
    <mergeCell ref="A34:C34"/>
    <mergeCell ref="A24:C24"/>
    <mergeCell ref="A20:C20"/>
    <mergeCell ref="A8:C8"/>
    <mergeCell ref="A31:C31"/>
    <mergeCell ref="A133:C133"/>
    <mergeCell ref="A32:C32"/>
    <mergeCell ref="A41:C41"/>
    <mergeCell ref="A50:C50"/>
  </mergeCells>
  <phoneticPr fontId="32"/>
  <hyperlinks>
    <hyperlink ref="R5" location="Licenses!A1" display="Terms of Use" xr:uid="{943AA7FE-1683-4927-B7B0-5F8E651B1AD3}"/>
  </hyperlinks>
  <pageMargins left="0.7" right="0.7" top="0.75" bottom="0.75" header="0.3" footer="0.3"/>
  <pageSetup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57" id="{F0C824F8-5BA3-457B-B341-B725FCDB2787}">
            <xm:f>Calculations!$D$70=1</xm:f>
            <x14:dxf>
              <fill>
                <patternFill>
                  <bgColor rgb="FFFF0000"/>
                </patternFill>
              </fill>
            </x14:dxf>
          </x14:cfRule>
          <xm:sqref>B48</xm:sqref>
        </x14:conditionalFormatting>
        <x14:conditionalFormatting xmlns:xm="http://schemas.microsoft.com/office/excel/2006/main">
          <x14:cfRule type="expression" priority="58" id="{47B0D3B7-ACA9-4766-B67F-B6DE49181E4C}">
            <xm:f>Calculations!$D$78=1</xm:f>
            <x14:dxf>
              <fill>
                <patternFill>
                  <bgColor rgb="FFFF0000"/>
                </patternFill>
              </fill>
            </x14:dxf>
          </x14:cfRule>
          <xm:sqref>B65</xm:sqref>
        </x14:conditionalFormatting>
        <x14:conditionalFormatting xmlns:xm="http://schemas.microsoft.com/office/excel/2006/main">
          <x14:cfRule type="expression" priority="59" id="{F0C824F8-5BA3-457B-B341-B725FCDB2787}">
            <xm:f>Calculations!$D$79=1</xm:f>
            <x14:dxf>
              <fill>
                <patternFill>
                  <bgColor rgb="FFFF0000"/>
                </patternFill>
              </fill>
            </x14:dxf>
          </x14:cfRule>
          <xm:sqref>B66</xm:sqref>
        </x14:conditionalFormatting>
        <x14:conditionalFormatting xmlns:xm="http://schemas.microsoft.com/office/excel/2006/main">
          <x14:cfRule type="expression" priority="60" id="{F0C824F8-5BA3-457B-B341-B725FCDB2787}">
            <xm:f>Calculations!$D$80=1</xm:f>
            <x14:dxf>
              <fill>
                <patternFill>
                  <bgColor rgb="FFFF0000"/>
                </patternFill>
              </fill>
            </x14:dxf>
          </x14:cfRule>
          <xm:sqref>B67</xm:sqref>
        </x14:conditionalFormatting>
        <x14:conditionalFormatting xmlns:xm="http://schemas.microsoft.com/office/excel/2006/main">
          <x14:cfRule type="expression" priority="61" id="{72F261F3-C112-49B4-9B33-09E9FE7FF750}">
            <xm:f>Calculations!$D$115=1</xm:f>
            <x14:dxf>
              <fill>
                <patternFill>
                  <bgColor rgb="FFFF0000"/>
                </patternFill>
              </fill>
            </x14:dxf>
          </x14:cfRule>
          <xm:sqref>B110</xm:sqref>
        </x14:conditionalFormatting>
        <x14:conditionalFormatting xmlns:xm="http://schemas.microsoft.com/office/excel/2006/main">
          <x14:cfRule type="expression" priority="62" id="{DE18DFA1-F8B7-4BDD-8B82-246AAAD06FE9}">
            <xm:f>Calculations!$D$118=1</xm:f>
            <x14:dxf>
              <fill>
                <patternFill>
                  <bgColor rgb="FFFF0000"/>
                </patternFill>
              </fill>
            </x14:dxf>
          </x14:cfRule>
          <xm:sqref>B113</xm:sqref>
        </x14:conditionalFormatting>
        <x14:conditionalFormatting xmlns:xm="http://schemas.microsoft.com/office/excel/2006/main">
          <x14:cfRule type="expression" priority="66" id="{5FD8402E-D623-4B39-9061-D3818A91AD41}">
            <xm:f>Calculations!$D$128=1</xm:f>
            <x14:dxf>
              <fill>
                <patternFill>
                  <bgColor rgb="FFFF0000"/>
                </patternFill>
              </fill>
            </x14:dxf>
          </x14:cfRule>
          <xm:sqref>B124</xm:sqref>
        </x14:conditionalFormatting>
        <x14:conditionalFormatting xmlns:xm="http://schemas.microsoft.com/office/excel/2006/main">
          <x14:cfRule type="expression" priority="63" id="{E70EFD81-9486-4A10-8397-F2F06071C353}">
            <xm:f>Calculations!$B$99=0</xm:f>
            <x14:dxf>
              <font>
                <strike/>
              </font>
              <fill>
                <patternFill>
                  <bgColor theme="0" tint="-0.24994659260841701"/>
                </patternFill>
              </fill>
            </x14:dxf>
          </x14:cfRule>
          <xm:sqref>B94:C105</xm:sqref>
        </x14:conditionalFormatting>
        <x14:conditionalFormatting xmlns:xm="http://schemas.microsoft.com/office/excel/2006/main">
          <x14:cfRule type="expression" priority="64" id="{07FC6EAE-5778-4309-937A-687AA588D44B}">
            <xm:f>Calculations!$B$104=0</xm:f>
            <x14:dxf>
              <font>
                <strike/>
              </font>
              <fill>
                <patternFill>
                  <bgColor theme="0" tint="-0.24994659260841701"/>
                </patternFill>
              </fill>
            </x14:dxf>
          </x14:cfRule>
          <xm:sqref>B99:C101</xm:sqref>
        </x14:conditionalFormatting>
        <x14:conditionalFormatting xmlns:xm="http://schemas.microsoft.com/office/excel/2006/main">
          <x14:cfRule type="expression" priority="65" id="{6C6BBDF6-48B1-4593-9A50-F8BCAE673E59}">
            <xm:f>Calculations!$B$127=0</xm:f>
            <x14:dxf>
              <font>
                <strike/>
              </font>
              <fill>
                <patternFill>
                  <bgColor theme="0" tint="-0.14996795556505021"/>
                </patternFill>
              </fill>
            </x14:dxf>
          </x14:cfRule>
          <xm:sqref>B124:C126</xm:sqref>
        </x14:conditionalFormatting>
        <x14:conditionalFormatting xmlns:xm="http://schemas.microsoft.com/office/excel/2006/main">
          <x14:cfRule type="expression" priority="71" id="{C5399D73-4691-49DF-B087-94B60D9C1390}">
            <xm:f>Calculations!$B$127=0</xm:f>
            <x14:dxf>
              <fill>
                <patternFill>
                  <bgColor rgb="FF92D050"/>
                </patternFill>
              </fill>
            </x14:dxf>
          </x14:cfRule>
          <xm:sqref>E122:G122</xm:sqref>
        </x14:conditionalFormatting>
        <x14:conditionalFormatting xmlns:xm="http://schemas.microsoft.com/office/excel/2006/main">
          <x14:cfRule type="expression" priority="67" id="{91209B0B-F871-480E-9983-A619770C0D01}">
            <xm:f>AND(Calculations!$B$99=1,Calculations!$B$104=0)</xm:f>
            <x14:dxf>
              <fill>
                <patternFill>
                  <bgColor rgb="FF92D050"/>
                </patternFill>
              </fill>
            </x14:dxf>
          </x14:cfRule>
          <xm:sqref>F93:H93</xm:sqref>
        </x14:conditionalFormatting>
        <x14:conditionalFormatting xmlns:xm="http://schemas.microsoft.com/office/excel/2006/main">
          <x14:cfRule type="expression" priority="70" id="{2BDC1368-641D-41C3-834A-06208609199D}">
            <xm:f>Calculations!$B$127=1</xm:f>
            <x14:dxf>
              <fill>
                <patternFill>
                  <bgColor rgb="FF92D050"/>
                </patternFill>
              </fill>
            </x14:dxf>
          </x14:cfRule>
          <xm:sqref>I122:K122</xm:sqref>
        </x14:conditionalFormatting>
        <x14:conditionalFormatting xmlns:xm="http://schemas.microsoft.com/office/excel/2006/main">
          <x14:cfRule type="expression" priority="68" id="{5F4F848D-4984-4736-B027-68BB1B3C735D}">
            <xm:f>AND(Calculations!$B$99=1,Calculations!$B$104=1)</xm:f>
            <x14:dxf>
              <fill>
                <patternFill>
                  <bgColor rgb="FF92D050"/>
                </patternFill>
              </fill>
            </x14:dxf>
          </x14:cfRule>
          <xm:sqref>K93:M93</xm:sqref>
        </x14:conditionalFormatting>
        <x14:conditionalFormatting xmlns:xm="http://schemas.microsoft.com/office/excel/2006/main">
          <x14:cfRule type="expression" priority="69" id="{0CCB05D5-D715-4391-84E1-7EFF00A93B29}">
            <xm:f>Calculations!$B$99=0</xm:f>
            <x14:dxf>
              <fill>
                <patternFill>
                  <bgColor rgb="FF92D050"/>
                </patternFill>
              </fill>
            </x14:dxf>
          </x14:cfRule>
          <xm:sqref>Q93:R93</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0000000}">
          <x14:formula1>
            <xm:f>Lists!$A$2:$A$3</xm:f>
          </x14:formula1>
          <xm:sqref>B93</xm:sqref>
        </x14:dataValidation>
        <x14:dataValidation type="list" allowBlank="1" showInputMessage="1" xr:uid="{00000000-0002-0000-0000-000001000000}">
          <x14:formula1>
            <xm:f>Lists!$E$2:$E$3</xm:f>
          </x14:formula1>
          <xm:sqref>B110</xm:sqref>
        </x14:dataValidation>
        <x14:dataValidation type="list" allowBlank="1" showInputMessage="1" showErrorMessage="1" xr:uid="{00000000-0002-0000-0000-000002000000}">
          <x14:formula1>
            <xm:f>Lists!$C$2:$C$3</xm:f>
          </x14:formula1>
          <xm:sqref>B98</xm:sqref>
        </x14:dataValidation>
        <x14:dataValidation type="list" allowBlank="1" showInputMessage="1" showErrorMessage="1" xr:uid="{00000000-0002-0000-0000-000003000000}">
          <x14:formula1>
            <xm:f>Lists!$G$2:$G$3</xm:f>
          </x14:formula1>
          <xm:sqref>B123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47A-1FCB-422A-9F91-062C401E57FB}">
  <sheetPr codeName="Sheet2"/>
  <dimension ref="A1:AM47"/>
  <sheetViews>
    <sheetView topLeftCell="A4" workbookViewId="0">
      <selection activeCell="M27" sqref="M27"/>
    </sheetView>
  </sheetViews>
  <sheetFormatPr baseColWidth="10" defaultColWidth="9.1640625" defaultRowHeight="14"/>
  <cols>
    <col min="1" max="1" width="25.6640625" style="166" bestFit="1" customWidth="1"/>
    <col min="2" max="2" width="56.5" style="167" customWidth="1"/>
    <col min="3" max="11" width="9.1640625" style="160"/>
    <col min="12" max="12" width="20.5" style="160" customWidth="1"/>
    <col min="13" max="16384" width="9.1640625" style="160"/>
  </cols>
  <sheetData>
    <row r="1" spans="1:12">
      <c r="A1" s="190"/>
      <c r="B1" s="190"/>
      <c r="C1" s="190"/>
      <c r="D1" s="190"/>
      <c r="E1" s="190"/>
      <c r="F1" s="190"/>
      <c r="G1" s="190"/>
      <c r="H1" s="190"/>
      <c r="I1" s="190"/>
      <c r="J1" s="190"/>
      <c r="K1" s="190"/>
      <c r="L1" s="190"/>
    </row>
    <row r="2" spans="1:12">
      <c r="A2" s="190"/>
      <c r="B2" s="190"/>
      <c r="C2" s="190"/>
      <c r="D2" s="190"/>
      <c r="E2" s="190"/>
      <c r="F2" s="190"/>
      <c r="G2" s="190"/>
      <c r="H2" s="190"/>
      <c r="I2" s="190"/>
      <c r="J2" s="190"/>
      <c r="K2" s="190"/>
      <c r="L2" s="190"/>
    </row>
    <row r="3" spans="1:12">
      <c r="A3" s="190"/>
      <c r="B3" s="190"/>
      <c r="C3" s="190"/>
      <c r="D3" s="190"/>
      <c r="E3" s="190"/>
      <c r="F3" s="190"/>
      <c r="G3" s="190"/>
      <c r="H3" s="190"/>
      <c r="I3" s="190"/>
      <c r="J3" s="190"/>
      <c r="K3" s="190"/>
      <c r="L3" s="190"/>
    </row>
    <row r="4" spans="1:12">
      <c r="A4" s="191"/>
      <c r="B4" s="191"/>
      <c r="C4" s="191"/>
      <c r="D4" s="191"/>
      <c r="E4" s="191"/>
      <c r="F4" s="191"/>
      <c r="G4" s="191"/>
      <c r="H4" s="191"/>
      <c r="I4" s="191"/>
      <c r="J4" s="191"/>
      <c r="K4" s="191"/>
      <c r="L4" s="191"/>
    </row>
    <row r="5" spans="1:12">
      <c r="A5" s="161" t="s">
        <v>489</v>
      </c>
      <c r="B5" s="162" t="str">
        <f>LOOKUP(2,1/((A37:A46)&lt;&gt;""),(A37:A46))</f>
        <v>1.1.0</v>
      </c>
      <c r="C5" s="163"/>
      <c r="D5" s="163"/>
      <c r="E5" s="163"/>
      <c r="F5" s="163"/>
      <c r="G5" s="163"/>
      <c r="H5" s="163"/>
      <c r="I5" s="163"/>
      <c r="J5" s="163"/>
      <c r="K5" s="164"/>
      <c r="L5" s="165"/>
    </row>
    <row r="6" spans="1:12">
      <c r="A6" s="161"/>
      <c r="B6" s="162"/>
      <c r="C6" s="163"/>
      <c r="D6" s="163"/>
      <c r="E6" s="163"/>
      <c r="F6" s="163"/>
      <c r="G6" s="163"/>
      <c r="H6" s="163"/>
      <c r="I6" s="163"/>
      <c r="J6" s="165"/>
      <c r="K6" s="165"/>
      <c r="L6" s="165"/>
    </row>
    <row r="35" spans="1:39">
      <c r="A35" s="168" t="s">
        <v>491</v>
      </c>
      <c r="B35" s="169"/>
      <c r="C35" s="163"/>
      <c r="D35" s="163"/>
      <c r="E35" s="163"/>
      <c r="F35" s="163"/>
      <c r="G35" s="163"/>
      <c r="H35" s="163"/>
      <c r="I35" s="163"/>
      <c r="J35" s="163"/>
      <c r="K35" s="163"/>
    </row>
    <row r="36" spans="1:39">
      <c r="A36" s="170" t="s">
        <v>492</v>
      </c>
      <c r="B36" s="192" t="s">
        <v>493</v>
      </c>
      <c r="C36" s="192"/>
      <c r="D36" s="192"/>
      <c r="E36" s="192"/>
      <c r="F36" s="192"/>
      <c r="G36" s="192"/>
      <c r="H36" s="192"/>
      <c r="I36" s="192"/>
      <c r="J36" s="192"/>
      <c r="K36" s="192"/>
    </row>
    <row r="37" spans="1:39">
      <c r="A37" s="168" t="s">
        <v>490</v>
      </c>
      <c r="B37" s="193" t="s">
        <v>494</v>
      </c>
      <c r="C37" s="193"/>
      <c r="D37" s="193"/>
      <c r="E37" s="193"/>
      <c r="F37" s="193"/>
      <c r="G37" s="193"/>
      <c r="H37" s="193"/>
      <c r="I37" s="193"/>
      <c r="J37" s="193"/>
      <c r="K37" s="193"/>
    </row>
    <row r="38" spans="1:39" ht="14.25" customHeight="1">
      <c r="A38" s="168" t="s">
        <v>495</v>
      </c>
      <c r="B38" s="194" t="s">
        <v>496</v>
      </c>
      <c r="C38" s="193"/>
      <c r="D38" s="193"/>
      <c r="E38" s="193"/>
      <c r="F38" s="193"/>
      <c r="G38" s="193"/>
      <c r="H38" s="193"/>
      <c r="I38" s="193"/>
      <c r="J38" s="193"/>
      <c r="K38" s="193"/>
    </row>
    <row r="39" spans="1:39" ht="14.25" customHeight="1">
      <c r="A39" s="168"/>
      <c r="B39" s="189"/>
      <c r="C39" s="189"/>
      <c r="D39" s="189"/>
      <c r="E39" s="189"/>
      <c r="F39" s="189"/>
      <c r="G39" s="189"/>
      <c r="H39" s="189"/>
      <c r="I39" s="189"/>
      <c r="J39" s="189"/>
      <c r="K39" s="189"/>
    </row>
    <row r="40" spans="1:39" ht="14.25" customHeight="1">
      <c r="A40" s="168"/>
      <c r="B40" s="189"/>
      <c r="C40" s="189"/>
      <c r="D40" s="189"/>
      <c r="E40" s="189"/>
      <c r="F40" s="189"/>
      <c r="G40" s="189"/>
      <c r="H40" s="189"/>
      <c r="I40" s="189"/>
      <c r="J40" s="189"/>
      <c r="K40" s="189"/>
    </row>
    <row r="41" spans="1:39" ht="14.25" customHeight="1">
      <c r="A41" s="168"/>
      <c r="B41" s="189"/>
      <c r="C41" s="189"/>
      <c r="D41" s="189"/>
      <c r="E41" s="189"/>
      <c r="F41" s="189"/>
      <c r="G41" s="189"/>
      <c r="H41" s="189"/>
      <c r="I41" s="189"/>
      <c r="J41" s="189"/>
      <c r="K41" s="189"/>
    </row>
    <row r="42" spans="1:39">
      <c r="A42" s="168"/>
      <c r="B42" s="189"/>
      <c r="C42" s="189"/>
      <c r="D42" s="189"/>
      <c r="E42" s="189"/>
      <c r="F42" s="189"/>
      <c r="G42" s="189"/>
      <c r="H42" s="189"/>
      <c r="I42" s="189"/>
      <c r="J42" s="189"/>
      <c r="K42" s="189"/>
    </row>
    <row r="43" spans="1:39">
      <c r="A43" s="168"/>
      <c r="B43" s="189"/>
      <c r="C43" s="189"/>
      <c r="D43" s="189"/>
      <c r="E43" s="189"/>
      <c r="F43" s="189"/>
      <c r="G43" s="189"/>
      <c r="H43" s="189"/>
      <c r="I43" s="189"/>
      <c r="J43" s="189"/>
      <c r="K43" s="189"/>
    </row>
    <row r="44" spans="1:39">
      <c r="A44" s="168"/>
      <c r="B44" s="189"/>
      <c r="C44" s="189"/>
      <c r="D44" s="189"/>
      <c r="E44" s="189"/>
      <c r="F44" s="189"/>
      <c r="G44" s="189"/>
      <c r="H44" s="189"/>
      <c r="I44" s="189"/>
      <c r="J44" s="189"/>
      <c r="K44" s="189"/>
      <c r="L44" s="171"/>
      <c r="M44" s="171"/>
      <c r="N44" s="171"/>
      <c r="O44" s="171"/>
      <c r="P44" s="171"/>
      <c r="Q44" s="171"/>
      <c r="R44" s="171"/>
      <c r="S44" s="171"/>
      <c r="T44" s="171"/>
      <c r="U44" s="171"/>
      <c r="V44" s="171"/>
      <c r="W44" s="171"/>
      <c r="X44" s="171"/>
      <c r="Y44" s="171"/>
      <c r="Z44" s="171"/>
      <c r="AA44" s="171"/>
      <c r="AB44" s="171"/>
      <c r="AC44" s="171"/>
      <c r="AD44" s="171"/>
      <c r="AE44" s="171"/>
      <c r="AF44" s="171"/>
      <c r="AG44" s="171"/>
      <c r="AH44" s="171"/>
      <c r="AI44" s="171"/>
      <c r="AJ44" s="171"/>
      <c r="AK44" s="171"/>
      <c r="AL44" s="171"/>
      <c r="AM44" s="171"/>
    </row>
    <row r="45" spans="1:39">
      <c r="A45" s="168"/>
      <c r="B45" s="189"/>
      <c r="C45" s="189"/>
      <c r="D45" s="189"/>
      <c r="E45" s="189"/>
      <c r="F45" s="189"/>
      <c r="G45" s="189"/>
      <c r="H45" s="189"/>
      <c r="I45" s="189"/>
      <c r="J45" s="189"/>
      <c r="K45" s="189"/>
    </row>
    <row r="46" spans="1:39">
      <c r="A46" s="168"/>
      <c r="B46" s="189"/>
      <c r="C46" s="189"/>
      <c r="D46" s="189"/>
      <c r="E46" s="189"/>
      <c r="F46" s="189"/>
      <c r="G46" s="189"/>
      <c r="H46" s="189"/>
      <c r="I46" s="189"/>
      <c r="J46" s="189"/>
      <c r="K46" s="189"/>
    </row>
    <row r="47" spans="1:39">
      <c r="A47" s="168"/>
      <c r="B47" s="189"/>
      <c r="C47" s="189"/>
      <c r="D47" s="189"/>
      <c r="E47" s="189"/>
      <c r="F47" s="189"/>
      <c r="G47" s="189"/>
      <c r="H47" s="189"/>
      <c r="I47" s="189"/>
      <c r="J47" s="189"/>
      <c r="K47" s="189"/>
    </row>
  </sheetData>
  <sheetProtection algorithmName="SHA-512" hashValue="5qE34U5q/yBhg7STOFPUv88vScnDIX6LSJXkXZZoEDGlf2xyJ9tb1iRHmvB8K7kFYfV2kEAhxpH5QBakawGgAg==" saltValue="eUds3aBXmyc9/xlWEDMFXg==" spinCount="100000" sheet="1" objects="1" scenarios="1" selectLockedCells="1" selectUnlockedCells="1"/>
  <mergeCells count="14">
    <mergeCell ref="B39:K39"/>
    <mergeCell ref="A1:L3"/>
    <mergeCell ref="A4:L4"/>
    <mergeCell ref="B36:K36"/>
    <mergeCell ref="B37:K37"/>
    <mergeCell ref="B38:K38"/>
    <mergeCell ref="B46:K46"/>
    <mergeCell ref="B47:K47"/>
    <mergeCell ref="B40:K40"/>
    <mergeCell ref="B41:K41"/>
    <mergeCell ref="B42:K42"/>
    <mergeCell ref="B43:K43"/>
    <mergeCell ref="B44:K44"/>
    <mergeCell ref="B45:K45"/>
  </mergeCells>
  <phoneticPr fontId="32"/>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2:AP201"/>
  <sheetViews>
    <sheetView topLeftCell="A142" zoomScaleNormal="100" workbookViewId="0">
      <selection activeCell="D115" sqref="D115"/>
    </sheetView>
  </sheetViews>
  <sheetFormatPr baseColWidth="10" defaultColWidth="8.83203125" defaultRowHeight="14"/>
  <cols>
    <col min="1" max="1" width="46.5" style="34" customWidth="1"/>
    <col min="2" max="2" width="12.6640625" style="33" bestFit="1" customWidth="1"/>
    <col min="3" max="3" width="10" style="34" bestFit="1" customWidth="1"/>
    <col min="4" max="4" width="10.33203125" style="34" bestFit="1" customWidth="1"/>
    <col min="5" max="5" width="10.33203125" style="34" customWidth="1"/>
    <col min="6" max="11" width="10.33203125" customWidth="1"/>
    <col min="12" max="12" width="10.83203125" bestFit="1" customWidth="1"/>
    <col min="15" max="15" width="10.5" customWidth="1"/>
    <col min="16" max="16" width="12" bestFit="1" customWidth="1"/>
    <col min="17" max="17" width="9.5" customWidth="1"/>
    <col min="18" max="19" width="12" customWidth="1"/>
    <col min="20" max="20" width="11.5" customWidth="1"/>
    <col min="29" max="29" width="11" customWidth="1"/>
    <col min="32" max="32" width="12.33203125" customWidth="1"/>
    <col min="56" max="56" width="9.1640625" customWidth="1"/>
    <col min="59" max="59" width="9.1640625" customWidth="1"/>
  </cols>
  <sheetData>
    <row r="2" spans="1:39">
      <c r="N2" t="s">
        <v>28</v>
      </c>
    </row>
    <row r="3" spans="1:39" ht="15" thickBot="1"/>
    <row r="4" spans="1:39">
      <c r="P4" s="203" t="s">
        <v>375</v>
      </c>
      <c r="Q4" s="204"/>
      <c r="R4" s="204"/>
      <c r="S4" s="205"/>
      <c r="T4" s="203" t="s">
        <v>24</v>
      </c>
      <c r="U4" s="204"/>
      <c r="V4" s="204"/>
      <c r="W4" s="205"/>
      <c r="X4" s="203" t="s">
        <v>75</v>
      </c>
      <c r="Y4" s="204"/>
      <c r="Z4" s="204"/>
      <c r="AA4" s="205"/>
      <c r="AB4" s="203" t="s">
        <v>376</v>
      </c>
      <c r="AC4" s="204"/>
      <c r="AD4" s="204"/>
      <c r="AE4" s="205"/>
      <c r="AF4" s="203" t="s">
        <v>377</v>
      </c>
      <c r="AG4" s="204"/>
      <c r="AH4" s="204"/>
      <c r="AI4" s="205"/>
      <c r="AJ4" s="203" t="s">
        <v>378</v>
      </c>
      <c r="AK4" s="204"/>
      <c r="AL4" s="204"/>
      <c r="AM4" s="205"/>
    </row>
    <row r="5" spans="1:39" ht="45">
      <c r="D5" s="48" t="s">
        <v>90</v>
      </c>
      <c r="F5" s="2"/>
      <c r="G5" s="2"/>
      <c r="H5" s="2"/>
      <c r="I5" s="2"/>
      <c r="J5" s="2"/>
      <c r="K5" s="2"/>
      <c r="N5" t="s">
        <v>11</v>
      </c>
      <c r="O5" s="20" t="s">
        <v>25</v>
      </c>
      <c r="P5" s="3" t="s">
        <v>15</v>
      </c>
      <c r="Q5" s="2" t="s">
        <v>14</v>
      </c>
      <c r="R5" s="2" t="s">
        <v>13</v>
      </c>
      <c r="S5" s="4" t="s">
        <v>12</v>
      </c>
      <c r="T5" s="3" t="s">
        <v>15</v>
      </c>
      <c r="U5" s="2" t="s">
        <v>14</v>
      </c>
      <c r="V5" s="2" t="s">
        <v>13</v>
      </c>
      <c r="W5" s="4" t="s">
        <v>12</v>
      </c>
      <c r="X5" s="3" t="s">
        <v>15</v>
      </c>
      <c r="Y5" s="2" t="s">
        <v>14</v>
      </c>
      <c r="Z5" s="2" t="s">
        <v>13</v>
      </c>
      <c r="AA5" s="4" t="s">
        <v>12</v>
      </c>
      <c r="AB5" s="3" t="s">
        <v>15</v>
      </c>
      <c r="AC5" s="2" t="s">
        <v>14</v>
      </c>
      <c r="AD5" s="2" t="s">
        <v>13</v>
      </c>
      <c r="AE5" s="4" t="s">
        <v>12</v>
      </c>
      <c r="AF5" s="3" t="s">
        <v>15</v>
      </c>
      <c r="AG5" s="2" t="s">
        <v>14</v>
      </c>
      <c r="AH5" s="2" t="s">
        <v>13</v>
      </c>
      <c r="AI5" s="4" t="s">
        <v>12</v>
      </c>
      <c r="AJ5" s="3" t="s">
        <v>15</v>
      </c>
      <c r="AK5" s="2" t="s">
        <v>14</v>
      </c>
      <c r="AL5" s="2" t="s">
        <v>13</v>
      </c>
      <c r="AM5" s="4" t="s">
        <v>12</v>
      </c>
    </row>
    <row r="6" spans="1:39">
      <c r="A6" s="195" t="s">
        <v>118</v>
      </c>
      <c r="B6" s="195"/>
      <c r="C6" s="195"/>
      <c r="E6" s="74" t="s">
        <v>333</v>
      </c>
      <c r="N6">
        <v>0</v>
      </c>
      <c r="O6">
        <f t="shared" ref="O6:O37" si="0">N6/Rcs</f>
        <v>0</v>
      </c>
      <c r="P6" s="5">
        <f t="shared" ref="P6:P37" si="1">IF($O6&lt;((V48_Min-V12_Nom)*V12_Nom)/((2*Lm*Fsw)*V48_Min),SQRT((2*$O6*Lm*Fsw*V12_Nom)/(V48_Min*(V48_Min-V12_Nom))),(V12_Nom/V48_Min))</f>
        <v>0</v>
      </c>
      <c r="Q6" s="1">
        <f t="shared" ref="Q6:Q37" si="2">IF($O6&lt;((V48_Min-V12_Nom)*V12_Nom)/((2*Lm*Fsw)*V48_Min),SQRT((2*$O6*Lm*Fsw*V12_Nom)/(V48_Min*(V48_Min-V12_Nom)))*((V48_Min-V12_Nom)/(V12_Nom)),1-(V12_Nom/V48_Min))</f>
        <v>0</v>
      </c>
      <c r="R6" s="1">
        <f t="shared" ref="R6:R37" si="3">IF($O6&lt;((V48_Min-V12_Nom)*V12_Nom)/((2*Lm*Fsw)*V48_Min),(P6/(Fsw*Lm))*(V48_Min-V12_Nom),((P6/(Fsw*Lm))*(V48_Min-V12_Nom)))</f>
        <v>0</v>
      </c>
      <c r="S6" s="6">
        <f t="shared" ref="S6:S37" si="4">IF($O6&lt;((V48_Min-V12_Nom)*V12_Nom)/((2*Lm*Fsw)*V48_Min),(P6/(Fsw*Lm))*(V48_Min-V12_Nom),(R6/2)+$O6)</f>
        <v>0</v>
      </c>
      <c r="T6" s="5">
        <f t="shared" ref="T6:T37" si="5">IF($O6&lt;((V48_Nom-V12_Nom)*V12_Nom)/((2*Lm*Fsw)*V48_Nom),SQRT((2*$O6*Lm*Fsw*V12_Nom)/(V48_Nom*(V48_Nom-V12_Nom))),(V12_Nom/V48_Nom))</f>
        <v>0</v>
      </c>
      <c r="U6" s="1">
        <f t="shared" ref="U6:U37" si="6">IF($O6&lt;((V48_Nom-V12_Nom)*V12_Nom)/((2*Lm*Fsw)*V48_Nom),SQRT((2*$O6*Lm*Fsw*V12_Nom)/(V48_Nom*(V48_Nom-V12_Nom)))*((V48_Nom-V12_Nom)/(V12_Nom)),1-(V12_Nom/V48_Nom))</f>
        <v>0</v>
      </c>
      <c r="V6" s="1">
        <f t="shared" ref="V6:V37" si="7">IF($O6&lt;((V48_Nom-V12_Nom)*V12_Nom)/((2*Lm*Fsw)*V48_Nom),(T6/(Fsw*Lm))*(V48_Nom-V12_Nom),((T6/(Fsw*Lm))*(V48_Nom-V12_Nom)))</f>
        <v>0</v>
      </c>
      <c r="W6" s="6">
        <f t="shared" ref="W6:W37" si="8">IF($O6&lt;((V48_Nom-V12_Nom)*V12_Nom)/((2*Lm*Fsw)*V48_Nom),(T6/(Fsw*Lm))*(V48_Nom-V12_Nom),(V6/2)+$O6)</f>
        <v>0</v>
      </c>
      <c r="X6" s="5">
        <f t="shared" ref="X6:X37" si="9">IF($O6&lt;((V48_Max-V12_Nom)*V12_Nom)/((2*Lm*Fsw)*V48_Max),SQRT((2*$O6*Lm*Fsw*V12_Nom)/(V48_Max*(V48_Max-V12_Nom))),(V12_Nom/V48_Max))</f>
        <v>0</v>
      </c>
      <c r="Y6" s="1">
        <f t="shared" ref="Y6:Y37" si="10">IF($O6&lt;((V48_Max-V12_Nom)*V12_Nom)/((2*Lm*Fsw)*V48_Max),SQRT((2*$O6*Lm*Fsw*V12_Nom)/(V48_Max*(V48_Max-V12_Nom)))*((V48_Max-V12_Nom)/(V12_Nom)),1-(V12_Nom/V48_Max))</f>
        <v>0</v>
      </c>
      <c r="Z6" s="1">
        <f t="shared" ref="Z6:Z37" si="11">IF($O6&lt;((V48_Max-V12_Nom)*V12_Nom)/((2*Lm*Fsw)*V48_Max),(X6/(Fsw*Lm))*(V48_Max-V12_Nom),((X6/(Fsw*Lm))*(V48_Max-V12_Nom)))</f>
        <v>0</v>
      </c>
      <c r="AA6" s="6">
        <f t="shared" ref="AA6:AA37" si="12">IF($O6&lt;((V48_Max-V12_Nom)*V12_Nom)/((2*Lm*Fsw)*V48_Max),(X6/(Fsw*Lm))*(V48_Max-V12_Nom),(Z6/2)+$O6)</f>
        <v>0</v>
      </c>
      <c r="AB6" s="5">
        <f t="shared" ref="AB6:AB37" si="13">IF($O6&lt;((V48_Nom-V12_Min)*V12_Min)/((2*Lm*Fsw)*V48_Nom),SQRT((2*$O6*Lm*Fsw*V12_Min)/(V48_Nom*(V48_Nom-V12_Min))),(V12_Min/V48_Nom))</f>
        <v>0</v>
      </c>
      <c r="AC6" s="1">
        <f t="shared" ref="AC6:AC37" si="14">IF($O6&lt;((V48_Nom-V12_Min)*V12_Min)/((2*Lm*Fsw)*V48_Nom),SQRT((2*$O6*Lm*Fsw*V12_Min)/(V48_Nom*(V48_Nom-V12_Min)))*((V48_Nom-V12_Min)/(V12_Min)),1-(V12_Min/V48_Nom))</f>
        <v>0</v>
      </c>
      <c r="AD6" s="1">
        <f t="shared" ref="AD6:AD37" si="15">IF($O6&lt;((V48_Nom-V12_Min)*V12_Min)/((2*Lm*Fsw)*V48_Nom),(AB6/(Fsw*Lm))*(V48_Nom-V12_Min),((AB6/(Fsw*Lm))*(V48_Nom-V12_Min)))</f>
        <v>0</v>
      </c>
      <c r="AE6" s="6">
        <f t="shared" ref="AE6:AE37" si="16">IF($O6&lt;((V48_Nom-V12_Min)*V12_Min)/((2*Lm*Fsw)*V48_Nom),(AB6/(Fsw*Lm))*(V48_Nom-V12_Min),(AD6/2)+$O6)</f>
        <v>0</v>
      </c>
      <c r="AF6" s="5">
        <f t="shared" ref="AF6:AF56" si="17">IF($O6&lt;((V48_Nom-V12_Nom)*V12_Nom)/((2*Lm*Fsw)*V48_Nom),SQRT((2*$O6*Lm*Fsw*V12_Nom)/(V48_Nom*(V48_Nom-V12_Nom))),(V12_Nom/V48_Nom))</f>
        <v>0</v>
      </c>
      <c r="AG6" s="1">
        <f t="shared" ref="AG6:AG56" si="18">IF($O6&lt;((V48_Nom-V12_Nom)*V12_Nom)/((2*Lm*Fsw)*V48_Nom),SQRT((2*$O6*Lm*Fsw*V12_Nom)/(V48_Nom*(V48_Nom-V12_Nom)))*((V48_Nom-V12_Nom)/(V12_Nom)),1-(V12_Nom/V48_Nom))</f>
        <v>0</v>
      </c>
      <c r="AH6" s="1">
        <f t="shared" ref="AH6" si="19">IF($O6&lt;((V48_Nom-V12_Nom)*V12_Nom)/((2*Lm*Fsw)*V48_Nom),(AF6/(Fsw*Lm))*(V48_Nom-V12_Nom),((AF6/(Fsw*Lm))*(V48_Nom-V12_Nom)))</f>
        <v>0</v>
      </c>
      <c r="AI6" s="6">
        <f t="shared" ref="AI6" si="20">IF($O6&lt;((V48_Nom-V12_Nom)*V12_Nom)/((2*Lm*Fsw)*V48_Nom),(AF6/(Fsw*Lm))*(V48_Nom-V12_Nom),(AH6/2)+$O6)</f>
        <v>0</v>
      </c>
      <c r="AJ6" s="5">
        <f t="shared" ref="AJ6:AJ37" si="21">IF($O6&lt;((V48_Nom-V12_Max)*V12_Max)/((2*Lm*Fsw)*V48_Nom),SQRT((2*$O6*Lm*Fsw*V12_Max)/(V48_Nom*(V48_Nom-V12_Max))),(V12_Max/V48_Nom))</f>
        <v>0</v>
      </c>
      <c r="AK6" s="1">
        <f t="shared" ref="AK6:AK37" si="22">IF($O6&lt;((V48_Nom-V12_Max)*V12_Max)/((2*Lm*Fsw)*V48_Nom),SQRT((2*$O6*Lm*Fsw*V12_Max)/(V48_Nom*(V48_Nom-V12_Max)))*((V48_Nom-V12_Max)/(V12_Max)),1-(V12_Max/V48_Nom))</f>
        <v>0</v>
      </c>
      <c r="AL6" s="1">
        <f t="shared" ref="AL6:AL37" si="23">IF($O6&lt;((V48_Nom-V12_Max)*V12_Max)/((2*Lm*Fsw)*V48_Nom),(AJ6/(Fsw*Lm))*(V48_Nom-V12_Max),((AJ6/(Fsw*Lm))*(V48_Nom-V12_Max)))</f>
        <v>0</v>
      </c>
      <c r="AM6" s="6">
        <f t="shared" ref="AM6:AM37" si="24">IF($O6&lt;((V48_Nom-V12_Max)*V12_Max)/((2*Lm*Fsw)*V48_Nom),(AJ6/(Fsw*Lm))*(V48_Nom-V12_Max),(AL6/2)+$O6)</f>
        <v>0</v>
      </c>
    </row>
    <row r="7" spans="1:39">
      <c r="A7" s="31" t="s">
        <v>108</v>
      </c>
      <c r="B7" s="49">
        <f>Design_Converter!B11</f>
        <v>40</v>
      </c>
      <c r="C7" s="31" t="s">
        <v>1</v>
      </c>
      <c r="E7" s="34" t="s">
        <v>119</v>
      </c>
      <c r="I7" s="36"/>
      <c r="J7" t="s">
        <v>127</v>
      </c>
      <c r="N7">
        <v>1E-3</v>
      </c>
      <c r="O7">
        <f t="shared" si="0"/>
        <v>1</v>
      </c>
      <c r="P7" s="5">
        <f t="shared" si="1"/>
        <v>0.30659419433511781</v>
      </c>
      <c r="Q7" s="1">
        <f t="shared" si="2"/>
        <v>0.30659419433511781</v>
      </c>
      <c r="R7" s="1">
        <f t="shared" si="3"/>
        <v>3.261640365267211</v>
      </c>
      <c r="S7" s="6">
        <f t="shared" si="4"/>
        <v>3.261640365267211</v>
      </c>
      <c r="T7" s="5">
        <f t="shared" si="5"/>
        <v>0.22390474164995552</v>
      </c>
      <c r="U7" s="1">
        <f t="shared" si="6"/>
        <v>0.33585711247493327</v>
      </c>
      <c r="V7" s="1">
        <f t="shared" si="7"/>
        <v>3.5729480050524822</v>
      </c>
      <c r="W7" s="6">
        <f t="shared" si="8"/>
        <v>3.5729480050524822</v>
      </c>
      <c r="X7" s="5">
        <f t="shared" si="9"/>
        <v>0.14658006101006468</v>
      </c>
      <c r="Y7" s="1">
        <f t="shared" si="10"/>
        <v>0.36645015252516172</v>
      </c>
      <c r="Z7" s="1">
        <f t="shared" si="11"/>
        <v>3.8984058779272521</v>
      </c>
      <c r="AA7" s="6">
        <f t="shared" si="12"/>
        <v>3.8984058779272521</v>
      </c>
      <c r="AB7" s="5">
        <f t="shared" si="13"/>
        <v>0.21015489374525487</v>
      </c>
      <c r="AC7" s="1">
        <f t="shared" si="14"/>
        <v>0.35783130556624476</v>
      </c>
      <c r="AD7" s="1">
        <f t="shared" si="15"/>
        <v>3.5212123154125154</v>
      </c>
      <c r="AE7" s="6">
        <f t="shared" si="16"/>
        <v>3.5212123154125154</v>
      </c>
      <c r="AF7" s="5">
        <f t="shared" si="17"/>
        <v>0.22390474164995552</v>
      </c>
      <c r="AG7" s="1">
        <f t="shared" si="18"/>
        <v>0.33585711247493327</v>
      </c>
      <c r="AH7" s="1">
        <f t="shared" ref="AH7:AH56" si="25">IF($O7&lt;((V48_Nom-V12_Nom)*V12_Nom)/((2*Lm*Fsw)*V48_Nom),(AF7/(Fsw*Lm))*(V48_Nom-V12_Nom),((AF7/(Fsw*Lm))*(V48_Nom-V12_Nom)))</f>
        <v>3.5729480050524822</v>
      </c>
      <c r="AI7" s="6">
        <f t="shared" ref="AI7:AI56" si="26">IF($O7&lt;((V48_Nom-V12_Nom)*V12_Nom)/((2*Lm*Fsw)*V48_Nom),(AF7/(Fsw*Lm))*(V48_Nom-V12_Nom),(AH7/2)+$O7)</f>
        <v>3.5729480050524822</v>
      </c>
      <c r="AJ7" s="5">
        <f t="shared" si="21"/>
        <v>0.24307553205889376</v>
      </c>
      <c r="AK7" s="1">
        <f t="shared" si="22"/>
        <v>0.30936885898404659</v>
      </c>
      <c r="AL7" s="1">
        <f t="shared" si="23"/>
        <v>3.6202738817282052</v>
      </c>
      <c r="AM7" s="6">
        <f t="shared" si="24"/>
        <v>3.6202738817282052</v>
      </c>
    </row>
    <row r="8" spans="1:39">
      <c r="A8" s="31" t="s">
        <v>109</v>
      </c>
      <c r="B8" s="49">
        <f>Design_Converter!B12</f>
        <v>50</v>
      </c>
      <c r="C8" s="31" t="s">
        <v>1</v>
      </c>
      <c r="E8" s="34" t="s">
        <v>120</v>
      </c>
      <c r="I8" s="37"/>
      <c r="J8" t="s">
        <v>128</v>
      </c>
      <c r="N8">
        <v>2E-3</v>
      </c>
      <c r="O8">
        <f t="shared" si="0"/>
        <v>2</v>
      </c>
      <c r="P8" s="5">
        <f t="shared" si="1"/>
        <v>0.43358966777357594</v>
      </c>
      <c r="Q8" s="1">
        <f t="shared" si="2"/>
        <v>0.43358966777357594</v>
      </c>
      <c r="R8" s="1">
        <f t="shared" si="3"/>
        <v>4.612656040144425</v>
      </c>
      <c r="S8" s="6">
        <f t="shared" si="4"/>
        <v>4.612656040144425</v>
      </c>
      <c r="T8" s="5">
        <f t="shared" si="5"/>
        <v>0.31664912232101111</v>
      </c>
      <c r="U8" s="1">
        <f t="shared" si="6"/>
        <v>0.4749736834815167</v>
      </c>
      <c r="V8" s="1">
        <f t="shared" si="7"/>
        <v>5.0529115263991136</v>
      </c>
      <c r="W8" s="6">
        <f t="shared" si="8"/>
        <v>5.0529115263991136</v>
      </c>
      <c r="X8" s="5">
        <f t="shared" si="9"/>
        <v>0.20729551025390916</v>
      </c>
      <c r="Y8" s="1">
        <f t="shared" si="10"/>
        <v>0.51823877563477294</v>
      </c>
      <c r="Z8" s="1">
        <f t="shared" si="11"/>
        <v>5.5131784641997115</v>
      </c>
      <c r="AA8" s="6">
        <f t="shared" si="12"/>
        <v>5.5131784641997115</v>
      </c>
      <c r="AB8" s="5">
        <f t="shared" si="13"/>
        <v>0.29720390093361615</v>
      </c>
      <c r="AC8" s="1">
        <f t="shared" si="14"/>
        <v>0.50604988537345452</v>
      </c>
      <c r="AD8" s="1">
        <f t="shared" si="15"/>
        <v>4.9797462124515475</v>
      </c>
      <c r="AE8" s="6">
        <f t="shared" si="16"/>
        <v>4.9797462124515475</v>
      </c>
      <c r="AF8" s="5">
        <f t="shared" si="17"/>
        <v>0.31664912232101111</v>
      </c>
      <c r="AG8" s="1">
        <f t="shared" si="18"/>
        <v>0.4749736834815167</v>
      </c>
      <c r="AH8" s="1">
        <f t="shared" si="25"/>
        <v>5.0529115263991136</v>
      </c>
      <c r="AI8" s="6">
        <f t="shared" si="26"/>
        <v>5.0529115263991136</v>
      </c>
      <c r="AJ8" s="5">
        <f t="shared" si="21"/>
        <v>0.34376071411874359</v>
      </c>
      <c r="AK8" s="1">
        <f t="shared" si="22"/>
        <v>0.4375136361511282</v>
      </c>
      <c r="AL8" s="1">
        <f t="shared" si="23"/>
        <v>5.119840423045118</v>
      </c>
      <c r="AM8" s="6">
        <f t="shared" si="24"/>
        <v>5.119840423045118</v>
      </c>
    </row>
    <row r="9" spans="1:39">
      <c r="A9" s="31" t="s">
        <v>110</v>
      </c>
      <c r="B9" s="49">
        <f>Design_Converter!B13</f>
        <v>70</v>
      </c>
      <c r="C9" s="31" t="s">
        <v>1</v>
      </c>
      <c r="E9" s="34" t="s">
        <v>125</v>
      </c>
      <c r="I9" s="38"/>
      <c r="J9" t="s">
        <v>138</v>
      </c>
      <c r="N9">
        <v>3.0000000000000001E-3</v>
      </c>
      <c r="O9">
        <f t="shared" si="0"/>
        <v>3</v>
      </c>
      <c r="P9" s="5">
        <f t="shared" si="1"/>
        <v>0.5</v>
      </c>
      <c r="Q9" s="1">
        <f t="shared" si="2"/>
        <v>0.5</v>
      </c>
      <c r="R9" s="1">
        <f t="shared" si="3"/>
        <v>5.3191489361702127</v>
      </c>
      <c r="S9" s="6">
        <f t="shared" si="4"/>
        <v>5.6595744680851059</v>
      </c>
      <c r="T9" s="5">
        <f t="shared" si="5"/>
        <v>0.3878143885933063</v>
      </c>
      <c r="U9" s="1">
        <f t="shared" si="6"/>
        <v>0.58172158288995945</v>
      </c>
      <c r="V9" s="1">
        <f t="shared" si="7"/>
        <v>6.1885274775527606</v>
      </c>
      <c r="W9" s="6">
        <f t="shared" si="8"/>
        <v>6.1885274775527606</v>
      </c>
      <c r="X9" s="5">
        <f t="shared" si="9"/>
        <v>0.25388411304597786</v>
      </c>
      <c r="Y9" s="1">
        <f t="shared" si="10"/>
        <v>0.63471028261494467</v>
      </c>
      <c r="Z9" s="1">
        <f t="shared" si="11"/>
        <v>6.7522370490951555</v>
      </c>
      <c r="AA9" s="6">
        <f t="shared" si="12"/>
        <v>6.7522370490951555</v>
      </c>
      <c r="AB9" s="5">
        <f t="shared" si="13"/>
        <v>0.36399895342602034</v>
      </c>
      <c r="AC9" s="1">
        <f t="shared" si="14"/>
        <v>0.61978200177943998</v>
      </c>
      <c r="AD9" s="1">
        <f t="shared" si="15"/>
        <v>6.0989186345317243</v>
      </c>
      <c r="AE9" s="6">
        <f t="shared" si="16"/>
        <v>6.0989186345317243</v>
      </c>
      <c r="AF9" s="5">
        <f t="shared" si="17"/>
        <v>0.3878143885933063</v>
      </c>
      <c r="AG9" s="1">
        <f t="shared" si="18"/>
        <v>0.58172158288995945</v>
      </c>
      <c r="AH9" s="1">
        <f t="shared" si="25"/>
        <v>6.1885274775527606</v>
      </c>
      <c r="AI9" s="6">
        <f t="shared" si="26"/>
        <v>6.1885274775527606</v>
      </c>
      <c r="AJ9" s="5">
        <f t="shared" si="21"/>
        <v>0.42101917160284147</v>
      </c>
      <c r="AK9" s="1">
        <f t="shared" si="22"/>
        <v>0.53584258203998003</v>
      </c>
      <c r="AL9" s="1">
        <f t="shared" si="23"/>
        <v>6.2704983004678523</v>
      </c>
      <c r="AM9" s="6">
        <f t="shared" si="24"/>
        <v>6.2704983004678523</v>
      </c>
    </row>
    <row r="10" spans="1:39">
      <c r="A10" s="195" t="s">
        <v>121</v>
      </c>
      <c r="B10" s="195"/>
      <c r="C10" s="195"/>
      <c r="I10" s="39"/>
      <c r="J10" t="s">
        <v>145</v>
      </c>
      <c r="N10">
        <v>4.0000000000000001E-3</v>
      </c>
      <c r="O10">
        <f t="shared" si="0"/>
        <v>4</v>
      </c>
      <c r="P10" s="5">
        <f t="shared" si="1"/>
        <v>0.5</v>
      </c>
      <c r="Q10" s="1">
        <f t="shared" si="2"/>
        <v>0.5</v>
      </c>
      <c r="R10" s="1">
        <f t="shared" si="3"/>
        <v>5.3191489361702127</v>
      </c>
      <c r="S10" s="6">
        <f t="shared" si="4"/>
        <v>6.6595744680851059</v>
      </c>
      <c r="T10" s="5">
        <f t="shared" si="5"/>
        <v>0.4</v>
      </c>
      <c r="U10" s="1">
        <f t="shared" si="6"/>
        <v>0.6</v>
      </c>
      <c r="V10" s="1">
        <f t="shared" si="7"/>
        <v>6.3829787234042561</v>
      </c>
      <c r="W10" s="6">
        <f t="shared" si="8"/>
        <v>7.1914893617021285</v>
      </c>
      <c r="X10" s="5">
        <f t="shared" si="9"/>
        <v>0.2857142857142857</v>
      </c>
      <c r="Y10" s="1">
        <f t="shared" si="10"/>
        <v>0.7142857142857143</v>
      </c>
      <c r="Z10" s="1">
        <f t="shared" si="11"/>
        <v>7.598784194528875</v>
      </c>
      <c r="AA10" s="6">
        <f t="shared" si="12"/>
        <v>7.7993920972644375</v>
      </c>
      <c r="AB10" s="5">
        <f t="shared" si="13"/>
        <v>0.37</v>
      </c>
      <c r="AC10" s="1">
        <f t="shared" si="14"/>
        <v>0.63</v>
      </c>
      <c r="AD10" s="1">
        <f t="shared" si="15"/>
        <v>6.1994680851063828</v>
      </c>
      <c r="AE10" s="6">
        <f t="shared" si="16"/>
        <v>7.099734042553191</v>
      </c>
      <c r="AF10" s="5">
        <f t="shared" si="17"/>
        <v>0.4</v>
      </c>
      <c r="AG10" s="1">
        <f t="shared" si="18"/>
        <v>0.6</v>
      </c>
      <c r="AH10" s="1">
        <f t="shared" si="25"/>
        <v>6.3829787234042561</v>
      </c>
      <c r="AI10" s="6">
        <f t="shared" si="26"/>
        <v>7.1914893617021285</v>
      </c>
      <c r="AJ10" s="5">
        <f t="shared" si="21"/>
        <v>0.44</v>
      </c>
      <c r="AK10" s="1">
        <f t="shared" si="22"/>
        <v>0.56000000000000005</v>
      </c>
      <c r="AL10" s="1">
        <f t="shared" si="23"/>
        <v>6.5531914893617023</v>
      </c>
      <c r="AM10" s="6">
        <f t="shared" si="24"/>
        <v>7.2765957446808507</v>
      </c>
    </row>
    <row r="11" spans="1:39">
      <c r="A11" s="31" t="s">
        <v>76</v>
      </c>
      <c r="B11" s="49">
        <f>Design_Converter!B16</f>
        <v>18.5</v>
      </c>
      <c r="C11" s="31" t="s">
        <v>1</v>
      </c>
      <c r="E11" s="34" t="s">
        <v>122</v>
      </c>
      <c r="N11">
        <v>5.0000000000000001E-3</v>
      </c>
      <c r="O11">
        <f t="shared" si="0"/>
        <v>5</v>
      </c>
      <c r="P11" s="5">
        <f t="shared" si="1"/>
        <v>0.5</v>
      </c>
      <c r="Q11" s="1">
        <f t="shared" si="2"/>
        <v>0.5</v>
      </c>
      <c r="R11" s="1">
        <f t="shared" si="3"/>
        <v>5.3191489361702127</v>
      </c>
      <c r="S11" s="6">
        <f t="shared" si="4"/>
        <v>7.6595744680851059</v>
      </c>
      <c r="T11" s="5">
        <f t="shared" si="5"/>
        <v>0.4</v>
      </c>
      <c r="U11" s="1">
        <f t="shared" si="6"/>
        <v>0.6</v>
      </c>
      <c r="V11" s="1">
        <f t="shared" si="7"/>
        <v>6.3829787234042561</v>
      </c>
      <c r="W11" s="6">
        <f t="shared" si="8"/>
        <v>8.1914893617021285</v>
      </c>
      <c r="X11" s="5">
        <f t="shared" si="9"/>
        <v>0.2857142857142857</v>
      </c>
      <c r="Y11" s="1">
        <f t="shared" si="10"/>
        <v>0.7142857142857143</v>
      </c>
      <c r="Z11" s="1">
        <f t="shared" si="11"/>
        <v>7.598784194528875</v>
      </c>
      <c r="AA11" s="6">
        <f t="shared" si="12"/>
        <v>8.7993920972644375</v>
      </c>
      <c r="AB11" s="5">
        <f t="shared" si="13"/>
        <v>0.37</v>
      </c>
      <c r="AC11" s="1">
        <f t="shared" si="14"/>
        <v>0.63</v>
      </c>
      <c r="AD11" s="1">
        <f t="shared" si="15"/>
        <v>6.1994680851063828</v>
      </c>
      <c r="AE11" s="6">
        <f t="shared" si="16"/>
        <v>8.099734042553191</v>
      </c>
      <c r="AF11" s="5">
        <f t="shared" si="17"/>
        <v>0.4</v>
      </c>
      <c r="AG11" s="1">
        <f t="shared" si="18"/>
        <v>0.6</v>
      </c>
      <c r="AH11" s="1">
        <f t="shared" si="25"/>
        <v>6.3829787234042561</v>
      </c>
      <c r="AI11" s="6">
        <f t="shared" si="26"/>
        <v>8.1914893617021285</v>
      </c>
      <c r="AJ11" s="5">
        <f t="shared" si="21"/>
        <v>0.44</v>
      </c>
      <c r="AK11" s="1">
        <f t="shared" si="22"/>
        <v>0.56000000000000005</v>
      </c>
      <c r="AL11" s="1">
        <f t="shared" si="23"/>
        <v>6.5531914893617023</v>
      </c>
      <c r="AM11" s="6">
        <f t="shared" si="24"/>
        <v>8.2765957446808507</v>
      </c>
    </row>
    <row r="12" spans="1:39">
      <c r="A12" s="31" t="s">
        <v>77</v>
      </c>
      <c r="B12" s="49">
        <f>Design_Converter!B17</f>
        <v>20</v>
      </c>
      <c r="C12" s="31" t="s">
        <v>1</v>
      </c>
      <c r="E12" s="34" t="s">
        <v>123</v>
      </c>
      <c r="N12">
        <v>6.0000000000000001E-3</v>
      </c>
      <c r="O12">
        <f t="shared" si="0"/>
        <v>6</v>
      </c>
      <c r="P12" s="5">
        <f t="shared" si="1"/>
        <v>0.5</v>
      </c>
      <c r="Q12" s="1">
        <f t="shared" si="2"/>
        <v>0.5</v>
      </c>
      <c r="R12" s="1">
        <f t="shared" si="3"/>
        <v>5.3191489361702127</v>
      </c>
      <c r="S12" s="6">
        <f t="shared" si="4"/>
        <v>8.6595744680851059</v>
      </c>
      <c r="T12" s="5">
        <f t="shared" si="5"/>
        <v>0.4</v>
      </c>
      <c r="U12" s="1">
        <f t="shared" si="6"/>
        <v>0.6</v>
      </c>
      <c r="V12" s="1">
        <f t="shared" si="7"/>
        <v>6.3829787234042561</v>
      </c>
      <c r="W12" s="6">
        <f t="shared" si="8"/>
        <v>9.1914893617021285</v>
      </c>
      <c r="X12" s="5">
        <f t="shared" si="9"/>
        <v>0.2857142857142857</v>
      </c>
      <c r="Y12" s="1">
        <f t="shared" si="10"/>
        <v>0.7142857142857143</v>
      </c>
      <c r="Z12" s="1">
        <f t="shared" si="11"/>
        <v>7.598784194528875</v>
      </c>
      <c r="AA12" s="6">
        <f t="shared" si="12"/>
        <v>9.7993920972644375</v>
      </c>
      <c r="AB12" s="5">
        <f t="shared" si="13"/>
        <v>0.37</v>
      </c>
      <c r="AC12" s="1">
        <f t="shared" si="14"/>
        <v>0.63</v>
      </c>
      <c r="AD12" s="1">
        <f t="shared" si="15"/>
        <v>6.1994680851063828</v>
      </c>
      <c r="AE12" s="6">
        <f t="shared" si="16"/>
        <v>9.099734042553191</v>
      </c>
      <c r="AF12" s="5">
        <f t="shared" si="17"/>
        <v>0.4</v>
      </c>
      <c r="AG12" s="1">
        <f t="shared" si="18"/>
        <v>0.6</v>
      </c>
      <c r="AH12" s="1">
        <f t="shared" si="25"/>
        <v>6.3829787234042561</v>
      </c>
      <c r="AI12" s="6">
        <f t="shared" si="26"/>
        <v>9.1914893617021285</v>
      </c>
      <c r="AJ12" s="5">
        <f t="shared" si="21"/>
        <v>0.44</v>
      </c>
      <c r="AK12" s="1">
        <f t="shared" si="22"/>
        <v>0.56000000000000005</v>
      </c>
      <c r="AL12" s="1">
        <f t="shared" si="23"/>
        <v>6.5531914893617023</v>
      </c>
      <c r="AM12" s="6">
        <f t="shared" si="24"/>
        <v>9.2765957446808507</v>
      </c>
    </row>
    <row r="13" spans="1:39">
      <c r="A13" s="31" t="s">
        <v>78</v>
      </c>
      <c r="B13" s="49">
        <f>Design_Converter!B18</f>
        <v>22</v>
      </c>
      <c r="C13" s="31" t="s">
        <v>1</v>
      </c>
      <c r="E13" s="34" t="s">
        <v>124</v>
      </c>
      <c r="N13">
        <v>7.0000000000000001E-3</v>
      </c>
      <c r="O13">
        <f t="shared" si="0"/>
        <v>7</v>
      </c>
      <c r="P13" s="5">
        <f t="shared" si="1"/>
        <v>0.5</v>
      </c>
      <c r="Q13" s="1">
        <f t="shared" si="2"/>
        <v>0.5</v>
      </c>
      <c r="R13" s="1">
        <f t="shared" si="3"/>
        <v>5.3191489361702127</v>
      </c>
      <c r="S13" s="6">
        <f t="shared" si="4"/>
        <v>9.6595744680851059</v>
      </c>
      <c r="T13" s="5">
        <f t="shared" si="5"/>
        <v>0.4</v>
      </c>
      <c r="U13" s="1">
        <f t="shared" si="6"/>
        <v>0.6</v>
      </c>
      <c r="V13" s="1">
        <f t="shared" si="7"/>
        <v>6.3829787234042561</v>
      </c>
      <c r="W13" s="6">
        <f t="shared" si="8"/>
        <v>10.191489361702128</v>
      </c>
      <c r="X13" s="5">
        <f t="shared" si="9"/>
        <v>0.2857142857142857</v>
      </c>
      <c r="Y13" s="1">
        <f t="shared" si="10"/>
        <v>0.7142857142857143</v>
      </c>
      <c r="Z13" s="1">
        <f t="shared" si="11"/>
        <v>7.598784194528875</v>
      </c>
      <c r="AA13" s="6">
        <f t="shared" si="12"/>
        <v>10.799392097264437</v>
      </c>
      <c r="AB13" s="5">
        <f t="shared" si="13"/>
        <v>0.37</v>
      </c>
      <c r="AC13" s="1">
        <f t="shared" si="14"/>
        <v>0.63</v>
      </c>
      <c r="AD13" s="1">
        <f t="shared" si="15"/>
        <v>6.1994680851063828</v>
      </c>
      <c r="AE13" s="6">
        <f t="shared" si="16"/>
        <v>10.099734042553191</v>
      </c>
      <c r="AF13" s="5">
        <f t="shared" si="17"/>
        <v>0.4</v>
      </c>
      <c r="AG13" s="1">
        <f t="shared" si="18"/>
        <v>0.6</v>
      </c>
      <c r="AH13" s="1">
        <f t="shared" si="25"/>
        <v>6.3829787234042561</v>
      </c>
      <c r="AI13" s="6">
        <f t="shared" si="26"/>
        <v>10.191489361702128</v>
      </c>
      <c r="AJ13" s="5">
        <f t="shared" si="21"/>
        <v>0.44</v>
      </c>
      <c r="AK13" s="1">
        <f t="shared" si="22"/>
        <v>0.56000000000000005</v>
      </c>
      <c r="AL13" s="1">
        <f t="shared" si="23"/>
        <v>6.5531914893617023</v>
      </c>
      <c r="AM13" s="6">
        <f t="shared" si="24"/>
        <v>10.276595744680851</v>
      </c>
    </row>
    <row r="14" spans="1:39">
      <c r="A14" s="195" t="s">
        <v>86</v>
      </c>
      <c r="B14" s="195"/>
      <c r="C14" s="195"/>
      <c r="N14">
        <v>8.0000000000000002E-3</v>
      </c>
      <c r="O14">
        <f t="shared" si="0"/>
        <v>8</v>
      </c>
      <c r="P14" s="5">
        <f t="shared" si="1"/>
        <v>0.5</v>
      </c>
      <c r="Q14" s="1">
        <f t="shared" si="2"/>
        <v>0.5</v>
      </c>
      <c r="R14" s="1">
        <f t="shared" si="3"/>
        <v>5.3191489361702127</v>
      </c>
      <c r="S14" s="6">
        <f t="shared" si="4"/>
        <v>10.659574468085106</v>
      </c>
      <c r="T14" s="5">
        <f t="shared" si="5"/>
        <v>0.4</v>
      </c>
      <c r="U14" s="1">
        <f t="shared" si="6"/>
        <v>0.6</v>
      </c>
      <c r="V14" s="1">
        <f t="shared" si="7"/>
        <v>6.3829787234042561</v>
      </c>
      <c r="W14" s="6">
        <f t="shared" si="8"/>
        <v>11.191489361702128</v>
      </c>
      <c r="X14" s="5">
        <f t="shared" si="9"/>
        <v>0.2857142857142857</v>
      </c>
      <c r="Y14" s="1">
        <f t="shared" si="10"/>
        <v>0.7142857142857143</v>
      </c>
      <c r="Z14" s="1">
        <f t="shared" si="11"/>
        <v>7.598784194528875</v>
      </c>
      <c r="AA14" s="6">
        <f t="shared" si="12"/>
        <v>11.799392097264437</v>
      </c>
      <c r="AB14" s="5">
        <f t="shared" si="13"/>
        <v>0.37</v>
      </c>
      <c r="AC14" s="1">
        <f t="shared" si="14"/>
        <v>0.63</v>
      </c>
      <c r="AD14" s="1">
        <f t="shared" si="15"/>
        <v>6.1994680851063828</v>
      </c>
      <c r="AE14" s="6">
        <f t="shared" si="16"/>
        <v>11.099734042553191</v>
      </c>
      <c r="AF14" s="5">
        <f t="shared" si="17"/>
        <v>0.4</v>
      </c>
      <c r="AG14" s="1">
        <f t="shared" si="18"/>
        <v>0.6</v>
      </c>
      <c r="AH14" s="1">
        <f t="shared" si="25"/>
        <v>6.3829787234042561</v>
      </c>
      <c r="AI14" s="6">
        <f t="shared" si="26"/>
        <v>11.191489361702128</v>
      </c>
      <c r="AJ14" s="5">
        <f t="shared" si="21"/>
        <v>0.44</v>
      </c>
      <c r="AK14" s="1">
        <f t="shared" si="22"/>
        <v>0.56000000000000005</v>
      </c>
      <c r="AL14" s="1">
        <f t="shared" si="23"/>
        <v>6.5531914893617023</v>
      </c>
      <c r="AM14" s="6">
        <f t="shared" si="24"/>
        <v>11.276595744680851</v>
      </c>
    </row>
    <row r="15" spans="1:39">
      <c r="A15" s="31" t="s">
        <v>129</v>
      </c>
      <c r="B15" s="49">
        <f>Design_Converter!B21*1000</f>
        <v>400000</v>
      </c>
      <c r="C15" s="31" t="s">
        <v>87</v>
      </c>
      <c r="D15" s="34">
        <f>IF(AND(B15&lt;=Constants!B39,B15&lt;=Constants!D39),1,0)</f>
        <v>0</v>
      </c>
      <c r="E15" s="34" t="s">
        <v>130</v>
      </c>
      <c r="N15">
        <v>8.9999999999999993E-3</v>
      </c>
      <c r="O15">
        <f t="shared" si="0"/>
        <v>9</v>
      </c>
      <c r="P15" s="5">
        <f t="shared" si="1"/>
        <v>0.5</v>
      </c>
      <c r="Q15" s="1">
        <f t="shared" si="2"/>
        <v>0.5</v>
      </c>
      <c r="R15" s="1">
        <f t="shared" si="3"/>
        <v>5.3191489361702127</v>
      </c>
      <c r="S15" s="6">
        <f t="shared" si="4"/>
        <v>11.659574468085106</v>
      </c>
      <c r="T15" s="5">
        <f t="shared" si="5"/>
        <v>0.4</v>
      </c>
      <c r="U15" s="1">
        <f t="shared" si="6"/>
        <v>0.6</v>
      </c>
      <c r="V15" s="1">
        <f t="shared" si="7"/>
        <v>6.3829787234042561</v>
      </c>
      <c r="W15" s="6">
        <f t="shared" si="8"/>
        <v>12.191489361702128</v>
      </c>
      <c r="X15" s="5">
        <f t="shared" si="9"/>
        <v>0.2857142857142857</v>
      </c>
      <c r="Y15" s="1">
        <f t="shared" si="10"/>
        <v>0.7142857142857143</v>
      </c>
      <c r="Z15" s="1">
        <f t="shared" si="11"/>
        <v>7.598784194528875</v>
      </c>
      <c r="AA15" s="6">
        <f t="shared" si="12"/>
        <v>12.799392097264437</v>
      </c>
      <c r="AB15" s="5">
        <f t="shared" si="13"/>
        <v>0.37</v>
      </c>
      <c r="AC15" s="1">
        <f t="shared" si="14"/>
        <v>0.63</v>
      </c>
      <c r="AD15" s="1">
        <f t="shared" si="15"/>
        <v>6.1994680851063828</v>
      </c>
      <c r="AE15" s="6">
        <f t="shared" si="16"/>
        <v>12.099734042553191</v>
      </c>
      <c r="AF15" s="5">
        <f t="shared" si="17"/>
        <v>0.4</v>
      </c>
      <c r="AG15" s="1">
        <f t="shared" si="18"/>
        <v>0.6</v>
      </c>
      <c r="AH15" s="1">
        <f t="shared" si="25"/>
        <v>6.3829787234042561</v>
      </c>
      <c r="AI15" s="6">
        <f t="shared" si="26"/>
        <v>12.191489361702128</v>
      </c>
      <c r="AJ15" s="5">
        <f t="shared" si="21"/>
        <v>0.44</v>
      </c>
      <c r="AK15" s="1">
        <f t="shared" si="22"/>
        <v>0.56000000000000005</v>
      </c>
      <c r="AL15" s="1">
        <f t="shared" si="23"/>
        <v>6.5531914893617023</v>
      </c>
      <c r="AM15" s="6">
        <f t="shared" si="24"/>
        <v>12.276595744680851</v>
      </c>
    </row>
    <row r="16" spans="1:39">
      <c r="A16" s="31" t="s">
        <v>149</v>
      </c>
      <c r="B16" s="50">
        <f>Constants!C17/(Fsw*1000)</f>
        <v>10</v>
      </c>
      <c r="C16" s="31" t="s">
        <v>39</v>
      </c>
      <c r="D16" s="34" t="s">
        <v>98</v>
      </c>
      <c r="E16" s="34" t="s">
        <v>150</v>
      </c>
      <c r="N16">
        <v>0.01</v>
      </c>
      <c r="O16">
        <f t="shared" si="0"/>
        <v>10</v>
      </c>
      <c r="P16" s="5">
        <f t="shared" si="1"/>
        <v>0.5</v>
      </c>
      <c r="Q16" s="1">
        <f t="shared" si="2"/>
        <v>0.5</v>
      </c>
      <c r="R16" s="1">
        <f t="shared" si="3"/>
        <v>5.3191489361702127</v>
      </c>
      <c r="S16" s="6">
        <f t="shared" si="4"/>
        <v>12.659574468085106</v>
      </c>
      <c r="T16" s="5">
        <f t="shared" si="5"/>
        <v>0.4</v>
      </c>
      <c r="U16" s="1">
        <f t="shared" si="6"/>
        <v>0.6</v>
      </c>
      <c r="V16" s="1">
        <f t="shared" si="7"/>
        <v>6.3829787234042561</v>
      </c>
      <c r="W16" s="6">
        <f t="shared" si="8"/>
        <v>13.191489361702128</v>
      </c>
      <c r="X16" s="5">
        <f t="shared" si="9"/>
        <v>0.2857142857142857</v>
      </c>
      <c r="Y16" s="1">
        <f t="shared" si="10"/>
        <v>0.7142857142857143</v>
      </c>
      <c r="Z16" s="1">
        <f t="shared" si="11"/>
        <v>7.598784194528875</v>
      </c>
      <c r="AA16" s="6">
        <f t="shared" si="12"/>
        <v>13.799392097264437</v>
      </c>
      <c r="AB16" s="5">
        <f t="shared" si="13"/>
        <v>0.37</v>
      </c>
      <c r="AC16" s="1">
        <f t="shared" si="14"/>
        <v>0.63</v>
      </c>
      <c r="AD16" s="1">
        <f t="shared" si="15"/>
        <v>6.1994680851063828</v>
      </c>
      <c r="AE16" s="6">
        <f t="shared" si="16"/>
        <v>13.099734042553191</v>
      </c>
      <c r="AF16" s="5">
        <f t="shared" si="17"/>
        <v>0.4</v>
      </c>
      <c r="AG16" s="1">
        <f t="shared" si="18"/>
        <v>0.6</v>
      </c>
      <c r="AH16" s="1">
        <f t="shared" si="25"/>
        <v>6.3829787234042561</v>
      </c>
      <c r="AI16" s="6">
        <f t="shared" si="26"/>
        <v>13.191489361702128</v>
      </c>
      <c r="AJ16" s="5">
        <f t="shared" si="21"/>
        <v>0.44</v>
      </c>
      <c r="AK16" s="1">
        <f t="shared" si="22"/>
        <v>0.56000000000000005</v>
      </c>
      <c r="AL16" s="1">
        <f t="shared" si="23"/>
        <v>6.5531914893617023</v>
      </c>
      <c r="AM16" s="6">
        <f t="shared" si="24"/>
        <v>13.276595744680851</v>
      </c>
    </row>
    <row r="17" spans="1:39">
      <c r="A17" s="31" t="s">
        <v>88</v>
      </c>
      <c r="B17" s="51">
        <f>(1-(V12_Max/V48_Min))/Fsw</f>
        <v>1.1249999999999998E-6</v>
      </c>
      <c r="C17" s="31" t="s">
        <v>23</v>
      </c>
      <c r="D17" s="34">
        <f>IF(B17&lt;Constants!C3,1,0)</f>
        <v>0</v>
      </c>
      <c r="N17">
        <v>1.0999999999999999E-2</v>
      </c>
      <c r="O17">
        <f t="shared" si="0"/>
        <v>11</v>
      </c>
      <c r="P17" s="5">
        <f t="shared" si="1"/>
        <v>0.5</v>
      </c>
      <c r="Q17" s="1">
        <f t="shared" si="2"/>
        <v>0.5</v>
      </c>
      <c r="R17" s="1">
        <f t="shared" si="3"/>
        <v>5.3191489361702127</v>
      </c>
      <c r="S17" s="6">
        <f t="shared" si="4"/>
        <v>13.659574468085106</v>
      </c>
      <c r="T17" s="5">
        <f t="shared" si="5"/>
        <v>0.4</v>
      </c>
      <c r="U17" s="1">
        <f t="shared" si="6"/>
        <v>0.6</v>
      </c>
      <c r="V17" s="1">
        <f t="shared" si="7"/>
        <v>6.3829787234042561</v>
      </c>
      <c r="W17" s="6">
        <f t="shared" si="8"/>
        <v>14.191489361702128</v>
      </c>
      <c r="X17" s="5">
        <f t="shared" si="9"/>
        <v>0.2857142857142857</v>
      </c>
      <c r="Y17" s="1">
        <f t="shared" si="10"/>
        <v>0.7142857142857143</v>
      </c>
      <c r="Z17" s="1">
        <f t="shared" si="11"/>
        <v>7.598784194528875</v>
      </c>
      <c r="AA17" s="6">
        <f t="shared" si="12"/>
        <v>14.799392097264437</v>
      </c>
      <c r="AB17" s="5">
        <f t="shared" si="13"/>
        <v>0.37</v>
      </c>
      <c r="AC17" s="1">
        <f t="shared" si="14"/>
        <v>0.63</v>
      </c>
      <c r="AD17" s="1">
        <f t="shared" si="15"/>
        <v>6.1994680851063828</v>
      </c>
      <c r="AE17" s="6">
        <f t="shared" si="16"/>
        <v>14.099734042553191</v>
      </c>
      <c r="AF17" s="5">
        <f t="shared" si="17"/>
        <v>0.4</v>
      </c>
      <c r="AG17" s="1">
        <f t="shared" si="18"/>
        <v>0.6</v>
      </c>
      <c r="AH17" s="1">
        <f t="shared" si="25"/>
        <v>6.3829787234042561</v>
      </c>
      <c r="AI17" s="6">
        <f t="shared" si="26"/>
        <v>14.191489361702128</v>
      </c>
      <c r="AJ17" s="5">
        <f t="shared" si="21"/>
        <v>0.44</v>
      </c>
      <c r="AK17" s="1">
        <f t="shared" si="22"/>
        <v>0.56000000000000005</v>
      </c>
      <c r="AL17" s="1">
        <f t="shared" si="23"/>
        <v>6.5531914893617023</v>
      </c>
      <c r="AM17" s="6">
        <f t="shared" si="24"/>
        <v>14.276595744680851</v>
      </c>
    </row>
    <row r="18" spans="1:39">
      <c r="A18" s="31" t="s">
        <v>89</v>
      </c>
      <c r="B18" s="51">
        <f>(V12_Min/V48_Max)/Fsw</f>
        <v>6.6071428571428576E-7</v>
      </c>
      <c r="C18" s="31" t="s">
        <v>23</v>
      </c>
      <c r="D18" s="34">
        <f>IF(B18&lt;Constants!C3,1,0)</f>
        <v>0</v>
      </c>
      <c r="N18">
        <v>1.2E-2</v>
      </c>
      <c r="O18">
        <f t="shared" si="0"/>
        <v>12</v>
      </c>
      <c r="P18" s="5">
        <f t="shared" si="1"/>
        <v>0.5</v>
      </c>
      <c r="Q18" s="1">
        <f t="shared" si="2"/>
        <v>0.5</v>
      </c>
      <c r="R18" s="1">
        <f t="shared" si="3"/>
        <v>5.3191489361702127</v>
      </c>
      <c r="S18" s="6">
        <f t="shared" si="4"/>
        <v>14.659574468085106</v>
      </c>
      <c r="T18" s="5">
        <f t="shared" si="5"/>
        <v>0.4</v>
      </c>
      <c r="U18" s="1">
        <f t="shared" si="6"/>
        <v>0.6</v>
      </c>
      <c r="V18" s="1">
        <f t="shared" si="7"/>
        <v>6.3829787234042561</v>
      </c>
      <c r="W18" s="6">
        <f t="shared" si="8"/>
        <v>15.191489361702128</v>
      </c>
      <c r="X18" s="5">
        <f t="shared" si="9"/>
        <v>0.2857142857142857</v>
      </c>
      <c r="Y18" s="1">
        <f t="shared" si="10"/>
        <v>0.7142857142857143</v>
      </c>
      <c r="Z18" s="1">
        <f t="shared" si="11"/>
        <v>7.598784194528875</v>
      </c>
      <c r="AA18" s="6">
        <f t="shared" si="12"/>
        <v>15.799392097264437</v>
      </c>
      <c r="AB18" s="5">
        <f t="shared" si="13"/>
        <v>0.37</v>
      </c>
      <c r="AC18" s="1">
        <f t="shared" si="14"/>
        <v>0.63</v>
      </c>
      <c r="AD18" s="1">
        <f t="shared" si="15"/>
        <v>6.1994680851063828</v>
      </c>
      <c r="AE18" s="6">
        <f t="shared" si="16"/>
        <v>15.099734042553191</v>
      </c>
      <c r="AF18" s="5">
        <f t="shared" si="17"/>
        <v>0.4</v>
      </c>
      <c r="AG18" s="1">
        <f t="shared" si="18"/>
        <v>0.6</v>
      </c>
      <c r="AH18" s="1">
        <f t="shared" si="25"/>
        <v>6.3829787234042561</v>
      </c>
      <c r="AI18" s="6">
        <f t="shared" si="26"/>
        <v>15.191489361702128</v>
      </c>
      <c r="AJ18" s="5">
        <f t="shared" si="21"/>
        <v>0.44</v>
      </c>
      <c r="AK18" s="1">
        <f t="shared" si="22"/>
        <v>0.56000000000000005</v>
      </c>
      <c r="AL18" s="1">
        <f t="shared" si="23"/>
        <v>6.5531914893617023</v>
      </c>
      <c r="AM18" s="6">
        <f t="shared" si="24"/>
        <v>15.276595744680851</v>
      </c>
    </row>
    <row r="19" spans="1:39">
      <c r="N19">
        <v>1.2999999999999999E-2</v>
      </c>
      <c r="O19">
        <f t="shared" si="0"/>
        <v>13</v>
      </c>
      <c r="P19" s="5">
        <f t="shared" si="1"/>
        <v>0.5</v>
      </c>
      <c r="Q19" s="1">
        <f t="shared" si="2"/>
        <v>0.5</v>
      </c>
      <c r="R19" s="1">
        <f t="shared" si="3"/>
        <v>5.3191489361702127</v>
      </c>
      <c r="S19" s="6">
        <f t="shared" si="4"/>
        <v>15.659574468085106</v>
      </c>
      <c r="T19" s="5">
        <f t="shared" si="5"/>
        <v>0.4</v>
      </c>
      <c r="U19" s="1">
        <f t="shared" si="6"/>
        <v>0.6</v>
      </c>
      <c r="V19" s="1">
        <f t="shared" si="7"/>
        <v>6.3829787234042561</v>
      </c>
      <c r="W19" s="6">
        <f t="shared" si="8"/>
        <v>16.191489361702128</v>
      </c>
      <c r="X19" s="5">
        <f t="shared" si="9"/>
        <v>0.2857142857142857</v>
      </c>
      <c r="Y19" s="1">
        <f t="shared" si="10"/>
        <v>0.7142857142857143</v>
      </c>
      <c r="Z19" s="1">
        <f t="shared" si="11"/>
        <v>7.598784194528875</v>
      </c>
      <c r="AA19" s="6">
        <f t="shared" si="12"/>
        <v>16.799392097264437</v>
      </c>
      <c r="AB19" s="5">
        <f t="shared" si="13"/>
        <v>0.37</v>
      </c>
      <c r="AC19" s="1">
        <f t="shared" si="14"/>
        <v>0.63</v>
      </c>
      <c r="AD19" s="1">
        <f t="shared" si="15"/>
        <v>6.1994680851063828</v>
      </c>
      <c r="AE19" s="6">
        <f t="shared" si="16"/>
        <v>16.099734042553191</v>
      </c>
      <c r="AF19" s="5">
        <f t="shared" si="17"/>
        <v>0.4</v>
      </c>
      <c r="AG19" s="1">
        <f t="shared" si="18"/>
        <v>0.6</v>
      </c>
      <c r="AH19" s="1">
        <f t="shared" si="25"/>
        <v>6.3829787234042561</v>
      </c>
      <c r="AI19" s="6">
        <f t="shared" si="26"/>
        <v>16.191489361702128</v>
      </c>
      <c r="AJ19" s="5">
        <f t="shared" si="21"/>
        <v>0.44</v>
      </c>
      <c r="AK19" s="1">
        <f t="shared" si="22"/>
        <v>0.56000000000000005</v>
      </c>
      <c r="AL19" s="1">
        <f t="shared" si="23"/>
        <v>6.5531914893617023</v>
      </c>
      <c r="AM19" s="6">
        <f t="shared" si="24"/>
        <v>16.276595744680851</v>
      </c>
    </row>
    <row r="20" spans="1:39">
      <c r="N20">
        <v>1.4E-2</v>
      </c>
      <c r="O20">
        <f t="shared" si="0"/>
        <v>14</v>
      </c>
      <c r="P20" s="5">
        <f t="shared" si="1"/>
        <v>0.5</v>
      </c>
      <c r="Q20" s="1">
        <f t="shared" si="2"/>
        <v>0.5</v>
      </c>
      <c r="R20" s="1">
        <f t="shared" si="3"/>
        <v>5.3191489361702127</v>
      </c>
      <c r="S20" s="6">
        <f t="shared" si="4"/>
        <v>16.659574468085108</v>
      </c>
      <c r="T20" s="5">
        <f t="shared" si="5"/>
        <v>0.4</v>
      </c>
      <c r="U20" s="1">
        <f t="shared" si="6"/>
        <v>0.6</v>
      </c>
      <c r="V20" s="1">
        <f t="shared" si="7"/>
        <v>6.3829787234042561</v>
      </c>
      <c r="W20" s="6">
        <f t="shared" si="8"/>
        <v>17.191489361702128</v>
      </c>
      <c r="X20" s="5">
        <f t="shared" si="9"/>
        <v>0.2857142857142857</v>
      </c>
      <c r="Y20" s="1">
        <f t="shared" si="10"/>
        <v>0.7142857142857143</v>
      </c>
      <c r="Z20" s="1">
        <f t="shared" si="11"/>
        <v>7.598784194528875</v>
      </c>
      <c r="AA20" s="6">
        <f t="shared" si="12"/>
        <v>17.799392097264437</v>
      </c>
      <c r="AB20" s="5">
        <f t="shared" si="13"/>
        <v>0.37</v>
      </c>
      <c r="AC20" s="1">
        <f t="shared" si="14"/>
        <v>0.63</v>
      </c>
      <c r="AD20" s="1">
        <f t="shared" si="15"/>
        <v>6.1994680851063828</v>
      </c>
      <c r="AE20" s="6">
        <f t="shared" si="16"/>
        <v>17.099734042553191</v>
      </c>
      <c r="AF20" s="5">
        <f t="shared" si="17"/>
        <v>0.4</v>
      </c>
      <c r="AG20" s="1">
        <f t="shared" si="18"/>
        <v>0.6</v>
      </c>
      <c r="AH20" s="1">
        <f t="shared" si="25"/>
        <v>6.3829787234042561</v>
      </c>
      <c r="AI20" s="6">
        <f t="shared" si="26"/>
        <v>17.191489361702128</v>
      </c>
      <c r="AJ20" s="5">
        <f t="shared" si="21"/>
        <v>0.44</v>
      </c>
      <c r="AK20" s="1">
        <f t="shared" si="22"/>
        <v>0.56000000000000005</v>
      </c>
      <c r="AL20" s="1">
        <f t="shared" si="23"/>
        <v>6.5531914893617023</v>
      </c>
      <c r="AM20" s="6">
        <f t="shared" si="24"/>
        <v>17.276595744680851</v>
      </c>
    </row>
    <row r="21" spans="1:39">
      <c r="A21" s="196" t="s">
        <v>131</v>
      </c>
      <c r="B21" s="197"/>
      <c r="C21" s="198"/>
      <c r="N21">
        <v>1.4999999999999999E-2</v>
      </c>
      <c r="O21">
        <f t="shared" si="0"/>
        <v>15</v>
      </c>
      <c r="P21" s="5">
        <f t="shared" si="1"/>
        <v>0.5</v>
      </c>
      <c r="Q21" s="1">
        <f t="shared" si="2"/>
        <v>0.5</v>
      </c>
      <c r="R21" s="1">
        <f t="shared" si="3"/>
        <v>5.3191489361702127</v>
      </c>
      <c r="S21" s="6">
        <f t="shared" si="4"/>
        <v>17.659574468085108</v>
      </c>
      <c r="T21" s="5">
        <f t="shared" si="5"/>
        <v>0.4</v>
      </c>
      <c r="U21" s="1">
        <f t="shared" si="6"/>
        <v>0.6</v>
      </c>
      <c r="V21" s="1">
        <f t="shared" si="7"/>
        <v>6.3829787234042561</v>
      </c>
      <c r="W21" s="6">
        <f t="shared" si="8"/>
        <v>18.191489361702128</v>
      </c>
      <c r="X21" s="5">
        <f t="shared" si="9"/>
        <v>0.2857142857142857</v>
      </c>
      <c r="Y21" s="1">
        <f t="shared" si="10"/>
        <v>0.7142857142857143</v>
      </c>
      <c r="Z21" s="1">
        <f t="shared" si="11"/>
        <v>7.598784194528875</v>
      </c>
      <c r="AA21" s="6">
        <f t="shared" si="12"/>
        <v>18.799392097264437</v>
      </c>
      <c r="AB21" s="5">
        <f t="shared" si="13"/>
        <v>0.37</v>
      </c>
      <c r="AC21" s="1">
        <f t="shared" si="14"/>
        <v>0.63</v>
      </c>
      <c r="AD21" s="1">
        <f t="shared" si="15"/>
        <v>6.1994680851063828</v>
      </c>
      <c r="AE21" s="6">
        <f t="shared" si="16"/>
        <v>18.099734042553191</v>
      </c>
      <c r="AF21" s="5">
        <f t="shared" si="17"/>
        <v>0.4</v>
      </c>
      <c r="AG21" s="1">
        <f t="shared" si="18"/>
        <v>0.6</v>
      </c>
      <c r="AH21" s="1">
        <f t="shared" si="25"/>
        <v>6.3829787234042561</v>
      </c>
      <c r="AI21" s="6">
        <f t="shared" si="26"/>
        <v>18.191489361702128</v>
      </c>
      <c r="AJ21" s="5">
        <f t="shared" si="21"/>
        <v>0.44</v>
      </c>
      <c r="AK21" s="1">
        <f t="shared" si="22"/>
        <v>0.56000000000000005</v>
      </c>
      <c r="AL21" s="1">
        <f t="shared" si="23"/>
        <v>6.5531914893617023</v>
      </c>
      <c r="AM21" s="6">
        <f t="shared" si="24"/>
        <v>18.276595744680851</v>
      </c>
    </row>
    <row r="22" spans="1:39">
      <c r="A22" s="31" t="s">
        <v>44</v>
      </c>
      <c r="B22" s="49">
        <f>Design_Converter!B26</f>
        <v>45</v>
      </c>
      <c r="C22" s="31" t="s">
        <v>4</v>
      </c>
      <c r="N22">
        <v>1.6E-2</v>
      </c>
      <c r="O22">
        <f t="shared" si="0"/>
        <v>16</v>
      </c>
      <c r="P22" s="5">
        <f t="shared" si="1"/>
        <v>0.5</v>
      </c>
      <c r="Q22" s="1">
        <f t="shared" si="2"/>
        <v>0.5</v>
      </c>
      <c r="R22" s="1">
        <f t="shared" si="3"/>
        <v>5.3191489361702127</v>
      </c>
      <c r="S22" s="6">
        <f t="shared" si="4"/>
        <v>18.659574468085108</v>
      </c>
      <c r="T22" s="5">
        <f t="shared" si="5"/>
        <v>0.4</v>
      </c>
      <c r="U22" s="1">
        <f t="shared" si="6"/>
        <v>0.6</v>
      </c>
      <c r="V22" s="1">
        <f t="shared" si="7"/>
        <v>6.3829787234042561</v>
      </c>
      <c r="W22" s="6">
        <f t="shared" si="8"/>
        <v>19.191489361702128</v>
      </c>
      <c r="X22" s="5">
        <f t="shared" si="9"/>
        <v>0.2857142857142857</v>
      </c>
      <c r="Y22" s="1">
        <f t="shared" si="10"/>
        <v>0.7142857142857143</v>
      </c>
      <c r="Z22" s="1">
        <f t="shared" si="11"/>
        <v>7.598784194528875</v>
      </c>
      <c r="AA22" s="6">
        <f t="shared" si="12"/>
        <v>19.799392097264437</v>
      </c>
      <c r="AB22" s="5">
        <f t="shared" si="13"/>
        <v>0.37</v>
      </c>
      <c r="AC22" s="1">
        <f t="shared" si="14"/>
        <v>0.63</v>
      </c>
      <c r="AD22" s="1">
        <f t="shared" si="15"/>
        <v>6.1994680851063828</v>
      </c>
      <c r="AE22" s="6">
        <f t="shared" si="16"/>
        <v>19.099734042553191</v>
      </c>
      <c r="AF22" s="5">
        <f t="shared" si="17"/>
        <v>0.4</v>
      </c>
      <c r="AG22" s="1">
        <f t="shared" si="18"/>
        <v>0.6</v>
      </c>
      <c r="AH22" s="1">
        <f t="shared" si="25"/>
        <v>6.3829787234042561</v>
      </c>
      <c r="AI22" s="6">
        <f t="shared" si="26"/>
        <v>19.191489361702128</v>
      </c>
      <c r="AJ22" s="5">
        <f t="shared" si="21"/>
        <v>0.44</v>
      </c>
      <c r="AK22" s="1">
        <f t="shared" si="22"/>
        <v>0.56000000000000005</v>
      </c>
      <c r="AL22" s="1">
        <f t="shared" si="23"/>
        <v>6.5531914893617023</v>
      </c>
      <c r="AM22" s="6">
        <f t="shared" si="24"/>
        <v>19.276595744680851</v>
      </c>
    </row>
    <row r="23" spans="1:39">
      <c r="A23" s="31" t="s">
        <v>132</v>
      </c>
      <c r="B23" s="50">
        <f>(V12_Max/V48_Min)*B22</f>
        <v>24.750000000000004</v>
      </c>
      <c r="C23" s="31" t="s">
        <v>4</v>
      </c>
      <c r="E23" s="34" t="s">
        <v>133</v>
      </c>
      <c r="N23">
        <v>1.7000000000000001E-2</v>
      </c>
      <c r="O23">
        <f t="shared" si="0"/>
        <v>17</v>
      </c>
      <c r="P23" s="5">
        <f t="shared" si="1"/>
        <v>0.5</v>
      </c>
      <c r="Q23" s="1">
        <f t="shared" si="2"/>
        <v>0.5</v>
      </c>
      <c r="R23" s="1">
        <f t="shared" si="3"/>
        <v>5.3191489361702127</v>
      </c>
      <c r="S23" s="6">
        <f t="shared" si="4"/>
        <v>19.659574468085108</v>
      </c>
      <c r="T23" s="5">
        <f t="shared" si="5"/>
        <v>0.4</v>
      </c>
      <c r="U23" s="1">
        <f t="shared" si="6"/>
        <v>0.6</v>
      </c>
      <c r="V23" s="1">
        <f t="shared" si="7"/>
        <v>6.3829787234042561</v>
      </c>
      <c r="W23" s="6">
        <f t="shared" si="8"/>
        <v>20.191489361702128</v>
      </c>
      <c r="X23" s="5">
        <f t="shared" si="9"/>
        <v>0.2857142857142857</v>
      </c>
      <c r="Y23" s="1">
        <f t="shared" si="10"/>
        <v>0.7142857142857143</v>
      </c>
      <c r="Z23" s="1">
        <f t="shared" si="11"/>
        <v>7.598784194528875</v>
      </c>
      <c r="AA23" s="6">
        <f t="shared" si="12"/>
        <v>20.799392097264437</v>
      </c>
      <c r="AB23" s="5">
        <f t="shared" si="13"/>
        <v>0.37</v>
      </c>
      <c r="AC23" s="1">
        <f t="shared" si="14"/>
        <v>0.63</v>
      </c>
      <c r="AD23" s="1">
        <f t="shared" si="15"/>
        <v>6.1994680851063828</v>
      </c>
      <c r="AE23" s="6">
        <f t="shared" si="16"/>
        <v>20.099734042553191</v>
      </c>
      <c r="AF23" s="5">
        <f t="shared" si="17"/>
        <v>0.4</v>
      </c>
      <c r="AG23" s="1">
        <f t="shared" si="18"/>
        <v>0.6</v>
      </c>
      <c r="AH23" s="1">
        <f t="shared" si="25"/>
        <v>6.3829787234042561</v>
      </c>
      <c r="AI23" s="6">
        <f t="shared" si="26"/>
        <v>20.191489361702128</v>
      </c>
      <c r="AJ23" s="5">
        <f t="shared" si="21"/>
        <v>0.44</v>
      </c>
      <c r="AK23" s="1">
        <f t="shared" si="22"/>
        <v>0.56000000000000005</v>
      </c>
      <c r="AL23" s="1">
        <f t="shared" si="23"/>
        <v>6.5531914893617023</v>
      </c>
      <c r="AM23" s="6">
        <f t="shared" si="24"/>
        <v>20.276595744680851</v>
      </c>
    </row>
    <row r="24" spans="1:39">
      <c r="A24" s="31" t="s">
        <v>134</v>
      </c>
      <c r="B24" s="49">
        <f>Design_Converter!B25</f>
        <v>2</v>
      </c>
      <c r="C24" s="31"/>
      <c r="E24" s="34" t="s">
        <v>135</v>
      </c>
      <c r="N24">
        <v>1.7999999999999999E-2</v>
      </c>
      <c r="O24">
        <f t="shared" si="0"/>
        <v>18</v>
      </c>
      <c r="P24" s="5">
        <f t="shared" si="1"/>
        <v>0.5</v>
      </c>
      <c r="Q24" s="1">
        <f t="shared" si="2"/>
        <v>0.5</v>
      </c>
      <c r="R24" s="1">
        <f t="shared" si="3"/>
        <v>5.3191489361702127</v>
      </c>
      <c r="S24" s="6">
        <f t="shared" si="4"/>
        <v>20.659574468085108</v>
      </c>
      <c r="T24" s="5">
        <f t="shared" si="5"/>
        <v>0.4</v>
      </c>
      <c r="U24" s="1">
        <f t="shared" si="6"/>
        <v>0.6</v>
      </c>
      <c r="V24" s="1">
        <f t="shared" si="7"/>
        <v>6.3829787234042561</v>
      </c>
      <c r="W24" s="6">
        <f t="shared" si="8"/>
        <v>21.191489361702128</v>
      </c>
      <c r="X24" s="5">
        <f t="shared" si="9"/>
        <v>0.2857142857142857</v>
      </c>
      <c r="Y24" s="1">
        <f t="shared" si="10"/>
        <v>0.7142857142857143</v>
      </c>
      <c r="Z24" s="1">
        <f t="shared" si="11"/>
        <v>7.598784194528875</v>
      </c>
      <c r="AA24" s="6">
        <f t="shared" si="12"/>
        <v>21.799392097264437</v>
      </c>
      <c r="AB24" s="5">
        <f t="shared" si="13"/>
        <v>0.37</v>
      </c>
      <c r="AC24" s="1">
        <f t="shared" si="14"/>
        <v>0.63</v>
      </c>
      <c r="AD24" s="1">
        <f t="shared" si="15"/>
        <v>6.1994680851063828</v>
      </c>
      <c r="AE24" s="6">
        <f t="shared" si="16"/>
        <v>21.099734042553191</v>
      </c>
      <c r="AF24" s="5">
        <f t="shared" si="17"/>
        <v>0.4</v>
      </c>
      <c r="AG24" s="1">
        <f t="shared" si="18"/>
        <v>0.6</v>
      </c>
      <c r="AH24" s="1">
        <f t="shared" si="25"/>
        <v>6.3829787234042561</v>
      </c>
      <c r="AI24" s="6">
        <f t="shared" si="26"/>
        <v>21.191489361702128</v>
      </c>
      <c r="AJ24" s="5">
        <f t="shared" si="21"/>
        <v>0.44</v>
      </c>
      <c r="AK24" s="1">
        <f t="shared" si="22"/>
        <v>0.56000000000000005</v>
      </c>
      <c r="AL24" s="1">
        <f t="shared" si="23"/>
        <v>6.5531914893617023</v>
      </c>
      <c r="AM24" s="6">
        <f t="shared" si="24"/>
        <v>21.276595744680851</v>
      </c>
    </row>
    <row r="25" spans="1:39">
      <c r="A25" s="31" t="s">
        <v>143</v>
      </c>
      <c r="B25" s="50">
        <f>B22/B24</f>
        <v>22.5</v>
      </c>
      <c r="C25" s="31" t="s">
        <v>4</v>
      </c>
      <c r="E25" s="34" t="s">
        <v>196</v>
      </c>
      <c r="N25">
        <v>1.9E-2</v>
      </c>
      <c r="O25">
        <f t="shared" si="0"/>
        <v>19</v>
      </c>
      <c r="P25" s="5">
        <f t="shared" si="1"/>
        <v>0.5</v>
      </c>
      <c r="Q25" s="1">
        <f t="shared" si="2"/>
        <v>0.5</v>
      </c>
      <c r="R25" s="1">
        <f t="shared" si="3"/>
        <v>5.3191489361702127</v>
      </c>
      <c r="S25" s="6">
        <f t="shared" si="4"/>
        <v>21.659574468085108</v>
      </c>
      <c r="T25" s="5">
        <f t="shared" si="5"/>
        <v>0.4</v>
      </c>
      <c r="U25" s="1">
        <f t="shared" si="6"/>
        <v>0.6</v>
      </c>
      <c r="V25" s="1">
        <f t="shared" si="7"/>
        <v>6.3829787234042561</v>
      </c>
      <c r="W25" s="6">
        <f t="shared" si="8"/>
        <v>22.191489361702128</v>
      </c>
      <c r="X25" s="5">
        <f t="shared" si="9"/>
        <v>0.2857142857142857</v>
      </c>
      <c r="Y25" s="1">
        <f t="shared" si="10"/>
        <v>0.7142857142857143</v>
      </c>
      <c r="Z25" s="1">
        <f t="shared" si="11"/>
        <v>7.598784194528875</v>
      </c>
      <c r="AA25" s="6">
        <f t="shared" si="12"/>
        <v>22.799392097264437</v>
      </c>
      <c r="AB25" s="5">
        <f t="shared" si="13"/>
        <v>0.37</v>
      </c>
      <c r="AC25" s="1">
        <f t="shared" si="14"/>
        <v>0.63</v>
      </c>
      <c r="AD25" s="1">
        <f t="shared" si="15"/>
        <v>6.1994680851063828</v>
      </c>
      <c r="AE25" s="6">
        <f t="shared" si="16"/>
        <v>22.099734042553191</v>
      </c>
      <c r="AF25" s="5">
        <f t="shared" si="17"/>
        <v>0.4</v>
      </c>
      <c r="AG25" s="1">
        <f t="shared" si="18"/>
        <v>0.6</v>
      </c>
      <c r="AH25" s="1">
        <f t="shared" si="25"/>
        <v>6.3829787234042561</v>
      </c>
      <c r="AI25" s="6">
        <f t="shared" si="26"/>
        <v>22.191489361702128</v>
      </c>
      <c r="AJ25" s="5">
        <f t="shared" si="21"/>
        <v>0.44</v>
      </c>
      <c r="AK25" s="1">
        <f t="shared" si="22"/>
        <v>0.56000000000000005</v>
      </c>
      <c r="AL25" s="1">
        <f t="shared" si="23"/>
        <v>6.5531914893617023</v>
      </c>
      <c r="AM25" s="6">
        <f t="shared" si="24"/>
        <v>22.276595744680851</v>
      </c>
    </row>
    <row r="26" spans="1:39">
      <c r="A26" s="31" t="s">
        <v>197</v>
      </c>
      <c r="B26" s="50">
        <f>B25*V12_Nom</f>
        <v>450</v>
      </c>
      <c r="C26" s="31" t="s">
        <v>136</v>
      </c>
      <c r="E26" s="34" t="s">
        <v>198</v>
      </c>
      <c r="N26">
        <v>0.02</v>
      </c>
      <c r="O26">
        <f t="shared" si="0"/>
        <v>20</v>
      </c>
      <c r="P26" s="5">
        <f t="shared" si="1"/>
        <v>0.5</v>
      </c>
      <c r="Q26" s="1">
        <f t="shared" si="2"/>
        <v>0.5</v>
      </c>
      <c r="R26" s="1">
        <f t="shared" si="3"/>
        <v>5.3191489361702127</v>
      </c>
      <c r="S26" s="6">
        <f t="shared" si="4"/>
        <v>22.659574468085108</v>
      </c>
      <c r="T26" s="5">
        <f t="shared" si="5"/>
        <v>0.4</v>
      </c>
      <c r="U26" s="1">
        <f t="shared" si="6"/>
        <v>0.6</v>
      </c>
      <c r="V26" s="1">
        <f t="shared" si="7"/>
        <v>6.3829787234042561</v>
      </c>
      <c r="W26" s="6">
        <f t="shared" si="8"/>
        <v>23.191489361702128</v>
      </c>
      <c r="X26" s="5">
        <f t="shared" si="9"/>
        <v>0.2857142857142857</v>
      </c>
      <c r="Y26" s="1">
        <f t="shared" si="10"/>
        <v>0.7142857142857143</v>
      </c>
      <c r="Z26" s="1">
        <f t="shared" si="11"/>
        <v>7.598784194528875</v>
      </c>
      <c r="AA26" s="6">
        <f t="shared" si="12"/>
        <v>23.799392097264437</v>
      </c>
      <c r="AB26" s="5">
        <f t="shared" si="13"/>
        <v>0.37</v>
      </c>
      <c r="AC26" s="1">
        <f t="shared" si="14"/>
        <v>0.63</v>
      </c>
      <c r="AD26" s="1">
        <f t="shared" si="15"/>
        <v>6.1994680851063828</v>
      </c>
      <c r="AE26" s="6">
        <f t="shared" si="16"/>
        <v>23.099734042553191</v>
      </c>
      <c r="AF26" s="5">
        <f t="shared" si="17"/>
        <v>0.4</v>
      </c>
      <c r="AG26" s="1">
        <f t="shared" si="18"/>
        <v>0.6</v>
      </c>
      <c r="AH26" s="1">
        <f t="shared" si="25"/>
        <v>6.3829787234042561</v>
      </c>
      <c r="AI26" s="6">
        <f t="shared" si="26"/>
        <v>23.191489361702128</v>
      </c>
      <c r="AJ26" s="5">
        <f t="shared" si="21"/>
        <v>0.44</v>
      </c>
      <c r="AK26" s="1">
        <f t="shared" si="22"/>
        <v>0.56000000000000005</v>
      </c>
      <c r="AL26" s="1">
        <f t="shared" si="23"/>
        <v>6.5531914893617023</v>
      </c>
      <c r="AM26" s="6">
        <f t="shared" si="24"/>
        <v>23.276595744680851</v>
      </c>
    </row>
    <row r="27" spans="1:39">
      <c r="A27" s="31" t="s">
        <v>139</v>
      </c>
      <c r="B27" s="50">
        <f>(VCS_Max/B25)*1000</f>
        <v>2.2222222222222223</v>
      </c>
      <c r="C27" s="31" t="s">
        <v>137</v>
      </c>
      <c r="E27" s="34" t="s">
        <v>140</v>
      </c>
      <c r="N27">
        <v>2.1000000000000001E-2</v>
      </c>
      <c r="O27">
        <f t="shared" si="0"/>
        <v>21</v>
      </c>
      <c r="P27" s="5">
        <f t="shared" si="1"/>
        <v>0.5</v>
      </c>
      <c r="Q27" s="1">
        <f t="shared" si="2"/>
        <v>0.5</v>
      </c>
      <c r="R27" s="1">
        <f t="shared" si="3"/>
        <v>5.3191489361702127</v>
      </c>
      <c r="S27" s="6">
        <f t="shared" si="4"/>
        <v>23.659574468085108</v>
      </c>
      <c r="T27" s="5">
        <f t="shared" si="5"/>
        <v>0.4</v>
      </c>
      <c r="U27" s="1">
        <f t="shared" si="6"/>
        <v>0.6</v>
      </c>
      <c r="V27" s="1">
        <f t="shared" si="7"/>
        <v>6.3829787234042561</v>
      </c>
      <c r="W27" s="6">
        <f t="shared" si="8"/>
        <v>24.191489361702128</v>
      </c>
      <c r="X27" s="5">
        <f t="shared" si="9"/>
        <v>0.2857142857142857</v>
      </c>
      <c r="Y27" s="1">
        <f t="shared" si="10"/>
        <v>0.7142857142857143</v>
      </c>
      <c r="Z27" s="1">
        <f t="shared" si="11"/>
        <v>7.598784194528875</v>
      </c>
      <c r="AA27" s="6">
        <f t="shared" si="12"/>
        <v>24.799392097264437</v>
      </c>
      <c r="AB27" s="5">
        <f t="shared" si="13"/>
        <v>0.37</v>
      </c>
      <c r="AC27" s="1">
        <f t="shared" si="14"/>
        <v>0.63</v>
      </c>
      <c r="AD27" s="1">
        <f t="shared" si="15"/>
        <v>6.1994680851063828</v>
      </c>
      <c r="AE27" s="6">
        <f t="shared" si="16"/>
        <v>24.099734042553191</v>
      </c>
      <c r="AF27" s="5">
        <f t="shared" si="17"/>
        <v>0.4</v>
      </c>
      <c r="AG27" s="1">
        <f t="shared" si="18"/>
        <v>0.6</v>
      </c>
      <c r="AH27" s="1">
        <f t="shared" si="25"/>
        <v>6.3829787234042561</v>
      </c>
      <c r="AI27" s="6">
        <f t="shared" si="26"/>
        <v>24.191489361702128</v>
      </c>
      <c r="AJ27" s="5">
        <f t="shared" si="21"/>
        <v>0.44</v>
      </c>
      <c r="AK27" s="1">
        <f t="shared" si="22"/>
        <v>0.56000000000000005</v>
      </c>
      <c r="AL27" s="1">
        <f t="shared" si="23"/>
        <v>6.5531914893617023</v>
      </c>
      <c r="AM27" s="6">
        <f t="shared" si="24"/>
        <v>24.276595744680851</v>
      </c>
    </row>
    <row r="28" spans="1:39">
      <c r="A28" s="31" t="s">
        <v>141</v>
      </c>
      <c r="B28" s="49">
        <f>Design_Converter!B28</f>
        <v>1</v>
      </c>
      <c r="C28" s="31" t="s">
        <v>137</v>
      </c>
      <c r="E28" s="34" t="s">
        <v>8</v>
      </c>
      <c r="N28">
        <v>2.1999999999999999E-2</v>
      </c>
      <c r="O28">
        <f t="shared" si="0"/>
        <v>22</v>
      </c>
      <c r="P28" s="5">
        <f t="shared" si="1"/>
        <v>0.5</v>
      </c>
      <c r="Q28" s="1">
        <f t="shared" si="2"/>
        <v>0.5</v>
      </c>
      <c r="R28" s="1">
        <f t="shared" si="3"/>
        <v>5.3191489361702127</v>
      </c>
      <c r="S28" s="6">
        <f t="shared" si="4"/>
        <v>24.659574468085108</v>
      </c>
      <c r="T28" s="5">
        <f t="shared" si="5"/>
        <v>0.4</v>
      </c>
      <c r="U28" s="1">
        <f t="shared" si="6"/>
        <v>0.6</v>
      </c>
      <c r="V28" s="1">
        <f t="shared" si="7"/>
        <v>6.3829787234042561</v>
      </c>
      <c r="W28" s="6">
        <f t="shared" si="8"/>
        <v>25.191489361702128</v>
      </c>
      <c r="X28" s="5">
        <f t="shared" si="9"/>
        <v>0.2857142857142857</v>
      </c>
      <c r="Y28" s="1">
        <f t="shared" si="10"/>
        <v>0.7142857142857143</v>
      </c>
      <c r="Z28" s="1">
        <f t="shared" si="11"/>
        <v>7.598784194528875</v>
      </c>
      <c r="AA28" s="6">
        <f t="shared" si="12"/>
        <v>25.799392097264437</v>
      </c>
      <c r="AB28" s="5">
        <f t="shared" si="13"/>
        <v>0.37</v>
      </c>
      <c r="AC28" s="1">
        <f t="shared" si="14"/>
        <v>0.63</v>
      </c>
      <c r="AD28" s="1">
        <f t="shared" si="15"/>
        <v>6.1994680851063828</v>
      </c>
      <c r="AE28" s="6">
        <f t="shared" si="16"/>
        <v>25.099734042553191</v>
      </c>
      <c r="AF28" s="5">
        <f t="shared" si="17"/>
        <v>0.4</v>
      </c>
      <c r="AG28" s="1">
        <f t="shared" si="18"/>
        <v>0.6</v>
      </c>
      <c r="AH28" s="1">
        <f t="shared" si="25"/>
        <v>6.3829787234042561</v>
      </c>
      <c r="AI28" s="6">
        <f t="shared" si="26"/>
        <v>25.191489361702128</v>
      </c>
      <c r="AJ28" s="5">
        <f t="shared" si="21"/>
        <v>0.44</v>
      </c>
      <c r="AK28" s="1">
        <f t="shared" si="22"/>
        <v>0.56000000000000005</v>
      </c>
      <c r="AL28" s="1">
        <f t="shared" si="23"/>
        <v>6.5531914893617023</v>
      </c>
      <c r="AM28" s="6">
        <f t="shared" si="24"/>
        <v>25.276595744680851</v>
      </c>
    </row>
    <row r="29" spans="1:39">
      <c r="A29" s="31" t="s">
        <v>144</v>
      </c>
      <c r="B29" s="52">
        <f>VCS_Max/Rcs</f>
        <v>50</v>
      </c>
      <c r="C29" s="31" t="s">
        <v>4</v>
      </c>
      <c r="E29" s="34" t="s">
        <v>195</v>
      </c>
      <c r="N29">
        <v>2.3E-2</v>
      </c>
      <c r="O29">
        <f t="shared" si="0"/>
        <v>23</v>
      </c>
      <c r="P29" s="5">
        <f t="shared" si="1"/>
        <v>0.5</v>
      </c>
      <c r="Q29" s="1">
        <f t="shared" si="2"/>
        <v>0.5</v>
      </c>
      <c r="R29" s="1">
        <f t="shared" si="3"/>
        <v>5.3191489361702127</v>
      </c>
      <c r="S29" s="6">
        <f t="shared" si="4"/>
        <v>25.659574468085108</v>
      </c>
      <c r="T29" s="5">
        <f t="shared" si="5"/>
        <v>0.4</v>
      </c>
      <c r="U29" s="1">
        <f t="shared" si="6"/>
        <v>0.6</v>
      </c>
      <c r="V29" s="1">
        <f t="shared" si="7"/>
        <v>6.3829787234042561</v>
      </c>
      <c r="W29" s="6">
        <f t="shared" si="8"/>
        <v>26.191489361702128</v>
      </c>
      <c r="X29" s="5">
        <f t="shared" si="9"/>
        <v>0.2857142857142857</v>
      </c>
      <c r="Y29" s="1">
        <f t="shared" si="10"/>
        <v>0.7142857142857143</v>
      </c>
      <c r="Z29" s="1">
        <f t="shared" si="11"/>
        <v>7.598784194528875</v>
      </c>
      <c r="AA29" s="6">
        <f t="shared" si="12"/>
        <v>26.799392097264437</v>
      </c>
      <c r="AB29" s="5">
        <f t="shared" si="13"/>
        <v>0.37</v>
      </c>
      <c r="AC29" s="1">
        <f t="shared" si="14"/>
        <v>0.63</v>
      </c>
      <c r="AD29" s="1">
        <f t="shared" si="15"/>
        <v>6.1994680851063828</v>
      </c>
      <c r="AE29" s="6">
        <f t="shared" si="16"/>
        <v>26.099734042553191</v>
      </c>
      <c r="AF29" s="5">
        <f t="shared" si="17"/>
        <v>0.4</v>
      </c>
      <c r="AG29" s="1">
        <f t="shared" si="18"/>
        <v>0.6</v>
      </c>
      <c r="AH29" s="1">
        <f t="shared" si="25"/>
        <v>6.3829787234042561</v>
      </c>
      <c r="AI29" s="6">
        <f t="shared" si="26"/>
        <v>26.191489361702128</v>
      </c>
      <c r="AJ29" s="5">
        <f t="shared" si="21"/>
        <v>0.44</v>
      </c>
      <c r="AK29" s="1">
        <f t="shared" si="22"/>
        <v>0.56000000000000005</v>
      </c>
      <c r="AL29" s="1">
        <f t="shared" si="23"/>
        <v>6.5531914893617023</v>
      </c>
      <c r="AM29" s="6">
        <f t="shared" si="24"/>
        <v>26.276595744680851</v>
      </c>
    </row>
    <row r="30" spans="1:39">
      <c r="A30" s="31" t="s">
        <v>142</v>
      </c>
      <c r="B30" s="50">
        <f>V12_Nom*B29</f>
        <v>1000</v>
      </c>
      <c r="C30" s="31" t="s">
        <v>136</v>
      </c>
      <c r="E30" s="34" t="s">
        <v>199</v>
      </c>
      <c r="N30">
        <v>2.4E-2</v>
      </c>
      <c r="O30">
        <f t="shared" si="0"/>
        <v>24</v>
      </c>
      <c r="P30" s="5">
        <f t="shared" si="1"/>
        <v>0.5</v>
      </c>
      <c r="Q30" s="1">
        <f t="shared" si="2"/>
        <v>0.5</v>
      </c>
      <c r="R30" s="1">
        <f t="shared" si="3"/>
        <v>5.3191489361702127</v>
      </c>
      <c r="S30" s="6">
        <f t="shared" si="4"/>
        <v>26.659574468085108</v>
      </c>
      <c r="T30" s="5">
        <f t="shared" si="5"/>
        <v>0.4</v>
      </c>
      <c r="U30" s="1">
        <f t="shared" si="6"/>
        <v>0.6</v>
      </c>
      <c r="V30" s="1">
        <f t="shared" si="7"/>
        <v>6.3829787234042561</v>
      </c>
      <c r="W30" s="6">
        <f t="shared" si="8"/>
        <v>27.191489361702128</v>
      </c>
      <c r="X30" s="5">
        <f t="shared" si="9"/>
        <v>0.2857142857142857</v>
      </c>
      <c r="Y30" s="1">
        <f t="shared" si="10"/>
        <v>0.7142857142857143</v>
      </c>
      <c r="Z30" s="1">
        <f t="shared" si="11"/>
        <v>7.598784194528875</v>
      </c>
      <c r="AA30" s="6">
        <f t="shared" si="12"/>
        <v>27.799392097264437</v>
      </c>
      <c r="AB30" s="5">
        <f t="shared" si="13"/>
        <v>0.37</v>
      </c>
      <c r="AC30" s="1">
        <f t="shared" si="14"/>
        <v>0.63</v>
      </c>
      <c r="AD30" s="1">
        <f t="shared" si="15"/>
        <v>6.1994680851063828</v>
      </c>
      <c r="AE30" s="6">
        <f t="shared" si="16"/>
        <v>27.099734042553191</v>
      </c>
      <c r="AF30" s="5">
        <f t="shared" si="17"/>
        <v>0.4</v>
      </c>
      <c r="AG30" s="1">
        <f t="shared" si="18"/>
        <v>0.6</v>
      </c>
      <c r="AH30" s="1">
        <f t="shared" si="25"/>
        <v>6.3829787234042561</v>
      </c>
      <c r="AI30" s="6">
        <f t="shared" si="26"/>
        <v>27.191489361702128</v>
      </c>
      <c r="AJ30" s="5">
        <f t="shared" si="21"/>
        <v>0.44</v>
      </c>
      <c r="AK30" s="1">
        <f t="shared" si="22"/>
        <v>0.56000000000000005</v>
      </c>
      <c r="AL30" s="1">
        <f t="shared" si="23"/>
        <v>6.5531914893617023</v>
      </c>
      <c r="AM30" s="6">
        <f t="shared" si="24"/>
        <v>27.276595744680851</v>
      </c>
    </row>
    <row r="31" spans="1:39">
      <c r="A31" s="31" t="s">
        <v>146</v>
      </c>
      <c r="B31" s="50">
        <f>I_Channel*np</f>
        <v>100</v>
      </c>
      <c r="C31" s="31" t="s">
        <v>4</v>
      </c>
      <c r="E31" s="34" t="s">
        <v>200</v>
      </c>
      <c r="N31">
        <v>2.5000000000000001E-2</v>
      </c>
      <c r="O31">
        <f t="shared" si="0"/>
        <v>25</v>
      </c>
      <c r="P31" s="5">
        <f t="shared" si="1"/>
        <v>0.5</v>
      </c>
      <c r="Q31" s="1">
        <f t="shared" si="2"/>
        <v>0.5</v>
      </c>
      <c r="R31" s="1">
        <f t="shared" si="3"/>
        <v>5.3191489361702127</v>
      </c>
      <c r="S31" s="6">
        <f t="shared" si="4"/>
        <v>27.659574468085108</v>
      </c>
      <c r="T31" s="5">
        <f t="shared" si="5"/>
        <v>0.4</v>
      </c>
      <c r="U31" s="1">
        <f t="shared" si="6"/>
        <v>0.6</v>
      </c>
      <c r="V31" s="1">
        <f t="shared" si="7"/>
        <v>6.3829787234042561</v>
      </c>
      <c r="W31" s="6">
        <f t="shared" si="8"/>
        <v>28.191489361702128</v>
      </c>
      <c r="X31" s="5">
        <f t="shared" si="9"/>
        <v>0.2857142857142857</v>
      </c>
      <c r="Y31" s="1">
        <f t="shared" si="10"/>
        <v>0.7142857142857143</v>
      </c>
      <c r="Z31" s="1">
        <f t="shared" si="11"/>
        <v>7.598784194528875</v>
      </c>
      <c r="AA31" s="6">
        <f t="shared" si="12"/>
        <v>28.799392097264437</v>
      </c>
      <c r="AB31" s="5">
        <f t="shared" si="13"/>
        <v>0.37</v>
      </c>
      <c r="AC31" s="1">
        <f t="shared" si="14"/>
        <v>0.63</v>
      </c>
      <c r="AD31" s="1">
        <f t="shared" si="15"/>
        <v>6.1994680851063828</v>
      </c>
      <c r="AE31" s="6">
        <f t="shared" si="16"/>
        <v>28.099734042553191</v>
      </c>
      <c r="AF31" s="5">
        <f t="shared" si="17"/>
        <v>0.4</v>
      </c>
      <c r="AG31" s="1">
        <f t="shared" si="18"/>
        <v>0.6</v>
      </c>
      <c r="AH31" s="1">
        <f t="shared" si="25"/>
        <v>6.3829787234042561</v>
      </c>
      <c r="AI31" s="6">
        <f t="shared" si="26"/>
        <v>28.191489361702128</v>
      </c>
      <c r="AJ31" s="5">
        <f t="shared" si="21"/>
        <v>0.44</v>
      </c>
      <c r="AK31" s="1">
        <f t="shared" si="22"/>
        <v>0.56000000000000005</v>
      </c>
      <c r="AL31" s="1">
        <f t="shared" si="23"/>
        <v>6.5531914893617023</v>
      </c>
      <c r="AM31" s="6">
        <f t="shared" si="24"/>
        <v>28.276595744680851</v>
      </c>
    </row>
    <row r="32" spans="1:39">
      <c r="A32" s="31" t="s">
        <v>147</v>
      </c>
      <c r="B32" s="50">
        <f>B30*np</f>
        <v>2000</v>
      </c>
      <c r="C32" s="31" t="s">
        <v>136</v>
      </c>
      <c r="E32" s="34" t="s">
        <v>201</v>
      </c>
      <c r="N32">
        <v>2.5999999999999999E-2</v>
      </c>
      <c r="O32">
        <f t="shared" si="0"/>
        <v>26</v>
      </c>
      <c r="P32" s="5">
        <f t="shared" si="1"/>
        <v>0.5</v>
      </c>
      <c r="Q32" s="1">
        <f t="shared" si="2"/>
        <v>0.5</v>
      </c>
      <c r="R32" s="1">
        <f t="shared" si="3"/>
        <v>5.3191489361702127</v>
      </c>
      <c r="S32" s="6">
        <f t="shared" si="4"/>
        <v>28.659574468085108</v>
      </c>
      <c r="T32" s="5">
        <f t="shared" si="5"/>
        <v>0.4</v>
      </c>
      <c r="U32" s="1">
        <f t="shared" si="6"/>
        <v>0.6</v>
      </c>
      <c r="V32" s="1">
        <f t="shared" si="7"/>
        <v>6.3829787234042561</v>
      </c>
      <c r="W32" s="6">
        <f t="shared" si="8"/>
        <v>29.191489361702128</v>
      </c>
      <c r="X32" s="5">
        <f t="shared" si="9"/>
        <v>0.2857142857142857</v>
      </c>
      <c r="Y32" s="1">
        <f t="shared" si="10"/>
        <v>0.7142857142857143</v>
      </c>
      <c r="Z32" s="1">
        <f t="shared" si="11"/>
        <v>7.598784194528875</v>
      </c>
      <c r="AA32" s="6">
        <f t="shared" si="12"/>
        <v>29.799392097264437</v>
      </c>
      <c r="AB32" s="5">
        <f t="shared" si="13"/>
        <v>0.37</v>
      </c>
      <c r="AC32" s="1">
        <f t="shared" si="14"/>
        <v>0.63</v>
      </c>
      <c r="AD32" s="1">
        <f t="shared" si="15"/>
        <v>6.1994680851063828</v>
      </c>
      <c r="AE32" s="6">
        <f t="shared" si="16"/>
        <v>29.099734042553191</v>
      </c>
      <c r="AF32" s="5">
        <f t="shared" si="17"/>
        <v>0.4</v>
      </c>
      <c r="AG32" s="1">
        <f t="shared" si="18"/>
        <v>0.6</v>
      </c>
      <c r="AH32" s="1">
        <f t="shared" si="25"/>
        <v>6.3829787234042561</v>
      </c>
      <c r="AI32" s="6">
        <f t="shared" si="26"/>
        <v>29.191489361702128</v>
      </c>
      <c r="AJ32" s="5">
        <f t="shared" si="21"/>
        <v>0.44</v>
      </c>
      <c r="AK32" s="1">
        <f t="shared" si="22"/>
        <v>0.56000000000000005</v>
      </c>
      <c r="AL32" s="1">
        <f t="shared" si="23"/>
        <v>6.5531914893617023</v>
      </c>
      <c r="AM32" s="6">
        <f t="shared" si="24"/>
        <v>29.276595744680851</v>
      </c>
    </row>
    <row r="33" spans="1:39">
      <c r="N33">
        <v>2.7E-2</v>
      </c>
      <c r="O33">
        <f t="shared" si="0"/>
        <v>27</v>
      </c>
      <c r="P33" s="5">
        <f t="shared" si="1"/>
        <v>0.5</v>
      </c>
      <c r="Q33" s="1">
        <f t="shared" si="2"/>
        <v>0.5</v>
      </c>
      <c r="R33" s="1">
        <f t="shared" si="3"/>
        <v>5.3191489361702127</v>
      </c>
      <c r="S33" s="6">
        <f t="shared" si="4"/>
        <v>29.659574468085108</v>
      </c>
      <c r="T33" s="5">
        <f t="shared" si="5"/>
        <v>0.4</v>
      </c>
      <c r="U33" s="1">
        <f t="shared" si="6"/>
        <v>0.6</v>
      </c>
      <c r="V33" s="1">
        <f t="shared" si="7"/>
        <v>6.3829787234042561</v>
      </c>
      <c r="W33" s="6">
        <f t="shared" si="8"/>
        <v>30.191489361702128</v>
      </c>
      <c r="X33" s="5">
        <f t="shared" si="9"/>
        <v>0.2857142857142857</v>
      </c>
      <c r="Y33" s="1">
        <f t="shared" si="10"/>
        <v>0.7142857142857143</v>
      </c>
      <c r="Z33" s="1">
        <f t="shared" si="11"/>
        <v>7.598784194528875</v>
      </c>
      <c r="AA33" s="6">
        <f t="shared" si="12"/>
        <v>30.799392097264437</v>
      </c>
      <c r="AB33" s="5">
        <f t="shared" si="13"/>
        <v>0.37</v>
      </c>
      <c r="AC33" s="1">
        <f t="shared" si="14"/>
        <v>0.63</v>
      </c>
      <c r="AD33" s="1">
        <f t="shared" si="15"/>
        <v>6.1994680851063828</v>
      </c>
      <c r="AE33" s="6">
        <f t="shared" si="16"/>
        <v>30.099734042553191</v>
      </c>
      <c r="AF33" s="5">
        <f t="shared" si="17"/>
        <v>0.4</v>
      </c>
      <c r="AG33" s="1">
        <f t="shared" si="18"/>
        <v>0.6</v>
      </c>
      <c r="AH33" s="1">
        <f t="shared" si="25"/>
        <v>6.3829787234042561</v>
      </c>
      <c r="AI33" s="6">
        <f t="shared" si="26"/>
        <v>30.191489361702128</v>
      </c>
      <c r="AJ33" s="5">
        <f t="shared" si="21"/>
        <v>0.44</v>
      </c>
      <c r="AK33" s="1">
        <f t="shared" si="22"/>
        <v>0.56000000000000005</v>
      </c>
      <c r="AL33" s="1">
        <f t="shared" si="23"/>
        <v>6.5531914893617023</v>
      </c>
      <c r="AM33" s="6">
        <f t="shared" si="24"/>
        <v>30.276595744680851</v>
      </c>
    </row>
    <row r="34" spans="1:39">
      <c r="N34">
        <v>2.8000000000000001E-2</v>
      </c>
      <c r="O34">
        <f t="shared" si="0"/>
        <v>28</v>
      </c>
      <c r="P34" s="5">
        <f t="shared" si="1"/>
        <v>0.5</v>
      </c>
      <c r="Q34" s="1">
        <f t="shared" si="2"/>
        <v>0.5</v>
      </c>
      <c r="R34" s="1">
        <f t="shared" si="3"/>
        <v>5.3191489361702127</v>
      </c>
      <c r="S34" s="6">
        <f t="shared" si="4"/>
        <v>30.659574468085108</v>
      </c>
      <c r="T34" s="5">
        <f t="shared" si="5"/>
        <v>0.4</v>
      </c>
      <c r="U34" s="1">
        <f t="shared" si="6"/>
        <v>0.6</v>
      </c>
      <c r="V34" s="1">
        <f t="shared" si="7"/>
        <v>6.3829787234042561</v>
      </c>
      <c r="W34" s="6">
        <f t="shared" si="8"/>
        <v>31.191489361702128</v>
      </c>
      <c r="X34" s="5">
        <f t="shared" si="9"/>
        <v>0.2857142857142857</v>
      </c>
      <c r="Y34" s="1">
        <f t="shared" si="10"/>
        <v>0.7142857142857143</v>
      </c>
      <c r="Z34" s="1">
        <f t="shared" si="11"/>
        <v>7.598784194528875</v>
      </c>
      <c r="AA34" s="6">
        <f t="shared" si="12"/>
        <v>31.799392097264437</v>
      </c>
      <c r="AB34" s="5">
        <f t="shared" si="13"/>
        <v>0.37</v>
      </c>
      <c r="AC34" s="1">
        <f t="shared" si="14"/>
        <v>0.63</v>
      </c>
      <c r="AD34" s="1">
        <f t="shared" si="15"/>
        <v>6.1994680851063828</v>
      </c>
      <c r="AE34" s="6">
        <f t="shared" si="16"/>
        <v>31.099734042553191</v>
      </c>
      <c r="AF34" s="5">
        <f t="shared" si="17"/>
        <v>0.4</v>
      </c>
      <c r="AG34" s="1">
        <f t="shared" si="18"/>
        <v>0.6</v>
      </c>
      <c r="AH34" s="1">
        <f t="shared" si="25"/>
        <v>6.3829787234042561</v>
      </c>
      <c r="AI34" s="6">
        <f t="shared" si="26"/>
        <v>31.191489361702128</v>
      </c>
      <c r="AJ34" s="5">
        <f t="shared" si="21"/>
        <v>0.44</v>
      </c>
      <c r="AK34" s="1">
        <f t="shared" si="22"/>
        <v>0.56000000000000005</v>
      </c>
      <c r="AL34" s="1">
        <f t="shared" si="23"/>
        <v>6.5531914893617023</v>
      </c>
      <c r="AM34" s="6">
        <f t="shared" si="24"/>
        <v>31.276595744680851</v>
      </c>
    </row>
    <row r="35" spans="1:39">
      <c r="A35" s="32" t="s">
        <v>148</v>
      </c>
      <c r="B35" s="53"/>
      <c r="C35" s="31"/>
      <c r="N35">
        <v>2.9000000000000001E-2</v>
      </c>
      <c r="O35">
        <f t="shared" si="0"/>
        <v>29</v>
      </c>
      <c r="P35" s="5">
        <f t="shared" si="1"/>
        <v>0.5</v>
      </c>
      <c r="Q35" s="1">
        <f t="shared" si="2"/>
        <v>0.5</v>
      </c>
      <c r="R35" s="1">
        <f t="shared" si="3"/>
        <v>5.3191489361702127</v>
      </c>
      <c r="S35" s="6">
        <f t="shared" si="4"/>
        <v>31.659574468085108</v>
      </c>
      <c r="T35" s="5">
        <f t="shared" si="5"/>
        <v>0.4</v>
      </c>
      <c r="U35" s="1">
        <f t="shared" si="6"/>
        <v>0.6</v>
      </c>
      <c r="V35" s="1">
        <f t="shared" si="7"/>
        <v>6.3829787234042561</v>
      </c>
      <c r="W35" s="6">
        <f t="shared" si="8"/>
        <v>32.191489361702125</v>
      </c>
      <c r="X35" s="5">
        <f t="shared" si="9"/>
        <v>0.2857142857142857</v>
      </c>
      <c r="Y35" s="1">
        <f t="shared" si="10"/>
        <v>0.7142857142857143</v>
      </c>
      <c r="Z35" s="1">
        <f t="shared" si="11"/>
        <v>7.598784194528875</v>
      </c>
      <c r="AA35" s="6">
        <f t="shared" si="12"/>
        <v>32.799392097264437</v>
      </c>
      <c r="AB35" s="5">
        <f t="shared" si="13"/>
        <v>0.37</v>
      </c>
      <c r="AC35" s="1">
        <f t="shared" si="14"/>
        <v>0.63</v>
      </c>
      <c r="AD35" s="1">
        <f t="shared" si="15"/>
        <v>6.1994680851063828</v>
      </c>
      <c r="AE35" s="6">
        <f t="shared" si="16"/>
        <v>32.099734042553195</v>
      </c>
      <c r="AF35" s="5">
        <f t="shared" si="17"/>
        <v>0.4</v>
      </c>
      <c r="AG35" s="1">
        <f t="shared" si="18"/>
        <v>0.6</v>
      </c>
      <c r="AH35" s="1">
        <f t="shared" si="25"/>
        <v>6.3829787234042561</v>
      </c>
      <c r="AI35" s="6">
        <f t="shared" si="26"/>
        <v>32.191489361702125</v>
      </c>
      <c r="AJ35" s="5">
        <f t="shared" si="21"/>
        <v>0.44</v>
      </c>
      <c r="AK35" s="1">
        <f t="shared" si="22"/>
        <v>0.56000000000000005</v>
      </c>
      <c r="AL35" s="1">
        <f t="shared" si="23"/>
        <v>6.5531914893617023</v>
      </c>
      <c r="AM35" s="6">
        <f t="shared" si="24"/>
        <v>32.276595744680854</v>
      </c>
    </row>
    <row r="36" spans="1:39">
      <c r="A36" s="31" t="s">
        <v>151</v>
      </c>
      <c r="B36" s="49">
        <f>Design_Converter!B35/100</f>
        <v>0.8</v>
      </c>
      <c r="C36" s="31"/>
      <c r="E36" s="34" t="s">
        <v>202</v>
      </c>
      <c r="N36">
        <v>0.03</v>
      </c>
      <c r="O36">
        <f t="shared" si="0"/>
        <v>30</v>
      </c>
      <c r="P36" s="5">
        <f t="shared" si="1"/>
        <v>0.5</v>
      </c>
      <c r="Q36" s="1">
        <f t="shared" si="2"/>
        <v>0.5</v>
      </c>
      <c r="R36" s="1">
        <f t="shared" si="3"/>
        <v>5.3191489361702127</v>
      </c>
      <c r="S36" s="6">
        <f t="shared" si="4"/>
        <v>32.659574468085104</v>
      </c>
      <c r="T36" s="5">
        <f t="shared" si="5"/>
        <v>0.4</v>
      </c>
      <c r="U36" s="1">
        <f t="shared" si="6"/>
        <v>0.6</v>
      </c>
      <c r="V36" s="1">
        <f t="shared" si="7"/>
        <v>6.3829787234042561</v>
      </c>
      <c r="W36" s="6">
        <f t="shared" si="8"/>
        <v>33.191489361702125</v>
      </c>
      <c r="X36" s="5">
        <f t="shared" si="9"/>
        <v>0.2857142857142857</v>
      </c>
      <c r="Y36" s="1">
        <f t="shared" si="10"/>
        <v>0.7142857142857143</v>
      </c>
      <c r="Z36" s="1">
        <f t="shared" si="11"/>
        <v>7.598784194528875</v>
      </c>
      <c r="AA36" s="6">
        <f t="shared" si="12"/>
        <v>33.799392097264437</v>
      </c>
      <c r="AB36" s="5">
        <f t="shared" si="13"/>
        <v>0.37</v>
      </c>
      <c r="AC36" s="1">
        <f t="shared" si="14"/>
        <v>0.63</v>
      </c>
      <c r="AD36" s="1">
        <f t="shared" si="15"/>
        <v>6.1994680851063828</v>
      </c>
      <c r="AE36" s="6">
        <f t="shared" si="16"/>
        <v>33.099734042553195</v>
      </c>
      <c r="AF36" s="5">
        <f t="shared" si="17"/>
        <v>0.4</v>
      </c>
      <c r="AG36" s="1">
        <f t="shared" si="18"/>
        <v>0.6</v>
      </c>
      <c r="AH36" s="1">
        <f t="shared" si="25"/>
        <v>6.3829787234042561</v>
      </c>
      <c r="AI36" s="6">
        <f t="shared" si="26"/>
        <v>33.191489361702125</v>
      </c>
      <c r="AJ36" s="5">
        <f t="shared" si="21"/>
        <v>0.44</v>
      </c>
      <c r="AK36" s="1">
        <f t="shared" si="22"/>
        <v>0.56000000000000005</v>
      </c>
      <c r="AL36" s="1">
        <f t="shared" si="23"/>
        <v>6.5531914893617023</v>
      </c>
      <c r="AM36" s="6">
        <f t="shared" si="24"/>
        <v>33.276595744680854</v>
      </c>
    </row>
    <row r="37" spans="1:39">
      <c r="A37" s="31" t="s">
        <v>111</v>
      </c>
      <c r="B37" s="54">
        <f>(V48_Max-V12_Nom)*(V12_Nom/V48_Max)/((B25)*(B36)*Fsw)*(1000000)</f>
        <v>1.984126984126984</v>
      </c>
      <c r="C37" s="31" t="s">
        <v>6</v>
      </c>
      <c r="E37" s="34" t="s">
        <v>193</v>
      </c>
      <c r="N37">
        <v>3.1E-2</v>
      </c>
      <c r="O37">
        <f t="shared" si="0"/>
        <v>31</v>
      </c>
      <c r="P37" s="5">
        <f t="shared" si="1"/>
        <v>0.5</v>
      </c>
      <c r="Q37" s="1">
        <f t="shared" si="2"/>
        <v>0.5</v>
      </c>
      <c r="R37" s="1">
        <f t="shared" si="3"/>
        <v>5.3191489361702127</v>
      </c>
      <c r="S37" s="6">
        <f t="shared" si="4"/>
        <v>33.659574468085104</v>
      </c>
      <c r="T37" s="5">
        <f t="shared" si="5"/>
        <v>0.4</v>
      </c>
      <c r="U37" s="1">
        <f t="shared" si="6"/>
        <v>0.6</v>
      </c>
      <c r="V37" s="1">
        <f t="shared" si="7"/>
        <v>6.3829787234042561</v>
      </c>
      <c r="W37" s="6">
        <f t="shared" si="8"/>
        <v>34.191489361702125</v>
      </c>
      <c r="X37" s="5">
        <f t="shared" si="9"/>
        <v>0.2857142857142857</v>
      </c>
      <c r="Y37" s="1">
        <f t="shared" si="10"/>
        <v>0.7142857142857143</v>
      </c>
      <c r="Z37" s="1">
        <f t="shared" si="11"/>
        <v>7.598784194528875</v>
      </c>
      <c r="AA37" s="6">
        <f t="shared" si="12"/>
        <v>34.799392097264437</v>
      </c>
      <c r="AB37" s="5">
        <f t="shared" si="13"/>
        <v>0.37</v>
      </c>
      <c r="AC37" s="1">
        <f t="shared" si="14"/>
        <v>0.63</v>
      </c>
      <c r="AD37" s="1">
        <f t="shared" si="15"/>
        <v>6.1994680851063828</v>
      </c>
      <c r="AE37" s="6">
        <f t="shared" si="16"/>
        <v>34.099734042553195</v>
      </c>
      <c r="AF37" s="5">
        <f t="shared" si="17"/>
        <v>0.4</v>
      </c>
      <c r="AG37" s="1">
        <f t="shared" si="18"/>
        <v>0.6</v>
      </c>
      <c r="AH37" s="1">
        <f t="shared" si="25"/>
        <v>6.3829787234042561</v>
      </c>
      <c r="AI37" s="6">
        <f t="shared" si="26"/>
        <v>34.191489361702125</v>
      </c>
      <c r="AJ37" s="5">
        <f t="shared" si="21"/>
        <v>0.44</v>
      </c>
      <c r="AK37" s="1">
        <f t="shared" si="22"/>
        <v>0.56000000000000005</v>
      </c>
      <c r="AL37" s="1">
        <f t="shared" si="23"/>
        <v>6.5531914893617023</v>
      </c>
      <c r="AM37" s="6">
        <f t="shared" si="24"/>
        <v>34.276595744680854</v>
      </c>
    </row>
    <row r="38" spans="1:39">
      <c r="A38" s="31" t="s">
        <v>5</v>
      </c>
      <c r="B38" s="55">
        <f>Design_Converter!B37</f>
        <v>4.7</v>
      </c>
      <c r="C38" s="31" t="s">
        <v>6</v>
      </c>
      <c r="N38">
        <v>3.2000000000000001E-2</v>
      </c>
      <c r="O38">
        <f t="shared" ref="O38:O56" si="27">N38/Rcs</f>
        <v>32</v>
      </c>
      <c r="P38" s="5">
        <f t="shared" ref="P38:P56" si="28">IF($O38&lt;((V48_Min-V12_Nom)*V12_Nom)/((2*Lm*Fsw)*V48_Min),SQRT((2*$O38*Lm*Fsw*V12_Nom)/(V48_Min*(V48_Min-V12_Nom))),(V12_Nom/V48_Min))</f>
        <v>0.5</v>
      </c>
      <c r="Q38" s="1">
        <f t="shared" ref="Q38:Q56" si="29">IF($O38&lt;((V48_Min-V12_Nom)*V12_Nom)/((2*Lm*Fsw)*V48_Min),SQRT((2*$O38*Lm*Fsw*V12_Nom)/(V48_Min*(V48_Min-V12_Nom)))*((V48_Min-V12_Nom)/(V12_Nom)),1-(V12_Nom/V48_Min))</f>
        <v>0.5</v>
      </c>
      <c r="R38" s="1">
        <f t="shared" ref="R38:R56" si="30">IF($O38&lt;((V48_Min-V12_Nom)*V12_Nom)/((2*Lm*Fsw)*V48_Min),(P38/(Fsw*Lm))*(V48_Min-V12_Nom),((P38/(Fsw*Lm))*(V48_Min-V12_Nom)))</f>
        <v>5.3191489361702127</v>
      </c>
      <c r="S38" s="6">
        <f t="shared" ref="S38:S56" si="31">IF($O38&lt;((V48_Min-V12_Nom)*V12_Nom)/((2*Lm*Fsw)*V48_Min),(P38/(Fsw*Lm))*(V48_Min-V12_Nom),(R38/2)+$O38)</f>
        <v>34.659574468085104</v>
      </c>
      <c r="T38" s="5">
        <f t="shared" ref="T38:T56" si="32">IF($O38&lt;((V48_Nom-V12_Nom)*V12_Nom)/((2*Lm*Fsw)*V48_Nom),SQRT((2*$O38*Lm*Fsw*V12_Nom)/(V48_Nom*(V48_Nom-V12_Nom))),(V12_Nom/V48_Nom))</f>
        <v>0.4</v>
      </c>
      <c r="U38" s="1">
        <f t="shared" ref="U38:U56" si="33">IF($O38&lt;((V48_Nom-V12_Nom)*V12_Nom)/((2*Lm*Fsw)*V48_Nom),SQRT((2*$O38*Lm*Fsw*V12_Nom)/(V48_Nom*(V48_Nom-V12_Nom)))*((V48_Nom-V12_Nom)/(V12_Nom)),1-(V12_Nom/V48_Nom))</f>
        <v>0.6</v>
      </c>
      <c r="V38" s="1">
        <f t="shared" ref="V38:V56" si="34">IF($O38&lt;((V48_Nom-V12_Nom)*V12_Nom)/((2*Lm*Fsw)*V48_Nom),(T38/(Fsw*Lm))*(V48_Nom-V12_Nom),((T38/(Fsw*Lm))*(V48_Nom-V12_Nom)))</f>
        <v>6.3829787234042561</v>
      </c>
      <c r="W38" s="6">
        <f t="shared" ref="W38:W56" si="35">IF($O38&lt;((V48_Nom-V12_Nom)*V12_Nom)/((2*Lm*Fsw)*V48_Nom),(T38/(Fsw*Lm))*(V48_Nom-V12_Nom),(V38/2)+$O38)</f>
        <v>35.191489361702125</v>
      </c>
      <c r="X38" s="5">
        <f t="shared" ref="X38:X56" si="36">IF($O38&lt;((V48_Max-V12_Nom)*V12_Nom)/((2*Lm*Fsw)*V48_Max),SQRT((2*$O38*Lm*Fsw*V12_Nom)/(V48_Max*(V48_Max-V12_Nom))),(V12_Nom/V48_Max))</f>
        <v>0.2857142857142857</v>
      </c>
      <c r="Y38" s="1">
        <f t="shared" ref="Y38:Y56" si="37">IF($O38&lt;((V48_Max-V12_Nom)*V12_Nom)/((2*Lm*Fsw)*V48_Max),SQRT((2*$O38*Lm*Fsw*V12_Nom)/(V48_Max*(V48_Max-V12_Nom)))*((V48_Max-V12_Nom)/(V12_Nom)),1-(V12_Nom/V48_Max))</f>
        <v>0.7142857142857143</v>
      </c>
      <c r="Z38" s="1">
        <f t="shared" ref="Z38:Z56" si="38">IF($O38&lt;((V48_Max-V12_Nom)*V12_Nom)/((2*Lm*Fsw)*V48_Max),(X38/(Fsw*Lm))*(V48_Max-V12_Nom),((X38/(Fsw*Lm))*(V48_Max-V12_Nom)))</f>
        <v>7.598784194528875</v>
      </c>
      <c r="AA38" s="6">
        <f t="shared" ref="AA38:AA56" si="39">IF($O38&lt;((V48_Max-V12_Nom)*V12_Nom)/((2*Lm*Fsw)*V48_Max),(X38/(Fsw*Lm))*(V48_Max-V12_Nom),(Z38/2)+$O38)</f>
        <v>35.799392097264437</v>
      </c>
      <c r="AB38" s="5">
        <f t="shared" ref="AB38:AB56" si="40">IF($O38&lt;((V48_Nom-V12_Min)*V12_Min)/((2*Lm*Fsw)*V48_Nom),SQRT((2*$O38*Lm*Fsw*V12_Min)/(V48_Nom*(V48_Nom-V12_Min))),(V12_Min/V48_Nom))</f>
        <v>0.37</v>
      </c>
      <c r="AC38" s="1">
        <f t="shared" ref="AC38:AC56" si="41">IF($O38&lt;((V48_Nom-V12_Min)*V12_Min)/((2*Lm*Fsw)*V48_Nom),SQRT((2*$O38*Lm*Fsw*V12_Min)/(V48_Nom*(V48_Nom-V12_Min)))*((V48_Nom-V12_Min)/(V12_Min)),1-(V12_Min/V48_Nom))</f>
        <v>0.63</v>
      </c>
      <c r="AD38" s="1">
        <f t="shared" ref="AD38:AD56" si="42">IF($O38&lt;((V48_Nom-V12_Min)*V12_Min)/((2*Lm*Fsw)*V48_Nom),(AB38/(Fsw*Lm))*(V48_Nom-V12_Min),((AB38/(Fsw*Lm))*(V48_Nom-V12_Min)))</f>
        <v>6.1994680851063828</v>
      </c>
      <c r="AE38" s="6">
        <f t="shared" ref="AE38:AE56" si="43">IF($O38&lt;((V48_Nom-V12_Min)*V12_Min)/((2*Lm*Fsw)*V48_Nom),(AB38/(Fsw*Lm))*(V48_Nom-V12_Min),(AD38/2)+$O38)</f>
        <v>35.099734042553195</v>
      </c>
      <c r="AF38" s="5">
        <f t="shared" si="17"/>
        <v>0.4</v>
      </c>
      <c r="AG38" s="1">
        <f t="shared" si="18"/>
        <v>0.6</v>
      </c>
      <c r="AH38" s="1">
        <f t="shared" si="25"/>
        <v>6.3829787234042561</v>
      </c>
      <c r="AI38" s="6">
        <f t="shared" si="26"/>
        <v>35.191489361702125</v>
      </c>
      <c r="AJ38" s="5">
        <f t="shared" ref="AJ38:AJ56" si="44">IF($O38&lt;((V48_Nom-V12_Max)*V12_Max)/((2*Lm*Fsw)*V48_Nom),SQRT((2*$O38*Lm*Fsw*V12_Max)/(V48_Nom*(V48_Nom-V12_Max))),(V12_Max/V48_Nom))</f>
        <v>0.44</v>
      </c>
      <c r="AK38" s="1">
        <f t="shared" ref="AK38:AK56" si="45">IF($O38&lt;((V48_Nom-V12_Max)*V12_Max)/((2*Lm*Fsw)*V48_Nom),SQRT((2*$O38*Lm*Fsw*V12_Max)/(V48_Nom*(V48_Nom-V12_Max)))*((V48_Nom-V12_Max)/(V12_Max)),1-(V12_Max/V48_Nom))</f>
        <v>0.56000000000000005</v>
      </c>
      <c r="AL38" s="1">
        <f t="shared" ref="AL38:AL56" si="46">IF($O38&lt;((V48_Nom-V12_Max)*V12_Max)/((2*Lm*Fsw)*V48_Nom),(AJ38/(Fsw*Lm))*(V48_Nom-V12_Max),((AJ38/(Fsw*Lm))*(V48_Nom-V12_Max)))</f>
        <v>6.5531914893617023</v>
      </c>
      <c r="AM38" s="6">
        <f t="shared" ref="AM38:AM56" si="47">IF($O38&lt;((V48_Nom-V12_Max)*V12_Max)/((2*Lm*Fsw)*V48_Nom),(AJ38/(Fsw*Lm))*(V48_Nom-V12_Max),(AL38/2)+$O38)</f>
        <v>35.276595744680854</v>
      </c>
    </row>
    <row r="39" spans="1:39" ht="15">
      <c r="A39" s="31" t="s">
        <v>29</v>
      </c>
      <c r="B39" s="49">
        <f>Lm_DCR</f>
        <v>1.31E-3</v>
      </c>
      <c r="C39" s="67" t="s">
        <v>80</v>
      </c>
      <c r="N39">
        <v>3.3000000000000002E-2</v>
      </c>
      <c r="O39">
        <f t="shared" si="27"/>
        <v>33</v>
      </c>
      <c r="P39" s="5">
        <f t="shared" si="28"/>
        <v>0.5</v>
      </c>
      <c r="Q39" s="1">
        <f t="shared" si="29"/>
        <v>0.5</v>
      </c>
      <c r="R39" s="1">
        <f t="shared" si="30"/>
        <v>5.3191489361702127</v>
      </c>
      <c r="S39" s="6">
        <f t="shared" si="31"/>
        <v>35.659574468085104</v>
      </c>
      <c r="T39" s="5">
        <f t="shared" si="32"/>
        <v>0.4</v>
      </c>
      <c r="U39" s="1">
        <f t="shared" si="33"/>
        <v>0.6</v>
      </c>
      <c r="V39" s="1">
        <f t="shared" si="34"/>
        <v>6.3829787234042561</v>
      </c>
      <c r="W39" s="6">
        <f t="shared" si="35"/>
        <v>36.191489361702125</v>
      </c>
      <c r="X39" s="5">
        <f t="shared" si="36"/>
        <v>0.2857142857142857</v>
      </c>
      <c r="Y39" s="1">
        <f t="shared" si="37"/>
        <v>0.7142857142857143</v>
      </c>
      <c r="Z39" s="1">
        <f t="shared" si="38"/>
        <v>7.598784194528875</v>
      </c>
      <c r="AA39" s="6">
        <f t="shared" si="39"/>
        <v>36.799392097264437</v>
      </c>
      <c r="AB39" s="5">
        <f t="shared" si="40"/>
        <v>0.37</v>
      </c>
      <c r="AC39" s="1">
        <f t="shared" si="41"/>
        <v>0.63</v>
      </c>
      <c r="AD39" s="1">
        <f t="shared" si="42"/>
        <v>6.1994680851063828</v>
      </c>
      <c r="AE39" s="6">
        <f t="shared" si="43"/>
        <v>36.099734042553195</v>
      </c>
      <c r="AF39" s="5">
        <f t="shared" si="17"/>
        <v>0.4</v>
      </c>
      <c r="AG39" s="1">
        <f t="shared" si="18"/>
        <v>0.6</v>
      </c>
      <c r="AH39" s="1">
        <f t="shared" si="25"/>
        <v>6.3829787234042561</v>
      </c>
      <c r="AI39" s="6">
        <f t="shared" si="26"/>
        <v>36.191489361702125</v>
      </c>
      <c r="AJ39" s="5">
        <f t="shared" si="44"/>
        <v>0.44</v>
      </c>
      <c r="AK39" s="1">
        <f t="shared" si="45"/>
        <v>0.56000000000000005</v>
      </c>
      <c r="AL39" s="1">
        <f t="shared" si="46"/>
        <v>6.5531914893617023</v>
      </c>
      <c r="AM39" s="6">
        <f t="shared" si="47"/>
        <v>36.276595744680854</v>
      </c>
    </row>
    <row r="40" spans="1:39" ht="15" thickBot="1">
      <c r="A40" s="199" t="s">
        <v>10</v>
      </c>
      <c r="B40" s="200"/>
      <c r="C40" s="201"/>
      <c r="E40" s="34" t="s">
        <v>154</v>
      </c>
      <c r="N40">
        <v>3.4000000000000002E-2</v>
      </c>
      <c r="O40">
        <f t="shared" si="27"/>
        <v>34</v>
      </c>
      <c r="P40" s="5">
        <f t="shared" si="28"/>
        <v>0.5</v>
      </c>
      <c r="Q40" s="1">
        <f t="shared" si="29"/>
        <v>0.5</v>
      </c>
      <c r="R40" s="1">
        <f t="shared" si="30"/>
        <v>5.3191489361702127</v>
      </c>
      <c r="S40" s="6">
        <f t="shared" si="31"/>
        <v>36.659574468085104</v>
      </c>
      <c r="T40" s="5">
        <f t="shared" si="32"/>
        <v>0.4</v>
      </c>
      <c r="U40" s="1">
        <f t="shared" si="33"/>
        <v>0.6</v>
      </c>
      <c r="V40" s="1">
        <f t="shared" si="34"/>
        <v>6.3829787234042561</v>
      </c>
      <c r="W40" s="6">
        <f t="shared" si="35"/>
        <v>37.191489361702125</v>
      </c>
      <c r="X40" s="5">
        <f t="shared" si="36"/>
        <v>0.2857142857142857</v>
      </c>
      <c r="Y40" s="1">
        <f t="shared" si="37"/>
        <v>0.7142857142857143</v>
      </c>
      <c r="Z40" s="1">
        <f t="shared" si="38"/>
        <v>7.598784194528875</v>
      </c>
      <c r="AA40" s="6">
        <f t="shared" si="39"/>
        <v>37.799392097264437</v>
      </c>
      <c r="AB40" s="5">
        <f t="shared" si="40"/>
        <v>0.37</v>
      </c>
      <c r="AC40" s="1">
        <f t="shared" si="41"/>
        <v>0.63</v>
      </c>
      <c r="AD40" s="1">
        <f t="shared" si="42"/>
        <v>6.1994680851063828</v>
      </c>
      <c r="AE40" s="6">
        <f t="shared" si="43"/>
        <v>37.099734042553195</v>
      </c>
      <c r="AF40" s="5">
        <f t="shared" si="17"/>
        <v>0.4</v>
      </c>
      <c r="AG40" s="1">
        <f t="shared" si="18"/>
        <v>0.6</v>
      </c>
      <c r="AH40" s="1">
        <f t="shared" si="25"/>
        <v>6.3829787234042561</v>
      </c>
      <c r="AI40" s="6">
        <f t="shared" si="26"/>
        <v>37.191489361702125</v>
      </c>
      <c r="AJ40" s="5">
        <f t="shared" si="44"/>
        <v>0.44</v>
      </c>
      <c r="AK40" s="1">
        <f t="shared" si="45"/>
        <v>0.56000000000000005</v>
      </c>
      <c r="AL40" s="1">
        <f t="shared" si="46"/>
        <v>6.5531914893617023</v>
      </c>
      <c r="AM40" s="6">
        <f t="shared" si="47"/>
        <v>37.276595744680854</v>
      </c>
    </row>
    <row r="41" spans="1:39">
      <c r="A41" s="75" t="s">
        <v>82</v>
      </c>
      <c r="B41" s="76">
        <f>((V48_Min-V12_Nom)/(2*Lm*Fsw))*((V12_Nom*Rcs)/V48_Min)*1000</f>
        <v>2.6595744680851063</v>
      </c>
      <c r="C41" s="77" t="s">
        <v>72</v>
      </c>
      <c r="N41">
        <v>3.5000000000000003E-2</v>
      </c>
      <c r="O41">
        <f t="shared" si="27"/>
        <v>35</v>
      </c>
      <c r="P41" s="5">
        <f t="shared" si="28"/>
        <v>0.5</v>
      </c>
      <c r="Q41" s="1">
        <f t="shared" si="29"/>
        <v>0.5</v>
      </c>
      <c r="R41" s="1">
        <f t="shared" si="30"/>
        <v>5.3191489361702127</v>
      </c>
      <c r="S41" s="6">
        <f t="shared" si="31"/>
        <v>37.659574468085104</v>
      </c>
      <c r="T41" s="5">
        <f t="shared" si="32"/>
        <v>0.4</v>
      </c>
      <c r="U41" s="1">
        <f t="shared" si="33"/>
        <v>0.6</v>
      </c>
      <c r="V41" s="1">
        <f t="shared" si="34"/>
        <v>6.3829787234042561</v>
      </c>
      <c r="W41" s="6">
        <f t="shared" si="35"/>
        <v>38.191489361702125</v>
      </c>
      <c r="X41" s="5">
        <f t="shared" si="36"/>
        <v>0.2857142857142857</v>
      </c>
      <c r="Y41" s="1">
        <f t="shared" si="37"/>
        <v>0.7142857142857143</v>
      </c>
      <c r="Z41" s="1">
        <f t="shared" si="38"/>
        <v>7.598784194528875</v>
      </c>
      <c r="AA41" s="6">
        <f t="shared" si="39"/>
        <v>38.799392097264437</v>
      </c>
      <c r="AB41" s="5">
        <f t="shared" si="40"/>
        <v>0.37</v>
      </c>
      <c r="AC41" s="1">
        <f t="shared" si="41"/>
        <v>0.63</v>
      </c>
      <c r="AD41" s="1">
        <f t="shared" si="42"/>
        <v>6.1994680851063828</v>
      </c>
      <c r="AE41" s="6">
        <f t="shared" si="43"/>
        <v>38.099734042553195</v>
      </c>
      <c r="AF41" s="5">
        <f t="shared" si="17"/>
        <v>0.4</v>
      </c>
      <c r="AG41" s="1">
        <f t="shared" si="18"/>
        <v>0.6</v>
      </c>
      <c r="AH41" s="1">
        <f t="shared" si="25"/>
        <v>6.3829787234042561</v>
      </c>
      <c r="AI41" s="6">
        <f t="shared" si="26"/>
        <v>38.191489361702125</v>
      </c>
      <c r="AJ41" s="5">
        <f t="shared" si="44"/>
        <v>0.44</v>
      </c>
      <c r="AK41" s="1">
        <f t="shared" si="45"/>
        <v>0.56000000000000005</v>
      </c>
      <c r="AL41" s="1">
        <f t="shared" si="46"/>
        <v>6.5531914893617023</v>
      </c>
      <c r="AM41" s="6">
        <f t="shared" si="47"/>
        <v>38.276595744680854</v>
      </c>
    </row>
    <row r="42" spans="1:39">
      <c r="A42" s="78" t="s">
        <v>83</v>
      </c>
      <c r="B42" s="57">
        <f>(B41/1000)/Rcs</f>
        <v>2.6595744680851063</v>
      </c>
      <c r="C42" s="42" t="s">
        <v>4</v>
      </c>
      <c r="N42">
        <v>3.5999999999999997E-2</v>
      </c>
      <c r="O42">
        <f t="shared" si="27"/>
        <v>36</v>
      </c>
      <c r="P42" s="5">
        <f t="shared" si="28"/>
        <v>0.5</v>
      </c>
      <c r="Q42" s="1">
        <f t="shared" si="29"/>
        <v>0.5</v>
      </c>
      <c r="R42" s="1">
        <f t="shared" si="30"/>
        <v>5.3191489361702127</v>
      </c>
      <c r="S42" s="6">
        <f t="shared" si="31"/>
        <v>38.659574468085104</v>
      </c>
      <c r="T42" s="5">
        <f t="shared" si="32"/>
        <v>0.4</v>
      </c>
      <c r="U42" s="1">
        <f t="shared" si="33"/>
        <v>0.6</v>
      </c>
      <c r="V42" s="1">
        <f t="shared" si="34"/>
        <v>6.3829787234042561</v>
      </c>
      <c r="W42" s="6">
        <f t="shared" si="35"/>
        <v>39.191489361702125</v>
      </c>
      <c r="X42" s="5">
        <f t="shared" si="36"/>
        <v>0.2857142857142857</v>
      </c>
      <c r="Y42" s="1">
        <f t="shared" si="37"/>
        <v>0.7142857142857143</v>
      </c>
      <c r="Z42" s="1">
        <f t="shared" si="38"/>
        <v>7.598784194528875</v>
      </c>
      <c r="AA42" s="6">
        <f t="shared" si="39"/>
        <v>39.799392097264437</v>
      </c>
      <c r="AB42" s="5">
        <f t="shared" si="40"/>
        <v>0.37</v>
      </c>
      <c r="AC42" s="1">
        <f t="shared" si="41"/>
        <v>0.63</v>
      </c>
      <c r="AD42" s="1">
        <f t="shared" si="42"/>
        <v>6.1994680851063828</v>
      </c>
      <c r="AE42" s="6">
        <f t="shared" si="43"/>
        <v>39.099734042553195</v>
      </c>
      <c r="AF42" s="5">
        <f t="shared" si="17"/>
        <v>0.4</v>
      </c>
      <c r="AG42" s="1">
        <f t="shared" si="18"/>
        <v>0.6</v>
      </c>
      <c r="AH42" s="1">
        <f t="shared" si="25"/>
        <v>6.3829787234042561</v>
      </c>
      <c r="AI42" s="6">
        <f t="shared" si="26"/>
        <v>39.191489361702125</v>
      </c>
      <c r="AJ42" s="5">
        <f t="shared" si="44"/>
        <v>0.44</v>
      </c>
      <c r="AK42" s="1">
        <f t="shared" si="45"/>
        <v>0.56000000000000005</v>
      </c>
      <c r="AL42" s="1">
        <f t="shared" si="46"/>
        <v>6.5531914893617023</v>
      </c>
      <c r="AM42" s="6">
        <f t="shared" si="47"/>
        <v>39.276595744680854</v>
      </c>
    </row>
    <row r="43" spans="1:39">
      <c r="A43" s="78" t="s">
        <v>383</v>
      </c>
      <c r="B43" s="50">
        <f>(V12_Nom/V48_Min)</f>
        <v>0.5</v>
      </c>
      <c r="C43" s="42"/>
      <c r="N43">
        <v>3.6999999999999998E-2</v>
      </c>
      <c r="O43">
        <f t="shared" si="27"/>
        <v>37</v>
      </c>
      <c r="P43" s="5">
        <f t="shared" si="28"/>
        <v>0.5</v>
      </c>
      <c r="Q43" s="1">
        <f t="shared" si="29"/>
        <v>0.5</v>
      </c>
      <c r="R43" s="1">
        <f t="shared" si="30"/>
        <v>5.3191489361702127</v>
      </c>
      <c r="S43" s="6">
        <f t="shared" si="31"/>
        <v>39.659574468085104</v>
      </c>
      <c r="T43" s="5">
        <f t="shared" si="32"/>
        <v>0.4</v>
      </c>
      <c r="U43" s="1">
        <f t="shared" si="33"/>
        <v>0.6</v>
      </c>
      <c r="V43" s="1">
        <f t="shared" si="34"/>
        <v>6.3829787234042561</v>
      </c>
      <c r="W43" s="6">
        <f t="shared" si="35"/>
        <v>40.191489361702125</v>
      </c>
      <c r="X43" s="5">
        <f t="shared" si="36"/>
        <v>0.2857142857142857</v>
      </c>
      <c r="Y43" s="1">
        <f t="shared" si="37"/>
        <v>0.7142857142857143</v>
      </c>
      <c r="Z43" s="1">
        <f t="shared" si="38"/>
        <v>7.598784194528875</v>
      </c>
      <c r="AA43" s="6">
        <f t="shared" si="39"/>
        <v>40.799392097264437</v>
      </c>
      <c r="AB43" s="5">
        <f t="shared" si="40"/>
        <v>0.37</v>
      </c>
      <c r="AC43" s="1">
        <f t="shared" si="41"/>
        <v>0.63</v>
      </c>
      <c r="AD43" s="1">
        <f t="shared" si="42"/>
        <v>6.1994680851063828</v>
      </c>
      <c r="AE43" s="6">
        <f t="shared" si="43"/>
        <v>40.099734042553195</v>
      </c>
      <c r="AF43" s="5">
        <f t="shared" si="17"/>
        <v>0.4</v>
      </c>
      <c r="AG43" s="1">
        <f t="shared" si="18"/>
        <v>0.6</v>
      </c>
      <c r="AH43" s="1">
        <f t="shared" si="25"/>
        <v>6.3829787234042561</v>
      </c>
      <c r="AI43" s="6">
        <f t="shared" si="26"/>
        <v>40.191489361702125</v>
      </c>
      <c r="AJ43" s="5">
        <f t="shared" si="44"/>
        <v>0.44</v>
      </c>
      <c r="AK43" s="1">
        <f t="shared" si="45"/>
        <v>0.56000000000000005</v>
      </c>
      <c r="AL43" s="1">
        <f t="shared" si="46"/>
        <v>6.5531914893617023</v>
      </c>
      <c r="AM43" s="6">
        <f t="shared" si="47"/>
        <v>40.276595744680854</v>
      </c>
    </row>
    <row r="44" spans="1:39">
      <c r="A44" s="78" t="s">
        <v>74</v>
      </c>
      <c r="B44" s="56">
        <f>((V48_Nom-V12_Nom)/(2*Lm*Fsw))*((V12_Nom*Rcs)/V48_Nom)*1000</f>
        <v>3.191489361702128</v>
      </c>
      <c r="C44" s="42" t="s">
        <v>72</v>
      </c>
      <c r="N44">
        <v>3.7999999999999999E-2</v>
      </c>
      <c r="O44">
        <f t="shared" si="27"/>
        <v>38</v>
      </c>
      <c r="P44" s="5">
        <f t="shared" si="28"/>
        <v>0.5</v>
      </c>
      <c r="Q44" s="1">
        <f t="shared" si="29"/>
        <v>0.5</v>
      </c>
      <c r="R44" s="1">
        <f t="shared" si="30"/>
        <v>5.3191489361702127</v>
      </c>
      <c r="S44" s="6">
        <f t="shared" si="31"/>
        <v>40.659574468085104</v>
      </c>
      <c r="T44" s="5">
        <f t="shared" si="32"/>
        <v>0.4</v>
      </c>
      <c r="U44" s="1">
        <f t="shared" si="33"/>
        <v>0.6</v>
      </c>
      <c r="V44" s="1">
        <f t="shared" si="34"/>
        <v>6.3829787234042561</v>
      </c>
      <c r="W44" s="6">
        <f t="shared" si="35"/>
        <v>41.191489361702125</v>
      </c>
      <c r="X44" s="5">
        <f t="shared" si="36"/>
        <v>0.2857142857142857</v>
      </c>
      <c r="Y44" s="1">
        <f t="shared" si="37"/>
        <v>0.7142857142857143</v>
      </c>
      <c r="Z44" s="1">
        <f t="shared" si="38"/>
        <v>7.598784194528875</v>
      </c>
      <c r="AA44" s="6">
        <f t="shared" si="39"/>
        <v>41.799392097264437</v>
      </c>
      <c r="AB44" s="5">
        <f t="shared" si="40"/>
        <v>0.37</v>
      </c>
      <c r="AC44" s="1">
        <f t="shared" si="41"/>
        <v>0.63</v>
      </c>
      <c r="AD44" s="1">
        <f t="shared" si="42"/>
        <v>6.1994680851063828</v>
      </c>
      <c r="AE44" s="6">
        <f t="shared" si="43"/>
        <v>41.099734042553195</v>
      </c>
      <c r="AF44" s="5">
        <f t="shared" si="17"/>
        <v>0.4</v>
      </c>
      <c r="AG44" s="1">
        <f t="shared" si="18"/>
        <v>0.6</v>
      </c>
      <c r="AH44" s="1">
        <f t="shared" si="25"/>
        <v>6.3829787234042561</v>
      </c>
      <c r="AI44" s="6">
        <f t="shared" si="26"/>
        <v>41.191489361702125</v>
      </c>
      <c r="AJ44" s="5">
        <f t="shared" si="44"/>
        <v>0.44</v>
      </c>
      <c r="AK44" s="1">
        <f t="shared" si="45"/>
        <v>0.56000000000000005</v>
      </c>
      <c r="AL44" s="1">
        <f t="shared" si="46"/>
        <v>6.5531914893617023</v>
      </c>
      <c r="AM44" s="6">
        <f t="shared" si="47"/>
        <v>41.276595744680854</v>
      </c>
    </row>
    <row r="45" spans="1:39">
      <c r="A45" s="78" t="s">
        <v>81</v>
      </c>
      <c r="B45" s="57">
        <f>(B44/1000)/Rcs</f>
        <v>3.191489361702128</v>
      </c>
      <c r="C45" s="42" t="s">
        <v>4</v>
      </c>
      <c r="N45">
        <v>3.9E-2</v>
      </c>
      <c r="O45">
        <f t="shared" si="27"/>
        <v>39</v>
      </c>
      <c r="P45" s="5">
        <f t="shared" si="28"/>
        <v>0.5</v>
      </c>
      <c r="Q45" s="1">
        <f t="shared" si="29"/>
        <v>0.5</v>
      </c>
      <c r="R45" s="1">
        <f t="shared" si="30"/>
        <v>5.3191489361702127</v>
      </c>
      <c r="S45" s="6">
        <f t="shared" si="31"/>
        <v>41.659574468085104</v>
      </c>
      <c r="T45" s="5">
        <f t="shared" si="32"/>
        <v>0.4</v>
      </c>
      <c r="U45" s="1">
        <f t="shared" si="33"/>
        <v>0.6</v>
      </c>
      <c r="V45" s="1">
        <f t="shared" si="34"/>
        <v>6.3829787234042561</v>
      </c>
      <c r="W45" s="6">
        <f t="shared" si="35"/>
        <v>42.191489361702125</v>
      </c>
      <c r="X45" s="5">
        <f t="shared" si="36"/>
        <v>0.2857142857142857</v>
      </c>
      <c r="Y45" s="1">
        <f t="shared" si="37"/>
        <v>0.7142857142857143</v>
      </c>
      <c r="Z45" s="1">
        <f t="shared" si="38"/>
        <v>7.598784194528875</v>
      </c>
      <c r="AA45" s="6">
        <f t="shared" si="39"/>
        <v>42.799392097264437</v>
      </c>
      <c r="AB45" s="5">
        <f t="shared" si="40"/>
        <v>0.37</v>
      </c>
      <c r="AC45" s="1">
        <f t="shared" si="41"/>
        <v>0.63</v>
      </c>
      <c r="AD45" s="1">
        <f t="shared" si="42"/>
        <v>6.1994680851063828</v>
      </c>
      <c r="AE45" s="6">
        <f t="shared" si="43"/>
        <v>42.099734042553195</v>
      </c>
      <c r="AF45" s="5">
        <f t="shared" si="17"/>
        <v>0.4</v>
      </c>
      <c r="AG45" s="1">
        <f t="shared" si="18"/>
        <v>0.6</v>
      </c>
      <c r="AH45" s="1">
        <f t="shared" si="25"/>
        <v>6.3829787234042561</v>
      </c>
      <c r="AI45" s="6">
        <f t="shared" si="26"/>
        <v>42.191489361702125</v>
      </c>
      <c r="AJ45" s="5">
        <f t="shared" si="44"/>
        <v>0.44</v>
      </c>
      <c r="AK45" s="1">
        <f t="shared" si="45"/>
        <v>0.56000000000000005</v>
      </c>
      <c r="AL45" s="1">
        <f t="shared" si="46"/>
        <v>6.5531914893617023</v>
      </c>
      <c r="AM45" s="6">
        <f t="shared" si="47"/>
        <v>42.276595744680854</v>
      </c>
    </row>
    <row r="46" spans="1:39">
      <c r="A46" s="78" t="s">
        <v>383</v>
      </c>
      <c r="B46" s="61">
        <f>(V12_Nom/V48_Nom)</f>
        <v>0.4</v>
      </c>
      <c r="C46" s="42"/>
      <c r="N46">
        <v>0.04</v>
      </c>
      <c r="O46">
        <f t="shared" si="27"/>
        <v>40</v>
      </c>
      <c r="P46" s="5">
        <f t="shared" si="28"/>
        <v>0.5</v>
      </c>
      <c r="Q46" s="1">
        <f t="shared" si="29"/>
        <v>0.5</v>
      </c>
      <c r="R46" s="1">
        <f t="shared" si="30"/>
        <v>5.3191489361702127</v>
      </c>
      <c r="S46" s="6">
        <f t="shared" si="31"/>
        <v>42.659574468085104</v>
      </c>
      <c r="T46" s="5">
        <f t="shared" si="32"/>
        <v>0.4</v>
      </c>
      <c r="U46" s="1">
        <f t="shared" si="33"/>
        <v>0.6</v>
      </c>
      <c r="V46" s="1">
        <f t="shared" si="34"/>
        <v>6.3829787234042561</v>
      </c>
      <c r="W46" s="6">
        <f t="shared" si="35"/>
        <v>43.191489361702125</v>
      </c>
      <c r="X46" s="5">
        <f t="shared" si="36"/>
        <v>0.2857142857142857</v>
      </c>
      <c r="Y46" s="1">
        <f t="shared" si="37"/>
        <v>0.7142857142857143</v>
      </c>
      <c r="Z46" s="1">
        <f t="shared" si="38"/>
        <v>7.598784194528875</v>
      </c>
      <c r="AA46" s="6">
        <f t="shared" si="39"/>
        <v>43.799392097264437</v>
      </c>
      <c r="AB46" s="5">
        <f t="shared" si="40"/>
        <v>0.37</v>
      </c>
      <c r="AC46" s="1">
        <f t="shared" si="41"/>
        <v>0.63</v>
      </c>
      <c r="AD46" s="1">
        <f t="shared" si="42"/>
        <v>6.1994680851063828</v>
      </c>
      <c r="AE46" s="6">
        <f t="shared" si="43"/>
        <v>43.099734042553195</v>
      </c>
      <c r="AF46" s="5">
        <f t="shared" si="17"/>
        <v>0.4</v>
      </c>
      <c r="AG46" s="1">
        <f t="shared" si="18"/>
        <v>0.6</v>
      </c>
      <c r="AH46" s="1">
        <f t="shared" si="25"/>
        <v>6.3829787234042561</v>
      </c>
      <c r="AI46" s="6">
        <f t="shared" si="26"/>
        <v>43.191489361702125</v>
      </c>
      <c r="AJ46" s="5">
        <f t="shared" si="44"/>
        <v>0.44</v>
      </c>
      <c r="AK46" s="1">
        <f t="shared" si="45"/>
        <v>0.56000000000000005</v>
      </c>
      <c r="AL46" s="1">
        <f t="shared" si="46"/>
        <v>6.5531914893617023</v>
      </c>
      <c r="AM46" s="6">
        <f t="shared" si="47"/>
        <v>43.276595744680854</v>
      </c>
    </row>
    <row r="47" spans="1:39">
      <c r="A47" s="78" t="s">
        <v>84</v>
      </c>
      <c r="B47" s="56">
        <f>((V48_Max-V12_Nom)/(2*Lm*Fsw))*((V12_Nom*Rcs)/V48_Max)*1000</f>
        <v>3.7993920972644384</v>
      </c>
      <c r="C47" s="42" t="s">
        <v>72</v>
      </c>
      <c r="N47">
        <v>4.1000000000000002E-2</v>
      </c>
      <c r="O47">
        <f t="shared" si="27"/>
        <v>41</v>
      </c>
      <c r="P47" s="5">
        <f t="shared" si="28"/>
        <v>0.5</v>
      </c>
      <c r="Q47" s="1">
        <f t="shared" si="29"/>
        <v>0.5</v>
      </c>
      <c r="R47" s="1">
        <f t="shared" si="30"/>
        <v>5.3191489361702127</v>
      </c>
      <c r="S47" s="6">
        <f t="shared" si="31"/>
        <v>43.659574468085104</v>
      </c>
      <c r="T47" s="5">
        <f t="shared" si="32"/>
        <v>0.4</v>
      </c>
      <c r="U47" s="1">
        <f t="shared" si="33"/>
        <v>0.6</v>
      </c>
      <c r="V47" s="1">
        <f t="shared" si="34"/>
        <v>6.3829787234042561</v>
      </c>
      <c r="W47" s="6">
        <f t="shared" si="35"/>
        <v>44.191489361702125</v>
      </c>
      <c r="X47" s="5">
        <f t="shared" si="36"/>
        <v>0.2857142857142857</v>
      </c>
      <c r="Y47" s="1">
        <f t="shared" si="37"/>
        <v>0.7142857142857143</v>
      </c>
      <c r="Z47" s="1">
        <f t="shared" si="38"/>
        <v>7.598784194528875</v>
      </c>
      <c r="AA47" s="6">
        <f t="shared" si="39"/>
        <v>44.799392097264437</v>
      </c>
      <c r="AB47" s="5">
        <f t="shared" si="40"/>
        <v>0.37</v>
      </c>
      <c r="AC47" s="1">
        <f t="shared" si="41"/>
        <v>0.63</v>
      </c>
      <c r="AD47" s="1">
        <f t="shared" si="42"/>
        <v>6.1994680851063828</v>
      </c>
      <c r="AE47" s="6">
        <f t="shared" si="43"/>
        <v>44.099734042553195</v>
      </c>
      <c r="AF47" s="5">
        <f t="shared" si="17"/>
        <v>0.4</v>
      </c>
      <c r="AG47" s="1">
        <f t="shared" si="18"/>
        <v>0.6</v>
      </c>
      <c r="AH47" s="1">
        <f t="shared" si="25"/>
        <v>6.3829787234042561</v>
      </c>
      <c r="AI47" s="6">
        <f t="shared" si="26"/>
        <v>44.191489361702125</v>
      </c>
      <c r="AJ47" s="5">
        <f t="shared" si="44"/>
        <v>0.44</v>
      </c>
      <c r="AK47" s="1">
        <f t="shared" si="45"/>
        <v>0.56000000000000005</v>
      </c>
      <c r="AL47" s="1">
        <f t="shared" si="46"/>
        <v>6.5531914893617023</v>
      </c>
      <c r="AM47" s="6">
        <f t="shared" si="47"/>
        <v>44.276595744680854</v>
      </c>
    </row>
    <row r="48" spans="1:39">
      <c r="A48" s="78" t="s">
        <v>85</v>
      </c>
      <c r="B48" s="57">
        <f>(B47/1000)/Rcs</f>
        <v>3.7993920972644379</v>
      </c>
      <c r="C48" s="42" t="s">
        <v>4</v>
      </c>
      <c r="N48">
        <v>4.2000000000000003E-2</v>
      </c>
      <c r="O48">
        <f t="shared" si="27"/>
        <v>42</v>
      </c>
      <c r="P48" s="5">
        <f t="shared" si="28"/>
        <v>0.5</v>
      </c>
      <c r="Q48" s="1">
        <f t="shared" si="29"/>
        <v>0.5</v>
      </c>
      <c r="R48" s="1">
        <f t="shared" si="30"/>
        <v>5.3191489361702127</v>
      </c>
      <c r="S48" s="6">
        <f t="shared" si="31"/>
        <v>44.659574468085104</v>
      </c>
      <c r="T48" s="5">
        <f t="shared" si="32"/>
        <v>0.4</v>
      </c>
      <c r="U48" s="1">
        <f t="shared" si="33"/>
        <v>0.6</v>
      </c>
      <c r="V48" s="1">
        <f t="shared" si="34"/>
        <v>6.3829787234042561</v>
      </c>
      <c r="W48" s="6">
        <f t="shared" si="35"/>
        <v>45.191489361702125</v>
      </c>
      <c r="X48" s="5">
        <f t="shared" si="36"/>
        <v>0.2857142857142857</v>
      </c>
      <c r="Y48" s="1">
        <f t="shared" si="37"/>
        <v>0.7142857142857143</v>
      </c>
      <c r="Z48" s="1">
        <f t="shared" si="38"/>
        <v>7.598784194528875</v>
      </c>
      <c r="AA48" s="6">
        <f t="shared" si="39"/>
        <v>45.799392097264437</v>
      </c>
      <c r="AB48" s="5">
        <f t="shared" si="40"/>
        <v>0.37</v>
      </c>
      <c r="AC48" s="1">
        <f t="shared" si="41"/>
        <v>0.63</v>
      </c>
      <c r="AD48" s="1">
        <f t="shared" si="42"/>
        <v>6.1994680851063828</v>
      </c>
      <c r="AE48" s="6">
        <f t="shared" si="43"/>
        <v>45.099734042553195</v>
      </c>
      <c r="AF48" s="5">
        <f t="shared" si="17"/>
        <v>0.4</v>
      </c>
      <c r="AG48" s="1">
        <f t="shared" si="18"/>
        <v>0.6</v>
      </c>
      <c r="AH48" s="1">
        <f t="shared" si="25"/>
        <v>6.3829787234042561</v>
      </c>
      <c r="AI48" s="6">
        <f t="shared" si="26"/>
        <v>45.191489361702125</v>
      </c>
      <c r="AJ48" s="5">
        <f t="shared" si="44"/>
        <v>0.44</v>
      </c>
      <c r="AK48" s="1">
        <f t="shared" si="45"/>
        <v>0.56000000000000005</v>
      </c>
      <c r="AL48" s="1">
        <f t="shared" si="46"/>
        <v>6.5531914893617023</v>
      </c>
      <c r="AM48" s="6">
        <f t="shared" si="47"/>
        <v>45.276595744680854</v>
      </c>
    </row>
    <row r="49" spans="1:42" ht="15" thickBot="1">
      <c r="A49" s="79" t="s">
        <v>383</v>
      </c>
      <c r="B49" s="57">
        <f>(V12_Nom/V48_Max)</f>
        <v>0.2857142857142857</v>
      </c>
      <c r="C49" s="80"/>
      <c r="N49">
        <v>4.2999999999999997E-2</v>
      </c>
      <c r="O49">
        <f t="shared" si="27"/>
        <v>42.999999999999993</v>
      </c>
      <c r="P49" s="5">
        <f t="shared" si="28"/>
        <v>0.5</v>
      </c>
      <c r="Q49" s="1">
        <f t="shared" si="29"/>
        <v>0.5</v>
      </c>
      <c r="R49" s="1">
        <f t="shared" si="30"/>
        <v>5.3191489361702127</v>
      </c>
      <c r="S49" s="6">
        <f t="shared" si="31"/>
        <v>45.659574468085097</v>
      </c>
      <c r="T49" s="5">
        <f t="shared" si="32"/>
        <v>0.4</v>
      </c>
      <c r="U49" s="1">
        <f t="shared" si="33"/>
        <v>0.6</v>
      </c>
      <c r="V49" s="1">
        <f t="shared" si="34"/>
        <v>6.3829787234042561</v>
      </c>
      <c r="W49" s="6">
        <f t="shared" si="35"/>
        <v>46.191489361702118</v>
      </c>
      <c r="X49" s="5">
        <f t="shared" si="36"/>
        <v>0.2857142857142857</v>
      </c>
      <c r="Y49" s="1">
        <f t="shared" si="37"/>
        <v>0.7142857142857143</v>
      </c>
      <c r="Z49" s="1">
        <f t="shared" si="38"/>
        <v>7.598784194528875</v>
      </c>
      <c r="AA49" s="6">
        <f t="shared" si="39"/>
        <v>46.79939209726443</v>
      </c>
      <c r="AB49" s="5">
        <f t="shared" si="40"/>
        <v>0.37</v>
      </c>
      <c r="AC49" s="1">
        <f t="shared" si="41"/>
        <v>0.63</v>
      </c>
      <c r="AD49" s="1">
        <f t="shared" si="42"/>
        <v>6.1994680851063828</v>
      </c>
      <c r="AE49" s="6">
        <f t="shared" si="43"/>
        <v>46.099734042553187</v>
      </c>
      <c r="AF49" s="5">
        <f t="shared" si="17"/>
        <v>0.4</v>
      </c>
      <c r="AG49" s="1">
        <f t="shared" si="18"/>
        <v>0.6</v>
      </c>
      <c r="AH49" s="1">
        <f t="shared" si="25"/>
        <v>6.3829787234042561</v>
      </c>
      <c r="AI49" s="6">
        <f t="shared" si="26"/>
        <v>46.191489361702118</v>
      </c>
      <c r="AJ49" s="5">
        <f t="shared" si="44"/>
        <v>0.44</v>
      </c>
      <c r="AK49" s="1">
        <f t="shared" si="45"/>
        <v>0.56000000000000005</v>
      </c>
      <c r="AL49" s="1">
        <f t="shared" si="46"/>
        <v>6.5531914893617023</v>
      </c>
      <c r="AM49" s="6">
        <f t="shared" si="47"/>
        <v>46.276595744680847</v>
      </c>
    </row>
    <row r="50" spans="1:42">
      <c r="A50" s="75" t="s">
        <v>382</v>
      </c>
      <c r="B50" s="76">
        <f>((V48_Nom-V12_Min)/(2*Lm*Fsw))*((V12_Min*Rcs)/V48_Nom)*1000</f>
        <v>3.0997340425531914</v>
      </c>
      <c r="C50" s="77" t="s">
        <v>72</v>
      </c>
      <c r="N50">
        <v>4.3999999999999997E-2</v>
      </c>
      <c r="O50">
        <f t="shared" si="27"/>
        <v>44</v>
      </c>
      <c r="P50" s="5">
        <f t="shared" si="28"/>
        <v>0.5</v>
      </c>
      <c r="Q50" s="1">
        <f t="shared" si="29"/>
        <v>0.5</v>
      </c>
      <c r="R50" s="1">
        <f t="shared" si="30"/>
        <v>5.3191489361702127</v>
      </c>
      <c r="S50" s="6">
        <f t="shared" si="31"/>
        <v>46.659574468085104</v>
      </c>
      <c r="T50" s="5">
        <f t="shared" si="32"/>
        <v>0.4</v>
      </c>
      <c r="U50" s="1">
        <f t="shared" si="33"/>
        <v>0.6</v>
      </c>
      <c r="V50" s="1">
        <f t="shared" si="34"/>
        <v>6.3829787234042561</v>
      </c>
      <c r="W50" s="6">
        <f t="shared" si="35"/>
        <v>47.191489361702125</v>
      </c>
      <c r="X50" s="5">
        <f t="shared" si="36"/>
        <v>0.2857142857142857</v>
      </c>
      <c r="Y50" s="1">
        <f t="shared" si="37"/>
        <v>0.7142857142857143</v>
      </c>
      <c r="Z50" s="1">
        <f t="shared" si="38"/>
        <v>7.598784194528875</v>
      </c>
      <c r="AA50" s="6">
        <f t="shared" si="39"/>
        <v>47.799392097264437</v>
      </c>
      <c r="AB50" s="5">
        <f t="shared" si="40"/>
        <v>0.37</v>
      </c>
      <c r="AC50" s="1">
        <f t="shared" si="41"/>
        <v>0.63</v>
      </c>
      <c r="AD50" s="1">
        <f t="shared" si="42"/>
        <v>6.1994680851063828</v>
      </c>
      <c r="AE50" s="6">
        <f t="shared" si="43"/>
        <v>47.099734042553195</v>
      </c>
      <c r="AF50" s="5">
        <f t="shared" si="17"/>
        <v>0.4</v>
      </c>
      <c r="AG50" s="1">
        <f t="shared" si="18"/>
        <v>0.6</v>
      </c>
      <c r="AH50" s="1">
        <f t="shared" si="25"/>
        <v>6.3829787234042561</v>
      </c>
      <c r="AI50" s="6">
        <f t="shared" si="26"/>
        <v>47.191489361702125</v>
      </c>
      <c r="AJ50" s="5">
        <f t="shared" si="44"/>
        <v>0.44</v>
      </c>
      <c r="AK50" s="1">
        <f t="shared" si="45"/>
        <v>0.56000000000000005</v>
      </c>
      <c r="AL50" s="1">
        <f t="shared" si="46"/>
        <v>6.5531914893617023</v>
      </c>
      <c r="AM50" s="6">
        <f t="shared" si="47"/>
        <v>47.276595744680854</v>
      </c>
    </row>
    <row r="51" spans="1:42">
      <c r="A51" s="78" t="s">
        <v>381</v>
      </c>
      <c r="B51" s="57">
        <f>(B50/1000)/Rcs</f>
        <v>3.0997340425531914</v>
      </c>
      <c r="C51" s="42" t="s">
        <v>4</v>
      </c>
      <c r="N51">
        <v>4.4999999999999998E-2</v>
      </c>
      <c r="O51">
        <f t="shared" si="27"/>
        <v>45</v>
      </c>
      <c r="P51" s="5">
        <f t="shared" si="28"/>
        <v>0.5</v>
      </c>
      <c r="Q51" s="1">
        <f t="shared" si="29"/>
        <v>0.5</v>
      </c>
      <c r="R51" s="1">
        <f t="shared" si="30"/>
        <v>5.3191489361702127</v>
      </c>
      <c r="S51" s="6">
        <f t="shared" si="31"/>
        <v>47.659574468085104</v>
      </c>
      <c r="T51" s="5">
        <f t="shared" si="32"/>
        <v>0.4</v>
      </c>
      <c r="U51" s="1">
        <f t="shared" si="33"/>
        <v>0.6</v>
      </c>
      <c r="V51" s="1">
        <f t="shared" si="34"/>
        <v>6.3829787234042561</v>
      </c>
      <c r="W51" s="6">
        <f t="shared" si="35"/>
        <v>48.191489361702125</v>
      </c>
      <c r="X51" s="5">
        <f t="shared" si="36"/>
        <v>0.2857142857142857</v>
      </c>
      <c r="Y51" s="1">
        <f t="shared" si="37"/>
        <v>0.7142857142857143</v>
      </c>
      <c r="Z51" s="1">
        <f t="shared" si="38"/>
        <v>7.598784194528875</v>
      </c>
      <c r="AA51" s="6">
        <f t="shared" si="39"/>
        <v>48.799392097264437</v>
      </c>
      <c r="AB51" s="5">
        <f t="shared" si="40"/>
        <v>0.37</v>
      </c>
      <c r="AC51" s="1">
        <f t="shared" si="41"/>
        <v>0.63</v>
      </c>
      <c r="AD51" s="1">
        <f t="shared" si="42"/>
        <v>6.1994680851063828</v>
      </c>
      <c r="AE51" s="6">
        <f t="shared" si="43"/>
        <v>48.099734042553195</v>
      </c>
      <c r="AF51" s="5">
        <f t="shared" si="17"/>
        <v>0.4</v>
      </c>
      <c r="AG51" s="1">
        <f t="shared" si="18"/>
        <v>0.6</v>
      </c>
      <c r="AH51" s="1">
        <f t="shared" si="25"/>
        <v>6.3829787234042561</v>
      </c>
      <c r="AI51" s="6">
        <f t="shared" si="26"/>
        <v>48.191489361702125</v>
      </c>
      <c r="AJ51" s="5">
        <f t="shared" si="44"/>
        <v>0.44</v>
      </c>
      <c r="AK51" s="1">
        <f t="shared" si="45"/>
        <v>0.56000000000000005</v>
      </c>
      <c r="AL51" s="1">
        <f t="shared" si="46"/>
        <v>6.5531914893617023</v>
      </c>
      <c r="AM51" s="6">
        <f t="shared" si="47"/>
        <v>48.276595744680854</v>
      </c>
    </row>
    <row r="52" spans="1:42">
      <c r="A52" s="78" t="s">
        <v>383</v>
      </c>
      <c r="B52" s="50">
        <f>1-(V12_Min/V48_Nom)</f>
        <v>0.63</v>
      </c>
      <c r="C52" s="42"/>
      <c r="N52">
        <v>4.5999999999999999E-2</v>
      </c>
      <c r="O52">
        <f t="shared" si="27"/>
        <v>46</v>
      </c>
      <c r="P52" s="5">
        <f t="shared" si="28"/>
        <v>0.5</v>
      </c>
      <c r="Q52" s="1">
        <f t="shared" si="29"/>
        <v>0.5</v>
      </c>
      <c r="R52" s="1">
        <f t="shared" si="30"/>
        <v>5.3191489361702127</v>
      </c>
      <c r="S52" s="6">
        <f t="shared" si="31"/>
        <v>48.659574468085104</v>
      </c>
      <c r="T52" s="5">
        <f t="shared" si="32"/>
        <v>0.4</v>
      </c>
      <c r="U52" s="1">
        <f t="shared" si="33"/>
        <v>0.6</v>
      </c>
      <c r="V52" s="1">
        <f t="shared" si="34"/>
        <v>6.3829787234042561</v>
      </c>
      <c r="W52" s="6">
        <f t="shared" si="35"/>
        <v>49.191489361702125</v>
      </c>
      <c r="X52" s="5">
        <f t="shared" si="36"/>
        <v>0.2857142857142857</v>
      </c>
      <c r="Y52" s="1">
        <f t="shared" si="37"/>
        <v>0.7142857142857143</v>
      </c>
      <c r="Z52" s="1">
        <f t="shared" si="38"/>
        <v>7.598784194528875</v>
      </c>
      <c r="AA52" s="6">
        <f t="shared" si="39"/>
        <v>49.799392097264437</v>
      </c>
      <c r="AB52" s="5">
        <f t="shared" si="40"/>
        <v>0.37</v>
      </c>
      <c r="AC52" s="1">
        <f t="shared" si="41"/>
        <v>0.63</v>
      </c>
      <c r="AD52" s="1">
        <f t="shared" si="42"/>
        <v>6.1994680851063828</v>
      </c>
      <c r="AE52" s="6">
        <f t="shared" si="43"/>
        <v>49.099734042553195</v>
      </c>
      <c r="AF52" s="5">
        <f t="shared" si="17"/>
        <v>0.4</v>
      </c>
      <c r="AG52" s="1">
        <f t="shared" si="18"/>
        <v>0.6</v>
      </c>
      <c r="AH52" s="1">
        <f t="shared" si="25"/>
        <v>6.3829787234042561</v>
      </c>
      <c r="AI52" s="6">
        <f t="shared" si="26"/>
        <v>49.191489361702125</v>
      </c>
      <c r="AJ52" s="5">
        <f t="shared" si="44"/>
        <v>0.44</v>
      </c>
      <c r="AK52" s="1">
        <f t="shared" si="45"/>
        <v>0.56000000000000005</v>
      </c>
      <c r="AL52" s="1">
        <f t="shared" si="46"/>
        <v>6.5531914893617023</v>
      </c>
      <c r="AM52" s="6">
        <f t="shared" si="47"/>
        <v>49.276595744680854</v>
      </c>
    </row>
    <row r="53" spans="1:42">
      <c r="A53" s="78" t="s">
        <v>74</v>
      </c>
      <c r="B53" s="56">
        <f>((V48_Nom-V12_Nom)/(2*Lm*Fsw))*((V12_Nom*Rcs)/V48_Nom)*1000</f>
        <v>3.191489361702128</v>
      </c>
      <c r="C53" s="42" t="s">
        <v>72</v>
      </c>
      <c r="N53">
        <v>4.7E-2</v>
      </c>
      <c r="O53">
        <f t="shared" si="27"/>
        <v>47</v>
      </c>
      <c r="P53" s="5">
        <f t="shared" si="28"/>
        <v>0.5</v>
      </c>
      <c r="Q53" s="1">
        <f t="shared" si="29"/>
        <v>0.5</v>
      </c>
      <c r="R53" s="1">
        <f t="shared" si="30"/>
        <v>5.3191489361702127</v>
      </c>
      <c r="S53" s="6">
        <f t="shared" si="31"/>
        <v>49.659574468085104</v>
      </c>
      <c r="T53" s="5">
        <f t="shared" si="32"/>
        <v>0.4</v>
      </c>
      <c r="U53" s="1">
        <f t="shared" si="33"/>
        <v>0.6</v>
      </c>
      <c r="V53" s="1">
        <f t="shared" si="34"/>
        <v>6.3829787234042561</v>
      </c>
      <c r="W53" s="6">
        <f t="shared" si="35"/>
        <v>50.191489361702125</v>
      </c>
      <c r="X53" s="5">
        <f t="shared" si="36"/>
        <v>0.2857142857142857</v>
      </c>
      <c r="Y53" s="1">
        <f t="shared" si="37"/>
        <v>0.7142857142857143</v>
      </c>
      <c r="Z53" s="1">
        <f t="shared" si="38"/>
        <v>7.598784194528875</v>
      </c>
      <c r="AA53" s="6">
        <f t="shared" si="39"/>
        <v>50.799392097264437</v>
      </c>
      <c r="AB53" s="5">
        <f t="shared" si="40"/>
        <v>0.37</v>
      </c>
      <c r="AC53" s="1">
        <f t="shared" si="41"/>
        <v>0.63</v>
      </c>
      <c r="AD53" s="1">
        <f t="shared" si="42"/>
        <v>6.1994680851063828</v>
      </c>
      <c r="AE53" s="6">
        <f t="shared" si="43"/>
        <v>50.099734042553195</v>
      </c>
      <c r="AF53" s="5">
        <f t="shared" si="17"/>
        <v>0.4</v>
      </c>
      <c r="AG53" s="1">
        <f t="shared" si="18"/>
        <v>0.6</v>
      </c>
      <c r="AH53" s="1">
        <f t="shared" si="25"/>
        <v>6.3829787234042561</v>
      </c>
      <c r="AI53" s="6">
        <f t="shared" si="26"/>
        <v>50.191489361702125</v>
      </c>
      <c r="AJ53" s="5">
        <f t="shared" si="44"/>
        <v>0.44</v>
      </c>
      <c r="AK53" s="1">
        <f t="shared" si="45"/>
        <v>0.56000000000000005</v>
      </c>
      <c r="AL53" s="1">
        <f t="shared" si="46"/>
        <v>6.5531914893617023</v>
      </c>
      <c r="AM53" s="6">
        <f t="shared" si="47"/>
        <v>50.276595744680854</v>
      </c>
    </row>
    <row r="54" spans="1:42">
      <c r="A54" s="78" t="s">
        <v>81</v>
      </c>
      <c r="B54" s="57">
        <f>(B53/1000)/Rcs</f>
        <v>3.191489361702128</v>
      </c>
      <c r="C54" s="42" t="s">
        <v>4</v>
      </c>
      <c r="N54">
        <v>4.8000000000000001E-2</v>
      </c>
      <c r="O54">
        <f t="shared" si="27"/>
        <v>48</v>
      </c>
      <c r="P54" s="5">
        <f t="shared" si="28"/>
        <v>0.5</v>
      </c>
      <c r="Q54" s="1">
        <f t="shared" si="29"/>
        <v>0.5</v>
      </c>
      <c r="R54" s="1">
        <f t="shared" si="30"/>
        <v>5.3191489361702127</v>
      </c>
      <c r="S54" s="6">
        <f t="shared" si="31"/>
        <v>50.659574468085104</v>
      </c>
      <c r="T54" s="5">
        <f t="shared" si="32"/>
        <v>0.4</v>
      </c>
      <c r="U54" s="1">
        <f t="shared" si="33"/>
        <v>0.6</v>
      </c>
      <c r="V54" s="1">
        <f t="shared" si="34"/>
        <v>6.3829787234042561</v>
      </c>
      <c r="W54" s="6">
        <f t="shared" si="35"/>
        <v>51.191489361702125</v>
      </c>
      <c r="X54" s="5">
        <f t="shared" si="36"/>
        <v>0.2857142857142857</v>
      </c>
      <c r="Y54" s="1">
        <f t="shared" si="37"/>
        <v>0.7142857142857143</v>
      </c>
      <c r="Z54" s="1">
        <f t="shared" si="38"/>
        <v>7.598784194528875</v>
      </c>
      <c r="AA54" s="6">
        <f t="shared" si="39"/>
        <v>51.799392097264437</v>
      </c>
      <c r="AB54" s="5">
        <f t="shared" si="40"/>
        <v>0.37</v>
      </c>
      <c r="AC54" s="1">
        <f t="shared" si="41"/>
        <v>0.63</v>
      </c>
      <c r="AD54" s="1">
        <f t="shared" si="42"/>
        <v>6.1994680851063828</v>
      </c>
      <c r="AE54" s="6">
        <f t="shared" si="43"/>
        <v>51.099734042553195</v>
      </c>
      <c r="AF54" s="5">
        <f t="shared" si="17"/>
        <v>0.4</v>
      </c>
      <c r="AG54" s="1">
        <f t="shared" si="18"/>
        <v>0.6</v>
      </c>
      <c r="AH54" s="1">
        <f t="shared" si="25"/>
        <v>6.3829787234042561</v>
      </c>
      <c r="AI54" s="6">
        <f t="shared" si="26"/>
        <v>51.191489361702125</v>
      </c>
      <c r="AJ54" s="5">
        <f t="shared" si="44"/>
        <v>0.44</v>
      </c>
      <c r="AK54" s="1">
        <f t="shared" si="45"/>
        <v>0.56000000000000005</v>
      </c>
      <c r="AL54" s="1">
        <f t="shared" si="46"/>
        <v>6.5531914893617023</v>
      </c>
      <c r="AM54" s="6">
        <f t="shared" si="47"/>
        <v>51.276595744680854</v>
      </c>
    </row>
    <row r="55" spans="1:42">
      <c r="A55" s="78" t="s">
        <v>383</v>
      </c>
      <c r="B55" s="57">
        <f>1-(V12_Nom/V48_Nom)</f>
        <v>0.6</v>
      </c>
      <c r="C55" s="42"/>
      <c r="N55">
        <v>4.9000000000000002E-2</v>
      </c>
      <c r="O55">
        <f t="shared" si="27"/>
        <v>49</v>
      </c>
      <c r="P55" s="5">
        <f t="shared" si="28"/>
        <v>0.5</v>
      </c>
      <c r="Q55" s="1">
        <f t="shared" si="29"/>
        <v>0.5</v>
      </c>
      <c r="R55" s="1">
        <f t="shared" si="30"/>
        <v>5.3191489361702127</v>
      </c>
      <c r="S55" s="6">
        <f t="shared" si="31"/>
        <v>51.659574468085104</v>
      </c>
      <c r="T55" s="5">
        <f t="shared" si="32"/>
        <v>0.4</v>
      </c>
      <c r="U55" s="1">
        <f t="shared" si="33"/>
        <v>0.6</v>
      </c>
      <c r="V55" s="1">
        <f t="shared" si="34"/>
        <v>6.3829787234042561</v>
      </c>
      <c r="W55" s="6">
        <f t="shared" si="35"/>
        <v>52.191489361702125</v>
      </c>
      <c r="X55" s="5">
        <f t="shared" si="36"/>
        <v>0.2857142857142857</v>
      </c>
      <c r="Y55" s="1">
        <f t="shared" si="37"/>
        <v>0.7142857142857143</v>
      </c>
      <c r="Z55" s="1">
        <f t="shared" si="38"/>
        <v>7.598784194528875</v>
      </c>
      <c r="AA55" s="6">
        <f t="shared" si="39"/>
        <v>52.799392097264437</v>
      </c>
      <c r="AB55" s="5">
        <f t="shared" si="40"/>
        <v>0.37</v>
      </c>
      <c r="AC55" s="1">
        <f t="shared" si="41"/>
        <v>0.63</v>
      </c>
      <c r="AD55" s="1">
        <f t="shared" si="42"/>
        <v>6.1994680851063828</v>
      </c>
      <c r="AE55" s="6">
        <f t="shared" si="43"/>
        <v>52.099734042553195</v>
      </c>
      <c r="AF55" s="5">
        <f t="shared" si="17"/>
        <v>0.4</v>
      </c>
      <c r="AG55" s="1">
        <f t="shared" si="18"/>
        <v>0.6</v>
      </c>
      <c r="AH55" s="1">
        <f t="shared" si="25"/>
        <v>6.3829787234042561</v>
      </c>
      <c r="AI55" s="6">
        <f t="shared" si="26"/>
        <v>52.191489361702125</v>
      </c>
      <c r="AJ55" s="5">
        <f t="shared" si="44"/>
        <v>0.44</v>
      </c>
      <c r="AK55" s="1">
        <f t="shared" si="45"/>
        <v>0.56000000000000005</v>
      </c>
      <c r="AL55" s="1">
        <f t="shared" si="46"/>
        <v>6.5531914893617023</v>
      </c>
      <c r="AM55" s="6">
        <f t="shared" si="47"/>
        <v>52.276595744680854</v>
      </c>
    </row>
    <row r="56" spans="1:42">
      <c r="A56" s="78" t="s">
        <v>380</v>
      </c>
      <c r="B56" s="56">
        <f>((V48_Nom-V12_Max)/(2*Lm*Fsw))*((V12_Max*Rcs)/V48_Nom)*1000</f>
        <v>3.2765957446808511</v>
      </c>
      <c r="C56" s="42" t="s">
        <v>72</v>
      </c>
      <c r="N56">
        <v>0.05</v>
      </c>
      <c r="O56">
        <f t="shared" si="27"/>
        <v>50</v>
      </c>
      <c r="P56" s="5">
        <f t="shared" si="28"/>
        <v>0.5</v>
      </c>
      <c r="Q56" s="1">
        <f t="shared" si="29"/>
        <v>0.5</v>
      </c>
      <c r="R56" s="1">
        <f t="shared" si="30"/>
        <v>5.3191489361702127</v>
      </c>
      <c r="S56" s="6">
        <f t="shared" si="31"/>
        <v>52.659574468085104</v>
      </c>
      <c r="T56" s="5">
        <f t="shared" si="32"/>
        <v>0.4</v>
      </c>
      <c r="U56" s="1">
        <f t="shared" si="33"/>
        <v>0.6</v>
      </c>
      <c r="V56" s="1">
        <f t="shared" si="34"/>
        <v>6.3829787234042561</v>
      </c>
      <c r="W56" s="6">
        <f t="shared" si="35"/>
        <v>53.191489361702125</v>
      </c>
      <c r="X56" s="5">
        <f t="shared" si="36"/>
        <v>0.2857142857142857</v>
      </c>
      <c r="Y56" s="1">
        <f t="shared" si="37"/>
        <v>0.7142857142857143</v>
      </c>
      <c r="Z56" s="1">
        <f t="shared" si="38"/>
        <v>7.598784194528875</v>
      </c>
      <c r="AA56" s="6">
        <f t="shared" si="39"/>
        <v>53.799392097264437</v>
      </c>
      <c r="AB56" s="5">
        <f t="shared" si="40"/>
        <v>0.37</v>
      </c>
      <c r="AC56" s="1">
        <f t="shared" si="41"/>
        <v>0.63</v>
      </c>
      <c r="AD56" s="1">
        <f t="shared" si="42"/>
        <v>6.1994680851063828</v>
      </c>
      <c r="AE56" s="6">
        <f t="shared" si="43"/>
        <v>53.099734042553195</v>
      </c>
      <c r="AF56" s="5">
        <f t="shared" si="17"/>
        <v>0.4</v>
      </c>
      <c r="AG56" s="1">
        <f t="shared" si="18"/>
        <v>0.6</v>
      </c>
      <c r="AH56" s="1">
        <f t="shared" si="25"/>
        <v>6.3829787234042561</v>
      </c>
      <c r="AI56" s="6">
        <f t="shared" si="26"/>
        <v>53.191489361702125</v>
      </c>
      <c r="AJ56" s="5">
        <f t="shared" si="44"/>
        <v>0.44</v>
      </c>
      <c r="AK56" s="1">
        <f t="shared" si="45"/>
        <v>0.56000000000000005</v>
      </c>
      <c r="AL56" s="1">
        <f t="shared" si="46"/>
        <v>6.5531914893617023</v>
      </c>
      <c r="AM56" s="6">
        <f t="shared" si="47"/>
        <v>53.276595744680854</v>
      </c>
    </row>
    <row r="57" spans="1:42">
      <c r="A57" s="78" t="s">
        <v>379</v>
      </c>
      <c r="B57" s="57">
        <f>(B56/1000)/Rcs</f>
        <v>3.2765957446808511</v>
      </c>
      <c r="C57" s="42" t="s">
        <v>4</v>
      </c>
    </row>
    <row r="58" spans="1:42" ht="15" thickBot="1">
      <c r="A58" s="79" t="s">
        <v>383</v>
      </c>
      <c r="B58" s="50">
        <f>1-(V12_Max/V48_Nom)</f>
        <v>0.56000000000000005</v>
      </c>
      <c r="C58" s="80"/>
      <c r="N58" s="40"/>
      <c r="O58" s="40"/>
      <c r="P58" s="40" t="s">
        <v>79</v>
      </c>
      <c r="Q58" s="40"/>
      <c r="R58" s="40"/>
      <c r="S58" s="40"/>
      <c r="T58" s="40"/>
      <c r="U58" s="40"/>
      <c r="V58" s="40"/>
      <c r="W58" s="40"/>
      <c r="X58" s="40"/>
      <c r="Y58" s="40"/>
      <c r="Z58" s="40"/>
      <c r="AA58" s="40"/>
      <c r="AD58" s="202" t="s">
        <v>79</v>
      </c>
      <c r="AE58" s="202"/>
      <c r="AF58" s="202"/>
      <c r="AG58" s="202"/>
      <c r="AH58" s="202"/>
      <c r="AI58" s="202"/>
      <c r="AJ58" s="202"/>
      <c r="AK58" s="202"/>
      <c r="AL58" s="202"/>
      <c r="AM58" s="202"/>
      <c r="AN58" s="202"/>
      <c r="AO58" s="202"/>
    </row>
    <row r="59" spans="1:42" ht="15" thickBot="1">
      <c r="N59" s="40"/>
      <c r="O59" s="40"/>
      <c r="P59" s="41" t="s">
        <v>76</v>
      </c>
      <c r="Q59" s="41"/>
      <c r="R59" s="41"/>
      <c r="S59" s="41"/>
      <c r="T59" s="41" t="s">
        <v>77</v>
      </c>
      <c r="U59" s="41"/>
      <c r="V59" s="41"/>
      <c r="W59" s="41"/>
      <c r="X59" s="41" t="s">
        <v>78</v>
      </c>
      <c r="Y59" s="41"/>
      <c r="Z59" s="41"/>
      <c r="AA59" s="41"/>
      <c r="AC59" s="40"/>
      <c r="AD59" s="40"/>
      <c r="AE59" s="41" t="s">
        <v>108</v>
      </c>
      <c r="AF59" s="41"/>
      <c r="AG59" s="41"/>
      <c r="AH59" s="41"/>
      <c r="AI59" s="41" t="s">
        <v>109</v>
      </c>
      <c r="AJ59" s="41"/>
      <c r="AK59" s="41"/>
      <c r="AL59" s="41"/>
      <c r="AM59" s="41" t="s">
        <v>110</v>
      </c>
      <c r="AN59" s="41"/>
      <c r="AO59" s="41"/>
      <c r="AP59" s="41"/>
    </row>
    <row r="60" spans="1:42" ht="31" thickBot="1">
      <c r="N60" s="40"/>
      <c r="O60" s="40" t="s">
        <v>30</v>
      </c>
      <c r="P60" s="17" t="s">
        <v>15</v>
      </c>
      <c r="Q60" s="18" t="s">
        <v>14</v>
      </c>
      <c r="R60" s="18" t="s">
        <v>13</v>
      </c>
      <c r="S60" s="19" t="s">
        <v>12</v>
      </c>
      <c r="T60" s="17" t="s">
        <v>15</v>
      </c>
      <c r="U60" s="18" t="s">
        <v>14</v>
      </c>
      <c r="V60" s="18" t="s">
        <v>13</v>
      </c>
      <c r="W60" s="19" t="s">
        <v>12</v>
      </c>
      <c r="X60" s="17" t="s">
        <v>15</v>
      </c>
      <c r="Y60" s="18" t="s">
        <v>14</v>
      </c>
      <c r="Z60" s="18" t="s">
        <v>13</v>
      </c>
      <c r="AA60" s="19" t="s">
        <v>12</v>
      </c>
      <c r="AC60" s="40"/>
      <c r="AD60" s="40" t="s">
        <v>107</v>
      </c>
      <c r="AE60" s="17" t="s">
        <v>15</v>
      </c>
      <c r="AF60" s="18" t="s">
        <v>14</v>
      </c>
      <c r="AG60" s="18" t="s">
        <v>13</v>
      </c>
      <c r="AH60" s="19" t="s">
        <v>12</v>
      </c>
      <c r="AI60" s="17" t="s">
        <v>15</v>
      </c>
      <c r="AJ60" s="18" t="s">
        <v>14</v>
      </c>
      <c r="AK60" s="18" t="s">
        <v>13</v>
      </c>
      <c r="AL60" s="19" t="s">
        <v>12</v>
      </c>
      <c r="AM60" s="17" t="s">
        <v>15</v>
      </c>
      <c r="AN60" s="18" t="s">
        <v>14</v>
      </c>
      <c r="AO60" s="18" t="s">
        <v>13</v>
      </c>
      <c r="AP60" s="19" t="s">
        <v>12</v>
      </c>
    </row>
    <row r="61" spans="1:42">
      <c r="N61">
        <v>0</v>
      </c>
      <c r="O61">
        <f>V48_Min</f>
        <v>40</v>
      </c>
      <c r="P61" s="14">
        <f t="shared" ref="P61:P92" si="48">IF(I_Channel&lt;(($O61-V12_Min)*V12_Min)/((2*Lm*Fsw)*$O61),SQRT((2*I_Channel*Lm*Fsw*V12_Min)/($O61*($O61-V12_Min))),(V12_Min/$O61))</f>
        <v>0.46250000000000002</v>
      </c>
      <c r="Q61" s="15">
        <f t="shared" ref="Q61:Q92" si="49">IF(I_Channel&lt;(($O61-V12_Min)*V12_Min)/((2*Lm*Fsw)*$O61),SQRT((2*I_Channel*Lm*Fsw*V12_Min)/($O61*($O61-V12_Min)))*(($O61-V12_Min)/(V12_Min)),1-(V12_Min/$O61))</f>
        <v>0.53749999999999998</v>
      </c>
      <c r="R61" s="15">
        <f t="shared" ref="R61:R92" si="50">IF(I_Channel&lt;(($O61-V12_Min)*V12_Min)/((2*Lm*Fsw)*$O61),(P61/(Fsw*Lm))*($O61-V12_Min),((P61/(Fsw*Lm))*($O61-V12_Min)))</f>
        <v>5.2892287234042561</v>
      </c>
      <c r="S61" s="16">
        <f t="shared" ref="S61:S92" si="51">IF(I_Channel&lt;(($O61-V12_Min)*V12_Min)/((2*Lm*Fsw)*$O61),(P61/(Fsw*Lm))*($O61-V12_Min),(R61/2)+I_Channel)</f>
        <v>52.644614361702125</v>
      </c>
      <c r="T61" s="14">
        <f t="shared" ref="T61:T92" si="52">IF(I_Channel&lt;(($O61-V12_Nom)*V12_Nom)/((2*Lm*Fsw)*$O61),SQRT((2*I_Channel*Lm*Fsw*V12_Nom)/($O61*($O61-V12_Nom))),(V12_Nom/$O61))</f>
        <v>0.5</v>
      </c>
      <c r="U61" s="15">
        <f t="shared" ref="U61:U92" si="53">IF(I_Channel&lt;(($O61-V12_Nom)*V12_Nom)/((2*Lm*Fsw)*$O61),SQRT((2*I_Channel*Lm*Fsw*V12_Nom)/($O61*($O61-V12_Nom)))*(($O61-V12_Nom)/(V12_Nom)),1-(V12_Nom/$O61))</f>
        <v>0.5</v>
      </c>
      <c r="V61" s="15">
        <f t="shared" ref="V61:V92" si="54">IF(I_Channel&lt;(($O61-V12_Nom)*V12_Nom)/((2*Lm*Fsw)*$O61),(T61/(Fsw*Lm))*($O61-V12_Nom),((T61/(Fsw*Lm))*($O61-V12_Nom)))</f>
        <v>5.3191489361702127</v>
      </c>
      <c r="W61" s="16">
        <f t="shared" ref="W61:W92" si="55">IF(I_Channel&lt;(($O61-V12_Nom)*V12_Nom)/((2*Lm*Fsw)*$O61),(T61/(Fsw*Lm))*($O61-V12_Nom),(V61/2)+I_Channel)</f>
        <v>52.659574468085104</v>
      </c>
      <c r="X61" s="14">
        <f t="shared" ref="X61:X92" si="56">IF(I_Channel&lt;(($O61-V12_Max)*V12_Max)/((2*Lm*Fsw)*$O61),SQRT((2*I_Channel*Lm*Fsw*V12_Max)/($O61*($O61-V12_Max))),(V12_Max/$O61))</f>
        <v>0.55000000000000004</v>
      </c>
      <c r="Y61" s="15">
        <f t="shared" ref="Y61:Y92" si="57">IF(I_Channel&lt;(($O61-V12_Max)*V12_Max)/((2*Lm*Fsw)*$O61),SQRT((2*I_Channel*Lm*Fsw*V12_Max)/($O61*($O61-V12_Max)))*(($O61-V12_Max)/(V12_Max)),1-(V12_Max/$O61))</f>
        <v>0.44999999999999996</v>
      </c>
      <c r="Z61" s="15">
        <f t="shared" ref="Z61:Z92" si="58">IF(I_Channel&lt;(($O61-V12_Max)*V12_Max)/((2*Lm*Fsw)*$O61),(X61/(Fsw*Lm))*($O61-V12_Max),((X61/(Fsw*Lm))*($O61-V12_Max)))</f>
        <v>5.2659574468085122</v>
      </c>
      <c r="AA61" s="16">
        <f t="shared" ref="AA61:AA92" si="59">IF(I_Channel&lt;(($O61-V12_Max)*V12_Max)/((2*Lm*Fsw)*$O61),(X61/(Fsw*Lm))*($O61-V12_Max),(Z61/2)+I_Channel)</f>
        <v>52.632978723404257</v>
      </c>
      <c r="AC61">
        <v>0</v>
      </c>
      <c r="AD61">
        <f>V12_Min</f>
        <v>18.5</v>
      </c>
      <c r="AE61" s="14">
        <f t="shared" ref="AE61:AE92" si="60">IF(I_Channel&lt;((V48_Min-$AD61)*$AD61)/((2*Lm*Fsw)*V48_Min),SQRT((2*I_Channel*Lm*Fsw*$AD61)/(V48_Min*(V48_Min-$AD61))),($AD61/V48_Min))</f>
        <v>0.46250000000000002</v>
      </c>
      <c r="AF61" s="15">
        <f t="shared" ref="AF61:AF92" si="61">IF(I_Channel&lt;((V48_Min-$AD61)*$AD61)/((2*Lm*Fsw)*V48_Min),SQRT((2*I_Channel*Lm*Fsw*$AD61)/(V48_Min*(V48_Min-$AD61)))*((V48_Min-$AD61)/($AD61)),1-($AD61/V48_Min))</f>
        <v>0.53749999999999998</v>
      </c>
      <c r="AG61" s="15">
        <f t="shared" ref="AG61:AG92" si="62">IF(I_Channel&lt;((V48_Min-$AD61)*$AD61)/((2*Lm*Fsw)*V48_Min),(AE61/(Fsw*Lm))*(V48_Min-$AD61),((AE61/(Fsw*Lm))*(V48_Min-$AD61)))</f>
        <v>5.2892287234042561</v>
      </c>
      <c r="AH61" s="16">
        <f t="shared" ref="AH61:AH92" si="63">IF(I_Channel&lt;((V48_Min-$AD61)*$AD61)/((2*Lm*Fsw)*V48_Min),(AE61/(Fsw*Lm))*(V48_Min-$AD61),(AG61/2)+I_Channel)</f>
        <v>52.644614361702125</v>
      </c>
      <c r="AI61" s="14">
        <f t="shared" ref="AI61:AI92" si="64">IF(I_Channel&lt;((V48_Nom-$AD61)*$AD61)/((2*Lm*Fsw)*V48_Nom),SQRT((2*I_Channel*Lm*Fsw*$AD61)/(V48_Nom*(V48_Nom-$AD61))),($AD61/V48_Nom))</f>
        <v>0.37</v>
      </c>
      <c r="AJ61" s="15">
        <f t="shared" ref="AJ61:AJ92" si="65">IF(I_Channel&lt;((V48_Nom-$AD61)*$AD61)/((2*Lm*Fsw)*V48_Nom),SQRT((2*I_Channel*Lm*Fsw*$AD61)/(V48_Nom*(V48_Nom-$AD61)))*((V48_Nom-$AD61)/($AD61)),1-($AD61/V48_Nom))</f>
        <v>0.63</v>
      </c>
      <c r="AK61" s="15">
        <f t="shared" ref="AK61:AK92" si="66">IF(I_Channel&lt;((V48_Nom-$AD61)*$AD61)/((2*Lm*Fsw)*V48_Nom),(AI61/(Fsw*Lm))*(V48_Nom-$AD61),((AI61/(Fsw*Lm))*(V48_Nom-$AD61)))</f>
        <v>6.1994680851063828</v>
      </c>
      <c r="AL61" s="16">
        <f t="shared" ref="AL61:AL92" si="67">IF(I_Channel&lt;((V48_Nom-$AD61)*$AD61)/((2*Lm*Fsw)*V48_Nom),(AI61/(Fsw*Lm))*(V48_Nom-$AD61),(AK61/2)+I_Channel)</f>
        <v>53.099734042553195</v>
      </c>
      <c r="AM61" s="14">
        <f t="shared" ref="AM61:AM92" si="68">IF(I_Channel&lt;((V48_Max-$AD61)*$AD61)/((2*Lm*Fsw)*V48_Max),SQRT((2*I_Channel*Lm*Fsw*$AD61)/(V48_Max*(V48_Max-$AD61))),($AD61/V48_Max))</f>
        <v>0.26428571428571429</v>
      </c>
      <c r="AN61" s="15">
        <f t="shared" ref="AN61:AN92" si="69">IF(I_Channel&lt;((V48_Max-$AD61)*$AD61)/((2*Lm*Fsw)*V48_Max),SQRT((2*I_Channel*Lm*Fsw*$AD61)/(V48_Max*(V48_Max-$AD61)))*((V48_Max-$AD61)/($AD61)),1-($AD61/V48_Max))</f>
        <v>0.73571428571428577</v>
      </c>
      <c r="AO61" s="15">
        <f t="shared" ref="AO61:AO92" si="70">IF(I_Channel&lt;((V48_Max-$AD61)*$AD61)/((2*Lm*Fsw)*V48_Max),(AM61/(Fsw*Lm))*(V48_Max-$AD61),((AM61/(Fsw*Lm))*(V48_Max-$AD61)))</f>
        <v>7.2397416413373863</v>
      </c>
      <c r="AP61" s="16">
        <f t="shared" ref="AP61:AP92" si="71">IF(I_Channel&lt;((V48_Max-$AD61)*$AD61)/((2*Lm*Fsw)*V48_Max),(AM61/(Fsw*Lm))*(V48_Max-$AD61),(AO61/2)+I_Channel)</f>
        <v>53.619870820668694</v>
      </c>
    </row>
    <row r="62" spans="1:42">
      <c r="N62">
        <v>1</v>
      </c>
      <c r="O62">
        <f t="shared" ref="O62:O93" si="72">((V48_Max-V48_Min)/50)*N62+V48_Min</f>
        <v>40.6</v>
      </c>
      <c r="P62" s="14">
        <f t="shared" si="48"/>
        <v>0.45566502463054187</v>
      </c>
      <c r="Q62" s="15">
        <f t="shared" si="49"/>
        <v>0.54433497536945818</v>
      </c>
      <c r="R62" s="15">
        <f t="shared" si="50"/>
        <v>5.356487789539881</v>
      </c>
      <c r="S62" s="16">
        <f t="shared" si="51"/>
        <v>52.678243894769942</v>
      </c>
      <c r="T62" s="14">
        <f t="shared" si="52"/>
        <v>0.49261083743842365</v>
      </c>
      <c r="U62" s="15">
        <f t="shared" si="53"/>
        <v>0.50738916256157629</v>
      </c>
      <c r="V62" s="15">
        <f t="shared" si="54"/>
        <v>5.3977570485274091</v>
      </c>
      <c r="W62" s="16">
        <f t="shared" si="55"/>
        <v>52.698878524263705</v>
      </c>
      <c r="X62" s="14">
        <f t="shared" si="56"/>
        <v>0.54187192118226601</v>
      </c>
      <c r="Y62" s="15">
        <f t="shared" si="57"/>
        <v>0.45812807881773399</v>
      </c>
      <c r="Z62" s="15">
        <f t="shared" si="58"/>
        <v>5.3610732627607174</v>
      </c>
      <c r="AA62" s="16">
        <f t="shared" si="59"/>
        <v>52.680536631380356</v>
      </c>
      <c r="AC62">
        <v>1</v>
      </c>
      <c r="AD62">
        <f t="shared" ref="AD62:AD93" si="73">((V12_Max-V12_Min)/50)*AC62+V12_Min</f>
        <v>18.57</v>
      </c>
      <c r="AE62" s="14">
        <f t="shared" si="60"/>
        <v>0.46425</v>
      </c>
      <c r="AF62" s="15">
        <f t="shared" si="61"/>
        <v>0.53574999999999995</v>
      </c>
      <c r="AG62" s="15">
        <f t="shared" si="62"/>
        <v>5.2919561170212761</v>
      </c>
      <c r="AH62" s="16">
        <f t="shared" si="63"/>
        <v>52.645978058510636</v>
      </c>
      <c r="AI62" s="14">
        <f t="shared" si="64"/>
        <v>0.37140000000000001</v>
      </c>
      <c r="AJ62" s="15">
        <f t="shared" si="65"/>
        <v>0.62860000000000005</v>
      </c>
      <c r="AK62" s="15">
        <f t="shared" si="66"/>
        <v>6.2090968085106386</v>
      </c>
      <c r="AL62" s="16">
        <f t="shared" si="67"/>
        <v>53.104548404255318</v>
      </c>
      <c r="AM62" s="14">
        <f t="shared" si="68"/>
        <v>0.26528571428571429</v>
      </c>
      <c r="AN62" s="15">
        <f t="shared" si="69"/>
        <v>0.73471428571428565</v>
      </c>
      <c r="AO62" s="15">
        <f t="shared" si="70"/>
        <v>7.2572575987841947</v>
      </c>
      <c r="AP62" s="16">
        <f t="shared" si="71"/>
        <v>53.628628799392096</v>
      </c>
    </row>
    <row r="63" spans="1:42">
      <c r="A63" s="196" t="s">
        <v>73</v>
      </c>
      <c r="B63" s="197"/>
      <c r="C63" s="198"/>
      <c r="E63" s="65" t="s">
        <v>152</v>
      </c>
      <c r="N63">
        <v>2</v>
      </c>
      <c r="O63">
        <f t="shared" si="72"/>
        <v>41.2</v>
      </c>
      <c r="P63" s="14">
        <f t="shared" si="48"/>
        <v>0.4490291262135922</v>
      </c>
      <c r="Q63" s="15">
        <f t="shared" si="49"/>
        <v>0.55097087378640786</v>
      </c>
      <c r="R63" s="15">
        <f t="shared" si="50"/>
        <v>5.4217878537492261</v>
      </c>
      <c r="S63" s="16">
        <f t="shared" si="51"/>
        <v>52.710893926874611</v>
      </c>
      <c r="T63" s="14">
        <f t="shared" si="52"/>
        <v>0.48543689320388345</v>
      </c>
      <c r="U63" s="15">
        <f t="shared" si="53"/>
        <v>0.5145631067961165</v>
      </c>
      <c r="V63" s="15">
        <f t="shared" si="54"/>
        <v>5.4740756042140051</v>
      </c>
      <c r="W63" s="16">
        <f t="shared" si="55"/>
        <v>52.737037802107004</v>
      </c>
      <c r="X63" s="14">
        <f t="shared" si="56"/>
        <v>0.53398058252427183</v>
      </c>
      <c r="Y63" s="15">
        <f t="shared" si="57"/>
        <v>0.46601941747572817</v>
      </c>
      <c r="Z63" s="15">
        <f t="shared" si="58"/>
        <v>5.4534187151415008</v>
      </c>
      <c r="AA63" s="16">
        <f t="shared" si="59"/>
        <v>52.726709357570748</v>
      </c>
      <c r="AC63">
        <v>2</v>
      </c>
      <c r="AD63">
        <f t="shared" si="73"/>
        <v>18.64</v>
      </c>
      <c r="AE63" s="14">
        <f t="shared" si="60"/>
        <v>0.46600000000000003</v>
      </c>
      <c r="AF63" s="15">
        <f t="shared" si="61"/>
        <v>0.53400000000000003</v>
      </c>
      <c r="AG63" s="15">
        <f t="shared" si="62"/>
        <v>5.2945531914893618</v>
      </c>
      <c r="AH63" s="16">
        <f t="shared" si="63"/>
        <v>52.647276595744678</v>
      </c>
      <c r="AI63" s="14">
        <f t="shared" si="64"/>
        <v>0.37280000000000002</v>
      </c>
      <c r="AJ63" s="15">
        <f t="shared" si="65"/>
        <v>0.62719999999999998</v>
      </c>
      <c r="AK63" s="15">
        <f t="shared" si="66"/>
        <v>6.2186212765957452</v>
      </c>
      <c r="AL63" s="16">
        <f t="shared" si="67"/>
        <v>53.10931063829787</v>
      </c>
      <c r="AM63" s="14">
        <f t="shared" si="68"/>
        <v>0.26628571428571429</v>
      </c>
      <c r="AN63" s="15">
        <f t="shared" si="69"/>
        <v>0.73371428571428576</v>
      </c>
      <c r="AO63" s="15">
        <f t="shared" si="70"/>
        <v>7.2746990881458977</v>
      </c>
      <c r="AP63" s="16">
        <f t="shared" si="71"/>
        <v>53.637349544072947</v>
      </c>
    </row>
    <row r="64" spans="1:42">
      <c r="A64" s="31" t="s">
        <v>71</v>
      </c>
      <c r="B64" s="57">
        <f>IF(V48_Max/2&gt;V12_Nom,((V48_Max-V12_Nom)*(V12_Nom/V48_Max))/(Lm*Fsw),((V48_Max-(V48_Max/2))*(V12_Nom/V48_Max))/(Lm*Fsw))</f>
        <v>7.598784194528875</v>
      </c>
      <c r="C64" s="31" t="s">
        <v>4</v>
      </c>
      <c r="E64" s="34" t="s">
        <v>194</v>
      </c>
      <c r="N64">
        <v>3</v>
      </c>
      <c r="O64">
        <f t="shared" si="72"/>
        <v>41.8</v>
      </c>
      <c r="P64" s="14">
        <f t="shared" si="48"/>
        <v>0.4425837320574163</v>
      </c>
      <c r="Q64" s="15">
        <f t="shared" si="49"/>
        <v>0.5574162679425837</v>
      </c>
      <c r="R64" s="15">
        <f t="shared" si="50"/>
        <v>5.485213274966914</v>
      </c>
      <c r="S64" s="16">
        <f t="shared" si="51"/>
        <v>52.742606637483455</v>
      </c>
      <c r="T64" s="14">
        <f t="shared" si="52"/>
        <v>0.47846889952153115</v>
      </c>
      <c r="U64" s="15">
        <f t="shared" si="53"/>
        <v>0.52153110047846885</v>
      </c>
      <c r="V64" s="15">
        <f t="shared" si="54"/>
        <v>5.5482031965794567</v>
      </c>
      <c r="W64" s="16">
        <f t="shared" si="55"/>
        <v>52.774101598289725</v>
      </c>
      <c r="X64" s="14">
        <f t="shared" si="56"/>
        <v>0.52631578947368429</v>
      </c>
      <c r="Y64" s="15">
        <f t="shared" si="57"/>
        <v>0.47368421052631571</v>
      </c>
      <c r="Z64" s="15">
        <f t="shared" si="58"/>
        <v>5.5431131019036952</v>
      </c>
      <c r="AA64" s="16">
        <f t="shared" si="59"/>
        <v>52.77155655095185</v>
      </c>
      <c r="AC64">
        <v>3</v>
      </c>
      <c r="AD64">
        <f t="shared" si="73"/>
        <v>18.71</v>
      </c>
      <c r="AE64" s="14">
        <f t="shared" si="60"/>
        <v>0.46775</v>
      </c>
      <c r="AF64" s="15">
        <f t="shared" si="61"/>
        <v>0.53225</v>
      </c>
      <c r="AG64" s="15">
        <f t="shared" si="62"/>
        <v>5.2970199468085113</v>
      </c>
      <c r="AH64" s="16">
        <f t="shared" si="63"/>
        <v>52.648509973404259</v>
      </c>
      <c r="AI64" s="14">
        <f t="shared" si="64"/>
        <v>0.37420000000000003</v>
      </c>
      <c r="AJ64" s="15">
        <f t="shared" si="65"/>
        <v>0.62579999999999991</v>
      </c>
      <c r="AK64" s="15">
        <f t="shared" si="66"/>
        <v>6.2280414893617024</v>
      </c>
      <c r="AL64" s="16">
        <f t="shared" si="67"/>
        <v>53.11402074468085</v>
      </c>
      <c r="AM64" s="14">
        <f t="shared" si="68"/>
        <v>0.26728571428571429</v>
      </c>
      <c r="AN64" s="15">
        <f t="shared" si="69"/>
        <v>0.73271428571428565</v>
      </c>
      <c r="AO64" s="15">
        <f t="shared" si="70"/>
        <v>7.2920661094224926</v>
      </c>
      <c r="AP64" s="16">
        <f t="shared" si="71"/>
        <v>53.646033054711246</v>
      </c>
    </row>
    <row r="65" spans="1:42">
      <c r="A65" s="31" t="s">
        <v>204</v>
      </c>
      <c r="B65" s="58">
        <f>(B64/2)+B25</f>
        <v>26.299392097264437</v>
      </c>
      <c r="C65" s="31" t="s">
        <v>4</v>
      </c>
      <c r="E65" s="34" t="s">
        <v>203</v>
      </c>
      <c r="N65">
        <v>4</v>
      </c>
      <c r="O65">
        <f t="shared" si="72"/>
        <v>42.4</v>
      </c>
      <c r="P65" s="14">
        <f t="shared" si="48"/>
        <v>0.43632075471698117</v>
      </c>
      <c r="Q65" s="15">
        <f t="shared" si="49"/>
        <v>0.56367924528301883</v>
      </c>
      <c r="R65" s="15">
        <f t="shared" si="50"/>
        <v>5.546843637093537</v>
      </c>
      <c r="S65" s="16">
        <f t="shared" si="51"/>
        <v>52.773421818546765</v>
      </c>
      <c r="T65" s="14">
        <f t="shared" si="52"/>
        <v>0.47169811320754718</v>
      </c>
      <c r="U65" s="15">
        <f t="shared" si="53"/>
        <v>0.52830188679245282</v>
      </c>
      <c r="V65" s="15">
        <f t="shared" si="54"/>
        <v>5.6202328382175839</v>
      </c>
      <c r="W65" s="16">
        <f t="shared" si="55"/>
        <v>52.810116419108795</v>
      </c>
      <c r="X65" s="14">
        <f t="shared" si="56"/>
        <v>0.51886792452830188</v>
      </c>
      <c r="Y65" s="15">
        <f t="shared" si="57"/>
        <v>0.48113207547169812</v>
      </c>
      <c r="Z65" s="15">
        <f t="shared" si="58"/>
        <v>5.6302689682858293</v>
      </c>
      <c r="AA65" s="16">
        <f t="shared" si="59"/>
        <v>52.815134484142916</v>
      </c>
      <c r="AC65">
        <v>4</v>
      </c>
      <c r="AD65">
        <f t="shared" si="73"/>
        <v>18.78</v>
      </c>
      <c r="AE65" s="14">
        <f t="shared" si="60"/>
        <v>0.46950000000000003</v>
      </c>
      <c r="AF65" s="15">
        <f t="shared" si="61"/>
        <v>0.53049999999999997</v>
      </c>
      <c r="AG65" s="15">
        <f t="shared" si="62"/>
        <v>5.2993563829787238</v>
      </c>
      <c r="AH65" s="16">
        <f t="shared" si="63"/>
        <v>52.649678191489365</v>
      </c>
      <c r="AI65" s="14">
        <f t="shared" si="64"/>
        <v>0.37560000000000004</v>
      </c>
      <c r="AJ65" s="15">
        <f t="shared" si="65"/>
        <v>0.62439999999999996</v>
      </c>
      <c r="AK65" s="15">
        <f t="shared" si="66"/>
        <v>6.2373574468085113</v>
      </c>
      <c r="AL65" s="16">
        <f t="shared" si="67"/>
        <v>53.118678723404258</v>
      </c>
      <c r="AM65" s="14">
        <f t="shared" si="68"/>
        <v>0.26828571428571429</v>
      </c>
      <c r="AN65" s="15">
        <f t="shared" si="69"/>
        <v>0.73171428571428576</v>
      </c>
      <c r="AO65" s="15">
        <f t="shared" si="70"/>
        <v>7.3093586626139828</v>
      </c>
      <c r="AP65" s="16">
        <f t="shared" si="71"/>
        <v>53.654679331306994</v>
      </c>
    </row>
    <row r="66" spans="1:42">
      <c r="A66" s="34" t="s">
        <v>288</v>
      </c>
      <c r="B66" s="64">
        <f>Design_Converter!B44</f>
        <v>10</v>
      </c>
      <c r="C66" s="34" t="s">
        <v>26</v>
      </c>
      <c r="N66">
        <v>5</v>
      </c>
      <c r="O66">
        <f t="shared" si="72"/>
        <v>43</v>
      </c>
      <c r="P66" s="14">
        <f t="shared" si="48"/>
        <v>0.43023255813953487</v>
      </c>
      <c r="Q66" s="15">
        <f t="shared" si="49"/>
        <v>0.56976744186046513</v>
      </c>
      <c r="R66" s="15">
        <f t="shared" si="50"/>
        <v>5.6067540821375559</v>
      </c>
      <c r="S66" s="16">
        <f t="shared" si="51"/>
        <v>52.803377041068778</v>
      </c>
      <c r="T66" s="14">
        <f t="shared" si="52"/>
        <v>0.46511627906976744</v>
      </c>
      <c r="U66" s="15">
        <f t="shared" si="53"/>
        <v>0.53488372093023262</v>
      </c>
      <c r="V66" s="15">
        <f t="shared" si="54"/>
        <v>5.6902523503216234</v>
      </c>
      <c r="W66" s="16">
        <f t="shared" si="55"/>
        <v>52.845126175160814</v>
      </c>
      <c r="X66" s="14">
        <f t="shared" si="56"/>
        <v>0.51162790697674421</v>
      </c>
      <c r="Y66" s="15">
        <f t="shared" si="57"/>
        <v>0.48837209302325579</v>
      </c>
      <c r="Z66" s="15">
        <f t="shared" si="58"/>
        <v>5.7149925779317172</v>
      </c>
      <c r="AA66" s="16">
        <f t="shared" si="59"/>
        <v>52.857496288965862</v>
      </c>
      <c r="AC66">
        <v>5</v>
      </c>
      <c r="AD66">
        <f t="shared" si="73"/>
        <v>18.850000000000001</v>
      </c>
      <c r="AE66" s="14">
        <f t="shared" si="60"/>
        <v>0.47125000000000006</v>
      </c>
      <c r="AF66" s="15">
        <f t="shared" si="61"/>
        <v>0.52874999999999994</v>
      </c>
      <c r="AG66" s="15">
        <f t="shared" si="62"/>
        <v>5.3015625000000002</v>
      </c>
      <c r="AH66" s="16">
        <f t="shared" si="63"/>
        <v>52.650781250000001</v>
      </c>
      <c r="AI66" s="14">
        <f t="shared" si="64"/>
        <v>0.377</v>
      </c>
      <c r="AJ66" s="15">
        <f t="shared" si="65"/>
        <v>0.623</v>
      </c>
      <c r="AK66" s="15">
        <f t="shared" si="66"/>
        <v>6.246569148936171</v>
      </c>
      <c r="AL66" s="16">
        <f t="shared" si="67"/>
        <v>53.123284574468087</v>
      </c>
      <c r="AM66" s="14">
        <f t="shared" si="68"/>
        <v>0.26928571428571429</v>
      </c>
      <c r="AN66" s="15">
        <f t="shared" si="69"/>
        <v>0.73071428571428565</v>
      </c>
      <c r="AO66" s="15">
        <f t="shared" si="70"/>
        <v>7.3265767477203649</v>
      </c>
      <c r="AP66" s="16">
        <f t="shared" si="71"/>
        <v>53.663288373860183</v>
      </c>
    </row>
    <row r="67" spans="1:42">
      <c r="A67" s="31" t="s">
        <v>205</v>
      </c>
      <c r="B67" s="54">
        <f>I_Channel_Peak_No_Ilimit*(1+(B66/100))</f>
        <v>28.929331306990882</v>
      </c>
      <c r="C67" s="31" t="s">
        <v>4</v>
      </c>
      <c r="E67" s="34" t="s">
        <v>153</v>
      </c>
      <c r="N67">
        <v>6</v>
      </c>
      <c r="O67">
        <f t="shared" si="72"/>
        <v>43.6</v>
      </c>
      <c r="P67" s="14">
        <f t="shared" si="48"/>
        <v>0.4243119266055046</v>
      </c>
      <c r="Q67" s="15">
        <f t="shared" si="49"/>
        <v>0.57568807339449535</v>
      </c>
      <c r="R67" s="15">
        <f t="shared" si="50"/>
        <v>5.6650156158500886</v>
      </c>
      <c r="S67" s="16">
        <f t="shared" si="51"/>
        <v>52.832507807925047</v>
      </c>
      <c r="T67" s="14">
        <f t="shared" si="52"/>
        <v>0.4587155963302752</v>
      </c>
      <c r="U67" s="15">
        <f t="shared" si="53"/>
        <v>0.54128440366972486</v>
      </c>
      <c r="V67" s="15">
        <f t="shared" si="54"/>
        <v>5.7583447198906894</v>
      </c>
      <c r="W67" s="16">
        <f t="shared" si="55"/>
        <v>52.879172359945343</v>
      </c>
      <c r="X67" s="14">
        <f t="shared" si="56"/>
        <v>0.50458715596330272</v>
      </c>
      <c r="Y67" s="15">
        <f t="shared" si="57"/>
        <v>0.49541284403669728</v>
      </c>
      <c r="Z67" s="15">
        <f t="shared" si="58"/>
        <v>5.7973843451102871</v>
      </c>
      <c r="AA67" s="16">
        <f t="shared" si="59"/>
        <v>52.898692172555144</v>
      </c>
      <c r="AC67">
        <v>6</v>
      </c>
      <c r="AD67">
        <f t="shared" si="73"/>
        <v>18.920000000000002</v>
      </c>
      <c r="AE67" s="14">
        <f t="shared" si="60"/>
        <v>0.47300000000000003</v>
      </c>
      <c r="AF67" s="15">
        <f t="shared" si="61"/>
        <v>0.52699999999999991</v>
      </c>
      <c r="AG67" s="15">
        <f t="shared" si="62"/>
        <v>5.3036382978723413</v>
      </c>
      <c r="AH67" s="16">
        <f t="shared" si="63"/>
        <v>52.65181914893617</v>
      </c>
      <c r="AI67" s="14">
        <f t="shared" si="64"/>
        <v>0.37840000000000001</v>
      </c>
      <c r="AJ67" s="15">
        <f t="shared" si="65"/>
        <v>0.62159999999999993</v>
      </c>
      <c r="AK67" s="15">
        <f t="shared" si="66"/>
        <v>6.2556765957446814</v>
      </c>
      <c r="AL67" s="16">
        <f t="shared" si="67"/>
        <v>53.127838297872344</v>
      </c>
      <c r="AM67" s="14">
        <f t="shared" si="68"/>
        <v>0.2702857142857143</v>
      </c>
      <c r="AN67" s="15">
        <f t="shared" si="69"/>
        <v>0.72971428571428576</v>
      </c>
      <c r="AO67" s="15">
        <f t="shared" si="70"/>
        <v>7.3437203647416416</v>
      </c>
      <c r="AP67" s="16">
        <f t="shared" si="71"/>
        <v>53.671860182370821</v>
      </c>
    </row>
    <row r="68" spans="1:42" ht="15">
      <c r="A68" s="31" t="s">
        <v>206</v>
      </c>
      <c r="B68" s="54">
        <f>((Rcs*I_Channel_Peak_Select))/(Constants!C22*1000)</f>
        <v>26.299392097264437</v>
      </c>
      <c r="C68" s="67" t="s">
        <v>104</v>
      </c>
      <c r="E68" s="34" t="s">
        <v>155</v>
      </c>
      <c r="N68">
        <v>7</v>
      </c>
      <c r="O68">
        <f t="shared" si="72"/>
        <v>44.2</v>
      </c>
      <c r="P68" s="14">
        <f t="shared" si="48"/>
        <v>0.41855203619909498</v>
      </c>
      <c r="Q68" s="15">
        <f t="shared" si="49"/>
        <v>0.58144796380090502</v>
      </c>
      <c r="R68" s="15">
        <f t="shared" si="50"/>
        <v>5.721695388466352</v>
      </c>
      <c r="S68" s="16">
        <f t="shared" si="51"/>
        <v>52.860847694233179</v>
      </c>
      <c r="T68" s="14">
        <f t="shared" si="52"/>
        <v>0.45248868778280538</v>
      </c>
      <c r="U68" s="15">
        <f t="shared" si="53"/>
        <v>0.54751131221719462</v>
      </c>
      <c r="V68" s="15">
        <f t="shared" si="54"/>
        <v>5.824588427842496</v>
      </c>
      <c r="W68" s="16">
        <f t="shared" si="55"/>
        <v>52.91229421392125</v>
      </c>
      <c r="X68" s="14">
        <f t="shared" si="56"/>
        <v>0.49773755656108593</v>
      </c>
      <c r="Y68" s="15">
        <f t="shared" si="57"/>
        <v>0.50226244343891402</v>
      </c>
      <c r="Z68" s="15">
        <f t="shared" si="58"/>
        <v>5.8775392317319728</v>
      </c>
      <c r="AA68" s="16">
        <f t="shared" si="59"/>
        <v>52.938769615865986</v>
      </c>
      <c r="AC68">
        <v>7</v>
      </c>
      <c r="AD68">
        <f t="shared" si="73"/>
        <v>18.989999999999998</v>
      </c>
      <c r="AE68" s="14">
        <f t="shared" si="60"/>
        <v>0.47474999999999995</v>
      </c>
      <c r="AF68" s="15">
        <f t="shared" si="61"/>
        <v>0.52524999999999999</v>
      </c>
      <c r="AG68" s="15">
        <f t="shared" si="62"/>
        <v>5.3055837765957445</v>
      </c>
      <c r="AH68" s="16">
        <f t="shared" si="63"/>
        <v>52.65279188829787</v>
      </c>
      <c r="AI68" s="14">
        <f t="shared" si="64"/>
        <v>0.37979999999999997</v>
      </c>
      <c r="AJ68" s="15">
        <f t="shared" si="65"/>
        <v>0.62020000000000008</v>
      </c>
      <c r="AK68" s="15">
        <f t="shared" si="66"/>
        <v>6.2646797872340425</v>
      </c>
      <c r="AL68" s="16">
        <f t="shared" si="67"/>
        <v>53.132339893617022</v>
      </c>
      <c r="AM68" s="14">
        <f t="shared" si="68"/>
        <v>0.27128571428571424</v>
      </c>
      <c r="AN68" s="15">
        <f t="shared" si="69"/>
        <v>0.72871428571428576</v>
      </c>
      <c r="AO68" s="15">
        <f t="shared" si="70"/>
        <v>7.360789513677811</v>
      </c>
      <c r="AP68" s="16">
        <f t="shared" si="71"/>
        <v>53.680394756838908</v>
      </c>
    </row>
    <row r="69" spans="1:42" ht="15">
      <c r="A69" s="31" t="s">
        <v>190</v>
      </c>
      <c r="B69" s="60">
        <f>Design_Converter!B47</f>
        <v>40.200000000000003</v>
      </c>
      <c r="C69" s="67" t="s">
        <v>104</v>
      </c>
      <c r="N69">
        <v>8</v>
      </c>
      <c r="O69">
        <f t="shared" si="72"/>
        <v>44.8</v>
      </c>
      <c r="P69" s="14">
        <f t="shared" si="48"/>
        <v>0.4129464285714286</v>
      </c>
      <c r="Q69" s="15">
        <f t="shared" si="49"/>
        <v>0.5870535714285714</v>
      </c>
      <c r="R69" s="15">
        <f t="shared" si="50"/>
        <v>5.7768569528875382</v>
      </c>
      <c r="S69" s="16">
        <f t="shared" si="51"/>
        <v>52.888428476443771</v>
      </c>
      <c r="T69" s="14">
        <f t="shared" si="52"/>
        <v>0.44642857142857145</v>
      </c>
      <c r="U69" s="15">
        <f t="shared" si="53"/>
        <v>0.5535714285714286</v>
      </c>
      <c r="V69" s="15">
        <f t="shared" si="54"/>
        <v>5.8890577507598785</v>
      </c>
      <c r="W69" s="16">
        <f t="shared" si="55"/>
        <v>52.944528875379937</v>
      </c>
      <c r="X69" s="14">
        <f t="shared" si="56"/>
        <v>0.4910714285714286</v>
      </c>
      <c r="Y69" s="15">
        <f t="shared" si="57"/>
        <v>0.5089285714285714</v>
      </c>
      <c r="Z69" s="15">
        <f t="shared" si="58"/>
        <v>5.9555471124620061</v>
      </c>
      <c r="AA69" s="16">
        <f t="shared" si="59"/>
        <v>52.977773556231</v>
      </c>
      <c r="AC69">
        <v>8</v>
      </c>
      <c r="AD69">
        <f t="shared" si="73"/>
        <v>19.059999999999999</v>
      </c>
      <c r="AE69" s="14">
        <f t="shared" si="60"/>
        <v>0.47649999999999998</v>
      </c>
      <c r="AF69" s="15">
        <f t="shared" si="61"/>
        <v>0.52350000000000008</v>
      </c>
      <c r="AG69" s="15">
        <f t="shared" si="62"/>
        <v>5.3073989361702125</v>
      </c>
      <c r="AH69" s="16">
        <f t="shared" si="63"/>
        <v>52.653699468085108</v>
      </c>
      <c r="AI69" s="14">
        <f t="shared" si="64"/>
        <v>0.38119999999999998</v>
      </c>
      <c r="AJ69" s="15">
        <f t="shared" si="65"/>
        <v>0.61880000000000002</v>
      </c>
      <c r="AK69" s="15">
        <f t="shared" si="66"/>
        <v>6.2735787234042553</v>
      </c>
      <c r="AL69" s="16">
        <f t="shared" si="67"/>
        <v>53.136789361702128</v>
      </c>
      <c r="AM69" s="14">
        <f t="shared" si="68"/>
        <v>0.27228571428571424</v>
      </c>
      <c r="AN69" s="15">
        <f t="shared" si="69"/>
        <v>0.72771428571428576</v>
      </c>
      <c r="AO69" s="15">
        <f t="shared" si="70"/>
        <v>7.3777841945288749</v>
      </c>
      <c r="AP69" s="16">
        <f t="shared" si="71"/>
        <v>53.688892097264436</v>
      </c>
    </row>
    <row r="70" spans="1:42" ht="15">
      <c r="A70" s="31" t="s">
        <v>191</v>
      </c>
      <c r="B70" s="60">
        <f>(B69*1000*Constants!C22)/(Calculations!B28*(10^-3))</f>
        <v>44.22</v>
      </c>
      <c r="C70" s="67" t="s">
        <v>4</v>
      </c>
      <c r="D70" s="31">
        <f>IF(B70&lt;I_Channel_Peak_No_Ilimit,1,0)</f>
        <v>0</v>
      </c>
      <c r="E70" s="34" t="s">
        <v>156</v>
      </c>
      <c r="N70">
        <v>9</v>
      </c>
      <c r="O70">
        <f t="shared" si="72"/>
        <v>45.4</v>
      </c>
      <c r="P70" s="14">
        <f t="shared" si="48"/>
        <v>0.40748898678414097</v>
      </c>
      <c r="Q70" s="15">
        <f t="shared" si="49"/>
        <v>0.59251101321585908</v>
      </c>
      <c r="R70" s="15">
        <f t="shared" si="50"/>
        <v>5.8305605023901022</v>
      </c>
      <c r="S70" s="16">
        <f t="shared" si="51"/>
        <v>52.91528025119505</v>
      </c>
      <c r="T70" s="14">
        <f t="shared" si="52"/>
        <v>0.44052863436123352</v>
      </c>
      <c r="U70" s="15">
        <f t="shared" si="53"/>
        <v>0.55947136563876643</v>
      </c>
      <c r="V70" s="15">
        <f t="shared" si="54"/>
        <v>5.9518230387102831</v>
      </c>
      <c r="W70" s="16">
        <f t="shared" si="55"/>
        <v>52.975911519355144</v>
      </c>
      <c r="X70" s="14">
        <f t="shared" si="56"/>
        <v>0.48458149779735682</v>
      </c>
      <c r="Y70" s="15">
        <f t="shared" si="57"/>
        <v>0.51541850220264318</v>
      </c>
      <c r="Z70" s="15">
        <f t="shared" si="58"/>
        <v>6.0314931108819945</v>
      </c>
      <c r="AA70" s="16">
        <f t="shared" si="59"/>
        <v>53.015746555440998</v>
      </c>
      <c r="AC70">
        <v>9</v>
      </c>
      <c r="AD70">
        <f t="shared" si="73"/>
        <v>19.13</v>
      </c>
      <c r="AE70" s="14">
        <f t="shared" si="60"/>
        <v>0.47824999999999995</v>
      </c>
      <c r="AF70" s="15">
        <f t="shared" si="61"/>
        <v>0.52175000000000005</v>
      </c>
      <c r="AG70" s="15">
        <f t="shared" si="62"/>
        <v>5.3090837765957444</v>
      </c>
      <c r="AH70" s="16">
        <f t="shared" si="63"/>
        <v>52.654541888297871</v>
      </c>
      <c r="AI70" s="14">
        <f t="shared" si="64"/>
        <v>0.3826</v>
      </c>
      <c r="AJ70" s="15">
        <f t="shared" si="65"/>
        <v>0.61739999999999995</v>
      </c>
      <c r="AK70" s="15">
        <f t="shared" si="66"/>
        <v>6.2823734042553196</v>
      </c>
      <c r="AL70" s="16">
        <f t="shared" si="67"/>
        <v>53.141186702127662</v>
      </c>
      <c r="AM70" s="14">
        <f t="shared" si="68"/>
        <v>0.2732857142857143</v>
      </c>
      <c r="AN70" s="15">
        <f t="shared" si="69"/>
        <v>0.72671428571428565</v>
      </c>
      <c r="AO70" s="15">
        <f t="shared" si="70"/>
        <v>7.3947044072948334</v>
      </c>
      <c r="AP70" s="16">
        <f t="shared" si="71"/>
        <v>53.697352203647419</v>
      </c>
    </row>
    <row r="71" spans="1:42">
      <c r="N71">
        <v>10</v>
      </c>
      <c r="O71">
        <f t="shared" si="72"/>
        <v>46</v>
      </c>
      <c r="P71" s="14">
        <f t="shared" si="48"/>
        <v>0.40217391304347827</v>
      </c>
      <c r="Q71" s="15">
        <f t="shared" si="49"/>
        <v>0.59782608695652173</v>
      </c>
      <c r="R71" s="15">
        <f t="shared" si="50"/>
        <v>5.8828630897317309</v>
      </c>
      <c r="S71" s="16">
        <f t="shared" si="51"/>
        <v>52.941431544865864</v>
      </c>
      <c r="T71" s="14">
        <f t="shared" si="52"/>
        <v>0.43478260869565216</v>
      </c>
      <c r="U71" s="15">
        <f t="shared" si="53"/>
        <v>0.56521739130434789</v>
      </c>
      <c r="V71" s="15">
        <f t="shared" si="54"/>
        <v>6.0129509713228488</v>
      </c>
      <c r="W71" s="16">
        <f t="shared" si="55"/>
        <v>53.006475485661426</v>
      </c>
      <c r="X71" s="14">
        <f t="shared" si="56"/>
        <v>0.47826086956521741</v>
      </c>
      <c r="Y71" s="15">
        <f t="shared" si="57"/>
        <v>0.52173913043478259</v>
      </c>
      <c r="Z71" s="15">
        <f t="shared" si="58"/>
        <v>6.1054579093432011</v>
      </c>
      <c r="AA71" s="16">
        <f t="shared" si="59"/>
        <v>53.052728954671601</v>
      </c>
      <c r="AC71">
        <v>10</v>
      </c>
      <c r="AD71">
        <f t="shared" si="73"/>
        <v>19.2</v>
      </c>
      <c r="AE71" s="14">
        <f t="shared" si="60"/>
        <v>0.48</v>
      </c>
      <c r="AF71" s="15">
        <f t="shared" si="61"/>
        <v>0.52</v>
      </c>
      <c r="AG71" s="15">
        <f t="shared" si="62"/>
        <v>5.3106382978723401</v>
      </c>
      <c r="AH71" s="16">
        <f t="shared" si="63"/>
        <v>52.655319148936172</v>
      </c>
      <c r="AI71" s="14">
        <f t="shared" si="64"/>
        <v>0.38400000000000001</v>
      </c>
      <c r="AJ71" s="15">
        <f t="shared" si="65"/>
        <v>0.61599999999999999</v>
      </c>
      <c r="AK71" s="15">
        <f t="shared" si="66"/>
        <v>6.2910638297872348</v>
      </c>
      <c r="AL71" s="16">
        <f t="shared" si="67"/>
        <v>53.145531914893617</v>
      </c>
      <c r="AM71" s="14">
        <f t="shared" si="68"/>
        <v>0.2742857142857143</v>
      </c>
      <c r="AN71" s="15">
        <f t="shared" si="69"/>
        <v>0.72571428571428576</v>
      </c>
      <c r="AO71" s="15">
        <f t="shared" si="70"/>
        <v>7.4115501519756846</v>
      </c>
      <c r="AP71" s="16">
        <f t="shared" si="71"/>
        <v>53.705775075987845</v>
      </c>
    </row>
    <row r="72" spans="1:42">
      <c r="N72">
        <v>11</v>
      </c>
      <c r="O72">
        <f t="shared" si="72"/>
        <v>46.6</v>
      </c>
      <c r="P72" s="14">
        <f t="shared" si="48"/>
        <v>0.39699570815450641</v>
      </c>
      <c r="Q72" s="15">
        <f t="shared" si="49"/>
        <v>0.60300429184549365</v>
      </c>
      <c r="R72" s="15">
        <f t="shared" si="50"/>
        <v>5.9338188293306553</v>
      </c>
      <c r="S72" s="16">
        <f t="shared" si="51"/>
        <v>52.966909414665331</v>
      </c>
      <c r="T72" s="14">
        <f t="shared" si="52"/>
        <v>0.42918454935622319</v>
      </c>
      <c r="U72" s="15">
        <f t="shared" si="53"/>
        <v>0.57081545064377681</v>
      </c>
      <c r="V72" s="15">
        <f t="shared" si="54"/>
        <v>6.0725047940827332</v>
      </c>
      <c r="W72" s="16">
        <f t="shared" si="55"/>
        <v>53.036252397041366</v>
      </c>
      <c r="X72" s="14">
        <f t="shared" si="56"/>
        <v>0.47210300429184548</v>
      </c>
      <c r="Y72" s="15">
        <f t="shared" si="57"/>
        <v>0.52789699570815452</v>
      </c>
      <c r="Z72" s="15">
        <f t="shared" si="58"/>
        <v>6.1775180348826595</v>
      </c>
      <c r="AA72" s="16">
        <f t="shared" si="59"/>
        <v>53.088759017441333</v>
      </c>
      <c r="AC72">
        <v>11</v>
      </c>
      <c r="AD72">
        <f t="shared" si="73"/>
        <v>19.27</v>
      </c>
      <c r="AE72" s="14">
        <f t="shared" si="60"/>
        <v>0.48175000000000001</v>
      </c>
      <c r="AF72" s="15">
        <f t="shared" si="61"/>
        <v>0.51824999999999999</v>
      </c>
      <c r="AG72" s="15">
        <f t="shared" si="62"/>
        <v>5.3120625000000006</v>
      </c>
      <c r="AH72" s="16">
        <f t="shared" si="63"/>
        <v>52.656031249999998</v>
      </c>
      <c r="AI72" s="14">
        <f t="shared" si="64"/>
        <v>0.38539999999999996</v>
      </c>
      <c r="AJ72" s="15">
        <f t="shared" si="65"/>
        <v>0.61460000000000004</v>
      </c>
      <c r="AK72" s="15">
        <f t="shared" si="66"/>
        <v>6.2996499999999997</v>
      </c>
      <c r="AL72" s="16">
        <f t="shared" si="67"/>
        <v>53.149825</v>
      </c>
      <c r="AM72" s="14">
        <f t="shared" si="68"/>
        <v>0.2752857142857143</v>
      </c>
      <c r="AN72" s="15">
        <f t="shared" si="69"/>
        <v>0.72471428571428564</v>
      </c>
      <c r="AO72" s="15">
        <f t="shared" si="70"/>
        <v>7.4283214285714294</v>
      </c>
      <c r="AP72" s="16">
        <f t="shared" si="71"/>
        <v>53.714160714285711</v>
      </c>
    </row>
    <row r="73" spans="1:42">
      <c r="N73">
        <v>12</v>
      </c>
      <c r="O73">
        <f t="shared" si="72"/>
        <v>47.2</v>
      </c>
      <c r="P73" s="14">
        <f t="shared" si="48"/>
        <v>0.39194915254237284</v>
      </c>
      <c r="Q73" s="15">
        <f t="shared" si="49"/>
        <v>0.60805084745762716</v>
      </c>
      <c r="R73" s="15">
        <f t="shared" si="50"/>
        <v>5.9834790840245224</v>
      </c>
      <c r="S73" s="16">
        <f t="shared" si="51"/>
        <v>52.991739542012262</v>
      </c>
      <c r="T73" s="14">
        <f t="shared" si="52"/>
        <v>0.42372881355932202</v>
      </c>
      <c r="U73" s="15">
        <f t="shared" si="53"/>
        <v>0.57627118644067798</v>
      </c>
      <c r="V73" s="15">
        <f t="shared" si="54"/>
        <v>6.1305445366029572</v>
      </c>
      <c r="W73" s="16">
        <f t="shared" si="55"/>
        <v>53.065272268301477</v>
      </c>
      <c r="X73" s="14">
        <f t="shared" si="56"/>
        <v>0.46610169491525422</v>
      </c>
      <c r="Y73" s="15">
        <f t="shared" si="57"/>
        <v>0.53389830508474578</v>
      </c>
      <c r="Z73" s="15">
        <f t="shared" si="58"/>
        <v>6.2477461233321314</v>
      </c>
      <c r="AA73" s="16">
        <f t="shared" si="59"/>
        <v>53.123873061666067</v>
      </c>
      <c r="AC73">
        <v>12</v>
      </c>
      <c r="AD73">
        <f t="shared" si="73"/>
        <v>19.34</v>
      </c>
      <c r="AE73" s="14">
        <f t="shared" si="60"/>
        <v>0.48349999999999999</v>
      </c>
      <c r="AF73" s="15">
        <f t="shared" si="61"/>
        <v>0.51649999999999996</v>
      </c>
      <c r="AG73" s="15">
        <f t="shared" si="62"/>
        <v>5.313356382978724</v>
      </c>
      <c r="AH73" s="16">
        <f t="shared" si="63"/>
        <v>52.656678191489362</v>
      </c>
      <c r="AI73" s="14">
        <f t="shared" si="64"/>
        <v>0.38679999999999998</v>
      </c>
      <c r="AJ73" s="15">
        <f t="shared" si="65"/>
        <v>0.61319999999999997</v>
      </c>
      <c r="AK73" s="15">
        <f t="shared" si="66"/>
        <v>6.3081319148936164</v>
      </c>
      <c r="AL73" s="16">
        <f t="shared" si="67"/>
        <v>53.154065957446811</v>
      </c>
      <c r="AM73" s="14">
        <f t="shared" si="68"/>
        <v>0.2762857142857143</v>
      </c>
      <c r="AN73" s="15">
        <f t="shared" si="69"/>
        <v>0.72371428571428575</v>
      </c>
      <c r="AO73" s="15">
        <f t="shared" si="70"/>
        <v>7.4450182370820679</v>
      </c>
      <c r="AP73" s="16">
        <f t="shared" si="71"/>
        <v>53.722509118541034</v>
      </c>
    </row>
    <row r="74" spans="1:42">
      <c r="A74" s="47" t="s">
        <v>99</v>
      </c>
      <c r="B74" s="47"/>
      <c r="C74" s="47"/>
      <c r="N74">
        <v>13</v>
      </c>
      <c r="O74">
        <f t="shared" si="72"/>
        <v>47.8</v>
      </c>
      <c r="P74" s="14">
        <f t="shared" si="48"/>
        <v>0.38702928870292891</v>
      </c>
      <c r="Q74" s="15">
        <f t="shared" si="49"/>
        <v>0.61297071129707104</v>
      </c>
      <c r="R74" s="15">
        <f t="shared" si="50"/>
        <v>6.0318926377637325</v>
      </c>
      <c r="S74" s="16">
        <f t="shared" si="51"/>
        <v>53.015946318881866</v>
      </c>
      <c r="T74" s="14">
        <f t="shared" si="52"/>
        <v>0.41841004184100422</v>
      </c>
      <c r="U74" s="15">
        <f t="shared" si="53"/>
        <v>0.58158995815899583</v>
      </c>
      <c r="V74" s="15">
        <f t="shared" si="54"/>
        <v>6.1871272144574023</v>
      </c>
      <c r="W74" s="16">
        <f t="shared" si="55"/>
        <v>53.093563607228702</v>
      </c>
      <c r="X74" s="14">
        <f t="shared" si="56"/>
        <v>0.46025104602510464</v>
      </c>
      <c r="Y74" s="15">
        <f t="shared" si="57"/>
        <v>0.53974895397489542</v>
      </c>
      <c r="Z74" s="15">
        <f t="shared" si="58"/>
        <v>6.3162111635360105</v>
      </c>
      <c r="AA74" s="16">
        <f t="shared" si="59"/>
        <v>53.158105581768005</v>
      </c>
      <c r="AC74">
        <v>13</v>
      </c>
      <c r="AD74">
        <f t="shared" si="73"/>
        <v>19.41</v>
      </c>
      <c r="AE74" s="14">
        <f t="shared" si="60"/>
        <v>0.48525000000000001</v>
      </c>
      <c r="AF74" s="15">
        <f t="shared" si="61"/>
        <v>0.51475000000000004</v>
      </c>
      <c r="AG74" s="15">
        <f t="shared" si="62"/>
        <v>5.3145199468085114</v>
      </c>
      <c r="AH74" s="16">
        <f t="shared" si="63"/>
        <v>52.657259973404258</v>
      </c>
      <c r="AI74" s="14">
        <f t="shared" si="64"/>
        <v>0.38819999999999999</v>
      </c>
      <c r="AJ74" s="15">
        <f t="shared" si="65"/>
        <v>0.61180000000000001</v>
      </c>
      <c r="AK74" s="15">
        <f t="shared" si="66"/>
        <v>6.3165095744680855</v>
      </c>
      <c r="AL74" s="16">
        <f t="shared" si="67"/>
        <v>53.158254787234043</v>
      </c>
      <c r="AM74" s="14">
        <f t="shared" si="68"/>
        <v>0.2772857142857143</v>
      </c>
      <c r="AN74" s="15">
        <f t="shared" si="69"/>
        <v>0.72271428571428564</v>
      </c>
      <c r="AO74" s="15">
        <f t="shared" si="70"/>
        <v>7.4616405775076</v>
      </c>
      <c r="AP74" s="16">
        <f t="shared" si="71"/>
        <v>53.730820288753797</v>
      </c>
    </row>
    <row r="75" spans="1:42">
      <c r="A75" s="31" t="s">
        <v>207</v>
      </c>
      <c r="B75" s="49">
        <f>Design_Converter!B62</f>
        <v>1</v>
      </c>
      <c r="C75" s="31" t="s">
        <v>40</v>
      </c>
      <c r="N75">
        <v>14</v>
      </c>
      <c r="O75">
        <f t="shared" si="72"/>
        <v>48.4</v>
      </c>
      <c r="P75" s="14">
        <f t="shared" si="48"/>
        <v>0.38223140495867769</v>
      </c>
      <c r="Q75" s="15">
        <f t="shared" si="49"/>
        <v>0.61776859504132231</v>
      </c>
      <c r="R75" s="15">
        <f t="shared" si="50"/>
        <v>6.0791058554598205</v>
      </c>
      <c r="S75" s="16">
        <f t="shared" si="51"/>
        <v>53.039552927729908</v>
      </c>
      <c r="T75" s="14">
        <f t="shared" si="52"/>
        <v>0.41322314049586778</v>
      </c>
      <c r="U75" s="15">
        <f t="shared" si="53"/>
        <v>0.58677685950413228</v>
      </c>
      <c r="V75" s="15">
        <f t="shared" si="54"/>
        <v>6.2423070160014067</v>
      </c>
      <c r="W75" s="16">
        <f t="shared" si="55"/>
        <v>53.121153508000702</v>
      </c>
      <c r="X75" s="14">
        <f t="shared" si="56"/>
        <v>0.45454545454545459</v>
      </c>
      <c r="Y75" s="15">
        <f t="shared" si="57"/>
        <v>0.54545454545454541</v>
      </c>
      <c r="Z75" s="15">
        <f t="shared" si="58"/>
        <v>6.3829787234042561</v>
      </c>
      <c r="AA75" s="16">
        <f t="shared" si="59"/>
        <v>53.191489361702125</v>
      </c>
      <c r="AC75">
        <v>14</v>
      </c>
      <c r="AD75">
        <f t="shared" si="73"/>
        <v>19.48</v>
      </c>
      <c r="AE75" s="14">
        <f t="shared" si="60"/>
        <v>0.48699999999999999</v>
      </c>
      <c r="AF75" s="15">
        <f t="shared" si="61"/>
        <v>0.51300000000000001</v>
      </c>
      <c r="AG75" s="15">
        <f t="shared" si="62"/>
        <v>5.3155531914893626</v>
      </c>
      <c r="AH75" s="16">
        <f t="shared" si="63"/>
        <v>52.657776595744679</v>
      </c>
      <c r="AI75" s="14">
        <f t="shared" si="64"/>
        <v>0.3896</v>
      </c>
      <c r="AJ75" s="15">
        <f t="shared" si="65"/>
        <v>0.61040000000000005</v>
      </c>
      <c r="AK75" s="15">
        <f t="shared" si="66"/>
        <v>6.3247829787234044</v>
      </c>
      <c r="AL75" s="16">
        <f t="shared" si="67"/>
        <v>53.162391489361703</v>
      </c>
      <c r="AM75" s="14">
        <f t="shared" si="68"/>
        <v>0.2782857142857143</v>
      </c>
      <c r="AN75" s="15">
        <f t="shared" si="69"/>
        <v>0.72171428571428575</v>
      </c>
      <c r="AO75" s="15">
        <f t="shared" si="70"/>
        <v>7.4781884498480249</v>
      </c>
      <c r="AP75" s="16">
        <f t="shared" si="71"/>
        <v>53.73909422492401</v>
      </c>
    </row>
    <row r="76" spans="1:42" ht="15">
      <c r="A76" s="31" t="s">
        <v>157</v>
      </c>
      <c r="B76" s="56">
        <f>9.6/(((B75*10^-9)*Fsw)*1000)</f>
        <v>23.999999999999996</v>
      </c>
      <c r="C76" s="67" t="s">
        <v>104</v>
      </c>
      <c r="E76" s="34" t="s">
        <v>488</v>
      </c>
      <c r="N76">
        <v>15</v>
      </c>
      <c r="O76">
        <f t="shared" si="72"/>
        <v>49</v>
      </c>
      <c r="P76" s="14">
        <f t="shared" si="48"/>
        <v>0.37755102040816324</v>
      </c>
      <c r="Q76" s="15">
        <f t="shared" si="49"/>
        <v>0.62244897959183676</v>
      </c>
      <c r="R76" s="15">
        <f t="shared" si="50"/>
        <v>6.1251628310898827</v>
      </c>
      <c r="S76" s="16">
        <f t="shared" si="51"/>
        <v>53.06258141554494</v>
      </c>
      <c r="T76" s="14">
        <f t="shared" si="52"/>
        <v>0.40816326530612246</v>
      </c>
      <c r="U76" s="15">
        <f t="shared" si="53"/>
        <v>0.59183673469387754</v>
      </c>
      <c r="V76" s="15">
        <f t="shared" si="54"/>
        <v>6.2961354754667829</v>
      </c>
      <c r="W76" s="16">
        <f t="shared" si="55"/>
        <v>53.148067737733392</v>
      </c>
      <c r="X76" s="14">
        <f t="shared" si="56"/>
        <v>0.44897959183673469</v>
      </c>
      <c r="Y76" s="15">
        <f t="shared" si="57"/>
        <v>0.55102040816326525</v>
      </c>
      <c r="Z76" s="15">
        <f t="shared" si="58"/>
        <v>6.4481111593573601</v>
      </c>
      <c r="AA76" s="16">
        <f t="shared" si="59"/>
        <v>53.224055579678677</v>
      </c>
      <c r="AC76">
        <v>15</v>
      </c>
      <c r="AD76">
        <f t="shared" si="73"/>
        <v>19.55</v>
      </c>
      <c r="AE76" s="14">
        <f t="shared" si="60"/>
        <v>0.48875000000000002</v>
      </c>
      <c r="AF76" s="15">
        <f t="shared" si="61"/>
        <v>0.51124999999999998</v>
      </c>
      <c r="AG76" s="15">
        <f t="shared" si="62"/>
        <v>5.3164561170212767</v>
      </c>
      <c r="AH76" s="16">
        <f t="shared" si="63"/>
        <v>52.658228058510637</v>
      </c>
      <c r="AI76" s="14">
        <f t="shared" si="64"/>
        <v>0.39100000000000001</v>
      </c>
      <c r="AJ76" s="15">
        <f t="shared" si="65"/>
        <v>0.60899999999999999</v>
      </c>
      <c r="AK76" s="15">
        <f t="shared" si="66"/>
        <v>6.3329521276595742</v>
      </c>
      <c r="AL76" s="16">
        <f t="shared" si="67"/>
        <v>53.166476063829791</v>
      </c>
      <c r="AM76" s="14">
        <f t="shared" si="68"/>
        <v>0.2792857142857143</v>
      </c>
      <c r="AN76" s="15">
        <f t="shared" si="69"/>
        <v>0.72071428571428564</v>
      </c>
      <c r="AO76" s="15">
        <f t="shared" si="70"/>
        <v>7.4946618541033443</v>
      </c>
      <c r="AP76" s="16">
        <f t="shared" si="71"/>
        <v>53.747330927051671</v>
      </c>
    </row>
    <row r="77" spans="1:42" ht="15">
      <c r="A77" s="34" t="s">
        <v>208</v>
      </c>
      <c r="B77" s="49">
        <v>96</v>
      </c>
      <c r="C77" s="67" t="s">
        <v>104</v>
      </c>
      <c r="E77" s="34" t="s">
        <v>100</v>
      </c>
      <c r="N77">
        <v>16</v>
      </c>
      <c r="O77">
        <f t="shared" si="72"/>
        <v>49.6</v>
      </c>
      <c r="P77" s="14">
        <f t="shared" si="48"/>
        <v>0.37298387096774194</v>
      </c>
      <c r="Q77" s="15">
        <f t="shared" si="49"/>
        <v>0.62701612903225801</v>
      </c>
      <c r="R77" s="15">
        <f t="shared" si="50"/>
        <v>6.1701055250514756</v>
      </c>
      <c r="S77" s="16">
        <f t="shared" si="51"/>
        <v>53.085052762525734</v>
      </c>
      <c r="T77" s="14">
        <f t="shared" si="52"/>
        <v>0.40322580645161288</v>
      </c>
      <c r="U77" s="15">
        <f t="shared" si="53"/>
        <v>0.59677419354838712</v>
      </c>
      <c r="V77" s="15">
        <f t="shared" si="54"/>
        <v>6.3486616334934798</v>
      </c>
      <c r="W77" s="16">
        <f t="shared" si="55"/>
        <v>53.174330816746739</v>
      </c>
      <c r="X77" s="14">
        <f t="shared" si="56"/>
        <v>0.44354838709677419</v>
      </c>
      <c r="Y77" s="15">
        <f t="shared" si="57"/>
        <v>0.55645161290322576</v>
      </c>
      <c r="Z77" s="15">
        <f t="shared" si="58"/>
        <v>6.5116678105696639</v>
      </c>
      <c r="AA77" s="16">
        <f t="shared" si="59"/>
        <v>53.255833905284831</v>
      </c>
      <c r="AC77">
        <v>16</v>
      </c>
      <c r="AD77">
        <f t="shared" si="73"/>
        <v>19.62</v>
      </c>
      <c r="AE77" s="14">
        <f t="shared" si="60"/>
        <v>0.49050000000000005</v>
      </c>
      <c r="AF77" s="15">
        <f t="shared" si="61"/>
        <v>0.50949999999999995</v>
      </c>
      <c r="AG77" s="15">
        <f t="shared" si="62"/>
        <v>5.3172287234042557</v>
      </c>
      <c r="AH77" s="16">
        <f t="shared" si="63"/>
        <v>52.658614361702128</v>
      </c>
      <c r="AI77" s="14">
        <f t="shared" si="64"/>
        <v>0.39240000000000003</v>
      </c>
      <c r="AJ77" s="15">
        <f t="shared" si="65"/>
        <v>0.60759999999999992</v>
      </c>
      <c r="AK77" s="15">
        <f t="shared" si="66"/>
        <v>6.3410170212765964</v>
      </c>
      <c r="AL77" s="16">
        <f t="shared" si="67"/>
        <v>53.1705085106383</v>
      </c>
      <c r="AM77" s="14">
        <f t="shared" si="68"/>
        <v>0.2802857142857143</v>
      </c>
      <c r="AN77" s="15">
        <f t="shared" si="69"/>
        <v>0.71971428571428575</v>
      </c>
      <c r="AO77" s="15">
        <f t="shared" si="70"/>
        <v>7.5110607902735564</v>
      </c>
      <c r="AP77" s="16">
        <f t="shared" si="71"/>
        <v>53.75553039513678</v>
      </c>
    </row>
    <row r="78" spans="1:42">
      <c r="A78" s="31" t="s">
        <v>101</v>
      </c>
      <c r="B78" s="61">
        <f>(V48_Min)/(Ramp_C*Ramp_R*Fsw)</f>
        <v>1.0416666666666667</v>
      </c>
      <c r="C78" s="31" t="s">
        <v>1</v>
      </c>
      <c r="D78" s="34">
        <f>IF(B78&lt;Constants!$C$44,1,IF(B78&gt;Constants!$C$43,1,0))</f>
        <v>0</v>
      </c>
      <c r="E78" s="34" t="s">
        <v>209</v>
      </c>
      <c r="N78">
        <v>17</v>
      </c>
      <c r="O78">
        <f t="shared" si="72"/>
        <v>50.2</v>
      </c>
      <c r="P78" s="14">
        <f t="shared" si="48"/>
        <v>0.36852589641434264</v>
      </c>
      <c r="Q78" s="15">
        <f t="shared" si="49"/>
        <v>0.63147410358565736</v>
      </c>
      <c r="R78" s="15">
        <f t="shared" si="50"/>
        <v>6.2139738916673739</v>
      </c>
      <c r="S78" s="16">
        <f t="shared" si="51"/>
        <v>53.10698694583369</v>
      </c>
      <c r="T78" s="14">
        <f t="shared" si="52"/>
        <v>0.39840637450199201</v>
      </c>
      <c r="U78" s="15">
        <f t="shared" si="53"/>
        <v>0.60159362549800799</v>
      </c>
      <c r="V78" s="15">
        <f t="shared" si="54"/>
        <v>6.3999321861490222</v>
      </c>
      <c r="W78" s="16">
        <f t="shared" si="55"/>
        <v>53.199966093074508</v>
      </c>
      <c r="X78" s="14">
        <f t="shared" si="56"/>
        <v>0.43824701195219123</v>
      </c>
      <c r="Y78" s="15">
        <f t="shared" si="57"/>
        <v>0.56175298804780871</v>
      </c>
      <c r="Z78" s="15">
        <f t="shared" si="58"/>
        <v>6.5737051792828698</v>
      </c>
      <c r="AA78" s="16">
        <f t="shared" si="59"/>
        <v>53.286852589641434</v>
      </c>
      <c r="AC78">
        <v>17</v>
      </c>
      <c r="AD78">
        <f t="shared" si="73"/>
        <v>19.690000000000001</v>
      </c>
      <c r="AE78" s="14">
        <f t="shared" si="60"/>
        <v>0.49225000000000002</v>
      </c>
      <c r="AF78" s="15">
        <f t="shared" si="61"/>
        <v>0.50774999999999992</v>
      </c>
      <c r="AG78" s="15">
        <f t="shared" si="62"/>
        <v>5.3178710106382976</v>
      </c>
      <c r="AH78" s="16">
        <f t="shared" si="63"/>
        <v>52.65893550531915</v>
      </c>
      <c r="AI78" s="14">
        <f t="shared" si="64"/>
        <v>0.39380000000000004</v>
      </c>
      <c r="AJ78" s="15">
        <f t="shared" si="65"/>
        <v>0.60619999999999996</v>
      </c>
      <c r="AK78" s="15">
        <f t="shared" si="66"/>
        <v>6.3489776595744685</v>
      </c>
      <c r="AL78" s="16">
        <f t="shared" si="67"/>
        <v>53.174488829787236</v>
      </c>
      <c r="AM78" s="14">
        <f t="shared" si="68"/>
        <v>0.28128571428571431</v>
      </c>
      <c r="AN78" s="15">
        <f t="shared" si="69"/>
        <v>0.71871428571428564</v>
      </c>
      <c r="AO78" s="15">
        <f t="shared" si="70"/>
        <v>7.5273852583586631</v>
      </c>
      <c r="AP78" s="16">
        <f t="shared" si="71"/>
        <v>53.763692629179332</v>
      </c>
    </row>
    <row r="79" spans="1:42">
      <c r="A79" s="31" t="s">
        <v>102</v>
      </c>
      <c r="B79" s="50">
        <f>(V48_Nom)/(Ramp_C*Ramp_R*Fsw)</f>
        <v>1.3020833333333335</v>
      </c>
      <c r="C79" s="31" t="s">
        <v>1</v>
      </c>
      <c r="D79" s="34">
        <f>IF(B79&lt;Constants!$C$44,1,IF(B79&gt;Constants!$C$43,1,0))</f>
        <v>0</v>
      </c>
      <c r="E79" s="34" t="s">
        <v>209</v>
      </c>
      <c r="N79">
        <v>18</v>
      </c>
      <c r="O79">
        <f t="shared" si="72"/>
        <v>50.8</v>
      </c>
      <c r="P79" s="14">
        <f t="shared" si="48"/>
        <v>0.36417322834645671</v>
      </c>
      <c r="Q79" s="15">
        <f t="shared" si="49"/>
        <v>0.63582677165354329</v>
      </c>
      <c r="R79" s="15">
        <f t="shared" si="50"/>
        <v>6.2568059976545483</v>
      </c>
      <c r="S79" s="16">
        <f t="shared" si="51"/>
        <v>53.128402998827276</v>
      </c>
      <c r="T79" s="14">
        <f t="shared" si="52"/>
        <v>0.39370078740157483</v>
      </c>
      <c r="U79" s="15">
        <f t="shared" si="53"/>
        <v>0.60629921259842523</v>
      </c>
      <c r="V79" s="15">
        <f t="shared" si="54"/>
        <v>6.4499916233875023</v>
      </c>
      <c r="W79" s="16">
        <f t="shared" si="55"/>
        <v>53.224995811693752</v>
      </c>
      <c r="X79" s="14">
        <f t="shared" si="56"/>
        <v>0.43307086614173229</v>
      </c>
      <c r="Y79" s="15">
        <f t="shared" si="57"/>
        <v>0.56692913385826771</v>
      </c>
      <c r="Z79" s="15">
        <f t="shared" si="58"/>
        <v>6.6342770983414301</v>
      </c>
      <c r="AA79" s="16">
        <f t="shared" si="59"/>
        <v>53.317138549170714</v>
      </c>
      <c r="AC79">
        <v>18</v>
      </c>
      <c r="AD79">
        <f t="shared" si="73"/>
        <v>19.760000000000002</v>
      </c>
      <c r="AE79" s="14">
        <f t="shared" si="60"/>
        <v>0.49400000000000005</v>
      </c>
      <c r="AF79" s="15">
        <f t="shared" si="61"/>
        <v>0.50600000000000001</v>
      </c>
      <c r="AG79" s="15">
        <f t="shared" si="62"/>
        <v>5.3183829787234043</v>
      </c>
      <c r="AH79" s="16">
        <f t="shared" si="63"/>
        <v>52.659191489361703</v>
      </c>
      <c r="AI79" s="14">
        <f t="shared" si="64"/>
        <v>0.39520000000000005</v>
      </c>
      <c r="AJ79" s="15">
        <f t="shared" si="65"/>
        <v>0.6048</v>
      </c>
      <c r="AK79" s="15">
        <f t="shared" si="66"/>
        <v>6.3568340425531922</v>
      </c>
      <c r="AL79" s="16">
        <f t="shared" si="67"/>
        <v>53.178417021276594</v>
      </c>
      <c r="AM79" s="14">
        <f t="shared" si="68"/>
        <v>0.28228571428571431</v>
      </c>
      <c r="AN79" s="15">
        <f t="shared" si="69"/>
        <v>0.71771428571428575</v>
      </c>
      <c r="AO79" s="15">
        <f t="shared" si="70"/>
        <v>7.5436352583586634</v>
      </c>
      <c r="AP79" s="16">
        <f t="shared" si="71"/>
        <v>53.771817629179331</v>
      </c>
    </row>
    <row r="80" spans="1:42">
      <c r="A80" s="31" t="s">
        <v>103</v>
      </c>
      <c r="B80" s="61">
        <f>(V48_Max)/(Ramp_C*Ramp_R*Fsw)</f>
        <v>1.8229166666666667</v>
      </c>
      <c r="C80" s="31" t="s">
        <v>1</v>
      </c>
      <c r="D80" s="34">
        <f>IF(B80&lt;Constants!$C$44,1,IF(B80&gt;Constants!$C$43,1,0))</f>
        <v>0</v>
      </c>
      <c r="E80" s="34" t="s">
        <v>209</v>
      </c>
      <c r="N80">
        <v>19</v>
      </c>
      <c r="O80">
        <f t="shared" si="72"/>
        <v>51.4</v>
      </c>
      <c r="P80" s="14">
        <f t="shared" si="48"/>
        <v>0.35992217898832685</v>
      </c>
      <c r="Q80" s="15">
        <f t="shared" si="49"/>
        <v>0.6400778210116731</v>
      </c>
      <c r="R80" s="15">
        <f t="shared" si="50"/>
        <v>6.2986381322957197</v>
      </c>
      <c r="S80" s="16">
        <f t="shared" si="51"/>
        <v>53.149319066147861</v>
      </c>
      <c r="T80" s="14">
        <f t="shared" si="52"/>
        <v>0.38910505836575876</v>
      </c>
      <c r="U80" s="15">
        <f t="shared" si="53"/>
        <v>0.6108949416342413</v>
      </c>
      <c r="V80" s="15">
        <f t="shared" si="54"/>
        <v>6.4988823578110768</v>
      </c>
      <c r="W80" s="16">
        <f t="shared" si="55"/>
        <v>53.249441178905542</v>
      </c>
      <c r="X80" s="14">
        <f t="shared" si="56"/>
        <v>0.42801556420233466</v>
      </c>
      <c r="Y80" s="15">
        <f t="shared" si="57"/>
        <v>0.57198443579766534</v>
      </c>
      <c r="Z80" s="15">
        <f t="shared" si="58"/>
        <v>6.6934348869939573</v>
      </c>
      <c r="AA80" s="16">
        <f t="shared" si="59"/>
        <v>53.346717443496978</v>
      </c>
      <c r="AC80">
        <v>19</v>
      </c>
      <c r="AD80">
        <f t="shared" si="73"/>
        <v>19.829999999999998</v>
      </c>
      <c r="AE80" s="14">
        <f t="shared" si="60"/>
        <v>0.49574999999999997</v>
      </c>
      <c r="AF80" s="15">
        <f t="shared" si="61"/>
        <v>0.50425000000000009</v>
      </c>
      <c r="AG80" s="15">
        <f t="shared" si="62"/>
        <v>5.3187646276595748</v>
      </c>
      <c r="AH80" s="16">
        <f t="shared" si="63"/>
        <v>52.659382313829788</v>
      </c>
      <c r="AI80" s="14">
        <f t="shared" si="64"/>
        <v>0.39659999999999995</v>
      </c>
      <c r="AJ80" s="15">
        <f t="shared" si="65"/>
        <v>0.60340000000000005</v>
      </c>
      <c r="AK80" s="15">
        <f t="shared" si="66"/>
        <v>6.3645861702127657</v>
      </c>
      <c r="AL80" s="16">
        <f t="shared" si="67"/>
        <v>53.18229308510638</v>
      </c>
      <c r="AM80" s="14">
        <f t="shared" si="68"/>
        <v>0.28328571428571425</v>
      </c>
      <c r="AN80" s="15">
        <f t="shared" si="69"/>
        <v>0.71671428571428575</v>
      </c>
      <c r="AO80" s="15">
        <f t="shared" si="70"/>
        <v>7.5598107902735556</v>
      </c>
      <c r="AP80" s="16">
        <f t="shared" si="71"/>
        <v>53.77990539513678</v>
      </c>
    </row>
    <row r="81" spans="1:42">
      <c r="N81">
        <v>20</v>
      </c>
      <c r="O81">
        <f t="shared" si="72"/>
        <v>52</v>
      </c>
      <c r="P81" s="14">
        <f t="shared" si="48"/>
        <v>0.35576923076923078</v>
      </c>
      <c r="Q81" s="15">
        <f t="shared" si="49"/>
        <v>0.64423076923076916</v>
      </c>
      <c r="R81" s="15">
        <f t="shared" si="50"/>
        <v>6.339504909983634</v>
      </c>
      <c r="S81" s="16">
        <f t="shared" si="51"/>
        <v>53.169752454991816</v>
      </c>
      <c r="T81" s="14">
        <f t="shared" si="52"/>
        <v>0.38461538461538464</v>
      </c>
      <c r="U81" s="15">
        <f t="shared" si="53"/>
        <v>0.61538461538461542</v>
      </c>
      <c r="V81" s="15">
        <f t="shared" si="54"/>
        <v>6.5466448445171856</v>
      </c>
      <c r="W81" s="16">
        <f t="shared" si="55"/>
        <v>53.273322422258595</v>
      </c>
      <c r="X81" s="14">
        <f t="shared" si="56"/>
        <v>0.42307692307692307</v>
      </c>
      <c r="Y81" s="15">
        <f t="shared" si="57"/>
        <v>0.57692307692307687</v>
      </c>
      <c r="Z81" s="15">
        <f t="shared" si="58"/>
        <v>6.7512274959083474</v>
      </c>
      <c r="AA81" s="16">
        <f t="shared" si="59"/>
        <v>53.375613747954176</v>
      </c>
      <c r="AC81">
        <v>20</v>
      </c>
      <c r="AD81">
        <f t="shared" si="73"/>
        <v>19.899999999999999</v>
      </c>
      <c r="AE81" s="14">
        <f t="shared" si="60"/>
        <v>0.49749999999999994</v>
      </c>
      <c r="AF81" s="15">
        <f t="shared" si="61"/>
        <v>0.50250000000000006</v>
      </c>
      <c r="AG81" s="15">
        <f t="shared" si="62"/>
        <v>5.3190159574468083</v>
      </c>
      <c r="AH81" s="16">
        <f t="shared" si="63"/>
        <v>52.659507978723404</v>
      </c>
      <c r="AI81" s="14">
        <f t="shared" si="64"/>
        <v>0.39799999999999996</v>
      </c>
      <c r="AJ81" s="15">
        <f t="shared" si="65"/>
        <v>0.60200000000000009</v>
      </c>
      <c r="AK81" s="15">
        <f t="shared" si="66"/>
        <v>6.3722340425531918</v>
      </c>
      <c r="AL81" s="16">
        <f t="shared" si="67"/>
        <v>53.186117021276594</v>
      </c>
      <c r="AM81" s="14">
        <f t="shared" si="68"/>
        <v>0.28428571428571425</v>
      </c>
      <c r="AN81" s="15">
        <f t="shared" si="69"/>
        <v>0.71571428571428575</v>
      </c>
      <c r="AO81" s="15">
        <f t="shared" si="70"/>
        <v>7.5759118541033441</v>
      </c>
      <c r="AP81" s="16">
        <f t="shared" si="71"/>
        <v>53.787955927051669</v>
      </c>
    </row>
    <row r="82" spans="1:42">
      <c r="A82" s="44" t="s">
        <v>112</v>
      </c>
      <c r="B82" s="45"/>
      <c r="C82" s="46"/>
      <c r="N82">
        <v>21</v>
      </c>
      <c r="O82">
        <f t="shared" si="72"/>
        <v>52.6</v>
      </c>
      <c r="P82" s="14">
        <f t="shared" si="48"/>
        <v>0.35171102661596959</v>
      </c>
      <c r="Q82" s="15">
        <f t="shared" si="49"/>
        <v>0.64828897338403046</v>
      </c>
      <c r="R82" s="15">
        <f t="shared" si="50"/>
        <v>6.3794393657471087</v>
      </c>
      <c r="S82" s="16">
        <f t="shared" si="51"/>
        <v>53.189719682873552</v>
      </c>
      <c r="T82" s="14">
        <f t="shared" si="52"/>
        <v>0.38022813688212925</v>
      </c>
      <c r="U82" s="15">
        <f t="shared" si="53"/>
        <v>0.6197718631178708</v>
      </c>
      <c r="V82" s="15">
        <f t="shared" si="54"/>
        <v>6.5933176927433061</v>
      </c>
      <c r="W82" s="16">
        <f t="shared" si="55"/>
        <v>53.296658846371656</v>
      </c>
      <c r="X82" s="14">
        <f t="shared" si="56"/>
        <v>0.41825095057034217</v>
      </c>
      <c r="Y82" s="15">
        <f t="shared" si="57"/>
        <v>0.58174904942965777</v>
      </c>
      <c r="Z82" s="15">
        <f t="shared" si="58"/>
        <v>6.8077016422619536</v>
      </c>
      <c r="AA82" s="16">
        <f t="shared" si="59"/>
        <v>53.403850821130973</v>
      </c>
      <c r="AC82">
        <v>21</v>
      </c>
      <c r="AD82">
        <f t="shared" si="73"/>
        <v>19.97</v>
      </c>
      <c r="AE82" s="14">
        <f t="shared" si="60"/>
        <v>0.49924999999999997</v>
      </c>
      <c r="AF82" s="15">
        <f t="shared" si="61"/>
        <v>0.50075000000000003</v>
      </c>
      <c r="AG82" s="15">
        <f t="shared" si="62"/>
        <v>5.3191369680851066</v>
      </c>
      <c r="AH82" s="16">
        <f t="shared" si="63"/>
        <v>52.659568484042552</v>
      </c>
      <c r="AI82" s="14">
        <f t="shared" si="64"/>
        <v>0.39939999999999998</v>
      </c>
      <c r="AJ82" s="15">
        <f t="shared" si="65"/>
        <v>0.60060000000000002</v>
      </c>
      <c r="AK82" s="15">
        <f t="shared" si="66"/>
        <v>6.3797776595744686</v>
      </c>
      <c r="AL82" s="16">
        <f t="shared" si="67"/>
        <v>53.189888829787236</v>
      </c>
      <c r="AM82" s="14">
        <f t="shared" si="68"/>
        <v>0.28528571428571425</v>
      </c>
      <c r="AN82" s="15">
        <f t="shared" si="69"/>
        <v>0.71471428571428575</v>
      </c>
      <c r="AO82" s="15">
        <f t="shared" si="70"/>
        <v>7.5919384498480236</v>
      </c>
      <c r="AP82" s="16">
        <f t="shared" si="71"/>
        <v>53.795969224924015</v>
      </c>
    </row>
    <row r="83" spans="1:42">
      <c r="A83" s="31" t="s">
        <v>210</v>
      </c>
      <c r="B83" s="49">
        <f>Design_Converter!B72*(10^-3)</f>
        <v>2E-3</v>
      </c>
      <c r="C83" s="31" t="s">
        <v>23</v>
      </c>
      <c r="N83">
        <v>22</v>
      </c>
      <c r="O83">
        <f t="shared" si="72"/>
        <v>53.2</v>
      </c>
      <c r="P83" s="14">
        <f t="shared" si="48"/>
        <v>0.34774436090225563</v>
      </c>
      <c r="Q83" s="15">
        <f t="shared" si="49"/>
        <v>0.65225563909774431</v>
      </c>
      <c r="R83" s="15">
        <f t="shared" si="50"/>
        <v>6.4184730443129112</v>
      </c>
      <c r="S83" s="16">
        <f t="shared" si="51"/>
        <v>53.209236522156459</v>
      </c>
      <c r="T83" s="14">
        <f t="shared" si="52"/>
        <v>0.37593984962406013</v>
      </c>
      <c r="U83" s="15">
        <f t="shared" si="53"/>
        <v>0.62406015037593987</v>
      </c>
      <c r="V83" s="15">
        <f t="shared" si="54"/>
        <v>6.6389377699568071</v>
      </c>
      <c r="W83" s="16">
        <f t="shared" si="55"/>
        <v>53.319468884978406</v>
      </c>
      <c r="X83" s="14">
        <f t="shared" si="56"/>
        <v>0.41353383458646614</v>
      </c>
      <c r="Y83" s="15">
        <f t="shared" si="57"/>
        <v>0.58646616541353391</v>
      </c>
      <c r="Z83" s="15">
        <f t="shared" si="58"/>
        <v>6.8629019356902896</v>
      </c>
      <c r="AA83" s="16">
        <f t="shared" si="59"/>
        <v>53.431450967845144</v>
      </c>
      <c r="AC83">
        <v>22</v>
      </c>
      <c r="AD83">
        <f t="shared" si="73"/>
        <v>20.04</v>
      </c>
      <c r="AE83" s="14">
        <f t="shared" si="60"/>
        <v>0.501</v>
      </c>
      <c r="AF83" s="15">
        <f t="shared" si="61"/>
        <v>0.499</v>
      </c>
      <c r="AG83" s="15">
        <f t="shared" si="62"/>
        <v>5.3191276595744688</v>
      </c>
      <c r="AH83" s="16">
        <f t="shared" si="63"/>
        <v>52.659563829787231</v>
      </c>
      <c r="AI83" s="14">
        <f t="shared" si="64"/>
        <v>0.40079999999999999</v>
      </c>
      <c r="AJ83" s="15">
        <f t="shared" si="65"/>
        <v>0.59919999999999995</v>
      </c>
      <c r="AK83" s="15">
        <f t="shared" si="66"/>
        <v>6.3872170212765962</v>
      </c>
      <c r="AL83" s="16">
        <f t="shared" si="67"/>
        <v>53.193608510638299</v>
      </c>
      <c r="AM83" s="14">
        <f t="shared" si="68"/>
        <v>0.28628571428571425</v>
      </c>
      <c r="AN83" s="15">
        <f t="shared" si="69"/>
        <v>0.71371428571428575</v>
      </c>
      <c r="AO83" s="15">
        <f t="shared" si="70"/>
        <v>7.6078905775075993</v>
      </c>
      <c r="AP83" s="16">
        <f t="shared" si="71"/>
        <v>53.803945288753802</v>
      </c>
    </row>
    <row r="84" spans="1:42">
      <c r="A84" s="31" t="s">
        <v>115</v>
      </c>
      <c r="B84" s="50">
        <f>(Constants!C33*Calculations!B83/(Constants!C34))*(10^6)</f>
        <v>0.01</v>
      </c>
      <c r="C84" s="31" t="s">
        <v>32</v>
      </c>
      <c r="N84">
        <v>23</v>
      </c>
      <c r="O84">
        <f t="shared" si="72"/>
        <v>53.8</v>
      </c>
      <c r="P84" s="14">
        <f t="shared" si="48"/>
        <v>0.34386617100371747</v>
      </c>
      <c r="Q84" s="15">
        <f t="shared" si="49"/>
        <v>0.65613382899628259</v>
      </c>
      <c r="R84" s="15">
        <f t="shared" si="50"/>
        <v>6.4566360832080996</v>
      </c>
      <c r="S84" s="16">
        <f t="shared" si="51"/>
        <v>53.228318041604048</v>
      </c>
      <c r="T84" s="14">
        <f t="shared" si="52"/>
        <v>0.37174721189591081</v>
      </c>
      <c r="U84" s="15">
        <f t="shared" si="53"/>
        <v>0.62825278810408913</v>
      </c>
      <c r="V84" s="15">
        <f t="shared" si="54"/>
        <v>6.6835402989796728</v>
      </c>
      <c r="W84" s="16">
        <f t="shared" si="55"/>
        <v>53.34177014948984</v>
      </c>
      <c r="X84" s="14">
        <f t="shared" si="56"/>
        <v>0.4089219330855019</v>
      </c>
      <c r="Y84" s="15">
        <f t="shared" si="57"/>
        <v>0.59107806691449816</v>
      </c>
      <c r="Z84" s="15">
        <f t="shared" si="58"/>
        <v>6.9168709958079573</v>
      </c>
      <c r="AA84" s="16">
        <f t="shared" si="59"/>
        <v>53.458435497903977</v>
      </c>
      <c r="AC84">
        <v>23</v>
      </c>
      <c r="AD84">
        <f t="shared" si="73"/>
        <v>20.11</v>
      </c>
      <c r="AE84" s="14">
        <f t="shared" si="60"/>
        <v>0.50275000000000003</v>
      </c>
      <c r="AF84" s="15">
        <f t="shared" si="61"/>
        <v>0.49724999999999997</v>
      </c>
      <c r="AG84" s="15">
        <f t="shared" si="62"/>
        <v>5.3189880319148939</v>
      </c>
      <c r="AH84" s="16">
        <f t="shared" si="63"/>
        <v>52.659494015957449</v>
      </c>
      <c r="AI84" s="14">
        <f t="shared" si="64"/>
        <v>0.4022</v>
      </c>
      <c r="AJ84" s="15">
        <f t="shared" si="65"/>
        <v>0.5978</v>
      </c>
      <c r="AK84" s="15">
        <f t="shared" si="66"/>
        <v>6.3945521276595754</v>
      </c>
      <c r="AL84" s="16">
        <f t="shared" si="67"/>
        <v>53.19727606382979</v>
      </c>
      <c r="AM84" s="14">
        <f t="shared" si="68"/>
        <v>0.28728571428571426</v>
      </c>
      <c r="AN84" s="15">
        <f t="shared" si="69"/>
        <v>0.71271428571428574</v>
      </c>
      <c r="AO84" s="15">
        <f t="shared" si="70"/>
        <v>7.6237682370820661</v>
      </c>
      <c r="AP84" s="16">
        <f t="shared" si="71"/>
        <v>53.81188411854103</v>
      </c>
    </row>
    <row r="85" spans="1:42">
      <c r="A85" s="31" t="s">
        <v>181</v>
      </c>
      <c r="B85" s="49">
        <f>Design_Converter!B74</f>
        <v>0.01</v>
      </c>
      <c r="C85" s="31" t="s">
        <v>32</v>
      </c>
      <c r="N85">
        <v>24</v>
      </c>
      <c r="O85">
        <f t="shared" si="72"/>
        <v>54.4</v>
      </c>
      <c r="P85" s="14">
        <f t="shared" si="48"/>
        <v>0.34007352941176472</v>
      </c>
      <c r="Q85" s="15">
        <f t="shared" si="49"/>
        <v>0.65992647058823528</v>
      </c>
      <c r="R85" s="15">
        <f t="shared" si="50"/>
        <v>6.4939572903629532</v>
      </c>
      <c r="S85" s="16">
        <f t="shared" si="51"/>
        <v>53.246978645181478</v>
      </c>
      <c r="T85" s="14">
        <f t="shared" si="52"/>
        <v>0.36764705882352944</v>
      </c>
      <c r="U85" s="15">
        <f t="shared" si="53"/>
        <v>0.63235294117647056</v>
      </c>
      <c r="V85" s="15">
        <f t="shared" si="54"/>
        <v>6.7271589486858572</v>
      </c>
      <c r="W85" s="16">
        <f t="shared" si="55"/>
        <v>53.363579474342927</v>
      </c>
      <c r="X85" s="14">
        <f t="shared" si="56"/>
        <v>0.40441176470588236</v>
      </c>
      <c r="Y85" s="15">
        <f t="shared" si="57"/>
        <v>0.59558823529411764</v>
      </c>
      <c r="Z85" s="15">
        <f t="shared" si="58"/>
        <v>6.9696495619524406</v>
      </c>
      <c r="AA85" s="16">
        <f t="shared" si="59"/>
        <v>53.484824780976219</v>
      </c>
      <c r="AC85">
        <v>24</v>
      </c>
      <c r="AD85">
        <f t="shared" si="73"/>
        <v>20.18</v>
      </c>
      <c r="AE85" s="14">
        <f t="shared" si="60"/>
        <v>0.50449999999999995</v>
      </c>
      <c r="AF85" s="15">
        <f t="shared" si="61"/>
        <v>0.49550000000000005</v>
      </c>
      <c r="AG85" s="15">
        <f t="shared" si="62"/>
        <v>5.3187180851063829</v>
      </c>
      <c r="AH85" s="16">
        <f t="shared" si="63"/>
        <v>52.659359042553191</v>
      </c>
      <c r="AI85" s="14">
        <f t="shared" si="64"/>
        <v>0.40360000000000001</v>
      </c>
      <c r="AJ85" s="15">
        <f t="shared" si="65"/>
        <v>0.59640000000000004</v>
      </c>
      <c r="AK85" s="15">
        <f t="shared" si="66"/>
        <v>6.4017829787234053</v>
      </c>
      <c r="AL85" s="16">
        <f t="shared" si="67"/>
        <v>53.200891489361702</v>
      </c>
      <c r="AM85" s="14">
        <f t="shared" si="68"/>
        <v>0.28828571428571426</v>
      </c>
      <c r="AN85" s="15">
        <f t="shared" si="69"/>
        <v>0.71171428571428574</v>
      </c>
      <c r="AO85" s="15">
        <f t="shared" si="70"/>
        <v>7.6395714285714291</v>
      </c>
      <c r="AP85" s="16">
        <f t="shared" si="71"/>
        <v>53.819785714285715</v>
      </c>
    </row>
    <row r="86" spans="1:42">
      <c r="A86" s="31" t="s">
        <v>183</v>
      </c>
      <c r="B86" s="50">
        <f>1000*(Constants!C34*(B85*10^-6)/(Constants!C33))</f>
        <v>2</v>
      </c>
      <c r="C86" s="31" t="s">
        <v>114</v>
      </c>
      <c r="N86">
        <v>25</v>
      </c>
      <c r="O86">
        <f t="shared" si="72"/>
        <v>55</v>
      </c>
      <c r="P86" s="14">
        <f t="shared" si="48"/>
        <v>0.33636363636363636</v>
      </c>
      <c r="Q86" s="15">
        <f t="shared" si="49"/>
        <v>0.66363636363636358</v>
      </c>
      <c r="R86" s="15">
        <f t="shared" si="50"/>
        <v>6.5304642166344307</v>
      </c>
      <c r="S86" s="16">
        <f t="shared" si="51"/>
        <v>53.265232108317214</v>
      </c>
      <c r="T86" s="14">
        <f t="shared" si="52"/>
        <v>0.36363636363636365</v>
      </c>
      <c r="U86" s="15">
        <f t="shared" si="53"/>
        <v>0.63636363636363635</v>
      </c>
      <c r="V86" s="15">
        <f t="shared" si="54"/>
        <v>6.7698259187620895</v>
      </c>
      <c r="W86" s="16">
        <f t="shared" si="55"/>
        <v>53.384912959381047</v>
      </c>
      <c r="X86" s="14">
        <f t="shared" si="56"/>
        <v>0.4</v>
      </c>
      <c r="Y86" s="15">
        <f t="shared" si="57"/>
        <v>0.6</v>
      </c>
      <c r="Z86" s="15">
        <f t="shared" si="58"/>
        <v>7.0212765957446814</v>
      </c>
      <c r="AA86" s="16">
        <f t="shared" si="59"/>
        <v>53.51063829787234</v>
      </c>
      <c r="AC86">
        <v>25</v>
      </c>
      <c r="AD86">
        <f t="shared" si="73"/>
        <v>20.25</v>
      </c>
      <c r="AE86" s="14">
        <f t="shared" si="60"/>
        <v>0.50624999999999998</v>
      </c>
      <c r="AF86" s="15">
        <f t="shared" si="61"/>
        <v>0.49375000000000002</v>
      </c>
      <c r="AG86" s="15">
        <f t="shared" si="62"/>
        <v>5.3183178191489366</v>
      </c>
      <c r="AH86" s="16">
        <f t="shared" si="63"/>
        <v>52.659158909574465</v>
      </c>
      <c r="AI86" s="14">
        <f t="shared" si="64"/>
        <v>0.40500000000000003</v>
      </c>
      <c r="AJ86" s="15">
        <f t="shared" si="65"/>
        <v>0.59499999999999997</v>
      </c>
      <c r="AK86" s="15">
        <f t="shared" si="66"/>
        <v>6.408909574468086</v>
      </c>
      <c r="AL86" s="16">
        <f t="shared" si="67"/>
        <v>53.204454787234042</v>
      </c>
      <c r="AM86" s="14">
        <f t="shared" si="68"/>
        <v>0.28928571428571431</v>
      </c>
      <c r="AN86" s="15">
        <f t="shared" si="69"/>
        <v>0.71071428571428563</v>
      </c>
      <c r="AO86" s="15">
        <f t="shared" si="70"/>
        <v>7.6553001519756849</v>
      </c>
      <c r="AP86" s="16">
        <f t="shared" si="71"/>
        <v>53.82765007598784</v>
      </c>
    </row>
    <row r="87" spans="1:42">
      <c r="N87">
        <v>26</v>
      </c>
      <c r="O87">
        <f t="shared" si="72"/>
        <v>55.6</v>
      </c>
      <c r="P87" s="14">
        <f t="shared" si="48"/>
        <v>0.33273381294964027</v>
      </c>
      <c r="Q87" s="15">
        <f t="shared" si="49"/>
        <v>0.66726618705035978</v>
      </c>
      <c r="R87" s="15">
        <f t="shared" si="50"/>
        <v>6.5661832236338586</v>
      </c>
      <c r="S87" s="16">
        <f t="shared" si="51"/>
        <v>53.283091611816928</v>
      </c>
      <c r="T87" s="14">
        <f t="shared" si="52"/>
        <v>0.35971223021582732</v>
      </c>
      <c r="U87" s="15">
        <f t="shared" si="53"/>
        <v>0.64028776978417268</v>
      </c>
      <c r="V87" s="15">
        <f t="shared" si="54"/>
        <v>6.8115720189805602</v>
      </c>
      <c r="W87" s="16">
        <f t="shared" si="55"/>
        <v>53.405786009490278</v>
      </c>
      <c r="X87" s="14">
        <f t="shared" si="56"/>
        <v>0.39568345323741005</v>
      </c>
      <c r="Y87" s="15">
        <f t="shared" si="57"/>
        <v>0.60431654676258995</v>
      </c>
      <c r="Z87" s="15">
        <f t="shared" si="58"/>
        <v>7.071789377009031</v>
      </c>
      <c r="AA87" s="16">
        <f t="shared" si="59"/>
        <v>53.535894688504513</v>
      </c>
      <c r="AC87">
        <v>26</v>
      </c>
      <c r="AD87">
        <f t="shared" si="73"/>
        <v>20.32</v>
      </c>
      <c r="AE87" s="14">
        <f t="shared" si="60"/>
        <v>0.50800000000000001</v>
      </c>
      <c r="AF87" s="15">
        <f t="shared" si="61"/>
        <v>0.49199999999999999</v>
      </c>
      <c r="AG87" s="15">
        <f t="shared" si="62"/>
        <v>5.3177872340425534</v>
      </c>
      <c r="AH87" s="16">
        <f t="shared" si="63"/>
        <v>52.658893617021278</v>
      </c>
      <c r="AI87" s="14">
        <f t="shared" si="64"/>
        <v>0.40639999999999998</v>
      </c>
      <c r="AJ87" s="15">
        <f t="shared" si="65"/>
        <v>0.59360000000000002</v>
      </c>
      <c r="AK87" s="15">
        <f t="shared" si="66"/>
        <v>6.4159319148936165</v>
      </c>
      <c r="AL87" s="16">
        <f t="shared" si="67"/>
        <v>53.20796595744681</v>
      </c>
      <c r="AM87" s="14">
        <f t="shared" si="68"/>
        <v>0.29028571428571431</v>
      </c>
      <c r="AN87" s="15">
        <f t="shared" si="69"/>
        <v>0.70971428571428574</v>
      </c>
      <c r="AO87" s="15">
        <f t="shared" si="70"/>
        <v>7.6709544072948344</v>
      </c>
      <c r="AP87" s="16">
        <f t="shared" si="71"/>
        <v>53.835477203647415</v>
      </c>
    </row>
    <row r="88" spans="1:42">
      <c r="A88" s="31" t="s">
        <v>160</v>
      </c>
      <c r="B88" s="53"/>
      <c r="C88" s="31"/>
      <c r="N88">
        <v>27</v>
      </c>
      <c r="O88">
        <f t="shared" si="72"/>
        <v>56.2</v>
      </c>
      <c r="P88" s="14">
        <f t="shared" si="48"/>
        <v>0.3291814946619217</v>
      </c>
      <c r="Q88" s="15">
        <f t="shared" si="49"/>
        <v>0.6708185053380783</v>
      </c>
      <c r="R88" s="15">
        <f t="shared" si="50"/>
        <v>6.6011395472098142</v>
      </c>
      <c r="S88" s="16">
        <f t="shared" si="51"/>
        <v>53.300569773604906</v>
      </c>
      <c r="T88" s="14">
        <f t="shared" si="52"/>
        <v>0.35587188612099641</v>
      </c>
      <c r="U88" s="15">
        <f t="shared" si="53"/>
        <v>0.64412811387900359</v>
      </c>
      <c r="V88" s="15">
        <f t="shared" si="54"/>
        <v>6.8524267433936554</v>
      </c>
      <c r="W88" s="16">
        <f t="shared" si="55"/>
        <v>53.426213371696825</v>
      </c>
      <c r="X88" s="14">
        <f t="shared" si="56"/>
        <v>0.39145907473309605</v>
      </c>
      <c r="Y88" s="15">
        <f t="shared" si="57"/>
        <v>0.60854092526690395</v>
      </c>
      <c r="Z88" s="15">
        <f t="shared" si="58"/>
        <v>7.1212235935488764</v>
      </c>
      <c r="AA88" s="16">
        <f t="shared" si="59"/>
        <v>53.560611796774438</v>
      </c>
      <c r="AC88">
        <v>27</v>
      </c>
      <c r="AD88">
        <f t="shared" si="73"/>
        <v>20.39</v>
      </c>
      <c r="AE88" s="14">
        <f t="shared" si="60"/>
        <v>0.50975000000000004</v>
      </c>
      <c r="AF88" s="15">
        <f t="shared" si="61"/>
        <v>0.49024999999999996</v>
      </c>
      <c r="AG88" s="15">
        <f t="shared" si="62"/>
        <v>5.3171263297872349</v>
      </c>
      <c r="AH88" s="16">
        <f t="shared" si="63"/>
        <v>52.658563164893614</v>
      </c>
      <c r="AI88" s="14">
        <f t="shared" si="64"/>
        <v>0.4078</v>
      </c>
      <c r="AJ88" s="15">
        <f t="shared" si="65"/>
        <v>0.59220000000000006</v>
      </c>
      <c r="AK88" s="15">
        <f t="shared" si="66"/>
        <v>6.4228500000000004</v>
      </c>
      <c r="AL88" s="16">
        <f t="shared" si="67"/>
        <v>53.211424999999998</v>
      </c>
      <c r="AM88" s="14">
        <f t="shared" si="68"/>
        <v>0.29128571428571431</v>
      </c>
      <c r="AN88" s="15">
        <f t="shared" si="69"/>
        <v>0.70871428571428563</v>
      </c>
      <c r="AO88" s="15">
        <f t="shared" si="70"/>
        <v>7.6865341945288765</v>
      </c>
      <c r="AP88" s="16">
        <f t="shared" si="71"/>
        <v>53.843267097264437</v>
      </c>
    </row>
    <row r="89" spans="1:42">
      <c r="A89" s="31" t="s">
        <v>161</v>
      </c>
      <c r="B89" s="49">
        <f>Design_Converter!B80</f>
        <v>70</v>
      </c>
      <c r="C89" s="31" t="s">
        <v>1</v>
      </c>
      <c r="N89">
        <v>28</v>
      </c>
      <c r="O89">
        <f t="shared" si="72"/>
        <v>56.8</v>
      </c>
      <c r="P89" s="14">
        <f t="shared" si="48"/>
        <v>0.32570422535211269</v>
      </c>
      <c r="Q89" s="15">
        <f t="shared" si="49"/>
        <v>0.67429577464788726</v>
      </c>
      <c r="R89" s="15">
        <f t="shared" si="50"/>
        <v>6.6353573569074022</v>
      </c>
      <c r="S89" s="16">
        <f t="shared" si="51"/>
        <v>53.317678678453703</v>
      </c>
      <c r="T89" s="14">
        <f t="shared" si="52"/>
        <v>0.35211267605633806</v>
      </c>
      <c r="U89" s="15">
        <f t="shared" si="53"/>
        <v>0.647887323943662</v>
      </c>
      <c r="V89" s="15">
        <f t="shared" si="54"/>
        <v>6.8924183398261913</v>
      </c>
      <c r="W89" s="16">
        <f t="shared" si="55"/>
        <v>53.446209169913097</v>
      </c>
      <c r="X89" s="14">
        <f t="shared" si="56"/>
        <v>0.38732394366197187</v>
      </c>
      <c r="Y89" s="15">
        <f t="shared" si="57"/>
        <v>0.61267605633802813</v>
      </c>
      <c r="Z89" s="15">
        <f t="shared" si="58"/>
        <v>7.1696134252322459</v>
      </c>
      <c r="AA89" s="16">
        <f t="shared" si="59"/>
        <v>53.584806712616121</v>
      </c>
      <c r="AC89">
        <v>28</v>
      </c>
      <c r="AD89">
        <f t="shared" si="73"/>
        <v>20.46</v>
      </c>
      <c r="AE89" s="14">
        <f t="shared" si="60"/>
        <v>0.51150000000000007</v>
      </c>
      <c r="AF89" s="15">
        <f t="shared" si="61"/>
        <v>0.48849999999999993</v>
      </c>
      <c r="AG89" s="15">
        <f t="shared" si="62"/>
        <v>5.3163351063829793</v>
      </c>
      <c r="AH89" s="16">
        <f t="shared" si="63"/>
        <v>52.65816755319149</v>
      </c>
      <c r="AI89" s="14">
        <f t="shared" si="64"/>
        <v>0.40920000000000001</v>
      </c>
      <c r="AJ89" s="15">
        <f t="shared" si="65"/>
        <v>0.59079999999999999</v>
      </c>
      <c r="AK89" s="15">
        <f t="shared" si="66"/>
        <v>6.4296638297872342</v>
      </c>
      <c r="AL89" s="16">
        <f t="shared" si="67"/>
        <v>53.214831914893615</v>
      </c>
      <c r="AM89" s="14">
        <f t="shared" si="68"/>
        <v>0.29228571428571432</v>
      </c>
      <c r="AN89" s="15">
        <f t="shared" si="69"/>
        <v>0.70771428571428574</v>
      </c>
      <c r="AO89" s="15">
        <f t="shared" si="70"/>
        <v>7.7020395136778133</v>
      </c>
      <c r="AP89" s="16">
        <f t="shared" si="71"/>
        <v>53.851019756838909</v>
      </c>
    </row>
    <row r="90" spans="1:42" ht="15">
      <c r="A90" s="31" t="s">
        <v>162</v>
      </c>
      <c r="B90" s="54">
        <f>Constants!C19*Constants!C18/(B89-Constants!C18)/1000-1</f>
        <v>50.660248492334517</v>
      </c>
      <c r="C90" s="67" t="s">
        <v>104</v>
      </c>
      <c r="N90">
        <v>29</v>
      </c>
      <c r="O90">
        <f t="shared" si="72"/>
        <v>57.4</v>
      </c>
      <c r="P90" s="14">
        <f t="shared" si="48"/>
        <v>0.32229965156794427</v>
      </c>
      <c r="Q90" s="15">
        <f t="shared" si="49"/>
        <v>0.67770034843205573</v>
      </c>
      <c r="R90" s="15">
        <f t="shared" si="50"/>
        <v>6.6688598116984217</v>
      </c>
      <c r="S90" s="16">
        <f t="shared" si="51"/>
        <v>53.334429905849213</v>
      </c>
      <c r="T90" s="14">
        <f t="shared" si="52"/>
        <v>0.34843205574912894</v>
      </c>
      <c r="U90" s="15">
        <f t="shared" si="53"/>
        <v>0.65156794425087106</v>
      </c>
      <c r="V90" s="15">
        <f t="shared" si="54"/>
        <v>6.9315738750092679</v>
      </c>
      <c r="W90" s="16">
        <f t="shared" si="55"/>
        <v>53.465786937504632</v>
      </c>
      <c r="X90" s="14">
        <f t="shared" si="56"/>
        <v>0.38327526132404183</v>
      </c>
      <c r="Y90" s="15">
        <f t="shared" si="57"/>
        <v>0.61672473867595823</v>
      </c>
      <c r="Z90" s="15">
        <f t="shared" si="58"/>
        <v>7.2169916228037669</v>
      </c>
      <c r="AA90" s="16">
        <f t="shared" si="59"/>
        <v>53.60849581140188</v>
      </c>
      <c r="AC90">
        <v>29</v>
      </c>
      <c r="AD90">
        <f t="shared" si="73"/>
        <v>20.53</v>
      </c>
      <c r="AE90" s="14">
        <f t="shared" si="60"/>
        <v>0.51324999999999998</v>
      </c>
      <c r="AF90" s="15">
        <f t="shared" si="61"/>
        <v>0.48675000000000002</v>
      </c>
      <c r="AG90" s="15">
        <f t="shared" si="62"/>
        <v>5.3154135638297868</v>
      </c>
      <c r="AH90" s="16">
        <f t="shared" si="63"/>
        <v>52.657706781914897</v>
      </c>
      <c r="AI90" s="14">
        <f t="shared" si="64"/>
        <v>0.41060000000000002</v>
      </c>
      <c r="AJ90" s="15">
        <f t="shared" si="65"/>
        <v>0.58939999999999992</v>
      </c>
      <c r="AK90" s="15">
        <f t="shared" si="66"/>
        <v>6.4363734042553196</v>
      </c>
      <c r="AL90" s="16">
        <f t="shared" si="67"/>
        <v>53.21818670212766</v>
      </c>
      <c r="AM90" s="14">
        <f t="shared" si="68"/>
        <v>0.29328571428571432</v>
      </c>
      <c r="AN90" s="15">
        <f t="shared" si="69"/>
        <v>0.70671428571428563</v>
      </c>
      <c r="AO90" s="15">
        <f t="shared" si="70"/>
        <v>7.7174703647416418</v>
      </c>
      <c r="AP90" s="16">
        <f t="shared" si="71"/>
        <v>53.858735182370822</v>
      </c>
    </row>
    <row r="91" spans="1:42" ht="15">
      <c r="A91" s="31" t="s">
        <v>164</v>
      </c>
      <c r="B91" s="49">
        <f>Design_Converter!B82</f>
        <v>51.1</v>
      </c>
      <c r="C91" s="67" t="s">
        <v>104</v>
      </c>
      <c r="N91">
        <v>30</v>
      </c>
      <c r="O91">
        <f t="shared" si="72"/>
        <v>58</v>
      </c>
      <c r="P91" s="14">
        <f t="shared" si="48"/>
        <v>0.31896551724137934</v>
      </c>
      <c r="Q91" s="15">
        <f t="shared" si="49"/>
        <v>0.68103448275862066</v>
      </c>
      <c r="R91" s="15">
        <f t="shared" si="50"/>
        <v>6.7016691122523859</v>
      </c>
      <c r="S91" s="16">
        <f t="shared" si="51"/>
        <v>53.350834556126195</v>
      </c>
      <c r="T91" s="14">
        <f t="shared" si="52"/>
        <v>0.34482758620689657</v>
      </c>
      <c r="U91" s="15">
        <f t="shared" si="53"/>
        <v>0.65517241379310343</v>
      </c>
      <c r="V91" s="15">
        <f t="shared" si="54"/>
        <v>6.969919295671315</v>
      </c>
      <c r="W91" s="16">
        <f t="shared" si="55"/>
        <v>53.484959647835659</v>
      </c>
      <c r="X91" s="14">
        <f t="shared" si="56"/>
        <v>0.37931034482758619</v>
      </c>
      <c r="Y91" s="15">
        <f t="shared" si="57"/>
        <v>0.62068965517241381</v>
      </c>
      <c r="Z91" s="15">
        <f t="shared" si="58"/>
        <v>7.2633895818048426</v>
      </c>
      <c r="AA91" s="16">
        <f t="shared" si="59"/>
        <v>53.631694790902422</v>
      </c>
      <c r="AC91">
        <v>30</v>
      </c>
      <c r="AD91">
        <f t="shared" si="73"/>
        <v>20.6</v>
      </c>
      <c r="AE91" s="14">
        <f t="shared" si="60"/>
        <v>0.51500000000000001</v>
      </c>
      <c r="AF91" s="15">
        <f t="shared" si="61"/>
        <v>0.48499999999999999</v>
      </c>
      <c r="AG91" s="15">
        <f t="shared" si="62"/>
        <v>5.3143617021276599</v>
      </c>
      <c r="AH91" s="16">
        <f t="shared" si="63"/>
        <v>52.657180851063828</v>
      </c>
      <c r="AI91" s="14">
        <f t="shared" si="64"/>
        <v>0.41200000000000003</v>
      </c>
      <c r="AJ91" s="15">
        <f t="shared" si="65"/>
        <v>0.58799999999999997</v>
      </c>
      <c r="AK91" s="15">
        <f t="shared" si="66"/>
        <v>6.4429787234042557</v>
      </c>
      <c r="AL91" s="16">
        <f t="shared" si="67"/>
        <v>53.221489361702126</v>
      </c>
      <c r="AM91" s="14">
        <f t="shared" si="68"/>
        <v>0.29428571428571432</v>
      </c>
      <c r="AN91" s="15">
        <f t="shared" si="69"/>
        <v>0.70571428571428574</v>
      </c>
      <c r="AO91" s="15">
        <f t="shared" si="70"/>
        <v>7.7328267477203667</v>
      </c>
      <c r="AP91" s="16">
        <f t="shared" si="71"/>
        <v>53.866413373860183</v>
      </c>
    </row>
    <row r="92" spans="1:42" ht="15">
      <c r="A92" s="31" t="s">
        <v>163</v>
      </c>
      <c r="B92" s="54">
        <f>((B91*1000+Constants!C19)/((B91+1)*1000))*Constants!C18</f>
        <v>69.396420345489446</v>
      </c>
      <c r="C92" s="67" t="s">
        <v>1</v>
      </c>
      <c r="N92">
        <v>31</v>
      </c>
      <c r="O92">
        <f t="shared" si="72"/>
        <v>58.599999999999994</v>
      </c>
      <c r="P92" s="14">
        <f t="shared" si="48"/>
        <v>0.31569965870307171</v>
      </c>
      <c r="Q92" s="15">
        <f t="shared" si="49"/>
        <v>0.68430034129692829</v>
      </c>
      <c r="R92" s="15">
        <f t="shared" si="50"/>
        <v>6.7338065499963697</v>
      </c>
      <c r="S92" s="16">
        <f t="shared" si="51"/>
        <v>53.366903274998187</v>
      </c>
      <c r="T92" s="14">
        <f t="shared" si="52"/>
        <v>0.34129692832764508</v>
      </c>
      <c r="U92" s="15">
        <f t="shared" si="53"/>
        <v>0.65870307167235498</v>
      </c>
      <c r="V92" s="15">
        <f t="shared" si="54"/>
        <v>7.0074794858761162</v>
      </c>
      <c r="W92" s="16">
        <f t="shared" si="55"/>
        <v>53.503739742938059</v>
      </c>
      <c r="X92" s="14">
        <f t="shared" si="56"/>
        <v>0.37542662116040959</v>
      </c>
      <c r="Y92" s="15">
        <f t="shared" si="57"/>
        <v>0.62457337883959041</v>
      </c>
      <c r="Z92" s="15">
        <f t="shared" si="58"/>
        <v>7.3088374119526538</v>
      </c>
      <c r="AA92" s="16">
        <f t="shared" si="59"/>
        <v>53.654418705976326</v>
      </c>
      <c r="AC92">
        <v>31</v>
      </c>
      <c r="AD92">
        <f t="shared" si="73"/>
        <v>20.67</v>
      </c>
      <c r="AE92" s="14">
        <f t="shared" si="60"/>
        <v>0.51675000000000004</v>
      </c>
      <c r="AF92" s="15">
        <f t="shared" si="61"/>
        <v>0.48324999999999996</v>
      </c>
      <c r="AG92" s="15">
        <f t="shared" si="62"/>
        <v>5.313179521276596</v>
      </c>
      <c r="AH92" s="16">
        <f t="shared" si="63"/>
        <v>52.656589760638298</v>
      </c>
      <c r="AI92" s="14">
        <f t="shared" si="64"/>
        <v>0.41340000000000005</v>
      </c>
      <c r="AJ92" s="15">
        <f t="shared" si="65"/>
        <v>0.58660000000000001</v>
      </c>
      <c r="AK92" s="15">
        <f t="shared" si="66"/>
        <v>6.4494797872340435</v>
      </c>
      <c r="AL92" s="16">
        <f t="shared" si="67"/>
        <v>53.22473989361702</v>
      </c>
      <c r="AM92" s="14">
        <f t="shared" si="68"/>
        <v>0.29528571428571432</v>
      </c>
      <c r="AN92" s="15">
        <f t="shared" si="69"/>
        <v>0.70471428571428563</v>
      </c>
      <c r="AO92" s="15">
        <f t="shared" si="70"/>
        <v>7.7481086626139826</v>
      </c>
      <c r="AP92" s="16">
        <f t="shared" si="71"/>
        <v>53.874054331306994</v>
      </c>
    </row>
    <row r="93" spans="1:42">
      <c r="A93" s="31" t="s">
        <v>165</v>
      </c>
      <c r="B93" s="49">
        <f>Design_Converter!B85</f>
        <v>23</v>
      </c>
      <c r="C93" s="31" t="s">
        <v>1</v>
      </c>
      <c r="N93">
        <v>32</v>
      </c>
      <c r="O93">
        <f t="shared" si="72"/>
        <v>59.2</v>
      </c>
      <c r="P93" s="14">
        <f t="shared" ref="P93:P111" si="74">IF(I_Channel&lt;(($O93-V12_Min)*V12_Min)/((2*Lm*Fsw)*$O93),SQRT((2*I_Channel*Lm*Fsw*V12_Min)/($O93*($O93-V12_Min))),(V12_Min/$O93))</f>
        <v>0.3125</v>
      </c>
      <c r="Q93" s="15">
        <f t="shared" ref="Q93:Q111" si="75">IF(I_Channel&lt;(($O93-V12_Min)*V12_Min)/((2*Lm*Fsw)*$O93),SQRT((2*I_Channel*Lm*Fsw*V12_Min)/($O93*($O93-V12_Min)))*(($O93-V12_Min)/(V12_Min)),1-(V12_Min/$O93))</f>
        <v>0.6875</v>
      </c>
      <c r="R93" s="15">
        <f t="shared" ref="R93:R111" si="76">IF(I_Channel&lt;(($O93-V12_Min)*V12_Min)/((2*Lm*Fsw)*$O93),(P93/(Fsw*Lm))*($O93-V12_Min),((P93/(Fsw*Lm))*($O93-V12_Min)))</f>
        <v>6.7652925531914896</v>
      </c>
      <c r="S93" s="16">
        <f t="shared" ref="S93:S111" si="77">IF(I_Channel&lt;(($O93-V12_Min)*V12_Min)/((2*Lm*Fsw)*$O93),(P93/(Fsw*Lm))*($O93-V12_Min),(R93/2)+I_Channel)</f>
        <v>53.382646276595743</v>
      </c>
      <c r="T93" s="14">
        <f t="shared" ref="T93:T111" si="78">IF(I_Channel&lt;(($O93-V12_Nom)*V12_Nom)/((2*Lm*Fsw)*$O93),SQRT((2*I_Channel*Lm*Fsw*V12_Nom)/($O93*($O93-V12_Nom))),(V12_Nom/$O93))</f>
        <v>0.33783783783783783</v>
      </c>
      <c r="U93" s="15">
        <f t="shared" ref="U93:U111" si="79">IF(I_Channel&lt;(($O93-V12_Nom)*V12_Nom)/((2*Lm*Fsw)*$O93),SQRT((2*I_Channel*Lm*Fsw*V12_Nom)/($O93*($O93-V12_Nom)))*(($O93-V12_Nom)/(V12_Nom)),1-(V12_Nom/$O93))</f>
        <v>0.66216216216216217</v>
      </c>
      <c r="V93" s="15">
        <f t="shared" ref="V93:V111" si="80">IF(I_Channel&lt;(($O93-V12_Nom)*V12_Nom)/((2*Lm*Fsw)*$O93),(T93/(Fsw*Lm))*($O93-V12_Nom),((T93/(Fsw*Lm))*($O93-V12_Nom)))</f>
        <v>7.0442783208740671</v>
      </c>
      <c r="W93" s="16">
        <f t="shared" ref="W93:W111" si="81">IF(I_Channel&lt;(($O93-V12_Nom)*V12_Nom)/((2*Lm*Fsw)*$O93),(T93/(Fsw*Lm))*($O93-V12_Nom),(V93/2)+I_Channel)</f>
        <v>53.522139160437035</v>
      </c>
      <c r="X93" s="14">
        <f t="shared" ref="X93:X111" si="82">IF(I_Channel&lt;(($O93-V12_Max)*V12_Max)/((2*Lm*Fsw)*$O93),SQRT((2*I_Channel*Lm*Fsw*V12_Max)/($O93*($O93-V12_Max))),(V12_Max/$O93))</f>
        <v>0.3716216216216216</v>
      </c>
      <c r="Y93" s="15">
        <f t="shared" ref="Y93:Y111" si="83">IF(I_Channel&lt;(($O93-V12_Max)*V12_Max)/((2*Lm*Fsw)*$O93),SQRT((2*I_Channel*Lm*Fsw*V12_Max)/($O93*($O93-V12_Max)))*(($O93-V12_Max)/(V12_Max)),1-(V12_Max/$O93))</f>
        <v>0.6283783783783784</v>
      </c>
      <c r="Z93" s="15">
        <f t="shared" ref="Z93:Z111" si="84">IF(I_Channel&lt;(($O93-V12_Max)*V12_Max)/((2*Lm*Fsw)*$O93),(X93/(Fsw*Lm))*($O93-V12_Max),((X93/(Fsw*Lm))*($O93-V12_Max)))</f>
        <v>7.3533640023001725</v>
      </c>
      <c r="AA93" s="16">
        <f t="shared" ref="AA93:AA111" si="85">IF(I_Channel&lt;(($O93-V12_Max)*V12_Max)/((2*Lm*Fsw)*$O93),(X93/(Fsw*Lm))*($O93-V12_Max),(Z93/2)+I_Channel)</f>
        <v>53.676682001150084</v>
      </c>
      <c r="AC93">
        <v>32</v>
      </c>
      <c r="AD93">
        <f t="shared" si="73"/>
        <v>20.740000000000002</v>
      </c>
      <c r="AE93" s="14">
        <f t="shared" ref="AE93:AE111" si="86">IF(I_Channel&lt;((V48_Min-$AD93)*$AD93)/((2*Lm*Fsw)*V48_Min),SQRT((2*I_Channel*Lm*Fsw*$AD93)/(V48_Min*(V48_Min-$AD93))),($AD93/V48_Min))</f>
        <v>0.51850000000000007</v>
      </c>
      <c r="AF93" s="15">
        <f t="shared" ref="AF93:AF111" si="87">IF(I_Channel&lt;((V48_Min-$AD93)*$AD93)/((2*Lm*Fsw)*V48_Min),SQRT((2*I_Channel*Lm*Fsw*$AD93)/(V48_Min*(V48_Min-$AD93)))*((V48_Min-$AD93)/($AD93)),1-($AD93/V48_Min))</f>
        <v>0.48149999999999993</v>
      </c>
      <c r="AG93" s="15">
        <f t="shared" ref="AG93:AG111" si="88">IF(I_Channel&lt;((V48_Min-$AD93)*$AD93)/((2*Lm*Fsw)*V48_Min),(AE93/(Fsw*Lm))*(V48_Min-$AD93),((AE93/(Fsw*Lm))*(V48_Min-$AD93)))</f>
        <v>5.3118670212765959</v>
      </c>
      <c r="AH93" s="16">
        <f t="shared" ref="AH93:AH111" si="89">IF(I_Channel&lt;((V48_Min-$AD93)*$AD93)/((2*Lm*Fsw)*V48_Min),(AE93/(Fsw*Lm))*(V48_Min-$AD93),(AG93/2)+I_Channel)</f>
        <v>52.655933510638299</v>
      </c>
      <c r="AI93" s="14">
        <f t="shared" ref="AI93:AI111" si="90">IF(I_Channel&lt;((V48_Nom-$AD93)*$AD93)/((2*Lm*Fsw)*V48_Nom),SQRT((2*I_Channel*Lm*Fsw*$AD93)/(V48_Nom*(V48_Nom-$AD93))),($AD93/V48_Nom))</f>
        <v>0.41480000000000006</v>
      </c>
      <c r="AJ93" s="15">
        <f t="shared" ref="AJ93:AJ111" si="91">IF(I_Channel&lt;((V48_Nom-$AD93)*$AD93)/((2*Lm*Fsw)*V48_Nom),SQRT((2*I_Channel*Lm*Fsw*$AD93)/(V48_Nom*(V48_Nom-$AD93)))*((V48_Nom-$AD93)/($AD93)),1-($AD93/V48_Nom))</f>
        <v>0.58519999999999994</v>
      </c>
      <c r="AK93" s="15">
        <f t="shared" ref="AK93:AK111" si="92">IF(I_Channel&lt;((V48_Nom-$AD93)*$AD93)/((2*Lm*Fsw)*V48_Nom),(AI93/(Fsw*Lm))*(V48_Nom-$AD93),((AI93/(Fsw*Lm))*(V48_Nom-$AD93)))</f>
        <v>6.4558765957446811</v>
      </c>
      <c r="AL93" s="16">
        <f t="shared" ref="AL93:AL111" si="93">IF(I_Channel&lt;((V48_Nom-$AD93)*$AD93)/((2*Lm*Fsw)*V48_Nom),(AI93/(Fsw*Lm))*(V48_Nom-$AD93),(AK93/2)+I_Channel)</f>
        <v>53.227938297872342</v>
      </c>
      <c r="AM93" s="14">
        <f t="shared" ref="AM93:AM111" si="94">IF(I_Channel&lt;((V48_Max-$AD93)*$AD93)/((2*Lm*Fsw)*V48_Max),SQRT((2*I_Channel*Lm*Fsw*$AD93)/(V48_Max*(V48_Max-$AD93))),($AD93/V48_Max))</f>
        <v>0.29628571428571432</v>
      </c>
      <c r="AN93" s="15">
        <f t="shared" ref="AN93:AN111" si="95">IF(I_Channel&lt;((V48_Max-$AD93)*$AD93)/((2*Lm*Fsw)*V48_Max),SQRT((2*I_Channel*Lm*Fsw*$AD93)/(V48_Max*(V48_Max-$AD93)))*((V48_Max-$AD93)/($AD93)),1-($AD93/V48_Max))</f>
        <v>0.70371428571428574</v>
      </c>
      <c r="AO93" s="15">
        <f t="shared" ref="AO93:AO111" si="96">IF(I_Channel&lt;((V48_Max-$AD93)*$AD93)/((2*Lm*Fsw)*V48_Max),(AM93/(Fsw*Lm))*(V48_Max-$AD93),((AM93/(Fsw*Lm))*(V48_Max-$AD93)))</f>
        <v>7.7633161094224938</v>
      </c>
      <c r="AP93" s="16">
        <f t="shared" ref="AP93:AP111" si="97">IF(I_Channel&lt;((V48_Max-$AD93)*$AD93)/((2*Lm*Fsw)*V48_Max),(AM93/(Fsw*Lm))*(V48_Max-$AD93),(AO93/2)+I_Channel)</f>
        <v>53.881658054711245</v>
      </c>
    </row>
    <row r="94" spans="1:42" ht="15">
      <c r="A94" s="31" t="s">
        <v>166</v>
      </c>
      <c r="B94" s="54">
        <f>Constants!C20*Constants!C18/(B93-Constants!C18)/1000-1</f>
        <v>53.320421728168689</v>
      </c>
      <c r="C94" s="67" t="s">
        <v>104</v>
      </c>
      <c r="N94">
        <v>33</v>
      </c>
      <c r="O94">
        <f t="shared" ref="O94:O111" si="98">((V48_Max-V48_Min)/50)*N94+V48_Min</f>
        <v>59.8</v>
      </c>
      <c r="P94" s="14">
        <f t="shared" si="74"/>
        <v>0.30936454849498329</v>
      </c>
      <c r="Q94" s="15">
        <f t="shared" si="75"/>
        <v>0.69063545150501671</v>
      </c>
      <c r="R94" s="15">
        <f t="shared" si="76"/>
        <v>6.7961467302355381</v>
      </c>
      <c r="S94" s="16">
        <f t="shared" si="77"/>
        <v>53.398073365117767</v>
      </c>
      <c r="T94" s="14">
        <f t="shared" si="78"/>
        <v>0.33444816053511706</v>
      </c>
      <c r="U94" s="15">
        <f t="shared" si="79"/>
        <v>0.66555183946488294</v>
      </c>
      <c r="V94" s="15">
        <f t="shared" si="80"/>
        <v>7.0803387177115207</v>
      </c>
      <c r="W94" s="16">
        <f t="shared" si="81"/>
        <v>53.540169358855763</v>
      </c>
      <c r="X94" s="14">
        <f t="shared" si="82"/>
        <v>0.3678929765886288</v>
      </c>
      <c r="Y94" s="15">
        <f t="shared" si="83"/>
        <v>0.63210702341137126</v>
      </c>
      <c r="Z94" s="15">
        <f t="shared" si="84"/>
        <v>7.3969970824734945</v>
      </c>
      <c r="AA94" s="16">
        <f t="shared" si="85"/>
        <v>53.698498541236745</v>
      </c>
      <c r="AC94">
        <v>33</v>
      </c>
      <c r="AD94">
        <f t="shared" ref="AD94:AD111" si="99">((V12_Max-V12_Min)/50)*AC94+V12_Min</f>
        <v>20.81</v>
      </c>
      <c r="AE94" s="14">
        <f t="shared" si="86"/>
        <v>0.52024999999999999</v>
      </c>
      <c r="AF94" s="15">
        <f t="shared" si="87"/>
        <v>0.47975000000000001</v>
      </c>
      <c r="AG94" s="15">
        <f t="shared" si="88"/>
        <v>5.3104242021276598</v>
      </c>
      <c r="AH94" s="16">
        <f t="shared" si="89"/>
        <v>52.655212101063832</v>
      </c>
      <c r="AI94" s="14">
        <f t="shared" si="90"/>
        <v>0.41619999999999996</v>
      </c>
      <c r="AJ94" s="15">
        <f t="shared" si="91"/>
        <v>0.5838000000000001</v>
      </c>
      <c r="AK94" s="15">
        <f t="shared" si="92"/>
        <v>6.4621691489361694</v>
      </c>
      <c r="AL94" s="16">
        <f t="shared" si="93"/>
        <v>53.231084574468085</v>
      </c>
      <c r="AM94" s="14">
        <f t="shared" si="94"/>
        <v>0.29728571428571426</v>
      </c>
      <c r="AN94" s="15">
        <f t="shared" si="95"/>
        <v>0.70271428571428574</v>
      </c>
      <c r="AO94" s="15">
        <f t="shared" si="96"/>
        <v>7.7784490881458961</v>
      </c>
      <c r="AP94" s="16">
        <f t="shared" si="97"/>
        <v>53.889224544072945</v>
      </c>
    </row>
    <row r="95" spans="1:42" ht="15">
      <c r="A95" s="31" t="s">
        <v>167</v>
      </c>
      <c r="B95" s="49">
        <f>Design_Converter!B87</f>
        <v>54.9</v>
      </c>
      <c r="C95" s="67" t="s">
        <v>104</v>
      </c>
      <c r="N95">
        <v>34</v>
      </c>
      <c r="O95">
        <f t="shared" si="98"/>
        <v>60.4</v>
      </c>
      <c r="P95" s="14">
        <f t="shared" si="74"/>
        <v>0.30629139072847683</v>
      </c>
      <c r="Q95" s="15">
        <f t="shared" si="75"/>
        <v>0.69370860927152322</v>
      </c>
      <c r="R95" s="15">
        <f t="shared" si="76"/>
        <v>6.8263879103846703</v>
      </c>
      <c r="S95" s="16">
        <f t="shared" si="77"/>
        <v>53.413193955192334</v>
      </c>
      <c r="T95" s="14">
        <f t="shared" si="78"/>
        <v>0.33112582781456956</v>
      </c>
      <c r="U95" s="15">
        <f t="shared" si="79"/>
        <v>0.66887417218543044</v>
      </c>
      <c r="V95" s="15">
        <f t="shared" si="80"/>
        <v>7.1156826828237296</v>
      </c>
      <c r="W95" s="16">
        <f t="shared" si="81"/>
        <v>53.557841341411866</v>
      </c>
      <c r="X95" s="14">
        <f t="shared" si="82"/>
        <v>0.36423841059602652</v>
      </c>
      <c r="Y95" s="15">
        <f t="shared" si="83"/>
        <v>0.63576158940397343</v>
      </c>
      <c r="Z95" s="15">
        <f t="shared" si="84"/>
        <v>7.4397632802592648</v>
      </c>
      <c r="AA95" s="16">
        <f t="shared" si="85"/>
        <v>53.719881640129636</v>
      </c>
      <c r="AC95">
        <v>34</v>
      </c>
      <c r="AD95">
        <f t="shared" si="99"/>
        <v>20.88</v>
      </c>
      <c r="AE95" s="14">
        <f t="shared" si="86"/>
        <v>0.52200000000000002</v>
      </c>
      <c r="AF95" s="15">
        <f t="shared" si="87"/>
        <v>0.47799999999999998</v>
      </c>
      <c r="AG95" s="15">
        <f t="shared" si="88"/>
        <v>5.3088510638297883</v>
      </c>
      <c r="AH95" s="16">
        <f t="shared" si="89"/>
        <v>52.654425531914896</v>
      </c>
      <c r="AI95" s="14">
        <f t="shared" si="90"/>
        <v>0.41759999999999997</v>
      </c>
      <c r="AJ95" s="15">
        <f t="shared" si="91"/>
        <v>0.58240000000000003</v>
      </c>
      <c r="AK95" s="15">
        <f t="shared" si="92"/>
        <v>6.4683574468085112</v>
      </c>
      <c r="AL95" s="16">
        <f t="shared" si="93"/>
        <v>53.234178723404256</v>
      </c>
      <c r="AM95" s="14">
        <f t="shared" si="94"/>
        <v>0.29828571428571427</v>
      </c>
      <c r="AN95" s="15">
        <f t="shared" si="95"/>
        <v>0.70171428571428573</v>
      </c>
      <c r="AO95" s="15">
        <f t="shared" si="96"/>
        <v>7.7935075987841955</v>
      </c>
      <c r="AP95" s="16">
        <f t="shared" si="97"/>
        <v>53.896753799392101</v>
      </c>
    </row>
    <row r="96" spans="1:42" ht="15">
      <c r="A96" s="31" t="s">
        <v>168</v>
      </c>
      <c r="B96" s="54">
        <f>(Constants!C18*(Constants!C20+(Calculations!B95*1000)))/(Calculations!B95*1000)</f>
        <v>22.769699453551912</v>
      </c>
      <c r="C96" s="67" t="s">
        <v>1</v>
      </c>
      <c r="N96">
        <v>35</v>
      </c>
      <c r="O96">
        <f t="shared" si="98"/>
        <v>61</v>
      </c>
      <c r="P96" s="14">
        <f t="shared" si="74"/>
        <v>0.30327868852459017</v>
      </c>
      <c r="Q96" s="15">
        <f t="shared" si="75"/>
        <v>0.69672131147540983</v>
      </c>
      <c r="R96" s="15">
        <f t="shared" si="76"/>
        <v>6.8560341820718529</v>
      </c>
      <c r="S96" s="16">
        <f t="shared" si="77"/>
        <v>53.428017091035926</v>
      </c>
      <c r="T96" s="14">
        <f t="shared" si="78"/>
        <v>0.32786885245901637</v>
      </c>
      <c r="U96" s="15">
        <f t="shared" si="79"/>
        <v>0.67213114754098369</v>
      </c>
      <c r="V96" s="15">
        <f t="shared" si="80"/>
        <v>7.1503313568189748</v>
      </c>
      <c r="W96" s="16">
        <f t="shared" si="81"/>
        <v>53.575165678409491</v>
      </c>
      <c r="X96" s="14">
        <f t="shared" si="82"/>
        <v>0.36065573770491804</v>
      </c>
      <c r="Y96" s="15">
        <f t="shared" si="83"/>
        <v>0.63934426229508201</v>
      </c>
      <c r="Z96" s="15">
        <f t="shared" si="84"/>
        <v>7.4816881757935132</v>
      </c>
      <c r="AA96" s="16">
        <f t="shared" si="85"/>
        <v>53.740844087896754</v>
      </c>
      <c r="AC96">
        <v>35</v>
      </c>
      <c r="AD96">
        <f t="shared" si="99"/>
        <v>20.95</v>
      </c>
      <c r="AE96" s="14">
        <f t="shared" si="86"/>
        <v>0.52374999999999994</v>
      </c>
      <c r="AF96" s="15">
        <f t="shared" si="87"/>
        <v>0.47625000000000006</v>
      </c>
      <c r="AG96" s="15">
        <f t="shared" si="88"/>
        <v>5.307147606382979</v>
      </c>
      <c r="AH96" s="16">
        <f t="shared" si="89"/>
        <v>52.653573803191492</v>
      </c>
      <c r="AI96" s="14">
        <f t="shared" si="90"/>
        <v>0.41899999999999998</v>
      </c>
      <c r="AJ96" s="15">
        <f t="shared" si="91"/>
        <v>0.58099999999999996</v>
      </c>
      <c r="AK96" s="15">
        <f t="shared" si="92"/>
        <v>6.4744414893617019</v>
      </c>
      <c r="AL96" s="16">
        <f t="shared" si="93"/>
        <v>53.237220744680855</v>
      </c>
      <c r="AM96" s="14">
        <f t="shared" si="94"/>
        <v>0.29928571428571427</v>
      </c>
      <c r="AN96" s="15">
        <f t="shared" si="95"/>
        <v>0.70071428571428573</v>
      </c>
      <c r="AO96" s="15">
        <f t="shared" si="96"/>
        <v>7.808491641337385</v>
      </c>
      <c r="AP96" s="16">
        <f t="shared" si="97"/>
        <v>53.904245820668692</v>
      </c>
    </row>
    <row r="97" spans="1:42">
      <c r="N97">
        <v>36</v>
      </c>
      <c r="O97">
        <f t="shared" si="98"/>
        <v>61.599999999999994</v>
      </c>
      <c r="P97" s="14">
        <f t="shared" si="74"/>
        <v>0.30032467532467533</v>
      </c>
      <c r="Q97" s="15">
        <f t="shared" si="75"/>
        <v>0.69967532467532467</v>
      </c>
      <c r="R97" s="15">
        <f t="shared" si="76"/>
        <v>6.8851029289859076</v>
      </c>
      <c r="S97" s="16">
        <f t="shared" si="77"/>
        <v>53.442551464492951</v>
      </c>
      <c r="T97" s="14">
        <f t="shared" si="78"/>
        <v>0.32467532467532473</v>
      </c>
      <c r="U97" s="15">
        <f t="shared" si="79"/>
        <v>0.67532467532467533</v>
      </c>
      <c r="V97" s="15">
        <f t="shared" si="80"/>
        <v>7.1843050566454822</v>
      </c>
      <c r="W97" s="16">
        <f t="shared" si="81"/>
        <v>53.592152528322742</v>
      </c>
      <c r="X97" s="14">
        <f t="shared" si="82"/>
        <v>0.35714285714285715</v>
      </c>
      <c r="Y97" s="15">
        <f t="shared" si="83"/>
        <v>0.64285714285714279</v>
      </c>
      <c r="Z97" s="15">
        <f t="shared" si="84"/>
        <v>7.5227963525835859</v>
      </c>
      <c r="AA97" s="16">
        <f t="shared" si="85"/>
        <v>53.761398176291792</v>
      </c>
      <c r="AC97">
        <v>36</v>
      </c>
      <c r="AD97">
        <f t="shared" si="99"/>
        <v>21.02</v>
      </c>
      <c r="AE97" s="14">
        <f t="shared" si="86"/>
        <v>0.52549999999999997</v>
      </c>
      <c r="AF97" s="15">
        <f t="shared" si="87"/>
        <v>0.47450000000000003</v>
      </c>
      <c r="AG97" s="15">
        <f t="shared" si="88"/>
        <v>5.3053138297872335</v>
      </c>
      <c r="AH97" s="16">
        <f t="shared" si="89"/>
        <v>52.652656914893619</v>
      </c>
      <c r="AI97" s="14">
        <f t="shared" si="90"/>
        <v>0.4204</v>
      </c>
      <c r="AJ97" s="15">
        <f t="shared" si="91"/>
        <v>0.5796</v>
      </c>
      <c r="AK97" s="15">
        <f t="shared" si="92"/>
        <v>6.4804212765957452</v>
      </c>
      <c r="AL97" s="16">
        <f t="shared" si="93"/>
        <v>53.240210638297874</v>
      </c>
      <c r="AM97" s="14">
        <f t="shared" si="94"/>
        <v>0.30028571428571427</v>
      </c>
      <c r="AN97" s="15">
        <f t="shared" si="95"/>
        <v>0.69971428571428573</v>
      </c>
      <c r="AO97" s="15">
        <f t="shared" si="96"/>
        <v>7.8234012158054727</v>
      </c>
      <c r="AP97" s="16">
        <f t="shared" si="97"/>
        <v>53.911700607902738</v>
      </c>
    </row>
    <row r="98" spans="1:42">
      <c r="A98" s="32" t="s">
        <v>169</v>
      </c>
      <c r="B98" s="53"/>
      <c r="C98" s="31"/>
      <c r="N98">
        <v>37</v>
      </c>
      <c r="O98">
        <f t="shared" si="98"/>
        <v>62.2</v>
      </c>
      <c r="P98" s="14">
        <f t="shared" si="74"/>
        <v>0.29742765273311894</v>
      </c>
      <c r="Q98" s="15">
        <f t="shared" si="75"/>
        <v>0.702572347266881</v>
      </c>
      <c r="R98" s="15">
        <f t="shared" si="76"/>
        <v>6.9136108640623934</v>
      </c>
      <c r="S98" s="16">
        <f t="shared" si="77"/>
        <v>53.456805432031196</v>
      </c>
      <c r="T98" s="14">
        <f t="shared" si="78"/>
        <v>0.32154340836012862</v>
      </c>
      <c r="U98" s="15">
        <f t="shared" si="79"/>
        <v>0.67845659163987138</v>
      </c>
      <c r="V98" s="15">
        <f t="shared" si="80"/>
        <v>7.2176233153177813</v>
      </c>
      <c r="W98" s="16">
        <f t="shared" si="81"/>
        <v>53.60881165765889</v>
      </c>
      <c r="X98" s="14">
        <f t="shared" si="82"/>
        <v>0.35369774919614144</v>
      </c>
      <c r="Y98" s="15">
        <f t="shared" si="83"/>
        <v>0.6463022508038585</v>
      </c>
      <c r="Z98" s="15">
        <f t="shared" si="84"/>
        <v>7.5631114455770678</v>
      </c>
      <c r="AA98" s="16">
        <f t="shared" si="85"/>
        <v>53.781555722788532</v>
      </c>
      <c r="AC98">
        <v>37</v>
      </c>
      <c r="AD98">
        <f t="shared" si="99"/>
        <v>21.09</v>
      </c>
      <c r="AE98" s="14">
        <f t="shared" si="86"/>
        <v>0.52725</v>
      </c>
      <c r="AF98" s="15">
        <f t="shared" si="87"/>
        <v>0.47275</v>
      </c>
      <c r="AG98" s="15">
        <f t="shared" si="88"/>
        <v>5.3033497340425537</v>
      </c>
      <c r="AH98" s="16">
        <f t="shared" si="89"/>
        <v>52.651674867021278</v>
      </c>
      <c r="AI98" s="14">
        <f t="shared" si="90"/>
        <v>0.42180000000000001</v>
      </c>
      <c r="AJ98" s="15">
        <f t="shared" si="91"/>
        <v>0.57820000000000005</v>
      </c>
      <c r="AK98" s="15">
        <f t="shared" si="92"/>
        <v>6.4862968085106392</v>
      </c>
      <c r="AL98" s="16">
        <f t="shared" si="93"/>
        <v>53.243148404255322</v>
      </c>
      <c r="AM98" s="14">
        <f t="shared" si="94"/>
        <v>0.30128571428571427</v>
      </c>
      <c r="AN98" s="15">
        <f t="shared" si="95"/>
        <v>0.69871428571428573</v>
      </c>
      <c r="AO98" s="15">
        <f t="shared" si="96"/>
        <v>7.8382363221884495</v>
      </c>
      <c r="AP98" s="16">
        <f t="shared" si="97"/>
        <v>53.919118161094225</v>
      </c>
    </row>
    <row r="99" spans="1:42">
      <c r="A99" s="31" t="s">
        <v>170</v>
      </c>
      <c r="B99" s="49">
        <f>IF(Design_Converter!B93=Lists!A2,0,1)</f>
        <v>1</v>
      </c>
      <c r="C99" s="31"/>
      <c r="E99" s="34" t="s">
        <v>220</v>
      </c>
      <c r="N99">
        <v>38</v>
      </c>
      <c r="O99">
        <f t="shared" si="98"/>
        <v>62.8</v>
      </c>
      <c r="P99" s="14">
        <f t="shared" si="74"/>
        <v>0.29458598726114649</v>
      </c>
      <c r="Q99" s="15">
        <f t="shared" si="75"/>
        <v>0.70541401273885351</v>
      </c>
      <c r="R99" s="15">
        <f t="shared" si="76"/>
        <v>6.9415740615259516</v>
      </c>
      <c r="S99" s="16">
        <f t="shared" si="77"/>
        <v>53.470787030762978</v>
      </c>
      <c r="T99" s="14">
        <f t="shared" si="78"/>
        <v>0.31847133757961787</v>
      </c>
      <c r="U99" s="15">
        <f t="shared" si="79"/>
        <v>0.68152866242038213</v>
      </c>
      <c r="V99" s="15">
        <f t="shared" si="80"/>
        <v>7.2503049193657683</v>
      </c>
      <c r="W99" s="16">
        <f t="shared" si="81"/>
        <v>53.625152459682887</v>
      </c>
      <c r="X99" s="14">
        <f t="shared" si="82"/>
        <v>0.35031847133757965</v>
      </c>
      <c r="Y99" s="15">
        <f t="shared" si="83"/>
        <v>0.64968152866242035</v>
      </c>
      <c r="Z99" s="15">
        <f t="shared" si="84"/>
        <v>7.6026561864751336</v>
      </c>
      <c r="AA99" s="16">
        <f t="shared" si="85"/>
        <v>53.801328093237565</v>
      </c>
      <c r="AC99">
        <v>38</v>
      </c>
      <c r="AD99">
        <f t="shared" si="99"/>
        <v>21.16</v>
      </c>
      <c r="AE99" s="14">
        <f t="shared" si="86"/>
        <v>0.52900000000000003</v>
      </c>
      <c r="AF99" s="15">
        <f t="shared" si="87"/>
        <v>0.47099999999999997</v>
      </c>
      <c r="AG99" s="15">
        <f t="shared" si="88"/>
        <v>5.3012553191489369</v>
      </c>
      <c r="AH99" s="16">
        <f t="shared" si="89"/>
        <v>52.650627659574468</v>
      </c>
      <c r="AI99" s="14">
        <f t="shared" si="90"/>
        <v>0.42320000000000002</v>
      </c>
      <c r="AJ99" s="15">
        <f t="shared" si="91"/>
        <v>0.57679999999999998</v>
      </c>
      <c r="AK99" s="15">
        <f t="shared" si="92"/>
        <v>6.4920680851063839</v>
      </c>
      <c r="AL99" s="16">
        <f t="shared" si="93"/>
        <v>53.246034042553191</v>
      </c>
      <c r="AM99" s="14">
        <f t="shared" si="94"/>
        <v>0.30228571428571427</v>
      </c>
      <c r="AN99" s="15">
        <f t="shared" si="95"/>
        <v>0.69771428571428573</v>
      </c>
      <c r="AO99" s="15">
        <f t="shared" si="96"/>
        <v>7.8529969604863217</v>
      </c>
      <c r="AP99" s="16">
        <f t="shared" si="97"/>
        <v>53.926498480243161</v>
      </c>
    </row>
    <row r="100" spans="1:42">
      <c r="A100" s="31" t="s">
        <v>174</v>
      </c>
      <c r="B100" s="49">
        <f>Design_Converter!B94</f>
        <v>24</v>
      </c>
      <c r="C100" s="31" t="s">
        <v>1</v>
      </c>
      <c r="N100">
        <v>39</v>
      </c>
      <c r="O100">
        <f t="shared" si="98"/>
        <v>63.4</v>
      </c>
      <c r="P100" s="14">
        <f t="shared" si="74"/>
        <v>0.29179810725552052</v>
      </c>
      <c r="Q100" s="15">
        <f t="shared" si="75"/>
        <v>0.70820189274447953</v>
      </c>
      <c r="R100" s="15">
        <f t="shared" si="76"/>
        <v>6.9690079871132298</v>
      </c>
      <c r="S100" s="16">
        <f t="shared" si="77"/>
        <v>53.484503993556615</v>
      </c>
      <c r="T100" s="14">
        <f t="shared" si="78"/>
        <v>0.31545741324921134</v>
      </c>
      <c r="U100" s="15">
        <f t="shared" si="79"/>
        <v>0.68454258675078861</v>
      </c>
      <c r="V100" s="15">
        <f t="shared" si="80"/>
        <v>7.2823679441573255</v>
      </c>
      <c r="W100" s="16">
        <f t="shared" si="81"/>
        <v>53.641183972078665</v>
      </c>
      <c r="X100" s="14">
        <f t="shared" si="82"/>
        <v>0.3470031545741325</v>
      </c>
      <c r="Y100" s="15">
        <f t="shared" si="83"/>
        <v>0.65299684542586744</v>
      </c>
      <c r="Z100" s="15">
        <f t="shared" si="84"/>
        <v>7.6414524464729183</v>
      </c>
      <c r="AA100" s="16">
        <f t="shared" si="85"/>
        <v>53.820726223236463</v>
      </c>
      <c r="AC100">
        <v>39</v>
      </c>
      <c r="AD100">
        <f t="shared" si="99"/>
        <v>21.23</v>
      </c>
      <c r="AE100" s="14">
        <f t="shared" si="86"/>
        <v>0.53075000000000006</v>
      </c>
      <c r="AF100" s="15">
        <f t="shared" si="87"/>
        <v>0.46924999999999994</v>
      </c>
      <c r="AG100" s="15">
        <f t="shared" si="88"/>
        <v>5.299030585106383</v>
      </c>
      <c r="AH100" s="16">
        <f t="shared" si="89"/>
        <v>52.64951529255319</v>
      </c>
      <c r="AI100" s="14">
        <f t="shared" si="90"/>
        <v>0.42460000000000003</v>
      </c>
      <c r="AJ100" s="15">
        <f t="shared" si="91"/>
        <v>0.57539999999999991</v>
      </c>
      <c r="AK100" s="15">
        <f t="shared" si="92"/>
        <v>6.4977351063829794</v>
      </c>
      <c r="AL100" s="16">
        <f t="shared" si="93"/>
        <v>53.248867553191488</v>
      </c>
      <c r="AM100" s="14">
        <f t="shared" si="94"/>
        <v>0.30328571428571427</v>
      </c>
      <c r="AN100" s="15">
        <f t="shared" si="95"/>
        <v>0.69671428571428573</v>
      </c>
      <c r="AO100" s="15">
        <f t="shared" si="96"/>
        <v>7.8676831306990875</v>
      </c>
      <c r="AP100" s="16">
        <f t="shared" si="97"/>
        <v>53.933841565349546</v>
      </c>
    </row>
    <row r="101" spans="1:42" ht="15">
      <c r="A101" s="31" t="s">
        <v>175</v>
      </c>
      <c r="B101" s="49">
        <f>Design_Converter!B95</f>
        <v>10</v>
      </c>
      <c r="C101" s="67" t="s">
        <v>104</v>
      </c>
      <c r="N101">
        <v>40</v>
      </c>
      <c r="O101">
        <f t="shared" si="98"/>
        <v>64</v>
      </c>
      <c r="P101" s="14">
        <f t="shared" si="74"/>
        <v>0.2890625</v>
      </c>
      <c r="Q101" s="15">
        <f t="shared" si="75"/>
        <v>0.7109375</v>
      </c>
      <c r="R101" s="15">
        <f t="shared" si="76"/>
        <v>6.9959275265957448</v>
      </c>
      <c r="S101" s="16">
        <f t="shared" si="77"/>
        <v>53.497963763297875</v>
      </c>
      <c r="T101" s="14">
        <f t="shared" si="78"/>
        <v>0.3125</v>
      </c>
      <c r="U101" s="15">
        <f t="shared" si="79"/>
        <v>0.6875</v>
      </c>
      <c r="V101" s="15">
        <f t="shared" si="80"/>
        <v>7.3138297872340425</v>
      </c>
      <c r="W101" s="16">
        <f t="shared" si="81"/>
        <v>53.656914893617021</v>
      </c>
      <c r="X101" s="14">
        <f t="shared" si="82"/>
        <v>0.34375</v>
      </c>
      <c r="Y101" s="15">
        <f t="shared" si="83"/>
        <v>0.65625</v>
      </c>
      <c r="Z101" s="15">
        <f t="shared" si="84"/>
        <v>7.6795212765957448</v>
      </c>
      <c r="AA101" s="16">
        <f t="shared" si="85"/>
        <v>53.839760638297875</v>
      </c>
      <c r="AC101">
        <v>40</v>
      </c>
      <c r="AD101">
        <f t="shared" si="99"/>
        <v>21.3</v>
      </c>
      <c r="AE101" s="14">
        <f t="shared" si="86"/>
        <v>0.53249999999999997</v>
      </c>
      <c r="AF101" s="15">
        <f t="shared" si="87"/>
        <v>0.46750000000000003</v>
      </c>
      <c r="AG101" s="15">
        <f t="shared" si="88"/>
        <v>5.2966755319148939</v>
      </c>
      <c r="AH101" s="16">
        <f t="shared" si="89"/>
        <v>52.64833776595745</v>
      </c>
      <c r="AI101" s="14">
        <f t="shared" si="90"/>
        <v>0.42599999999999999</v>
      </c>
      <c r="AJ101" s="15">
        <f t="shared" si="91"/>
        <v>0.57400000000000007</v>
      </c>
      <c r="AK101" s="15">
        <f t="shared" si="92"/>
        <v>6.5032978723404256</v>
      </c>
      <c r="AL101" s="16">
        <f t="shared" si="93"/>
        <v>53.251648936170213</v>
      </c>
      <c r="AM101" s="14">
        <f t="shared" si="94"/>
        <v>0.30428571428571427</v>
      </c>
      <c r="AN101" s="15">
        <f t="shared" si="95"/>
        <v>0.69571428571428573</v>
      </c>
      <c r="AO101" s="15">
        <f t="shared" si="96"/>
        <v>7.8822948328267479</v>
      </c>
      <c r="AP101" s="16">
        <f t="shared" si="97"/>
        <v>53.941147416413372</v>
      </c>
    </row>
    <row r="102" spans="1:42" ht="15">
      <c r="A102" s="31" t="s">
        <v>176</v>
      </c>
      <c r="B102" s="53">
        <f>((B100-Constants!C11)/(Constants!C11))*B101</f>
        <v>86</v>
      </c>
      <c r="C102" s="67" t="s">
        <v>104</v>
      </c>
      <c r="N102">
        <v>41</v>
      </c>
      <c r="O102">
        <f t="shared" si="98"/>
        <v>64.599999999999994</v>
      </c>
      <c r="P102" s="14">
        <f t="shared" si="74"/>
        <v>0.2863777089783282</v>
      </c>
      <c r="Q102" s="15">
        <f t="shared" si="75"/>
        <v>0.71362229102167185</v>
      </c>
      <c r="R102" s="15">
        <f t="shared" si="76"/>
        <v>7.0223470127132606</v>
      </c>
      <c r="S102" s="16">
        <f t="shared" si="77"/>
        <v>53.511173506356627</v>
      </c>
      <c r="T102" s="14">
        <f t="shared" si="78"/>
        <v>0.30959752321981426</v>
      </c>
      <c r="U102" s="15">
        <f t="shared" si="79"/>
        <v>0.69040247678018574</v>
      </c>
      <c r="V102" s="15">
        <f t="shared" si="80"/>
        <v>7.3447071997892106</v>
      </c>
      <c r="W102" s="16">
        <f t="shared" si="81"/>
        <v>53.672353599894606</v>
      </c>
      <c r="X102" s="14">
        <f t="shared" si="82"/>
        <v>0.34055727554179571</v>
      </c>
      <c r="Y102" s="15">
        <f t="shared" si="83"/>
        <v>0.65944272445820429</v>
      </c>
      <c r="Z102" s="15">
        <f t="shared" si="84"/>
        <v>7.7168829457874981</v>
      </c>
      <c r="AA102" s="16">
        <f t="shared" si="85"/>
        <v>53.858441472893752</v>
      </c>
      <c r="AC102">
        <v>41</v>
      </c>
      <c r="AD102">
        <f t="shared" si="99"/>
        <v>21.37</v>
      </c>
      <c r="AE102" s="14">
        <f t="shared" si="86"/>
        <v>0.53425</v>
      </c>
      <c r="AF102" s="15">
        <f t="shared" si="87"/>
        <v>0.46575</v>
      </c>
      <c r="AG102" s="15">
        <f t="shared" si="88"/>
        <v>5.2941901595744687</v>
      </c>
      <c r="AH102" s="16">
        <f t="shared" si="89"/>
        <v>52.647095079787235</v>
      </c>
      <c r="AI102" s="14">
        <f t="shared" si="90"/>
        <v>0.4274</v>
      </c>
      <c r="AJ102" s="15">
        <f t="shared" si="91"/>
        <v>0.5726</v>
      </c>
      <c r="AK102" s="15">
        <f t="shared" si="92"/>
        <v>6.5087563829787234</v>
      </c>
      <c r="AL102" s="16">
        <f t="shared" si="93"/>
        <v>53.254378191489359</v>
      </c>
      <c r="AM102" s="14">
        <f t="shared" si="94"/>
        <v>0.30528571428571433</v>
      </c>
      <c r="AN102" s="15">
        <f t="shared" si="95"/>
        <v>0.69471428571428562</v>
      </c>
      <c r="AO102" s="15">
        <f t="shared" si="96"/>
        <v>7.8968320668693019</v>
      </c>
      <c r="AP102" s="16">
        <f t="shared" si="97"/>
        <v>53.948416033434654</v>
      </c>
    </row>
    <row r="103" spans="1:42" ht="15">
      <c r="A103" s="31" t="s">
        <v>177</v>
      </c>
      <c r="B103" s="49">
        <f>Design_Converter!B97</f>
        <v>86.6</v>
      </c>
      <c r="C103" s="67" t="s">
        <v>104</v>
      </c>
      <c r="N103">
        <v>42</v>
      </c>
      <c r="O103">
        <f t="shared" si="98"/>
        <v>65.2</v>
      </c>
      <c r="P103" s="14">
        <f t="shared" si="74"/>
        <v>0.28374233128834353</v>
      </c>
      <c r="Q103" s="15">
        <f t="shared" si="75"/>
        <v>0.71625766871165641</v>
      </c>
      <c r="R103" s="15">
        <f t="shared" si="76"/>
        <v>7.0482802506200235</v>
      </c>
      <c r="S103" s="16">
        <f t="shared" si="77"/>
        <v>53.524140125310012</v>
      </c>
      <c r="T103" s="14">
        <f t="shared" si="78"/>
        <v>0.30674846625766872</v>
      </c>
      <c r="U103" s="15">
        <f t="shared" si="79"/>
        <v>0.69325153374233128</v>
      </c>
      <c r="V103" s="15">
        <f t="shared" si="80"/>
        <v>7.3750163164077804</v>
      </c>
      <c r="W103" s="16">
        <f t="shared" si="81"/>
        <v>53.68750815820389</v>
      </c>
      <c r="X103" s="14">
        <f t="shared" si="82"/>
        <v>0.33742331288343558</v>
      </c>
      <c r="Y103" s="15">
        <f t="shared" si="83"/>
        <v>0.66257668711656437</v>
      </c>
      <c r="Z103" s="15">
        <f t="shared" si="84"/>
        <v>7.7535569768959673</v>
      </c>
      <c r="AA103" s="16">
        <f t="shared" si="85"/>
        <v>53.876778488447982</v>
      </c>
      <c r="AC103">
        <v>42</v>
      </c>
      <c r="AD103">
        <f t="shared" si="99"/>
        <v>21.44</v>
      </c>
      <c r="AE103" s="14">
        <f t="shared" si="86"/>
        <v>0.53600000000000003</v>
      </c>
      <c r="AF103" s="15">
        <f t="shared" si="87"/>
        <v>0.46399999999999997</v>
      </c>
      <c r="AG103" s="15">
        <f t="shared" si="88"/>
        <v>5.2915744680851065</v>
      </c>
      <c r="AH103" s="16">
        <f t="shared" si="89"/>
        <v>52.645787234042551</v>
      </c>
      <c r="AI103" s="14">
        <f t="shared" si="90"/>
        <v>0.42880000000000001</v>
      </c>
      <c r="AJ103" s="15">
        <f t="shared" si="91"/>
        <v>0.57119999999999993</v>
      </c>
      <c r="AK103" s="15">
        <f t="shared" si="92"/>
        <v>6.5141106382978728</v>
      </c>
      <c r="AL103" s="16">
        <f t="shared" si="93"/>
        <v>53.25705531914894</v>
      </c>
      <c r="AM103" s="14">
        <f t="shared" si="94"/>
        <v>0.30628571428571433</v>
      </c>
      <c r="AN103" s="15">
        <f t="shared" si="95"/>
        <v>0.69371428571428573</v>
      </c>
      <c r="AO103" s="15">
        <f t="shared" si="96"/>
        <v>7.9112948328267505</v>
      </c>
      <c r="AP103" s="16">
        <f t="shared" si="97"/>
        <v>53.955647416413377</v>
      </c>
    </row>
    <row r="104" spans="1:42">
      <c r="A104" s="31" t="s">
        <v>240</v>
      </c>
      <c r="B104" s="49">
        <f>IF(Design_Converter!B98=Lists!C2,0,1)</f>
        <v>0</v>
      </c>
      <c r="C104" s="31"/>
      <c r="E104" s="34" t="s">
        <v>239</v>
      </c>
      <c r="N104">
        <v>43</v>
      </c>
      <c r="O104">
        <f t="shared" si="98"/>
        <v>65.8</v>
      </c>
      <c r="P104" s="14">
        <f t="shared" si="74"/>
        <v>0.28115501519756841</v>
      </c>
      <c r="Q104" s="15">
        <f t="shared" si="75"/>
        <v>0.71884498480243164</v>
      </c>
      <c r="R104" s="15">
        <f t="shared" si="76"/>
        <v>7.0737405419388217</v>
      </c>
      <c r="S104" s="16">
        <f t="shared" si="77"/>
        <v>53.536870270969409</v>
      </c>
      <c r="T104" s="14">
        <f t="shared" si="78"/>
        <v>0.303951367781155</v>
      </c>
      <c r="U104" s="15">
        <f t="shared" si="79"/>
        <v>0.69604863221884505</v>
      </c>
      <c r="V104" s="15">
        <f t="shared" si="80"/>
        <v>7.4047726831792016</v>
      </c>
      <c r="W104" s="16">
        <f t="shared" si="81"/>
        <v>53.702386341589602</v>
      </c>
      <c r="X104" s="14">
        <f t="shared" si="82"/>
        <v>0.33434650455927051</v>
      </c>
      <c r="Y104" s="15">
        <f t="shared" si="83"/>
        <v>0.66565349544072949</v>
      </c>
      <c r="Z104" s="15">
        <f t="shared" si="84"/>
        <v>7.789562180689388</v>
      </c>
      <c r="AA104" s="16">
        <f t="shared" si="85"/>
        <v>53.894781090344694</v>
      </c>
      <c r="AC104">
        <v>43</v>
      </c>
      <c r="AD104">
        <f t="shared" si="99"/>
        <v>21.51</v>
      </c>
      <c r="AE104" s="14">
        <f t="shared" si="86"/>
        <v>0.53775000000000006</v>
      </c>
      <c r="AF104" s="15">
        <f t="shared" si="87"/>
        <v>0.46224999999999994</v>
      </c>
      <c r="AG104" s="15">
        <f t="shared" si="88"/>
        <v>5.2888284574468098</v>
      </c>
      <c r="AH104" s="16">
        <f t="shared" si="89"/>
        <v>52.644414228723406</v>
      </c>
      <c r="AI104" s="14">
        <f t="shared" si="90"/>
        <v>0.43020000000000003</v>
      </c>
      <c r="AJ104" s="15">
        <f t="shared" si="91"/>
        <v>0.56979999999999997</v>
      </c>
      <c r="AK104" s="15">
        <f t="shared" si="92"/>
        <v>6.5193606382978722</v>
      </c>
      <c r="AL104" s="16">
        <f t="shared" si="93"/>
        <v>53.259680319148934</v>
      </c>
      <c r="AM104" s="14">
        <f t="shared" si="94"/>
        <v>0.30728571428571433</v>
      </c>
      <c r="AN104" s="15">
        <f t="shared" si="95"/>
        <v>0.69271428571428562</v>
      </c>
      <c r="AO104" s="15">
        <f t="shared" si="96"/>
        <v>7.9256831306990891</v>
      </c>
      <c r="AP104" s="16">
        <f t="shared" si="97"/>
        <v>53.962841565349542</v>
      </c>
    </row>
    <row r="105" spans="1:42">
      <c r="A105" s="31" t="s">
        <v>242</v>
      </c>
      <c r="B105" s="49">
        <f>Design_Converter!B99</f>
        <v>2.4</v>
      </c>
      <c r="C105" s="31" t="s">
        <v>1</v>
      </c>
      <c r="N105">
        <v>44</v>
      </c>
      <c r="O105">
        <f t="shared" si="98"/>
        <v>66.400000000000006</v>
      </c>
      <c r="P105" s="14">
        <f t="shared" si="74"/>
        <v>0.27861445783132527</v>
      </c>
      <c r="Q105" s="15">
        <f t="shared" si="75"/>
        <v>0.72138554216867479</v>
      </c>
      <c r="R105" s="15">
        <f t="shared" si="76"/>
        <v>7.0987407075108955</v>
      </c>
      <c r="S105" s="16">
        <f t="shared" si="77"/>
        <v>53.54937035375545</v>
      </c>
      <c r="T105" s="14">
        <f t="shared" si="78"/>
        <v>0.3012048192771084</v>
      </c>
      <c r="U105" s="15">
        <f t="shared" si="79"/>
        <v>0.6987951807228916</v>
      </c>
      <c r="V105" s="15">
        <f t="shared" si="80"/>
        <v>7.4339912842860807</v>
      </c>
      <c r="W105" s="16">
        <f t="shared" si="81"/>
        <v>53.71699564214304</v>
      </c>
      <c r="X105" s="14">
        <f t="shared" si="82"/>
        <v>0.33132530120481923</v>
      </c>
      <c r="Y105" s="15">
        <f t="shared" si="83"/>
        <v>0.66867469879518082</v>
      </c>
      <c r="Z105" s="15">
        <f t="shared" si="84"/>
        <v>7.8249166880287113</v>
      </c>
      <c r="AA105" s="16">
        <f t="shared" si="85"/>
        <v>53.912458344014354</v>
      </c>
      <c r="AC105">
        <v>44</v>
      </c>
      <c r="AD105">
        <f t="shared" si="99"/>
        <v>21.58</v>
      </c>
      <c r="AE105" s="14">
        <f t="shared" si="86"/>
        <v>0.53949999999999998</v>
      </c>
      <c r="AF105" s="15">
        <f t="shared" si="87"/>
        <v>0.46050000000000002</v>
      </c>
      <c r="AG105" s="15">
        <f t="shared" si="88"/>
        <v>5.2859521276595753</v>
      </c>
      <c r="AH105" s="16">
        <f t="shared" si="89"/>
        <v>52.642976063829785</v>
      </c>
      <c r="AI105" s="14">
        <f t="shared" si="90"/>
        <v>0.43159999999999998</v>
      </c>
      <c r="AJ105" s="15">
        <f t="shared" si="91"/>
        <v>0.56840000000000002</v>
      </c>
      <c r="AK105" s="15">
        <f t="shared" si="92"/>
        <v>6.524506382978724</v>
      </c>
      <c r="AL105" s="16">
        <f t="shared" si="93"/>
        <v>53.262253191489364</v>
      </c>
      <c r="AM105" s="14">
        <f t="shared" si="94"/>
        <v>0.30828571428571427</v>
      </c>
      <c r="AN105" s="15">
        <f t="shared" si="95"/>
        <v>0.69171428571428573</v>
      </c>
      <c r="AO105" s="15">
        <f t="shared" si="96"/>
        <v>7.9399969604863223</v>
      </c>
      <c r="AP105" s="16">
        <f t="shared" si="97"/>
        <v>53.969998480243163</v>
      </c>
    </row>
    <row r="106" spans="1:42" ht="15">
      <c r="A106" s="31" t="s">
        <v>243</v>
      </c>
      <c r="B106" s="63">
        <f>((B105/Constants!C13)-(B103*1000))/(1+(B103/B101))/1000</f>
        <v>0.97308488612836441</v>
      </c>
      <c r="C106" s="67" t="s">
        <v>104</v>
      </c>
      <c r="N106">
        <v>45</v>
      </c>
      <c r="O106">
        <f t="shared" si="98"/>
        <v>67</v>
      </c>
      <c r="P106" s="14">
        <f t="shared" si="74"/>
        <v>0.27611940298507465</v>
      </c>
      <c r="Q106" s="15">
        <f t="shared" si="75"/>
        <v>0.72388059701492535</v>
      </c>
      <c r="R106" s="15">
        <f t="shared" si="76"/>
        <v>7.1232931089234679</v>
      </c>
      <c r="S106" s="16">
        <f t="shared" si="77"/>
        <v>53.561646554461731</v>
      </c>
      <c r="T106" s="14">
        <f t="shared" si="78"/>
        <v>0.29850746268656714</v>
      </c>
      <c r="U106" s="15">
        <f t="shared" si="79"/>
        <v>0.70149253731343286</v>
      </c>
      <c r="V106" s="15">
        <f t="shared" si="80"/>
        <v>7.4626865671641793</v>
      </c>
      <c r="W106" s="16">
        <f t="shared" si="81"/>
        <v>53.731343283582092</v>
      </c>
      <c r="X106" s="14">
        <f t="shared" si="82"/>
        <v>0.32835820895522388</v>
      </c>
      <c r="Y106" s="15">
        <f t="shared" si="83"/>
        <v>0.67164179104477606</v>
      </c>
      <c r="Z106" s="15">
        <f t="shared" si="84"/>
        <v>7.8596379803112111</v>
      </c>
      <c r="AA106" s="16">
        <f t="shared" si="85"/>
        <v>53.929818990155603</v>
      </c>
      <c r="AC106">
        <v>45</v>
      </c>
      <c r="AD106">
        <f t="shared" si="99"/>
        <v>21.65</v>
      </c>
      <c r="AE106" s="14">
        <f t="shared" si="86"/>
        <v>0.54125000000000001</v>
      </c>
      <c r="AF106" s="15">
        <f t="shared" si="87"/>
        <v>0.45874999999999999</v>
      </c>
      <c r="AG106" s="15">
        <f t="shared" si="88"/>
        <v>5.2829454787234047</v>
      </c>
      <c r="AH106" s="16">
        <f t="shared" si="89"/>
        <v>52.641472739361703</v>
      </c>
      <c r="AI106" s="14">
        <f t="shared" si="90"/>
        <v>0.433</v>
      </c>
      <c r="AJ106" s="15">
        <f t="shared" si="91"/>
        <v>0.56699999999999995</v>
      </c>
      <c r="AK106" s="15">
        <f t="shared" si="92"/>
        <v>6.5295478723404266</v>
      </c>
      <c r="AL106" s="16">
        <f t="shared" si="93"/>
        <v>53.264773936170215</v>
      </c>
      <c r="AM106" s="14">
        <f t="shared" si="94"/>
        <v>0.30928571428571427</v>
      </c>
      <c r="AN106" s="15">
        <f t="shared" si="95"/>
        <v>0.69071428571428573</v>
      </c>
      <c r="AO106" s="15">
        <f t="shared" si="96"/>
        <v>7.95423632218845</v>
      </c>
      <c r="AP106" s="16">
        <f t="shared" si="97"/>
        <v>53.977118161094225</v>
      </c>
    </row>
    <row r="107" spans="1:42" ht="15">
      <c r="A107" s="31" t="s">
        <v>244</v>
      </c>
      <c r="B107" s="49">
        <f>Design_Converter!B101</f>
        <v>0.97299999999999998</v>
      </c>
      <c r="C107" s="67" t="s">
        <v>104</v>
      </c>
      <c r="N107">
        <v>46</v>
      </c>
      <c r="O107">
        <f t="shared" si="98"/>
        <v>67.599999999999994</v>
      </c>
      <c r="P107" s="14">
        <f t="shared" si="74"/>
        <v>0.27366863905325445</v>
      </c>
      <c r="Q107" s="15">
        <f t="shared" si="75"/>
        <v>0.72633136094674555</v>
      </c>
      <c r="R107" s="15">
        <f t="shared" si="76"/>
        <v>7.1474096688908473</v>
      </c>
      <c r="S107" s="16">
        <f t="shared" si="77"/>
        <v>53.573704834445422</v>
      </c>
      <c r="T107" s="14">
        <f t="shared" si="78"/>
        <v>0.29585798816568049</v>
      </c>
      <c r="U107" s="15">
        <f t="shared" si="79"/>
        <v>0.70414201183431957</v>
      </c>
      <c r="V107" s="15">
        <f t="shared" si="80"/>
        <v>7.4908724663225472</v>
      </c>
      <c r="W107" s="16">
        <f t="shared" si="81"/>
        <v>53.745436233161271</v>
      </c>
      <c r="X107" s="14">
        <f t="shared" si="82"/>
        <v>0.32544378698224857</v>
      </c>
      <c r="Y107" s="15">
        <f t="shared" si="83"/>
        <v>0.67455621301775137</v>
      </c>
      <c r="Z107" s="15">
        <f t="shared" si="84"/>
        <v>7.8937429182928369</v>
      </c>
      <c r="AA107" s="16">
        <f t="shared" si="85"/>
        <v>53.946871459146422</v>
      </c>
      <c r="AC107">
        <v>46</v>
      </c>
      <c r="AD107">
        <f t="shared" si="99"/>
        <v>21.72</v>
      </c>
      <c r="AE107" s="14">
        <f t="shared" si="86"/>
        <v>0.54299999999999993</v>
      </c>
      <c r="AF107" s="15">
        <f t="shared" si="87"/>
        <v>0.45700000000000007</v>
      </c>
      <c r="AG107" s="15">
        <f t="shared" si="88"/>
        <v>5.279808510638297</v>
      </c>
      <c r="AH107" s="16">
        <f t="shared" si="89"/>
        <v>52.639904255319152</v>
      </c>
      <c r="AI107" s="14">
        <f t="shared" si="90"/>
        <v>0.43439999999999995</v>
      </c>
      <c r="AJ107" s="15">
        <f t="shared" si="91"/>
        <v>0.5656000000000001</v>
      </c>
      <c r="AK107" s="15">
        <f t="shared" si="92"/>
        <v>6.534485106382979</v>
      </c>
      <c r="AL107" s="16">
        <f t="shared" si="93"/>
        <v>53.267242553191487</v>
      </c>
      <c r="AM107" s="14">
        <f t="shared" si="94"/>
        <v>0.31028571428571428</v>
      </c>
      <c r="AN107" s="15">
        <f t="shared" si="95"/>
        <v>0.68971428571428572</v>
      </c>
      <c r="AO107" s="15">
        <f t="shared" si="96"/>
        <v>7.9684012158054713</v>
      </c>
      <c r="AP107" s="16">
        <f t="shared" si="97"/>
        <v>53.984200607902736</v>
      </c>
    </row>
    <row r="108" spans="1:42" ht="15">
      <c r="A108" s="1" t="s">
        <v>179</v>
      </c>
      <c r="B108" s="63">
        <f>IF(B104=0,Constants!C13*Calculations!B103*1000,((B103*1000)+(B107*1000)*(1+(B103/B101)))*Constants!C13)</f>
        <v>2.165</v>
      </c>
      <c r="C108" s="67" t="s">
        <v>1</v>
      </c>
      <c r="N108">
        <v>47</v>
      </c>
      <c r="O108">
        <f t="shared" si="98"/>
        <v>68.2</v>
      </c>
      <c r="P108" s="14">
        <f t="shared" si="74"/>
        <v>0.27126099706744866</v>
      </c>
      <c r="Q108" s="15">
        <f t="shared" si="75"/>
        <v>0.72873900293255134</v>
      </c>
      <c r="R108" s="15">
        <f t="shared" si="76"/>
        <v>7.1711018905596813</v>
      </c>
      <c r="S108" s="16">
        <f t="shared" si="77"/>
        <v>53.585550945279842</v>
      </c>
      <c r="T108" s="14">
        <f t="shared" si="78"/>
        <v>0.29325513196480935</v>
      </c>
      <c r="U108" s="15">
        <f t="shared" si="79"/>
        <v>0.70674486803519065</v>
      </c>
      <c r="V108" s="15">
        <f t="shared" si="80"/>
        <v>7.5185624259062829</v>
      </c>
      <c r="W108" s="16">
        <f t="shared" si="81"/>
        <v>53.759281212953141</v>
      </c>
      <c r="X108" s="14">
        <f t="shared" si="82"/>
        <v>0.32258064516129031</v>
      </c>
      <c r="Y108" s="15">
        <f t="shared" si="83"/>
        <v>0.67741935483870974</v>
      </c>
      <c r="Z108" s="15">
        <f t="shared" si="84"/>
        <v>7.9272477693891563</v>
      </c>
      <c r="AA108" s="16">
        <f t="shared" si="85"/>
        <v>53.963623884694577</v>
      </c>
      <c r="AC108">
        <v>47</v>
      </c>
      <c r="AD108">
        <f t="shared" si="99"/>
        <v>21.79</v>
      </c>
      <c r="AE108" s="14">
        <f t="shared" si="86"/>
        <v>0.54474999999999996</v>
      </c>
      <c r="AF108" s="15">
        <f t="shared" si="87"/>
        <v>0.45525000000000004</v>
      </c>
      <c r="AG108" s="15">
        <f t="shared" si="88"/>
        <v>5.2765412234042559</v>
      </c>
      <c r="AH108" s="16">
        <f t="shared" si="89"/>
        <v>52.638270611702126</v>
      </c>
      <c r="AI108" s="14">
        <f t="shared" si="90"/>
        <v>0.43579999999999997</v>
      </c>
      <c r="AJ108" s="15">
        <f t="shared" si="91"/>
        <v>0.56420000000000003</v>
      </c>
      <c r="AK108" s="15">
        <f t="shared" si="92"/>
        <v>6.539318085106383</v>
      </c>
      <c r="AL108" s="16">
        <f t="shared" si="93"/>
        <v>53.269659042553194</v>
      </c>
      <c r="AM108" s="14">
        <f t="shared" si="94"/>
        <v>0.31128571428571428</v>
      </c>
      <c r="AN108" s="15">
        <f t="shared" si="95"/>
        <v>0.68871428571428572</v>
      </c>
      <c r="AO108" s="15">
        <f t="shared" si="96"/>
        <v>7.9824916413373863</v>
      </c>
      <c r="AP108" s="16">
        <f t="shared" si="97"/>
        <v>53.991245820668695</v>
      </c>
    </row>
    <row r="109" spans="1:42" ht="15">
      <c r="A109" s="1" t="s">
        <v>245</v>
      </c>
      <c r="B109" s="53">
        <f>Constants!C11*((Calculations!B101+Calculations!B103)/Calculations!B101)</f>
        <v>24.15</v>
      </c>
      <c r="C109" s="67" t="s">
        <v>1</v>
      </c>
      <c r="N109">
        <v>48</v>
      </c>
      <c r="O109">
        <f t="shared" si="98"/>
        <v>68.8</v>
      </c>
      <c r="P109" s="14">
        <f t="shared" si="74"/>
        <v>0.26889534883720934</v>
      </c>
      <c r="Q109" s="15">
        <f t="shared" si="75"/>
        <v>0.73110465116279066</v>
      </c>
      <c r="R109" s="15">
        <f t="shared" si="76"/>
        <v>7.1943808758040584</v>
      </c>
      <c r="S109" s="16">
        <f t="shared" si="77"/>
        <v>53.597190437902029</v>
      </c>
      <c r="T109" s="14">
        <f t="shared" si="78"/>
        <v>0.29069767441860467</v>
      </c>
      <c r="U109" s="15">
        <f t="shared" si="79"/>
        <v>0.70930232558139528</v>
      </c>
      <c r="V109" s="15">
        <f t="shared" si="80"/>
        <v>7.5457694210786741</v>
      </c>
      <c r="W109" s="16">
        <f t="shared" si="81"/>
        <v>53.772884710539337</v>
      </c>
      <c r="X109" s="14">
        <f t="shared" si="82"/>
        <v>0.31976744186046513</v>
      </c>
      <c r="Y109" s="15">
        <f t="shared" si="83"/>
        <v>0.68023255813953487</v>
      </c>
      <c r="Z109" s="15">
        <f t="shared" si="84"/>
        <v>7.9601682335477495</v>
      </c>
      <c r="AA109" s="16">
        <f t="shared" si="85"/>
        <v>53.980084116773874</v>
      </c>
      <c r="AC109">
        <v>48</v>
      </c>
      <c r="AD109">
        <f t="shared" si="99"/>
        <v>21.86</v>
      </c>
      <c r="AE109" s="14">
        <f t="shared" si="86"/>
        <v>0.54649999999999999</v>
      </c>
      <c r="AF109" s="15">
        <f t="shared" si="87"/>
        <v>0.45350000000000001</v>
      </c>
      <c r="AG109" s="15">
        <f t="shared" si="88"/>
        <v>5.2731436170212769</v>
      </c>
      <c r="AH109" s="16">
        <f t="shared" si="89"/>
        <v>52.636571808510638</v>
      </c>
      <c r="AI109" s="14">
        <f t="shared" si="90"/>
        <v>0.43719999999999998</v>
      </c>
      <c r="AJ109" s="15">
        <f t="shared" si="91"/>
        <v>0.56279999999999997</v>
      </c>
      <c r="AK109" s="15">
        <f t="shared" si="92"/>
        <v>6.5440468085106387</v>
      </c>
      <c r="AL109" s="16">
        <f t="shared" si="93"/>
        <v>53.272023404255322</v>
      </c>
      <c r="AM109" s="14">
        <f t="shared" si="94"/>
        <v>0.31228571428571428</v>
      </c>
      <c r="AN109" s="15">
        <f t="shared" si="95"/>
        <v>0.68771428571428572</v>
      </c>
      <c r="AO109" s="15">
        <f t="shared" si="96"/>
        <v>7.996507598784194</v>
      </c>
      <c r="AP109" s="16">
        <f t="shared" si="97"/>
        <v>53.998253799392096</v>
      </c>
    </row>
    <row r="110" spans="1:42" ht="15">
      <c r="A110" s="1" t="s">
        <v>246</v>
      </c>
      <c r="B110" s="62">
        <f>B109-B108</f>
        <v>21.984999999999999</v>
      </c>
      <c r="C110" s="68" t="s">
        <v>1</v>
      </c>
      <c r="N110">
        <v>49</v>
      </c>
      <c r="O110">
        <f t="shared" si="98"/>
        <v>69.400000000000006</v>
      </c>
      <c r="P110" s="14">
        <f t="shared" si="74"/>
        <v>0.26657060518731984</v>
      </c>
      <c r="Q110" s="15">
        <f t="shared" si="75"/>
        <v>0.73342939481268021</v>
      </c>
      <c r="R110" s="15">
        <f t="shared" si="76"/>
        <v>7.2172573425715862</v>
      </c>
      <c r="S110" s="16">
        <f t="shared" si="77"/>
        <v>53.608628671285793</v>
      </c>
      <c r="T110" s="14">
        <f t="shared" si="78"/>
        <v>0.28818443804034583</v>
      </c>
      <c r="U110" s="15">
        <f t="shared" si="79"/>
        <v>0.71181556195965423</v>
      </c>
      <c r="V110" s="15">
        <f t="shared" si="80"/>
        <v>7.5725059782941955</v>
      </c>
      <c r="W110" s="16">
        <f t="shared" si="81"/>
        <v>53.786252989147101</v>
      </c>
      <c r="X110" s="14">
        <f t="shared" si="82"/>
        <v>0.31700288184438036</v>
      </c>
      <c r="Y110" s="15">
        <f t="shared" si="83"/>
        <v>0.68299711815561959</v>
      </c>
      <c r="Z110" s="15">
        <f t="shared" si="84"/>
        <v>7.9925194677785276</v>
      </c>
      <c r="AA110" s="16">
        <f t="shared" si="85"/>
        <v>53.996259733889261</v>
      </c>
      <c r="AC110">
        <v>49</v>
      </c>
      <c r="AD110">
        <f t="shared" si="99"/>
        <v>21.93</v>
      </c>
      <c r="AE110" s="14">
        <f t="shared" si="86"/>
        <v>0.54825000000000002</v>
      </c>
      <c r="AF110" s="15">
        <f t="shared" si="87"/>
        <v>0.45174999999999998</v>
      </c>
      <c r="AG110" s="15">
        <f t="shared" si="88"/>
        <v>5.2696156914893617</v>
      </c>
      <c r="AH110" s="16">
        <f t="shared" si="89"/>
        <v>52.634807845744682</v>
      </c>
      <c r="AI110" s="14">
        <f t="shared" si="90"/>
        <v>0.43859999999999999</v>
      </c>
      <c r="AJ110" s="15">
        <f t="shared" si="91"/>
        <v>0.56140000000000001</v>
      </c>
      <c r="AK110" s="15">
        <f t="shared" si="92"/>
        <v>6.5486712765957451</v>
      </c>
      <c r="AL110" s="16">
        <f t="shared" si="93"/>
        <v>53.27433563829787</v>
      </c>
      <c r="AM110" s="14">
        <f t="shared" si="94"/>
        <v>0.31328571428571428</v>
      </c>
      <c r="AN110" s="15">
        <f t="shared" si="95"/>
        <v>0.68671428571428572</v>
      </c>
      <c r="AO110" s="15">
        <f t="shared" si="96"/>
        <v>8.0104490881458972</v>
      </c>
      <c r="AP110" s="16">
        <f t="shared" si="97"/>
        <v>54.005224544072945</v>
      </c>
    </row>
    <row r="111" spans="1:42" ht="15">
      <c r="A111" s="1" t="s">
        <v>178</v>
      </c>
      <c r="B111" s="53">
        <f>Constants!C12*(Calculations!B101+Calculations!B103)/Calculations!B101</f>
        <v>12.074999999999999</v>
      </c>
      <c r="C111" s="67" t="s">
        <v>1</v>
      </c>
      <c r="N111">
        <v>50</v>
      </c>
      <c r="O111">
        <f t="shared" si="98"/>
        <v>70</v>
      </c>
      <c r="P111" s="14">
        <f t="shared" si="74"/>
        <v>0.26428571428571429</v>
      </c>
      <c r="Q111" s="15">
        <f t="shared" si="75"/>
        <v>0.73571428571428577</v>
      </c>
      <c r="R111" s="15">
        <f t="shared" si="76"/>
        <v>7.2397416413373863</v>
      </c>
      <c r="S111" s="16">
        <f t="shared" si="77"/>
        <v>53.619870820668694</v>
      </c>
      <c r="T111" s="14">
        <f t="shared" si="78"/>
        <v>0.2857142857142857</v>
      </c>
      <c r="U111" s="15">
        <f t="shared" si="79"/>
        <v>0.7142857142857143</v>
      </c>
      <c r="V111" s="15">
        <f t="shared" si="80"/>
        <v>7.598784194528875</v>
      </c>
      <c r="W111" s="16">
        <f t="shared" si="81"/>
        <v>53.799392097264437</v>
      </c>
      <c r="X111" s="14">
        <f t="shared" si="82"/>
        <v>0.31428571428571428</v>
      </c>
      <c r="Y111" s="15">
        <f t="shared" si="83"/>
        <v>0.68571428571428572</v>
      </c>
      <c r="Z111" s="15">
        <f t="shared" si="84"/>
        <v>8.0243161094224931</v>
      </c>
      <c r="AA111" s="16">
        <f t="shared" si="85"/>
        <v>54.01215805471125</v>
      </c>
      <c r="AC111">
        <v>50</v>
      </c>
      <c r="AD111">
        <f t="shared" si="99"/>
        <v>22</v>
      </c>
      <c r="AE111" s="14">
        <f t="shared" si="86"/>
        <v>0.55000000000000004</v>
      </c>
      <c r="AF111" s="15">
        <f t="shared" si="87"/>
        <v>0.44999999999999996</v>
      </c>
      <c r="AG111" s="15">
        <f t="shared" si="88"/>
        <v>5.2659574468085122</v>
      </c>
      <c r="AH111" s="16">
        <f t="shared" si="89"/>
        <v>52.632978723404257</v>
      </c>
      <c r="AI111" s="14">
        <f t="shared" si="90"/>
        <v>0.44</v>
      </c>
      <c r="AJ111" s="15">
        <f t="shared" si="91"/>
        <v>0.56000000000000005</v>
      </c>
      <c r="AK111" s="15">
        <f t="shared" si="92"/>
        <v>6.5531914893617023</v>
      </c>
      <c r="AL111" s="16">
        <f t="shared" si="93"/>
        <v>53.276595744680854</v>
      </c>
      <c r="AM111" s="14">
        <f t="shared" si="94"/>
        <v>0.31428571428571428</v>
      </c>
      <c r="AN111" s="15">
        <f t="shared" si="95"/>
        <v>0.68571428571428572</v>
      </c>
      <c r="AO111" s="15">
        <f t="shared" si="96"/>
        <v>8.0243161094224931</v>
      </c>
      <c r="AP111" s="16">
        <f t="shared" si="97"/>
        <v>54.01215805471125</v>
      </c>
    </row>
    <row r="114" spans="1:28" ht="15.75" customHeight="1">
      <c r="A114" s="40" t="s">
        <v>184</v>
      </c>
    </row>
    <row r="115" spans="1:28">
      <c r="A115" s="31" t="s">
        <v>211</v>
      </c>
      <c r="B115" s="49">
        <f>Design_Converter!B110</f>
        <v>3.3</v>
      </c>
      <c r="C115" s="31" t="s">
        <v>1</v>
      </c>
      <c r="D115" s="34">
        <f>IF(B115&gt;Constants!C48,1,0)</f>
        <v>0</v>
      </c>
      <c r="E115" s="34" t="s">
        <v>188</v>
      </c>
    </row>
    <row r="116" spans="1:28" ht="15">
      <c r="A116" s="31" t="s">
        <v>212</v>
      </c>
      <c r="B116" s="54">
        <f>(B115/((Constants!C6/Constants!C16)+(Constants!C15)))/1000</f>
        <v>11.999999999999998</v>
      </c>
      <c r="C116" s="67" t="s">
        <v>104</v>
      </c>
    </row>
    <row r="117" spans="1:28" s="21" customFormat="1" ht="15">
      <c r="A117" s="31" t="s">
        <v>186</v>
      </c>
      <c r="B117" s="59">
        <f>Design_Converter!B112</f>
        <v>9.09</v>
      </c>
      <c r="C117" s="67" t="s">
        <v>104</v>
      </c>
      <c r="D117" s="34"/>
      <c r="E117" s="34"/>
      <c r="F117"/>
      <c r="G117"/>
      <c r="H117"/>
      <c r="AB117"/>
    </row>
    <row r="118" spans="1:28">
      <c r="A118" s="31" t="s">
        <v>213</v>
      </c>
      <c r="B118" s="50">
        <f>((Constants!C6/Constants!C16)+(Constants!C15))*B117*1000</f>
        <v>2.4997500000000001</v>
      </c>
      <c r="C118" s="31" t="s">
        <v>1</v>
      </c>
      <c r="D118" s="34">
        <f>IF(B118&gt;Constants!C48,1,0)</f>
        <v>0</v>
      </c>
      <c r="E118" s="34" t="s">
        <v>188</v>
      </c>
    </row>
    <row r="119" spans="1:28">
      <c r="A119" s="31" t="s">
        <v>214</v>
      </c>
      <c r="B119" s="50">
        <f>(Constants!C15)*B117*1000</f>
        <v>0.22724999999999998</v>
      </c>
      <c r="C119" s="31" t="s">
        <v>1</v>
      </c>
    </row>
    <row r="120" spans="1:28">
      <c r="A120" s="31" t="s">
        <v>215</v>
      </c>
      <c r="B120" s="54">
        <f>((100*10^-6)/(B117*1000))*(10^9)</f>
        <v>11.001100110011</v>
      </c>
      <c r="C120" s="31" t="s">
        <v>40</v>
      </c>
      <c r="E120" s="34" t="s">
        <v>217</v>
      </c>
    </row>
    <row r="121" spans="1:28">
      <c r="A121" s="31" t="s">
        <v>216</v>
      </c>
      <c r="B121" s="49">
        <f>Design_Converter!B116</f>
        <v>10</v>
      </c>
      <c r="C121" s="31" t="s">
        <v>40</v>
      </c>
    </row>
    <row r="122" spans="1:28">
      <c r="A122" s="31" t="s">
        <v>218</v>
      </c>
      <c r="B122" s="57">
        <f>(1/(2*PI()*B117*1000*(B121*10^-9)))*(1/1000)</f>
        <v>1.7508794619570447</v>
      </c>
      <c r="C122" s="31" t="s">
        <v>3</v>
      </c>
    </row>
    <row r="123" spans="1:28">
      <c r="A123" s="31" t="s">
        <v>219</v>
      </c>
      <c r="B123" s="54">
        <f>((B64*Rcs/(Constants!C16))*(B117*1000)*(10^(-(LOG10(Fsw/(B122*1000))))))*1000</f>
        <v>1.5117300825597952</v>
      </c>
      <c r="C123" s="31" t="s">
        <v>72</v>
      </c>
    </row>
    <row r="126" spans="1:28">
      <c r="A126" s="34" t="s">
        <v>223</v>
      </c>
    </row>
    <row r="127" spans="1:28">
      <c r="A127" s="31" t="s">
        <v>227</v>
      </c>
      <c r="B127" s="49">
        <f>IF(Design_Converter!B123=Lists!G2,0,1)</f>
        <v>1</v>
      </c>
      <c r="C127" s="31"/>
      <c r="E127" s="34" t="s">
        <v>228</v>
      </c>
    </row>
    <row r="128" spans="1:28">
      <c r="A128" s="31" t="s">
        <v>229</v>
      </c>
      <c r="B128" s="49">
        <f>Design_Converter!B124*(10^-9)</f>
        <v>5.5000000000000003E-8</v>
      </c>
      <c r="C128" s="31" t="s">
        <v>23</v>
      </c>
      <c r="D128" s="34">
        <f>IF(B128&lt;Constants!C31,1,IF(B128&gt;Constants!C32,1,0))</f>
        <v>0</v>
      </c>
      <c r="E128" s="34" t="s">
        <v>247</v>
      </c>
    </row>
    <row r="129" spans="1:8" ht="15">
      <c r="A129" s="31" t="s">
        <v>231</v>
      </c>
      <c r="B129" s="53">
        <f>(B128-Constants!C27)/(Constants!C26*1000)</f>
        <v>9.75</v>
      </c>
      <c r="C129" s="67" t="s">
        <v>104</v>
      </c>
    </row>
    <row r="130" spans="1:8" ht="15">
      <c r="A130" s="31" t="s">
        <v>232</v>
      </c>
      <c r="B130" s="49">
        <f>Design_Converter!B126</f>
        <v>9.75</v>
      </c>
      <c r="C130" s="67" t="s">
        <v>104</v>
      </c>
    </row>
    <row r="131" spans="1:8">
      <c r="A131" s="31" t="s">
        <v>233</v>
      </c>
      <c r="B131" s="53">
        <f>IF(B127=1,(((B130*1000)*Constants!C26)+Constants!C27)*(10^9),(Constants!C29*(10^9)))</f>
        <v>55</v>
      </c>
      <c r="C131" s="31" t="s">
        <v>97</v>
      </c>
    </row>
    <row r="132" spans="1:8">
      <c r="A132" s="31" t="s">
        <v>234</v>
      </c>
      <c r="B132" s="53">
        <f>IF(B127=1,(((B130*1000)*Constants!C26)+Constants!C27)*(10^9),(Constants!C30*(10^9)))</f>
        <v>55</v>
      </c>
      <c r="C132" s="31" t="s">
        <v>97</v>
      </c>
    </row>
    <row r="133" spans="1:8">
      <c r="H133" s="21"/>
    </row>
    <row r="134" spans="1:8">
      <c r="A134" s="47" t="s">
        <v>252</v>
      </c>
      <c r="B134" s="47"/>
      <c r="C134" s="47"/>
    </row>
    <row r="135" spans="1:8">
      <c r="A135" s="31" t="s">
        <v>250</v>
      </c>
      <c r="B135" s="49">
        <f>Design_Converter!B134</f>
        <v>10</v>
      </c>
      <c r="C135" s="31" t="s">
        <v>251</v>
      </c>
    </row>
    <row r="136" spans="1:8">
      <c r="A136" s="31" t="s">
        <v>254</v>
      </c>
      <c r="B136" s="63">
        <f>1/(Ramp_C*Ramp_R*Fsw)</f>
        <v>2.6041666666666668E-2</v>
      </c>
      <c r="C136" s="31" t="s">
        <v>255</v>
      </c>
    </row>
    <row r="137" spans="1:8">
      <c r="A137" s="31" t="s">
        <v>253</v>
      </c>
      <c r="B137" s="63">
        <f>(Rcs+(B135/1000))/(2*PI()*Lm*1000)</f>
        <v>0.37249029234273373</v>
      </c>
      <c r="C137" s="31" t="s">
        <v>3</v>
      </c>
    </row>
    <row r="138" spans="1:8">
      <c r="A138" s="31" t="s">
        <v>256</v>
      </c>
      <c r="B138" s="60">
        <f>1/(B136*(Rcs+(B135/1000)))</f>
        <v>3490.909090909091</v>
      </c>
      <c r="C138" s="31" t="s">
        <v>42</v>
      </c>
    </row>
    <row r="139" spans="1:8">
      <c r="A139" s="31" t="s">
        <v>257</v>
      </c>
      <c r="B139" s="53">
        <f>Fsw/10</f>
        <v>40000</v>
      </c>
      <c r="C139" s="31" t="s">
        <v>87</v>
      </c>
    </row>
    <row r="140" spans="1:8">
      <c r="A140" s="31" t="s">
        <v>258</v>
      </c>
      <c r="B140" s="49">
        <f>Design_Converter!B137*1000</f>
        <v>10000</v>
      </c>
      <c r="C140" s="31" t="s">
        <v>87</v>
      </c>
    </row>
    <row r="141" spans="1:8">
      <c r="A141" s="31" t="s">
        <v>265</v>
      </c>
      <c r="B141" s="60">
        <f>B137*1000</f>
        <v>372.49029234273371</v>
      </c>
      <c r="C141" s="31" t="s">
        <v>87</v>
      </c>
    </row>
    <row r="142" spans="1:8">
      <c r="A142" s="31" t="s">
        <v>266</v>
      </c>
      <c r="B142" s="53">
        <f>IF(B140*100&gt;=Fsw/2,Fsw/2,B140*100)</f>
        <v>200000</v>
      </c>
      <c r="C142" s="31" t="s">
        <v>87</v>
      </c>
    </row>
    <row r="143" spans="1:8" ht="15">
      <c r="A143" s="31" t="s">
        <v>259</v>
      </c>
      <c r="B143" s="63">
        <f>((B136/(Rcs*gm*Acs))*IMABS(COMPLEX(Rcs+(B135/1000),2*PI()*B140*Lm)))/1000</f>
        <v>0.15391380629365956</v>
      </c>
      <c r="C143" s="67" t="s">
        <v>104</v>
      </c>
    </row>
    <row r="144" spans="1:8" ht="15">
      <c r="A144" s="31" t="s">
        <v>260</v>
      </c>
      <c r="B144" s="49">
        <f>Design_Converter!B139</f>
        <v>0.63400000000000001</v>
      </c>
      <c r="C144" s="67" t="s">
        <v>104</v>
      </c>
    </row>
    <row r="145" spans="1:7">
      <c r="A145" s="31" t="s">
        <v>261</v>
      </c>
      <c r="B145" s="60">
        <f>(Lm/((Rcs+(B135/1000))*(B143*1000)))*(10^9)</f>
        <v>2776.0519836505969</v>
      </c>
      <c r="C145" s="31" t="s">
        <v>40</v>
      </c>
    </row>
    <row r="146" spans="1:7">
      <c r="A146" s="31" t="s">
        <v>262</v>
      </c>
      <c r="B146" s="49">
        <f>Design_Converter!B141</f>
        <v>680</v>
      </c>
      <c r="C146" s="31" t="s">
        <v>40</v>
      </c>
    </row>
    <row r="147" spans="1:7" ht="15">
      <c r="A147" s="31" t="s">
        <v>263</v>
      </c>
      <c r="B147" s="70">
        <f>B145/100</f>
        <v>27.760519836505967</v>
      </c>
      <c r="C147" s="69" t="s">
        <v>40</v>
      </c>
      <c r="D147" s="35"/>
      <c r="E147" s="66" t="s">
        <v>267</v>
      </c>
      <c r="F147" s="21"/>
      <c r="G147" s="21"/>
    </row>
    <row r="148" spans="1:7">
      <c r="A148" s="31" t="s">
        <v>264</v>
      </c>
      <c r="B148" s="49">
        <f>Design_Converter!B143</f>
        <v>4.7</v>
      </c>
      <c r="C148" s="31" t="s">
        <v>40</v>
      </c>
    </row>
    <row r="149" spans="1:7">
      <c r="A149" s="31" t="s">
        <v>268</v>
      </c>
      <c r="B149" s="63">
        <f>(1/(2*PI()*B144*1000*B146*(10^-9)))/1000</f>
        <v>0.36916622539407895</v>
      </c>
      <c r="C149" s="31" t="s">
        <v>3</v>
      </c>
    </row>
    <row r="150" spans="1:7">
      <c r="A150" s="31" t="s">
        <v>269</v>
      </c>
      <c r="B150" s="60">
        <f>(1/(2*PI()*B144*1000*B148*(10^-9)))/1000</f>
        <v>53.411283674036959</v>
      </c>
      <c r="C150" s="31" t="s">
        <v>3</v>
      </c>
    </row>
    <row r="151" spans="1:7">
      <c r="A151" s="34" t="s">
        <v>278</v>
      </c>
      <c r="E151" s="34" t="s">
        <v>280</v>
      </c>
    </row>
    <row r="152" spans="1:7">
      <c r="A152" s="34" t="s">
        <v>279</v>
      </c>
      <c r="E152" s="34" t="s">
        <v>280</v>
      </c>
    </row>
    <row r="156" spans="1:7">
      <c r="A156" s="34" t="s">
        <v>399</v>
      </c>
    </row>
    <row r="157" spans="1:7">
      <c r="A157" s="31" t="s">
        <v>433</v>
      </c>
      <c r="B157" s="49">
        <f>Design_Converter!B152</f>
        <v>2</v>
      </c>
      <c r="C157" s="31" t="s">
        <v>1</v>
      </c>
    </row>
    <row r="158" spans="1:7">
      <c r="A158" s="31" t="s">
        <v>419</v>
      </c>
      <c r="B158" s="49">
        <f>Design_Converter!B153*1000</f>
        <v>4420</v>
      </c>
      <c r="C158" s="31" t="s">
        <v>56</v>
      </c>
    </row>
    <row r="159" spans="1:7">
      <c r="A159" s="31" t="s">
        <v>434</v>
      </c>
      <c r="B159" s="53">
        <f>(B158*V12_Nom/B157)-B158</f>
        <v>39780</v>
      </c>
      <c r="C159" s="31" t="s">
        <v>56</v>
      </c>
    </row>
    <row r="160" spans="1:7">
      <c r="A160" s="31" t="s">
        <v>418</v>
      </c>
      <c r="B160" s="49">
        <f>Design_Converter!B155*1000</f>
        <v>26700</v>
      </c>
      <c r="C160" s="31" t="s">
        <v>56</v>
      </c>
    </row>
    <row r="161" spans="1:5">
      <c r="A161" s="31" t="s">
        <v>410</v>
      </c>
      <c r="B161" s="63">
        <f>V12_Nom/(I_Channel_Design*np)</f>
        <v>0.44444444444444442</v>
      </c>
      <c r="C161" s="31" t="s">
        <v>56</v>
      </c>
    </row>
    <row r="162" spans="1:5">
      <c r="A162" s="31" t="s">
        <v>411</v>
      </c>
      <c r="B162" s="60">
        <f>1/(2*PI()*Zo_Buck_Cout*B161)</f>
        <v>447.62327744595569</v>
      </c>
      <c r="C162" s="31" t="s">
        <v>87</v>
      </c>
      <c r="E162" s="34" t="s">
        <v>437</v>
      </c>
    </row>
    <row r="163" spans="1:5">
      <c r="A163" s="31" t="s">
        <v>438</v>
      </c>
      <c r="B163" s="103">
        <f>1/(2*PI()*Zo_Buck_Resr*Zo_Buck_Cout)</f>
        <v>39788.735772973829</v>
      </c>
      <c r="C163" s="31" t="s">
        <v>87</v>
      </c>
      <c r="E163" s="34" t="s">
        <v>441</v>
      </c>
    </row>
    <row r="164" spans="1:5">
      <c r="A164" s="31" t="s">
        <v>439</v>
      </c>
      <c r="B164" s="53">
        <f>B140/10</f>
        <v>1000</v>
      </c>
      <c r="C164" s="31" t="s">
        <v>87</v>
      </c>
      <c r="E164" s="34" t="s">
        <v>442</v>
      </c>
    </row>
    <row r="165" spans="1:5">
      <c r="A165" s="31" t="s">
        <v>440</v>
      </c>
      <c r="B165" s="53">
        <f>Design_Converter!B157*1000</f>
        <v>1000</v>
      </c>
      <c r="C165" s="31" t="s">
        <v>87</v>
      </c>
    </row>
    <row r="166" spans="1:5">
      <c r="A166" s="32" t="s">
        <v>404</v>
      </c>
      <c r="B166" s="53"/>
      <c r="C166" s="31"/>
    </row>
    <row r="167" spans="1:5">
      <c r="A167" s="31" t="s">
        <v>408</v>
      </c>
      <c r="B167" s="63">
        <f>10^(Compensation!S134/20)</f>
        <v>5.9608666910487047</v>
      </c>
      <c r="C167" s="31" t="s">
        <v>42</v>
      </c>
    </row>
    <row r="168" spans="1:5">
      <c r="A168" s="31" t="s">
        <v>414</v>
      </c>
      <c r="B168" s="60">
        <f>B162</f>
        <v>447.62327744595569</v>
      </c>
      <c r="C168" s="31" t="s">
        <v>87</v>
      </c>
    </row>
    <row r="169" spans="1:5">
      <c r="A169" s="31" t="s">
        <v>417</v>
      </c>
      <c r="B169" s="103">
        <f>IF(B163&gt;(Fsw/2),Fsw/2,B163)</f>
        <v>39788.735772973829</v>
      </c>
      <c r="C169" s="31" t="s">
        <v>87</v>
      </c>
    </row>
    <row r="170" spans="1:5">
      <c r="A170" s="31" t="s">
        <v>413</v>
      </c>
      <c r="B170" s="63">
        <f>((B160*B165)/(B168*B167))*SQRT(((1+((B165^2)/(B169^2)))/(1+((B165^2)/(B168^2)))))</f>
        <v>4089.6111824771569</v>
      </c>
      <c r="C170" s="104" t="s">
        <v>56</v>
      </c>
    </row>
    <row r="171" spans="1:5">
      <c r="A171" s="31" t="s">
        <v>420</v>
      </c>
      <c r="B171" s="105">
        <f>Design_Converter!B159*1000</f>
        <v>6200</v>
      </c>
      <c r="C171" s="31" t="s">
        <v>56</v>
      </c>
    </row>
    <row r="172" spans="1:5">
      <c r="A172" s="31" t="s">
        <v>422</v>
      </c>
      <c r="B172" s="53">
        <f>1/(2*PI()*B168*B170)</f>
        <v>8.6941163766133035E-8</v>
      </c>
      <c r="C172" s="31" t="s">
        <v>425</v>
      </c>
    </row>
    <row r="173" spans="1:5">
      <c r="A173" s="31" t="s">
        <v>421</v>
      </c>
      <c r="B173" s="49">
        <f>Design_Converter!B161*(10^-9)</f>
        <v>3.3000000000000004E-8</v>
      </c>
      <c r="C173" s="31" t="s">
        <v>425</v>
      </c>
    </row>
    <row r="174" spans="1:5">
      <c r="A174" s="31" t="s">
        <v>423</v>
      </c>
      <c r="B174" s="53">
        <f>1/(2*PI()*B169*B170)</f>
        <v>9.7808809236899694E-10</v>
      </c>
      <c r="C174" s="31"/>
    </row>
    <row r="175" spans="1:5">
      <c r="A175" s="31" t="s">
        <v>424</v>
      </c>
      <c r="B175" s="49">
        <f>Design_Converter!B163*(10^-9)</f>
        <v>6E-10</v>
      </c>
      <c r="C175" s="31"/>
    </row>
    <row r="176" spans="1:5">
      <c r="A176" s="31" t="s">
        <v>435</v>
      </c>
      <c r="B176" s="63">
        <f>1/(2*PI()*B171*B173)/1000</f>
        <v>0.77788339732109146</v>
      </c>
      <c r="C176" s="31" t="s">
        <v>3</v>
      </c>
    </row>
    <row r="177" spans="1:5">
      <c r="A177" s="31" t="s">
        <v>436</v>
      </c>
      <c r="B177" s="63">
        <f>1/(2*PI()*B171*B175)/1000</f>
        <v>42.783586852660036</v>
      </c>
      <c r="C177" s="31" t="s">
        <v>3</v>
      </c>
    </row>
    <row r="180" spans="1:5">
      <c r="A180" s="34" t="s">
        <v>396</v>
      </c>
    </row>
    <row r="181" spans="1:5">
      <c r="A181" s="31" t="s">
        <v>433</v>
      </c>
      <c r="B181" s="49">
        <f>Design_Converter!B171</f>
        <v>2</v>
      </c>
      <c r="C181" s="31" t="s">
        <v>1</v>
      </c>
    </row>
    <row r="182" spans="1:5">
      <c r="A182" s="31" t="s">
        <v>419</v>
      </c>
      <c r="B182" s="49">
        <f>Design_Converter!B172*1000</f>
        <v>2100</v>
      </c>
      <c r="C182" s="31" t="s">
        <v>56</v>
      </c>
    </row>
    <row r="183" spans="1:5">
      <c r="A183" s="31" t="s">
        <v>434</v>
      </c>
      <c r="B183" s="53">
        <f>(B182*V48_Nom/B181)-B182</f>
        <v>50400</v>
      </c>
      <c r="C183" s="31" t="s">
        <v>56</v>
      </c>
    </row>
    <row r="184" spans="1:5">
      <c r="A184" s="31" t="s">
        <v>418</v>
      </c>
      <c r="B184" s="49">
        <f>Design_Converter!B174*1000</f>
        <v>49900</v>
      </c>
      <c r="C184" s="31" t="s">
        <v>56</v>
      </c>
    </row>
    <row r="185" spans="1:5">
      <c r="A185" s="31" t="s">
        <v>410</v>
      </c>
      <c r="B185" s="53">
        <f>(V48_Nom^2)/(V12_Min*I_Channel_Design*np)</f>
        <v>3.0030030030030028</v>
      </c>
      <c r="C185" s="31" t="s">
        <v>56</v>
      </c>
      <c r="E185" s="34" t="s">
        <v>406</v>
      </c>
    </row>
    <row r="186" spans="1:5">
      <c r="A186" s="31" t="s">
        <v>400</v>
      </c>
      <c r="B186" s="103">
        <f>2/(((V48_Nom^2)/(V12_Min*I_Channel_Design*np))*(2*PI()*Zo_Boost_Cout))</f>
        <v>176.66198683200386</v>
      </c>
      <c r="C186" s="31" t="s">
        <v>87</v>
      </c>
      <c r="E186" s="34" t="s">
        <v>405</v>
      </c>
    </row>
    <row r="187" spans="1:5">
      <c r="A187" s="31" t="s">
        <v>397</v>
      </c>
      <c r="B187" s="103">
        <f>(((V12_Min/V48_Nom)^2)*B185)/(2*PI()*(Lm/np))</f>
        <v>27842.708720567978</v>
      </c>
      <c r="C187" s="31" t="s">
        <v>87</v>
      </c>
      <c r="E187" s="34" t="s">
        <v>405</v>
      </c>
    </row>
    <row r="188" spans="1:5">
      <c r="A188" s="31" t="s">
        <v>402</v>
      </c>
      <c r="B188" s="63">
        <f>B187/5</f>
        <v>5568.541744113596</v>
      </c>
      <c r="C188" s="31" t="s">
        <v>87</v>
      </c>
      <c r="E188" s="34" t="s">
        <v>412</v>
      </c>
    </row>
    <row r="189" spans="1:5">
      <c r="A189" s="31" t="s">
        <v>401</v>
      </c>
      <c r="B189" s="49">
        <f>Design_Converter!B176*1000</f>
        <v>2000</v>
      </c>
      <c r="C189" s="31" t="s">
        <v>87</v>
      </c>
    </row>
    <row r="190" spans="1:5">
      <c r="A190" s="32" t="s">
        <v>404</v>
      </c>
      <c r="B190" s="32"/>
      <c r="C190" s="32"/>
    </row>
    <row r="191" spans="1:5">
      <c r="A191" s="31" t="s">
        <v>408</v>
      </c>
      <c r="B191" s="63">
        <f>10^(Compensation!S224/20)</f>
        <v>1.958344023164917</v>
      </c>
      <c r="C191" s="31" t="s">
        <v>409</v>
      </c>
    </row>
    <row r="192" spans="1:5">
      <c r="A192" s="31" t="s">
        <v>414</v>
      </c>
      <c r="B192" s="63">
        <f>2/(2*PI()*B185*Zo_Boost_Cout)</f>
        <v>176.66198683200386</v>
      </c>
      <c r="C192" s="31" t="s">
        <v>416</v>
      </c>
    </row>
    <row r="193" spans="1:5">
      <c r="A193" s="31" t="s">
        <v>417</v>
      </c>
      <c r="B193" s="53">
        <f>Fsw/2</f>
        <v>200000</v>
      </c>
      <c r="C193" s="31" t="s">
        <v>403</v>
      </c>
      <c r="E193" s="34" t="s">
        <v>415</v>
      </c>
    </row>
    <row r="194" spans="1:5">
      <c r="A194" s="31" t="s">
        <v>413</v>
      </c>
      <c r="B194" s="63">
        <f>((B184*B189)/(B191*B192))*SQRT((1+((B189/B193)^2))/(1+((B189/B192)^2)))</f>
        <v>25383.154074835886</v>
      </c>
      <c r="C194" s="31" t="s">
        <v>56</v>
      </c>
    </row>
    <row r="195" spans="1:5">
      <c r="A195" s="31" t="s">
        <v>420</v>
      </c>
      <c r="B195" s="49">
        <f>Design_Converter!B178*1000</f>
        <v>49900</v>
      </c>
      <c r="C195" s="31" t="s">
        <v>56</v>
      </c>
    </row>
    <row r="196" spans="1:5">
      <c r="A196" s="31" t="s">
        <v>422</v>
      </c>
      <c r="B196" s="53">
        <f>1/(2*PI()*B194*B192)</f>
        <v>3.5492078653614896E-8</v>
      </c>
      <c r="C196" s="31" t="s">
        <v>425</v>
      </c>
    </row>
    <row r="197" spans="1:5">
      <c r="A197" s="31" t="s">
        <v>421</v>
      </c>
      <c r="B197" s="49">
        <f>Design_Converter!B180*(10^-9)</f>
        <v>4.7000000000000007E-9</v>
      </c>
      <c r="C197" s="31" t="s">
        <v>425</v>
      </c>
    </row>
    <row r="198" spans="1:5">
      <c r="A198" s="31" t="s">
        <v>423</v>
      </c>
      <c r="B198" s="53">
        <f>1/(2*PI()*B194*B193)</f>
        <v>3.13505056587268E-11</v>
      </c>
      <c r="C198" s="31" t="s">
        <v>425</v>
      </c>
    </row>
    <row r="199" spans="1:5">
      <c r="A199" s="31" t="s">
        <v>424</v>
      </c>
      <c r="B199" s="49">
        <f>Design_Converter!B182*(10^-9)</f>
        <v>1.0000000000000002E-10</v>
      </c>
      <c r="C199" s="31" t="s">
        <v>425</v>
      </c>
    </row>
    <row r="200" spans="1:5">
      <c r="A200" s="31" t="s">
        <v>435</v>
      </c>
      <c r="B200" s="60">
        <f>1/(2*PI()*B195*B197)</f>
        <v>678.61230158996841</v>
      </c>
      <c r="C200" s="31" t="s">
        <v>87</v>
      </c>
    </row>
    <row r="201" spans="1:5">
      <c r="A201" s="31" t="s">
        <v>436</v>
      </c>
      <c r="B201" s="103">
        <f>1/(2*PI()*B195*B199)</f>
        <v>31894.778174728515</v>
      </c>
      <c r="C201" s="31" t="s">
        <v>87</v>
      </c>
    </row>
  </sheetData>
  <mergeCells count="13">
    <mergeCell ref="AD58:AO58"/>
    <mergeCell ref="AB4:AE4"/>
    <mergeCell ref="AF4:AI4"/>
    <mergeCell ref="AJ4:AM4"/>
    <mergeCell ref="P4:S4"/>
    <mergeCell ref="T4:W4"/>
    <mergeCell ref="X4:AA4"/>
    <mergeCell ref="A14:C14"/>
    <mergeCell ref="A6:C6"/>
    <mergeCell ref="A10:C10"/>
    <mergeCell ref="A63:C63"/>
    <mergeCell ref="A40:C40"/>
    <mergeCell ref="A21:C21"/>
  </mergeCells>
  <phoneticPr fontId="32"/>
  <conditionalFormatting sqref="D70">
    <cfRule type="cellIs" dxfId="0" priority="2" operator="equal">
      <formula>1</formula>
    </cfRule>
  </conditionalFormatting>
  <pageMargins left="0.7" right="0.7" top="0.75" bottom="0.75" header="0.3" footer="0.3"/>
  <pageSetup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3:CS228"/>
  <sheetViews>
    <sheetView zoomScaleNormal="100" workbookViewId="0">
      <selection activeCell="D8" sqref="D8"/>
    </sheetView>
  </sheetViews>
  <sheetFormatPr baseColWidth="10" defaultColWidth="8.83203125" defaultRowHeight="14"/>
  <cols>
    <col min="1" max="1" width="27.5" customWidth="1"/>
    <col min="2" max="2" width="11.6640625" customWidth="1"/>
    <col min="3" max="3" width="12" customWidth="1"/>
    <col min="4" max="4" width="11.83203125" customWidth="1"/>
    <col min="7" max="7" width="10.5" customWidth="1"/>
    <col min="8" max="8" width="9.5" customWidth="1"/>
    <col min="10" max="10" width="17.5" customWidth="1"/>
    <col min="13" max="13" width="16.33203125" customWidth="1"/>
    <col min="14" max="14" width="16" bestFit="1" customWidth="1"/>
    <col min="15" max="15" width="13.83203125" customWidth="1"/>
    <col min="18" max="18" width="17.5" customWidth="1"/>
    <col min="21" max="21" width="12" customWidth="1"/>
    <col min="32" max="32" width="13.5" bestFit="1" customWidth="1"/>
  </cols>
  <sheetData>
    <row r="3" spans="2:30">
      <c r="B3" t="s">
        <v>270</v>
      </c>
    </row>
    <row r="4" spans="2:30">
      <c r="B4" t="s">
        <v>271</v>
      </c>
    </row>
    <row r="5" spans="2:30">
      <c r="B5" s="213" t="s">
        <v>33</v>
      </c>
      <c r="C5" s="213"/>
      <c r="D5" s="202" t="s">
        <v>272</v>
      </c>
      <c r="E5" s="202"/>
      <c r="F5" s="202"/>
      <c r="G5" s="202" t="s">
        <v>276</v>
      </c>
      <c r="H5" s="202"/>
      <c r="I5" s="202"/>
      <c r="J5" s="202" t="s">
        <v>277</v>
      </c>
      <c r="K5" s="202"/>
      <c r="L5" s="202"/>
    </row>
    <row r="6" spans="2:30">
      <c r="B6" s="213"/>
      <c r="C6" s="213"/>
      <c r="D6" s="202"/>
      <c r="E6" s="202"/>
      <c r="F6" s="202"/>
      <c r="G6" s="202"/>
      <c r="H6" s="202"/>
      <c r="I6" s="202"/>
      <c r="J6" s="202"/>
      <c r="K6" s="202"/>
      <c r="L6" s="202"/>
    </row>
    <row r="7" spans="2:30" s="2" customFormat="1" ht="30">
      <c r="B7" s="71" t="s">
        <v>35</v>
      </c>
      <c r="C7" s="71" t="s">
        <v>34</v>
      </c>
      <c r="D7" s="72" t="s">
        <v>273</v>
      </c>
      <c r="E7" s="72" t="s">
        <v>274</v>
      </c>
      <c r="F7" s="72" t="s">
        <v>275</v>
      </c>
      <c r="G7" s="72" t="s">
        <v>273</v>
      </c>
      <c r="H7" s="72" t="s">
        <v>274</v>
      </c>
      <c r="I7" s="72" t="s">
        <v>275</v>
      </c>
      <c r="J7" s="72" t="s">
        <v>273</v>
      </c>
      <c r="K7" s="72" t="s">
        <v>274</v>
      </c>
      <c r="L7" s="72" t="s">
        <v>275</v>
      </c>
    </row>
    <row r="8" spans="2:30">
      <c r="B8" s="1">
        <v>1</v>
      </c>
      <c r="C8" s="1">
        <f>2*PI()*B8</f>
        <v>6.2831853071795862</v>
      </c>
      <c r="D8" s="73" t="str">
        <f>IMPRODUCT(COMPLEX(1/(Calculations!$B$136*(Rcs+(Calculations!$B$135/1000))),0),IMDIV(COMPLEX(1,0),COMPLEX(1,(C8*Lm)/(Rcs+(Calculations!$B$135/1000)))))</f>
        <v>3490.88393120717-9.37174472186017i</v>
      </c>
      <c r="E8" s="1">
        <f>20*LOG10(IMABS(D8))</f>
        <v>70.858739483574141</v>
      </c>
      <c r="F8" s="1">
        <f>IMARGUMENT(D8)*(180/PI())</f>
        <v>-0.15381781228399447</v>
      </c>
      <c r="G8" s="1" t="str">
        <f t="shared" ref="G8:G39" si="0">IMPRODUCT(COMPLEX(-(gm*Acs*Rcs)/(IL_Comp_Ccomp+IL_Comp_Chf),0),IMDIV(COMPLEX(1,C8*IL_Comp_Rcomp*IL_Comp_Ccomp),IMPRODUCT(COMPLEX(0,C8),COMPLEX(1,C8*IL_Comp_Rcomp*((IL_Comp_Ccomp*IL_Comp_Chf)/(IL_Comp_Ccomp+IL_Comp_Chf))))))</f>
        <v>-0.031266295761145+11.6222397439145i</v>
      </c>
      <c r="H8" s="1">
        <f>20*LOG(IMABS(G8))</f>
        <v>21.30582802753522</v>
      </c>
      <c r="I8" s="1">
        <f>IMARGUMENT(G8)*(180/PI())</f>
        <v>90.154137455942077</v>
      </c>
      <c r="J8" s="1" t="str">
        <f>IMPRODUCT(D8,G8)</f>
        <v>-0.22634548472773+40572.1829864107i</v>
      </c>
      <c r="K8" s="1">
        <f>20*LOG(IMABS(J8))</f>
        <v>92.16456751110934</v>
      </c>
      <c r="L8" s="1">
        <f>IMARGUMENT(J8)*(180/PI())</f>
        <v>90.000319643658088</v>
      </c>
      <c r="AA8" t="s">
        <v>87</v>
      </c>
      <c r="AB8" t="s">
        <v>293</v>
      </c>
      <c r="AC8" t="s">
        <v>294</v>
      </c>
      <c r="AD8" t="s">
        <v>274</v>
      </c>
    </row>
    <row r="9" spans="2:30">
      <c r="B9" s="1">
        <v>2</v>
      </c>
      <c r="C9" s="1">
        <f t="shared" ref="C9:C62" si="1">2*PI()*B9</f>
        <v>12.566370614359172</v>
      </c>
      <c r="D9" s="73" t="str">
        <f>IMPRODUCT(COMPLEX(1/(Calculations!$B$136*(Rcs+(Calculations!$B$135/1000))),0),IMDIV(COMPLEX(1,0),COMPLEX(1,(C9*Lm)/(Rcs+(Calculations!$B$135/1000)))))</f>
        <v>3490.80845427735-18.7430841878983i</v>
      </c>
      <c r="E9" s="1">
        <f t="shared" ref="E9:E62" si="2">20*LOG10(IMABS(D9))</f>
        <v>70.858645583091786</v>
      </c>
      <c r="F9" s="1">
        <f t="shared" ref="F9:F62" si="3">IMARGUMENT(D9)*(180/PI())</f>
        <v>-0.30763340740121742</v>
      </c>
      <c r="G9" s="1" t="str">
        <f t="shared" si="0"/>
        <v>-0.0312662957287149+5.81112074401098i</v>
      </c>
      <c r="H9" s="1">
        <f t="shared" ref="H9:H62" si="4">20*LOG(IMABS(G9))</f>
        <v>15.285323708823109</v>
      </c>
      <c r="I9" s="1">
        <f t="shared" ref="I9:I62" si="5">IMARGUMENT(G9)*(180/PI())</f>
        <v>90.308272634286325</v>
      </c>
      <c r="J9" s="1" t="str">
        <f t="shared" ref="J9:J62" si="6">IMPRODUCT(D9,G9)</f>
        <v>-0.226324132693762+20286.0954488331i</v>
      </c>
      <c r="K9" s="1">
        <f t="shared" ref="K9:K62" si="7">20*LOG(IMABS(J9))</f>
        <v>86.143969291914885</v>
      </c>
      <c r="L9" s="1">
        <f t="shared" ref="L9:L62" si="8">IMARGUMENT(J9)*(180/PI())</f>
        <v>90.000639226885099</v>
      </c>
      <c r="Y9" t="s">
        <v>290</v>
      </c>
      <c r="AA9">
        <f>Calculations!B137*1000</f>
        <v>372.49029234273371</v>
      </c>
      <c r="AB9">
        <f>2*PI()*AA9</f>
        <v>2340.4255319148933</v>
      </c>
      <c r="AC9" t="str">
        <f>IMPRODUCT(IMPRODUCT(COMPLEX(1/(Calculations!$B$136*(Rcs+(Calculations!$B$135/1000))),0),IMDIV(COMPLEX(1,0),COMPLEX(1,(AB9*Lm)/(Rcs+(Calculations!$B$135/1000))))),IMPRODUCT(COMPLEX(-(gm*Acs*Rcs)/(IL_Comp_Ccomp+IL_Comp_Chf),0),IMDIV(COMPLEX(1,AB9*IL_Comp_Rcomp*IL_Comp_Ccomp),IMPRODUCT(COMPLEX(0,AB9),COMPLEX(1,AB9*IL_Comp_Rcomp*((IL_Comp_Ccomp*IL_Comp_Chf)/(IL_Comp_Ccomp+IL_Comp_Chf)))))))</f>
        <v>0.267409236077853+109.409969680148i</v>
      </c>
      <c r="AD9">
        <f>20*LOG10(IMABS(AC9))</f>
        <v>40.781163896731982</v>
      </c>
    </row>
    <row r="10" spans="2:30">
      <c r="B10" s="1">
        <v>3</v>
      </c>
      <c r="C10" s="1">
        <f t="shared" si="1"/>
        <v>18.849555921538759</v>
      </c>
      <c r="D10" s="73" t="str">
        <f>IMPRODUCT(COMPLEX(1/(Calculations!$B$136*(Rcs+(Calculations!$B$135/1000))),0),IMDIV(COMPLEX(1,0),COMPLEX(1,(C10*Lm)/(Rcs+(Calculations!$B$135/1000)))))</f>
        <v>3490.68266664694-28.1136132007041i</v>
      </c>
      <c r="E10" s="1">
        <f t="shared" si="2"/>
        <v>70.858489086799409</v>
      </c>
      <c r="F10" s="1">
        <f t="shared" si="3"/>
        <v>-0.46144456837664133</v>
      </c>
      <c r="G10" s="1" t="str">
        <f t="shared" si="0"/>
        <v>-0.0312662956746647+3.87408146495594i</v>
      </c>
      <c r="H10" s="1">
        <f t="shared" si="4"/>
        <v>11.763657847312514</v>
      </c>
      <c r="I10" s="1">
        <f t="shared" si="5"/>
        <v>90.462403257635387</v>
      </c>
      <c r="J10" s="1" t="str">
        <f t="shared" si="6"/>
        <v>-0.22628854802187+13524.0680274427i</v>
      </c>
      <c r="K10" s="1">
        <f t="shared" si="7"/>
        <v>82.622146934111939</v>
      </c>
      <c r="L10" s="1">
        <f t="shared" si="8"/>
        <v>90.000958689258752</v>
      </c>
      <c r="Y10" t="s">
        <v>291</v>
      </c>
      <c r="AA10">
        <f>Calculations!B149*1000</f>
        <v>369.16622539407894</v>
      </c>
      <c r="AB10">
        <f t="shared" ref="AB10:AB11" si="9">2*PI()*AA10</f>
        <v>2319.5398033030242</v>
      </c>
      <c r="AC10" t="str">
        <f>IMPRODUCT(IMPRODUCT(COMPLEX(1/(Calculations!$B$136*(Rcs+(Calculations!$B$135/1000))),0),IMDIV(COMPLEX(1,0),COMPLEX(1,(AB10*Lm)/(Rcs+(Calculations!$B$135/1000))))),IMPRODUCT(COMPLEX(-(gm*Acs*Rcs)/(IL_Comp_Ccomp+IL_Comp_Chf),0),IMDIV(COMPLEX(1,AB10*IL_Comp_Rcomp*IL_Comp_Ccomp),IMPRODUCT(COMPLEX(0,AB10),COMPLEX(1,AB10*IL_Comp_Rcomp*((IL_Comp_Ccomp*IL_Comp_Chf)/(IL_Comp_Ccomp+IL_Comp_Chf)))))))</f>
        <v>0.262983615356504+110.390753373595i</v>
      </c>
      <c r="AD10">
        <f t="shared" ref="AD10:AD11" si="10">20*LOG10(IMABS(AC10))</f>
        <v>40.85867859247994</v>
      </c>
    </row>
    <row r="11" spans="2:30">
      <c r="B11" s="1">
        <v>4</v>
      </c>
      <c r="C11" s="1">
        <f t="shared" si="1"/>
        <v>25.132741228718345</v>
      </c>
      <c r="D11" s="73" t="str">
        <f>IMPRODUCT(COMPLEX(1/(Calculations!$B$136*(Rcs+(Calculations!$B$135/1000))),0),IMDIV(COMPLEX(1,0),COMPLEX(1,(C11*Lm)/(Rcs+(Calculations!$B$135/1000)))))</f>
        <v>3490.50657919321-37.4829266796735i</v>
      </c>
      <c r="E11" s="1">
        <f t="shared" si="2"/>
        <v>70.858270001463637</v>
      </c>
      <c r="F11" s="1">
        <f t="shared" si="3"/>
        <v>-0.61524907861869493</v>
      </c>
      <c r="G11" s="1" t="str">
        <f t="shared" si="0"/>
        <v>-0.0312662955989946+2.90556211611301i</v>
      </c>
      <c r="H11" s="1">
        <f t="shared" si="4"/>
        <v>9.265106152771402</v>
      </c>
      <c r="I11" s="1">
        <f t="shared" si="5"/>
        <v>90.616527048993021</v>
      </c>
      <c r="J11" s="1" t="str">
        <f t="shared" si="6"/>
        <v>-0.226238733789458+10143.0556348125i</v>
      </c>
      <c r="K11" s="1">
        <f t="shared" si="7"/>
        <v>80.123376154235046</v>
      </c>
      <c r="L11" s="1">
        <f t="shared" si="8"/>
        <v>90.001277970374318</v>
      </c>
      <c r="Y11" t="s">
        <v>292</v>
      </c>
      <c r="AA11">
        <f>Calculations!B150*1000</f>
        <v>53411.28367403696</v>
      </c>
      <c r="AB11">
        <f t="shared" si="9"/>
        <v>335592.99281830993</v>
      </c>
      <c r="AC11" t="str">
        <f>IMPRODUCT(IMPRODUCT(COMPLEX(1/(Calculations!$B$136*(Rcs+(Calculations!$B$135/1000))),0),IMDIV(COMPLEX(1,0),COMPLEX(1,(AB11*Lm)/(Rcs+(Calculations!$B$135/1000))))),IMPRODUCT(COMPLEX(-(gm*Acs*Rcs)/(IL_Comp_Ccomp+IL_Comp_Chf),0),IMDIV(COMPLEX(1,AB11*IL_Comp_Rcomp*IL_Comp_Ccomp),IMPRODUCT(COMPLEX(0,AB11),COMPLEX(1,AB11*IL_Comp_Rcomp*((IL_Comp_Ccomp*IL_Comp_Chf)/(IL_Comp_Ccomp+IL_Comp_Chf)))))))</f>
        <v>0.383195700871278+0.385892287487853i</v>
      </c>
      <c r="AD11">
        <f t="shared" si="10"/>
        <v>-5.2907259951790309</v>
      </c>
    </row>
    <row r="12" spans="2:30">
      <c r="B12" s="1">
        <v>5</v>
      </c>
      <c r="C12" s="1">
        <f t="shared" si="1"/>
        <v>31.415926535897931</v>
      </c>
      <c r="D12" s="73" t="str">
        <f>IMPRODUCT(COMPLEX(1/(Calculations!$B$136*(Rcs+(Calculations!$B$135/1000))),0),IMDIV(COMPLEX(1,0),COMPLEX(1,(C12*Lm)/(Rcs+(Calculations!$B$135/1000)))))</f>
        <v>3490.28020714108-46.8506197193674i</v>
      </c>
      <c r="E12" s="1">
        <f t="shared" si="2"/>
        <v>70.857988336556403</v>
      </c>
      <c r="F12" s="1">
        <f t="shared" si="3"/>
        <v>-0.76904472211087804</v>
      </c>
      <c r="G12" s="1" t="str">
        <f t="shared" si="0"/>
        <v>-0.031266295501704+2.32445073935491i</v>
      </c>
      <c r="H12" s="1">
        <f t="shared" si="4"/>
        <v>7.3271926384393193</v>
      </c>
      <c r="I12" s="1">
        <f t="shared" si="5"/>
        <v>90.770641731964304</v>
      </c>
      <c r="J12" s="1" t="str">
        <f t="shared" si="6"/>
        <v>-0.226174694302372+8114.44925336548i</v>
      </c>
      <c r="K12" s="1">
        <f t="shared" si="7"/>
        <v>78.185180974995717</v>
      </c>
      <c r="L12" s="1">
        <f t="shared" si="8"/>
        <v>90.001597009853427</v>
      </c>
    </row>
    <row r="13" spans="2:30">
      <c r="B13" s="1">
        <v>6</v>
      </c>
      <c r="C13" s="1">
        <f t="shared" si="1"/>
        <v>37.699111843077517</v>
      </c>
      <c r="D13" s="73" t="str">
        <f>IMPRODUCT(COMPLEX(1/(Calculations!$B$136*(Rcs+(Calculations!$B$135/1000))),0),IMDIV(COMPLEX(1,0),COMPLEX(1,(C13*Lm)/(Rcs+(Calculations!$B$135/1000)))))</f>
        <v>3490.00357005977-56.2162876478169i</v>
      </c>
      <c r="E13" s="1">
        <f t="shared" si="2"/>
        <v>70.857644104253524</v>
      </c>
      <c r="F13" s="1">
        <f t="shared" si="3"/>
        <v>-0.92282928360325778</v>
      </c>
      <c r="G13" s="1" t="str">
        <f t="shared" si="0"/>
        <v>-0.0312662953827936+1.93704334863922i</v>
      </c>
      <c r="H13" s="1">
        <f t="shared" si="4"/>
        <v>5.743918158899799</v>
      </c>
      <c r="I13" s="1">
        <f t="shared" si="5"/>
        <v>90.924745030956146</v>
      </c>
      <c r="J13" s="1" t="str">
        <f t="shared" si="6"/>
        <v>-0.226096435100118+6762.04587716633i</v>
      </c>
      <c r="K13" s="1">
        <f t="shared" si="7"/>
        <v>76.601562263153326</v>
      </c>
      <c r="L13" s="1">
        <f t="shared" si="8"/>
        <v>90.001915747352896</v>
      </c>
    </row>
    <row r="14" spans="2:30">
      <c r="B14" s="1">
        <v>7</v>
      </c>
      <c r="C14" s="1">
        <f t="shared" si="1"/>
        <v>43.982297150257104</v>
      </c>
      <c r="D14" s="73" t="str">
        <f>IMPRODUCT(COMPLEX(1/(Calculations!$B$136*(Rcs+(Calculations!$B$135/1000))),0),IMDIV(COMPLEX(1,0),COMPLEX(1,(C14*Lm)/(Rcs+(Calculations!$B$135/1000)))))</f>
        <v>3489.67669185862-65.5795260847606i</v>
      </c>
      <c r="E14" s="1">
        <f t="shared" si="2"/>
        <v>70.857237319433054</v>
      </c>
      <c r="F14" s="1">
        <f t="shared" si="3"/>
        <v>-1.0766005488038277</v>
      </c>
      <c r="G14" s="1" t="str">
        <f t="shared" si="0"/>
        <v>-0.0312662952422628+1.66032394994777i</v>
      </c>
      <c r="H14" s="1">
        <f t="shared" si="4"/>
        <v>4.4053964878635403</v>
      </c>
      <c r="I14" s="1">
        <f t="shared" si="5"/>
        <v>91.078834671377166</v>
      </c>
      <c r="J14" s="1" t="str">
        <f t="shared" si="6"/>
        <v>-0.226003962942016+5796.04421789178i</v>
      </c>
      <c r="K14" s="1">
        <f t="shared" si="7"/>
        <v>75.262633807296581</v>
      </c>
      <c r="L14" s="1">
        <f t="shared" si="8"/>
        <v>90.002234122573327</v>
      </c>
    </row>
    <row r="15" spans="2:30">
      <c r="B15" s="1">
        <v>8</v>
      </c>
      <c r="C15" s="1">
        <f t="shared" si="1"/>
        <v>50.26548245743669</v>
      </c>
      <c r="D15" s="73" t="str">
        <f>IMPRODUCT(COMPLEX(1/(Calculations!$B$136*(Rcs+(Calculations!$B$135/1000))),0),IMDIV(COMPLEX(1,0),COMPLEX(1,(C15*Lm)/(Rcs+(Calculations!$B$135/1000)))))</f>
        <v>3489.2996007819-74.9399309997877i</v>
      </c>
      <c r="E15" s="1">
        <f t="shared" si="2"/>
        <v>70.856767999672996</v>
      </c>
      <c r="F15" s="1">
        <f t="shared" si="3"/>
        <v>-1.230356304569574</v>
      </c>
      <c r="G15" s="1" t="str">
        <f t="shared" si="0"/>
        <v>-0.0312662950801122+1.45278454627145i</v>
      </c>
      <c r="H15" s="1">
        <f t="shared" si="4"/>
        <v>3.2460353318293262</v>
      </c>
      <c r="I15" s="1">
        <f t="shared" si="5"/>
        <v>91.232908379837681</v>
      </c>
      <c r="J15" s="1" t="str">
        <f t="shared" si="6"/>
        <v>-0.225897285824246+5071.54363132301i</v>
      </c>
      <c r="K15" s="1">
        <f t="shared" si="7"/>
        <v>74.102803331502315</v>
      </c>
      <c r="L15" s="1">
        <f t="shared" si="8"/>
        <v>90.002552075268113</v>
      </c>
    </row>
    <row r="16" spans="2:30">
      <c r="B16" s="1">
        <v>9</v>
      </c>
      <c r="C16" s="1">
        <f t="shared" si="1"/>
        <v>56.548667764616276</v>
      </c>
      <c r="D16" s="73" t="str">
        <f>IMPRODUCT(COMPLEX(1/(Calculations!$B$136*(Rcs+(Calculations!$B$135/1000))),0),IMDIV(COMPLEX(1,0),COMPLEX(1,(C16*Lm)/(Rcs+(Calculations!$B$135/1000)))))</f>
        <v>3488.87232940274-84.297098770384i</v>
      </c>
      <c r="E16" s="1">
        <f t="shared" si="2"/>
        <v>70.85623616524893</v>
      </c>
      <c r="F16" s="1">
        <f t="shared" si="3"/>
        <v>-1.384094339097421</v>
      </c>
      <c r="G16" s="1" t="str">
        <f t="shared" si="0"/>
        <v>-0.0312662948963414+1.2913651392719i</v>
      </c>
      <c r="H16" s="1">
        <f t="shared" si="4"/>
        <v>2.2235263073296787</v>
      </c>
      <c r="I16" s="1">
        <f t="shared" si="5"/>
        <v>91.386963884349271</v>
      </c>
      <c r="J16" s="1" t="str">
        <f t="shared" si="6"/>
        <v>-0.225776412957558+4508.04375951011i</v>
      </c>
      <c r="K16" s="1">
        <f t="shared" si="7"/>
        <v>73.079762472578608</v>
      </c>
      <c r="L16" s="1">
        <f t="shared" si="8"/>
        <v>90.002869545251855</v>
      </c>
    </row>
    <row r="17" spans="2:12">
      <c r="B17" s="1">
        <v>10</v>
      </c>
      <c r="C17" s="1">
        <f t="shared" si="1"/>
        <v>62.831853071795862</v>
      </c>
      <c r="D17" s="73" t="str">
        <f>IMPRODUCT(COMPLEX(1/(Calculations!$B$136*(Rcs+(Calculations!$B$135/1000))),0),IMDIV(COMPLEX(1,0),COMPLEX(1,(C17*Lm)/(Rcs+(Calculations!$B$135/1000)))))</f>
        <v>3488.39491461604-93.6506262398463i</v>
      </c>
      <c r="E17" s="1">
        <f t="shared" si="2"/>
        <v>70.855641839130925</v>
      </c>
      <c r="F17" s="1">
        <f t="shared" si="3"/>
        <v>-1.5378124421147814</v>
      </c>
      <c r="G17" s="1" t="str">
        <f t="shared" si="0"/>
        <v>-0.0312662946909505+1.16222972994608i</v>
      </c>
      <c r="H17" s="1">
        <f t="shared" si="4"/>
        <v>1.3089815376846508</v>
      </c>
      <c r="I17" s="1">
        <f t="shared" si="5"/>
        <v>91.540998914524138</v>
      </c>
      <c r="J17" s="1" t="str">
        <f t="shared" si="6"/>
        <v>-0.225641354780365+4057.24438763749i</v>
      </c>
      <c r="K17" s="1">
        <f t="shared" si="7"/>
        <v>72.164623376815598</v>
      </c>
      <c r="L17" s="1">
        <f t="shared" si="8"/>
        <v>90.00318647240934</v>
      </c>
    </row>
    <row r="18" spans="2:12">
      <c r="B18" s="1">
        <v>20</v>
      </c>
      <c r="C18" s="1">
        <f t="shared" si="1"/>
        <v>125.66370614359172</v>
      </c>
      <c r="D18" s="73" t="str">
        <f>IMPRODUCT(COMPLEX(1/(Calculations!$B$136*(Rcs+(Calculations!$B$135/1000))),0),IMDIV(COMPLEX(1,0),COMPLEX(1,(C18*Lm)/(Rcs+(Calculations!$B$135/1000)))))</f>
        <v>3480.87406761146-186.897438089939i</v>
      </c>
      <c r="E18" s="1">
        <f t="shared" si="2"/>
        <v>70.846268507065346</v>
      </c>
      <c r="F18" s="1">
        <f t="shared" si="3"/>
        <v>-3.0734124531879621</v>
      </c>
      <c r="G18" s="1" t="str">
        <f t="shared" si="0"/>
        <v>-0.0312662914479371+0.581123585509149i</v>
      </c>
      <c r="H18" s="1">
        <f t="shared" si="4"/>
        <v>-4.702076244618933</v>
      </c>
      <c r="I18" s="1">
        <f t="shared" si="5"/>
        <v>93.079725183815086</v>
      </c>
      <c r="J18" s="1" t="str">
        <f t="shared" si="6"/>
        <v>-0.223513746206677+2028.66160864638i</v>
      </c>
      <c r="K18" s="1">
        <f t="shared" si="7"/>
        <v>66.14419226244641</v>
      </c>
      <c r="L18" s="1">
        <f t="shared" si="8"/>
        <v>90.006312730627116</v>
      </c>
    </row>
    <row r="19" spans="2:12">
      <c r="B19" s="1">
        <v>30</v>
      </c>
      <c r="C19" s="1">
        <f t="shared" si="1"/>
        <v>188.49555921538757</v>
      </c>
      <c r="D19" s="73" t="str">
        <f>IMPRODUCT(COMPLEX(1/(Calculations!$B$136*(Rcs+(Calculations!$B$135/1000))),0),IMDIV(COMPLEX(1,0),COMPLEX(1,(C19*Lm)/(Rcs+(Calculations!$B$135/1000)))))</f>
        <v>3468.41112973974-279.34240443628i</v>
      </c>
      <c r="E19" s="1">
        <f t="shared" si="2"/>
        <v>70.830691103648519</v>
      </c>
      <c r="F19" s="1">
        <f t="shared" si="3"/>
        <v>-4.6046066408268533</v>
      </c>
      <c r="G19" s="1" t="str">
        <f t="shared" si="0"/>
        <v>-0.0312662860429161+0.387425413154656i</v>
      </c>
      <c r="H19" s="1">
        <f t="shared" si="4"/>
        <v>-8.2080443212685097</v>
      </c>
      <c r="I19" s="1">
        <f t="shared" si="5"/>
        <v>94.61392607142443</v>
      </c>
      <c r="J19" s="1" t="str">
        <f t="shared" si="6"/>
        <v>-0.21998804653569+1352.48461445065i</v>
      </c>
      <c r="K19" s="1">
        <f t="shared" si="7"/>
        <v>62.622646782380031</v>
      </c>
      <c r="L19" s="1">
        <f t="shared" si="8"/>
        <v>90.009319430597586</v>
      </c>
    </row>
    <row r="20" spans="2:12">
      <c r="B20" s="1">
        <v>40</v>
      </c>
      <c r="C20" s="1">
        <f t="shared" si="1"/>
        <v>251.32741228718345</v>
      </c>
      <c r="D20" s="73" t="str">
        <f>IMPRODUCT(COMPLEX(1/(Calculations!$B$136*(Rcs+(Calculations!$B$135/1000))),0),IMDIV(COMPLEX(1,0),COMPLEX(1,(C20*Lm)/(Rcs+(Calculations!$B$135/1000)))))</f>
        <v>3451.11220006195-370.598887649563i</v>
      </c>
      <c r="E20" s="1">
        <f t="shared" si="2"/>
        <v>70.808976181981734</v>
      </c>
      <c r="F20" s="1">
        <f t="shared" si="3"/>
        <v>-6.1292392822041633</v>
      </c>
      <c r="G20" s="1" t="str">
        <f t="shared" si="0"/>
        <v>-0.0312662784758902+0.290579233817756i</v>
      </c>
      <c r="H20" s="1">
        <f t="shared" si="4"/>
        <v>-10.684715937366844</v>
      </c>
      <c r="I20" s="1">
        <f t="shared" si="5"/>
        <v>96.141388224467946</v>
      </c>
      <c r="J20" s="1" t="str">
        <f t="shared" si="6"/>
        <v>-0.215094271756342+1014.40878693722i</v>
      </c>
      <c r="K20" s="1">
        <f t="shared" si="7"/>
        <v>60.124260244614909</v>
      </c>
      <c r="L20" s="1">
        <f t="shared" si="8"/>
        <v>90.012148942263778</v>
      </c>
    </row>
    <row r="21" spans="2:12">
      <c r="B21" s="1">
        <v>50</v>
      </c>
      <c r="C21" s="1">
        <f t="shared" si="1"/>
        <v>314.15926535897933</v>
      </c>
      <c r="D21" s="73" t="str">
        <f>IMPRODUCT(COMPLEX(1/(Calculations!$B$136*(Rcs+(Calculations!$B$135/1000))),0),IMDIV(COMPLEX(1,0),COMPLEX(1,(C21*Lm)/(Rcs+(Calculations!$B$135/1000)))))</f>
        <v>3429.12265969938-460.296916482352i</v>
      </c>
      <c r="E21" s="1">
        <f t="shared" si="2"/>
        <v>70.781215593134135</v>
      </c>
      <c r="F21" s="1">
        <f t="shared" si="3"/>
        <v>-7.6452101557128476</v>
      </c>
      <c r="G21" s="1" t="str">
        <f t="shared" si="0"/>
        <v>-0.0312662687468618+0.232473851684515i</v>
      </c>
      <c r="H21" s="1">
        <f t="shared" si="4"/>
        <v>-12.594662220896158</v>
      </c>
      <c r="I21" s="1">
        <f t="shared" si="5"/>
        <v>97.659956297948312</v>
      </c>
      <c r="J21" s="1" t="str">
        <f t="shared" si="6"/>
        <v>-0.208873550956454+811.573119693052i</v>
      </c>
      <c r="K21" s="1">
        <f t="shared" si="7"/>
        <v>58.18655337223796</v>
      </c>
      <c r="L21" s="1">
        <f t="shared" si="8"/>
        <v>90.014746142235467</v>
      </c>
    </row>
    <row r="22" spans="2:12">
      <c r="B22" s="1">
        <v>60</v>
      </c>
      <c r="C22" s="1">
        <f t="shared" si="1"/>
        <v>376.99111843077515</v>
      </c>
      <c r="D22" s="73" t="str">
        <f>IMPRODUCT(COMPLEX(1/(Calculations!$B$136*(Rcs+(Calculations!$B$135/1000))),0),IMDIV(COMPLEX(1,0),COMPLEX(1,(C22*Lm)/(Rcs+(Calculations!$B$135/1000)))))</f>
        <v>3402.62416338664-548.087974371557i</v>
      </c>
      <c r="E22" s="1">
        <f t="shared" si="2"/>
        <v>70.747525209876358</v>
      </c>
      <c r="F22" s="1">
        <f t="shared" si="3"/>
        <v>-9.1504912132093867</v>
      </c>
      <c r="G22" s="1" t="str">
        <f t="shared" si="0"/>
        <v>-0.0312662568558355+0.193738868149486i</v>
      </c>
      <c r="H22" s="1">
        <f t="shared" si="4"/>
        <v>-14.14400229970105</v>
      </c>
      <c r="I22" s="1">
        <f t="shared" si="5"/>
        <v>99.167550346147678</v>
      </c>
      <c r="J22" s="1" t="str">
        <f t="shared" si="6"/>
        <v>-0.201377275229106+676.357213538915i</v>
      </c>
      <c r="K22" s="1">
        <f t="shared" si="7"/>
        <v>56.6035229101753</v>
      </c>
      <c r="L22" s="1">
        <f t="shared" si="8"/>
        <v>90.017059132938272</v>
      </c>
    </row>
    <row r="23" spans="2:12">
      <c r="B23" s="1">
        <v>70</v>
      </c>
      <c r="C23" s="1">
        <f t="shared" si="1"/>
        <v>439.82297150257102</v>
      </c>
      <c r="D23" s="73" t="str">
        <f>IMPRODUCT(COMPLEX(1/(Calculations!$B$136*(Rcs+(Calculations!$B$135/1000))),0),IMDIV(COMPLEX(1,0),COMPLEX(1,(C23*Lm)/(Rcs+(Calculations!$B$135/1000)))))</f>
        <v>3371.83097400471-633.649179676224i</v>
      </c>
      <c r="E23" s="1">
        <f t="shared" si="2"/>
        <v>70.708043350265044</v>
      </c>
      <c r="F23" s="1">
        <f t="shared" si="3"/>
        <v>-10.643141777292872</v>
      </c>
      <c r="G23" s="1" t="str">
        <f t="shared" si="0"/>
        <v>-0.031266242802816+0.166072683809645i</v>
      </c>
      <c r="H23" s="1">
        <f t="shared" si="4"/>
        <v>-15.442765563409894</v>
      </c>
      <c r="I23" s="1">
        <f t="shared" si="5"/>
        <v>100.66218164685397</v>
      </c>
      <c r="J23" s="1" t="str">
        <f t="shared" si="6"/>
        <v>-0.192666060676359+579.780848309013i</v>
      </c>
      <c r="K23" s="1">
        <f t="shared" si="7"/>
        <v>55.265277786855137</v>
      </c>
      <c r="L23" s="1">
        <f t="shared" si="8"/>
        <v>90.019039869561098</v>
      </c>
    </row>
    <row r="24" spans="2:12">
      <c r="B24" s="1">
        <v>80</v>
      </c>
      <c r="C24" s="1">
        <f t="shared" si="1"/>
        <v>502.6548245743669</v>
      </c>
      <c r="D24" s="73" t="str">
        <f>IMPRODUCT(COMPLEX(1/(Calculations!$B$136*(Rcs+(Calculations!$B$135/1000))),0),IMDIV(COMPLEX(1,0),COMPLEX(1,(C24*Lm)/(Rcs+(Calculations!$B$135/1000)))))</f>
        <v>3336.98577467408-716.686763284273i</v>
      </c>
      <c r="E24" s="1">
        <f t="shared" si="2"/>
        <v>70.662928945024802</v>
      </c>
      <c r="F24" s="1">
        <f t="shared" si="3"/>
        <v>-12.121322003159664</v>
      </c>
      <c r="G24" s="1" t="str">
        <f t="shared" si="0"/>
        <v>-0.0312662265878094+0.145324498962877i</v>
      </c>
      <c r="H24" s="1">
        <f t="shared" si="4"/>
        <v>-16.556708721379604</v>
      </c>
      <c r="I24" s="1">
        <f t="shared" si="5"/>
        <v>102.1419666837028</v>
      </c>
      <c r="J24" s="1" t="str">
        <f t="shared" si="6"/>
        <v>-0.182808563643462+507.353876484088i</v>
      </c>
      <c r="K24" s="1">
        <f t="shared" si="7"/>
        <v>54.106220223645202</v>
      </c>
      <c r="L24" s="1">
        <f t="shared" si="8"/>
        <v>90.020644680543128</v>
      </c>
    </row>
    <row r="25" spans="2:12">
      <c r="B25" s="1">
        <v>90</v>
      </c>
      <c r="C25" s="1">
        <f t="shared" si="1"/>
        <v>565.48667764616278</v>
      </c>
      <c r="D25" s="73" t="str">
        <f>IMPRODUCT(COMPLEX(1/(Calculations!$B$136*(Rcs+(Calculations!$B$135/1000))),0),IMDIV(COMPLEX(1,0),COMPLEX(1,(C25*Lm)/(Rcs+(Calculations!$B$135/1000)))))</f>
        <v>3298.35510557957-796.938780968347i</v>
      </c>
      <c r="E25" s="1">
        <f t="shared" si="2"/>
        <v>70.612359497936112</v>
      </c>
      <c r="F25" s="1">
        <f t="shared" si="3"/>
        <v>-13.583304406944601</v>
      </c>
      <c r="G25" s="1" t="str">
        <f t="shared" si="0"/>
        <v>-0.0312662082108222+0.129188313774138i</v>
      </c>
      <c r="H25" s="1">
        <f t="shared" si="4"/>
        <v>-17.528323681557652</v>
      </c>
      <c r="I25" s="1">
        <f t="shared" si="5"/>
        <v>103.60513907915809</v>
      </c>
      <c r="J25" s="1" t="str">
        <f t="shared" si="6"/>
        <v>-0.17188018976141+451.026188175179i</v>
      </c>
      <c r="K25" s="1">
        <f t="shared" si="7"/>
        <v>53.084035816378474</v>
      </c>
      <c r="L25" s="1">
        <f t="shared" si="8"/>
        <v>90.021834672213487</v>
      </c>
    </row>
    <row r="26" spans="2:12">
      <c r="B26" s="1">
        <v>100</v>
      </c>
      <c r="C26" s="1">
        <f t="shared" si="1"/>
        <v>628.31853071795865</v>
      </c>
      <c r="D26" s="73" t="str">
        <f>IMPRODUCT(COMPLEX(1/(Calculations!$B$136*(Rcs+(Calculations!$B$135/1000))),0),IMDIV(COMPLEX(1,0),COMPLEX(1,(C26*Lm)/(Rcs+(Calculations!$B$135/1000)))))</f>
        <v>3256.22457732793-874.177030721601i</v>
      </c>
      <c r="E26" s="1">
        <f t="shared" si="2"/>
        <v>70.556528891521623</v>
      </c>
      <c r="F26" s="1">
        <f t="shared" si="3"/>
        <v>-15.0274833286113</v>
      </c>
      <c r="G26" s="1" t="str">
        <f t="shared" si="0"/>
        <v>-0.0312661876718619+0.116280528341918i</v>
      </c>
      <c r="H26" s="1">
        <f t="shared" si="4"/>
        <v>-18.386698650123709</v>
      </c>
      <c r="I26" s="1">
        <f t="shared" si="5"/>
        <v>105.05005934182329</v>
      </c>
      <c r="J26" s="1" t="str">
        <f t="shared" si="6"/>
        <v>-0.159961739787406+405.967697352603i</v>
      </c>
      <c r="K26" s="1">
        <f t="shared" si="7"/>
        <v>52.169830241397918</v>
      </c>
      <c r="L26" s="1">
        <f t="shared" si="8"/>
        <v>90.022576013211989</v>
      </c>
    </row>
    <row r="27" spans="2:12">
      <c r="B27" s="1">
        <v>200</v>
      </c>
      <c r="C27" s="1">
        <f t="shared" si="1"/>
        <v>1256.6370614359173</v>
      </c>
      <c r="D27" s="73" t="str">
        <f>IMPRODUCT(COMPLEX(1/(Calculations!$B$136*(Rcs+(Calculations!$B$135/1000))),0),IMDIV(COMPLEX(1,0),COMPLEX(1,(C27*Lm)/(Rcs+(Calculations!$B$135/1000)))))</f>
        <v>2709.72234490623-1454.92239696436i</v>
      </c>
      <c r="E27" s="1">
        <f t="shared" si="2"/>
        <v>69.758633318354498</v>
      </c>
      <c r="F27" s="1">
        <f t="shared" si="3"/>
        <v>-28.232540579888305</v>
      </c>
      <c r="G27" s="1" t="str">
        <f t="shared" si="0"/>
        <v>-0.0312658633760672+0.0582274680396584i</v>
      </c>
      <c r="H27" s="1">
        <f t="shared" si="4"/>
        <v>-23.597181411607664</v>
      </c>
      <c r="I27" s="1">
        <f t="shared" si="5"/>
        <v>118.23405176052094</v>
      </c>
      <c r="J27" s="1" t="str">
        <f t="shared" si="6"/>
        <v>-0.00536125348918404+203.269676120644i</v>
      </c>
      <c r="K27" s="1">
        <f t="shared" si="7"/>
        <v>46.161451906746855</v>
      </c>
      <c r="L27" s="1">
        <f t="shared" si="8"/>
        <v>90.001511180632647</v>
      </c>
    </row>
    <row r="28" spans="2:12">
      <c r="B28" s="1">
        <v>300</v>
      </c>
      <c r="C28" s="1">
        <f t="shared" si="1"/>
        <v>1884.9555921538758</v>
      </c>
      <c r="D28" s="73" t="str">
        <f>IMPRODUCT(COMPLEX(1/(Calculations!$B$136*(Rcs+(Calculations!$B$135/1000))),0),IMDIV(COMPLEX(1,0),COMPLEX(1,(C28*Lm)/(Rcs+(Calculations!$B$135/1000)))))</f>
        <v>2117.43076483608-1705.35781068447i</v>
      </c>
      <c r="E28" s="1">
        <f t="shared" si="2"/>
        <v>68.687477580036784</v>
      </c>
      <c r="F28" s="1">
        <f t="shared" si="3"/>
        <v>-38.847625293243858</v>
      </c>
      <c r="G28" s="1" t="str">
        <f t="shared" si="0"/>
        <v>-0.0312653228980252+0.0389152025339687i</v>
      </c>
      <c r="H28" s="1">
        <f t="shared" si="4"/>
        <v>-26.034670538031083</v>
      </c>
      <c r="I28" s="1">
        <f t="shared" si="5"/>
        <v>128.7791551632229</v>
      </c>
      <c r="J28" s="1" t="str">
        <f t="shared" si="6"/>
        <v>0.162188018859084+135.718809672972i</v>
      </c>
      <c r="K28" s="1">
        <f t="shared" si="7"/>
        <v>42.652807042005733</v>
      </c>
      <c r="L28" s="1">
        <f t="shared" si="8"/>
        <v>89.93152986997903</v>
      </c>
    </row>
    <row r="29" spans="2:12">
      <c r="B29" s="1">
        <v>400</v>
      </c>
      <c r="C29" s="1">
        <f t="shared" si="1"/>
        <v>2513.2741228718346</v>
      </c>
      <c r="D29" s="73" t="str">
        <f>IMPRODUCT(COMPLEX(1/(Calculations!$B$136*(Rcs+(Calculations!$B$135/1000))),0),IMDIV(COMPLEX(1,0),COMPLEX(1,(C29*Lm)/(Rcs+(Calculations!$B$135/1000)))))</f>
        <v>1621.29472868914-1741.03300087871i</v>
      </c>
      <c r="E29" s="1">
        <f t="shared" si="2"/>
        <v>67.528005098927565</v>
      </c>
      <c r="F29" s="1">
        <f t="shared" si="3"/>
        <v>-47.039539346060991</v>
      </c>
      <c r="G29" s="1" t="str">
        <f t="shared" si="0"/>
        <v>-0.0312645662601583+0.0292881327127372i</v>
      </c>
      <c r="H29" s="1">
        <f t="shared" si="4"/>
        <v>-27.363005500510464</v>
      </c>
      <c r="I29" s="1">
        <f t="shared" si="5"/>
        <v>136.86946435113433</v>
      </c>
      <c r="J29" s="1" t="str">
        <f t="shared" si="6"/>
        <v>0.302529114643782+101.917336797403i</v>
      </c>
      <c r="K29" s="1">
        <f t="shared" si="7"/>
        <v>40.164999598417062</v>
      </c>
      <c r="L29" s="1">
        <f t="shared" si="8"/>
        <v>89.829925005073349</v>
      </c>
    </row>
    <row r="30" spans="2:12">
      <c r="B30" s="1">
        <v>500</v>
      </c>
      <c r="C30" s="1">
        <f t="shared" si="1"/>
        <v>3141.5926535897929</v>
      </c>
      <c r="D30" s="73" t="str">
        <f>IMPRODUCT(COMPLEX(1/(Calculations!$B$136*(Rcs+(Calculations!$B$135/1000))),0),IMDIV(COMPLEX(1,0),COMPLEX(1,(C30*Lm)/(Rcs+(Calculations!$B$135/1000)))))</f>
        <v>1245.94580466055-1672.45406158684i</v>
      </c>
      <c r="E30" s="1">
        <f t="shared" si="2"/>
        <v>66.384376912846591</v>
      </c>
      <c r="F30" s="1">
        <f t="shared" si="3"/>
        <v>-53.314604683402216</v>
      </c>
      <c r="G30" s="1" t="str">
        <f t="shared" si="0"/>
        <v>-0.0312635934938537+0.0235351377891925i</v>
      </c>
      <c r="H30" s="1">
        <f t="shared" si="4"/>
        <v>-28.149354664716441</v>
      </c>
      <c r="I30" s="1">
        <f t="shared" si="5"/>
        <v>143.02767782220934</v>
      </c>
      <c r="J30" s="1" t="str">
        <f t="shared" si="6"/>
        <v>0.408693633261031+81.6104301091479i</v>
      </c>
      <c r="K30" s="1">
        <f t="shared" si="7"/>
        <v>38.235022248130157</v>
      </c>
      <c r="L30" s="1">
        <f t="shared" si="8"/>
        <v>89.713073138807133</v>
      </c>
    </row>
    <row r="31" spans="2:12">
      <c r="B31" s="1">
        <v>600</v>
      </c>
      <c r="C31" s="1">
        <f t="shared" si="1"/>
        <v>3769.9111843077517</v>
      </c>
      <c r="D31" s="73" t="str">
        <f>IMPRODUCT(COMPLEX(1/(Calculations!$B$136*(Rcs+(Calculations!$B$135/1000))),0),IMDIV(COMPLEX(1,0),COMPLEX(1,(C31*Lm)/(Rcs+(Calculations!$B$135/1000)))))</f>
        <v>971.150198861473-1564.3095438867i</v>
      </c>
      <c r="E31" s="1">
        <f t="shared" si="2"/>
        <v>65.302249426416807</v>
      </c>
      <c r="F31" s="1">
        <f t="shared" si="3"/>
        <v>-58.167280229220708</v>
      </c>
      <c r="G31" s="1" t="str">
        <f t="shared" si="0"/>
        <v>-0.031262404639462+0.0197191766977456i</v>
      </c>
      <c r="H31" s="1">
        <f t="shared" si="4"/>
        <v>-28.644908454107384</v>
      </c>
      <c r="I31" s="1">
        <f t="shared" si="5"/>
        <v>147.75777632467106</v>
      </c>
      <c r="J31" s="1" t="str">
        <f t="shared" si="6"/>
        <v>0.486405823370308+68.0543603137584i</v>
      </c>
      <c r="K31" s="1">
        <f t="shared" si="7"/>
        <v>36.65734097230942</v>
      </c>
      <c r="L31" s="1">
        <f t="shared" si="8"/>
        <v>89.590496095450348</v>
      </c>
    </row>
    <row r="32" spans="2:12">
      <c r="B32" s="1">
        <v>700</v>
      </c>
      <c r="C32" s="1">
        <f t="shared" si="1"/>
        <v>4398.22971502571</v>
      </c>
      <c r="D32" s="73" t="str">
        <f>IMPRODUCT(COMPLEX(1/(Calculations!$B$136*(Rcs+(Calculations!$B$135/1000))),0),IMDIV(COMPLEX(1,0),COMPLEX(1,(C32*Lm)/(Rcs+(Calculations!$B$135/1000)))))</f>
        <v>770.35541070299-1447.68547953438i</v>
      </c>
      <c r="E32" s="1">
        <f t="shared" si="2"/>
        <v>64.296296764539406</v>
      </c>
      <c r="F32" s="1">
        <f t="shared" si="3"/>
        <v>-61.981262642966392</v>
      </c>
      <c r="G32" s="1" t="str">
        <f t="shared" si="0"/>
        <v>-0.0312609997462912+0.017010088293466i</v>
      </c>
      <c r="H32" s="1">
        <f t="shared" si="4"/>
        <v>-28.973628448653752</v>
      </c>
      <c r="I32" s="1">
        <f t="shared" si="5"/>
        <v>151.44800476263302</v>
      </c>
      <c r="J32" s="1" t="str">
        <f t="shared" si="6"/>
        <v>0.543177529508249+58.3599089618408i</v>
      </c>
      <c r="K32" s="1">
        <f t="shared" si="7"/>
        <v>35.32266831588565</v>
      </c>
      <c r="L32" s="1">
        <f t="shared" si="8"/>
        <v>89.46674211966662</v>
      </c>
    </row>
    <row r="33" spans="2:12">
      <c r="B33" s="1">
        <v>800</v>
      </c>
      <c r="C33" s="1">
        <f t="shared" si="1"/>
        <v>5026.5482457436692</v>
      </c>
      <c r="D33" s="73" t="str">
        <f>IMPRODUCT(COMPLEX(1/(Calculations!$B$136*(Rcs+(Calculations!$B$135/1000))),0),IMDIV(COMPLEX(1,0),COMPLEX(1,(C33*Lm)/(Rcs+(Calculations!$B$135/1000)))))</f>
        <v>621.972158909495-1335.81394564174i</v>
      </c>
      <c r="E33" s="1">
        <f t="shared" si="2"/>
        <v>63.367094841853458</v>
      </c>
      <c r="F33" s="1">
        <f t="shared" si="3"/>
        <v>-65.032707312611635</v>
      </c>
      <c r="G33" s="1" t="str">
        <f t="shared" si="0"/>
        <v>-0.031259378872603+0.0149927914020147i</v>
      </c>
      <c r="H33" s="1">
        <f t="shared" si="4"/>
        <v>-29.201198992043985</v>
      </c>
      <c r="I33" s="1">
        <f t="shared" si="5"/>
        <v>154.3764416780285</v>
      </c>
      <c r="J33" s="1" t="str">
        <f t="shared" si="6"/>
        <v>0.585116475346066+51.0818130665127i</v>
      </c>
      <c r="K33" s="1">
        <f t="shared" si="7"/>
        <v>34.16589584980948</v>
      </c>
      <c r="L33" s="1">
        <f t="shared" si="8"/>
        <v>89.343734365416879</v>
      </c>
    </row>
    <row r="34" spans="2:12">
      <c r="B34" s="1">
        <v>900</v>
      </c>
      <c r="C34" s="1">
        <f t="shared" si="1"/>
        <v>5654.8667764616275</v>
      </c>
      <c r="D34" s="73" t="str">
        <f>IMPRODUCT(COMPLEX(1/(Calculations!$B$136*(Rcs+(Calculations!$B$135/1000))),0),IMDIV(COMPLEX(1,0),COMPLEX(1,(C34*Lm)/(Rcs+(Calculations!$B$135/1000)))))</f>
        <v>510.525121789164-1233.51566216786i</v>
      </c>
      <c r="E34" s="1">
        <f t="shared" si="2"/>
        <v>62.509556568094524</v>
      </c>
      <c r="F34" s="1">
        <f t="shared" si="3"/>
        <v>-67.516407607901343</v>
      </c>
      <c r="G34" s="1" t="str">
        <f t="shared" si="0"/>
        <v>-0.0312575420856055+0.0134366848363422i</v>
      </c>
      <c r="H34" s="1">
        <f t="shared" si="4"/>
        <v>-29.364495718528897</v>
      </c>
      <c r="I34" s="1">
        <f t="shared" si="5"/>
        <v>156.73857355388387</v>
      </c>
      <c r="J34" s="1" t="str">
        <f t="shared" si="6"/>
        <v>0.616600713157821+45.4164328859816i</v>
      </c>
      <c r="K34" s="1">
        <f t="shared" si="7"/>
        <v>33.145060849565617</v>
      </c>
      <c r="L34" s="1">
        <f t="shared" si="8"/>
        <v>89.222165945982539</v>
      </c>
    </row>
    <row r="35" spans="2:12">
      <c r="B35" s="1">
        <v>1000</v>
      </c>
      <c r="C35" s="1">
        <f t="shared" si="1"/>
        <v>6283.1853071795858</v>
      </c>
      <c r="D35" s="73" t="str">
        <f>IMPRODUCT(COMPLEX(1/(Calculations!$B$136*(Rcs+(Calculations!$B$135/1000))),0),IMDIV(COMPLEX(1,0),COMPLEX(1,(C35*Lm)/(Rcs+(Calculations!$B$135/1000)))))</f>
        <v>425.34412789491-1141.89318926879i</v>
      </c>
      <c r="E35" s="1">
        <f t="shared" si="2"/>
        <v>61.716789807220557</v>
      </c>
      <c r="F35" s="1">
        <f t="shared" si="3"/>
        <v>-69.570126106722086</v>
      </c>
      <c r="G35" s="1" t="str">
        <f t="shared" si="0"/>
        <v>-0.0312554894614471+0.0122034074034189i</v>
      </c>
      <c r="H35" s="1">
        <f t="shared" si="4"/>
        <v>-29.485276559140473</v>
      </c>
      <c r="I35" s="1">
        <f t="shared" si="5"/>
        <v>158.67231531152024</v>
      </c>
      <c r="J35" s="1" t="str">
        <f t="shared" si="6"/>
        <v>0.640648892928604+40.8810782226424i</v>
      </c>
      <c r="K35" s="1">
        <f t="shared" si="7"/>
        <v>32.231513248080084</v>
      </c>
      <c r="L35" s="1">
        <f t="shared" si="8"/>
        <v>89.102189204798179</v>
      </c>
    </row>
    <row r="36" spans="2:12">
      <c r="B36" s="1">
        <v>2000</v>
      </c>
      <c r="C36" s="1">
        <f t="shared" si="1"/>
        <v>12566.370614359172</v>
      </c>
      <c r="D36" s="73" t="str">
        <f>IMPRODUCT(COMPLEX(1/(Calculations!$B$136*(Rcs+(Calculations!$B$135/1000))),0),IMDIV(COMPLEX(1,0),COMPLEX(1,(C36*Lm)/(Rcs+(Calculations!$B$135/1000)))))</f>
        <v>117.030582384145-628.368495984663i</v>
      </c>
      <c r="E36" s="1">
        <f t="shared" si="2"/>
        <v>56.112379054437973</v>
      </c>
      <c r="F36" s="1">
        <f t="shared" si="3"/>
        <v>-79.449816495593808</v>
      </c>
      <c r="G36" s="1" t="str">
        <f t="shared" si="0"/>
        <v>-0.0312231153022459+0.00697225212518526i</v>
      </c>
      <c r="H36" s="1">
        <f t="shared" si="4"/>
        <v>-29.899141775039766</v>
      </c>
      <c r="I36" s="1">
        <f t="shared" si="5"/>
        <v>167.41213154214734</v>
      </c>
      <c r="J36" s="1" t="str">
        <f t="shared" si="6"/>
        <v>0.727084213859384+20.4355887291675i</v>
      </c>
      <c r="K36" s="1">
        <f t="shared" si="7"/>
        <v>26.213237279398207</v>
      </c>
      <c r="L36" s="1">
        <f t="shared" si="8"/>
        <v>87.962315046553542</v>
      </c>
    </row>
    <row r="37" spans="2:12">
      <c r="B37" s="1">
        <v>3000</v>
      </c>
      <c r="C37" s="1">
        <f t="shared" si="1"/>
        <v>18849.555921538758</v>
      </c>
      <c r="D37" s="73" t="str">
        <f>IMPRODUCT(COMPLEX(1/(Calculations!$B$136*(Rcs+(Calculations!$B$135/1000))),0),IMDIV(COMPLEX(1,0),COMPLEX(1,(C37*Lm)/(Rcs+(Calculations!$B$135/1000)))))</f>
        <v>53.0007123466535-426.86249899275i</v>
      </c>
      <c r="E37" s="1">
        <f t="shared" si="2"/>
        <v>52.672202459071045</v>
      </c>
      <c r="F37" s="1">
        <f t="shared" si="3"/>
        <v>-82.922182972077081</v>
      </c>
      <c r="G37" s="1" t="str">
        <f t="shared" si="0"/>
        <v>-0.0311693071483719+0.0056127769913245i</v>
      </c>
      <c r="H37" s="1">
        <f t="shared" si="4"/>
        <v>-29.986865216948289</v>
      </c>
      <c r="I37" s="1">
        <f t="shared" si="5"/>
        <v>169.79192809397355</v>
      </c>
      <c r="J37" s="1" t="str">
        <f t="shared" si="6"/>
        <v>0.743888530590435+13.6024895200097i</v>
      </c>
      <c r="K37" s="1">
        <f t="shared" si="7"/>
        <v>22.685337242122742</v>
      </c>
      <c r="L37" s="1">
        <f t="shared" si="8"/>
        <v>86.869745121896472</v>
      </c>
    </row>
    <row r="38" spans="2:12">
      <c r="B38" s="1">
        <v>4000</v>
      </c>
      <c r="C38" s="1">
        <f t="shared" si="1"/>
        <v>25132.741228718343</v>
      </c>
      <c r="D38" s="73" t="str">
        <f>IMPRODUCT(COMPLEX(1/(Calculations!$B$136*(Rcs+(Calculations!$B$135/1000))),0),IMDIV(COMPLEX(1,0),COMPLEX(1,(C38*Lm)/(Rcs+(Calculations!$B$135/1000)))))</f>
        <v>30.0122523355757-322.287618792073i</v>
      </c>
      <c r="E38" s="1">
        <f t="shared" si="2"/>
        <v>50.202371284430988</v>
      </c>
      <c r="F38" s="1">
        <f t="shared" si="3"/>
        <v>-84.679812740209158</v>
      </c>
      <c r="G38" s="1" t="str">
        <f t="shared" si="0"/>
        <v>-0.0310942865556111+0.00521824305109675i</v>
      </c>
      <c r="H38" s="1">
        <f t="shared" si="4"/>
        <v>-30.025766029940382</v>
      </c>
      <c r="I38" s="1">
        <f t="shared" si="5"/>
        <v>170.47339489847894</v>
      </c>
      <c r="J38" s="1" t="str">
        <f t="shared" si="6"/>
        <v>0.748565552914554+10.1779147992441i</v>
      </c>
      <c r="K38" s="1">
        <f t="shared" si="7"/>
        <v>20.176605254490553</v>
      </c>
      <c r="L38" s="1">
        <f t="shared" si="8"/>
        <v>85.7935821582698</v>
      </c>
    </row>
    <row r="39" spans="2:12">
      <c r="B39" s="1">
        <v>5000</v>
      </c>
      <c r="C39" s="1">
        <f t="shared" si="1"/>
        <v>31415.926535897932</v>
      </c>
      <c r="D39" s="73" t="str">
        <f>IMPRODUCT(COMPLEX(1/(Calculations!$B$136*(Rcs+(Calculations!$B$135/1000))),0),IMDIV(COMPLEX(1,0),COMPLEX(1,(C39*Lm)/(Rcs+(Calculations!$B$135/1000)))))</f>
        <v>19.2674745891586-258.630560114441i</v>
      </c>
      <c r="E39" s="1">
        <f t="shared" si="2"/>
        <v>48.277633340999706</v>
      </c>
      <c r="F39" s="1">
        <f t="shared" si="3"/>
        <v>-85.739446005491146</v>
      </c>
      <c r="G39" s="1" t="str">
        <f t="shared" si="0"/>
        <v>-0.0309983605110668+0.00520638360740808i</v>
      </c>
      <c r="H39" s="1">
        <f t="shared" si="4"/>
        <v>-30.052409522358609</v>
      </c>
      <c r="I39" s="1">
        <f t="shared" si="5"/>
        <v>170.46577478275927</v>
      </c>
      <c r="J39" s="1" t="str">
        <f t="shared" si="6"/>
        <v>0.749269785102038+8.11743720546372i</v>
      </c>
      <c r="K39" s="1">
        <f t="shared" si="7"/>
        <v>18.225223818641098</v>
      </c>
      <c r="L39" s="1">
        <f t="shared" si="8"/>
        <v>84.726328777268137</v>
      </c>
    </row>
    <row r="40" spans="2:12">
      <c r="B40" s="1">
        <v>6000</v>
      </c>
      <c r="C40" s="1">
        <f t="shared" si="1"/>
        <v>37699.111843077517</v>
      </c>
      <c r="D40" s="73" t="str">
        <f>IMPRODUCT(COMPLEX(1/(Calculations!$B$136*(Rcs+(Calculations!$B$135/1000))),0),IMDIV(COMPLEX(1,0),COMPLEX(1,(C40*Lm)/(Rcs+(Calculations!$B$135/1000)))))</f>
        <v>13.4027939834236-215.889556194256i</v>
      </c>
      <c r="E40" s="1">
        <f t="shared" si="2"/>
        <v>46.70133881238219</v>
      </c>
      <c r="F40" s="1">
        <f t="shared" si="3"/>
        <v>-86.447538935374155</v>
      </c>
      <c r="G40" s="1" t="str">
        <f t="shared" ref="G40:G62" si="11">IMPRODUCT(COMPLEX(-(gm*Acs*Rcs)/(IL_Comp_Ccomp+IL_Comp_Chf),0),IMDIV(COMPLEX(1,C40*IL_Comp_Rcomp*IL_Comp_Ccomp),IMPRODUCT(COMPLEX(0,C40),COMPLEX(1,C40*IL_Comp_Rcomp*((IL_Comp_Ccomp*IL_Comp_Chf)/(IL_Comp_Ccomp+IL_Comp_Chf))))))</f>
        <v>-0.0308819183154066+0.00538237195115483i</v>
      </c>
      <c r="H40" s="1">
        <f t="shared" si="4"/>
        <v>-30.075954814853731</v>
      </c>
      <c r="I40" s="1">
        <f t="shared" si="5"/>
        <v>170.11329813326535</v>
      </c>
      <c r="J40" s="1" t="str">
        <f t="shared" si="6"/>
        <v>0.748093902812917+6.73922246194388i</v>
      </c>
      <c r="K40" s="1">
        <f t="shared" si="7"/>
        <v>16.625383997528456</v>
      </c>
      <c r="L40" s="1">
        <f t="shared" si="8"/>
        <v>83.665759197891234</v>
      </c>
    </row>
    <row r="41" spans="2:12">
      <c r="B41" s="1">
        <v>7000</v>
      </c>
      <c r="C41" s="1">
        <f t="shared" si="1"/>
        <v>43982.297150257102</v>
      </c>
      <c r="D41" s="73" t="str">
        <f>IMPRODUCT(COMPLEX(1/(Calculations!$B$136*(Rcs+(Calculations!$B$135/1000))),0),IMDIV(COMPLEX(1,0),COMPLEX(1,(C41*Lm)/(Rcs+(Calculations!$B$135/1000)))))</f>
        <v>9.85699102207683-185.236873478171i</v>
      </c>
      <c r="E41" s="1">
        <f t="shared" si="2"/>
        <v>45.366829002007904</v>
      </c>
      <c r="F41" s="1">
        <f t="shared" si="3"/>
        <v>-86.953998341545997</v>
      </c>
      <c r="G41" s="1" t="str">
        <f t="shared" si="11"/>
        <v>-0.0307454276764303+0.00566210852544686i</v>
      </c>
      <c r="H41" s="1">
        <f t="shared" si="4"/>
        <v>-30.099539726194898</v>
      </c>
      <c r="I41" s="1">
        <f t="shared" si="5"/>
        <v>169.56526951683352</v>
      </c>
      <c r="J41" s="1" t="str">
        <f t="shared" si="6"/>
        <v>0.745773875971387+5.75099824943253i</v>
      </c>
      <c r="K41" s="1">
        <f t="shared" si="7"/>
        <v>15.267289275813003</v>
      </c>
      <c r="L41" s="1">
        <f t="shared" si="8"/>
        <v>82.611271175287541</v>
      </c>
    </row>
    <row r="42" spans="2:12">
      <c r="B42" s="1">
        <v>8000</v>
      </c>
      <c r="C42" s="1">
        <f t="shared" si="1"/>
        <v>50265.482457436687</v>
      </c>
      <c r="D42" s="73" t="str">
        <f>IMPRODUCT(COMPLEX(1/(Calculations!$B$136*(Rcs+(Calculations!$B$135/1000))),0),IMDIV(COMPLEX(1,0),COMPLEX(1,(C42*Lm)/(Rcs+(Calculations!$B$135/1000)))))</f>
        <v>7.55175639254093-162.189598983535i</v>
      </c>
      <c r="E42" s="1">
        <f t="shared" si="2"/>
        <v>44.209865110870297</v>
      </c>
      <c r="F42" s="1">
        <f t="shared" si="3"/>
        <v>-87.334160152116411</v>
      </c>
      <c r="G42" s="1" t="str">
        <f t="shared" si="11"/>
        <v>-0.0305894300862741+0.00600304753249503i</v>
      </c>
      <c r="H42" s="1">
        <f t="shared" si="4"/>
        <v>-30.124455344135541</v>
      </c>
      <c r="I42" s="1">
        <f t="shared" si="5"/>
        <v>168.89704216225374</v>
      </c>
      <c r="J42" s="1" t="str">
        <f t="shared" si="6"/>
        <v>0.742627947776264+5.00662095140592i</v>
      </c>
      <c r="K42" s="1">
        <f t="shared" si="7"/>
        <v>14.085409766734751</v>
      </c>
      <c r="L42" s="1">
        <f t="shared" si="8"/>
        <v>81.562882010137329</v>
      </c>
    </row>
    <row r="43" spans="2:12">
      <c r="B43" s="1">
        <v>9000</v>
      </c>
      <c r="C43" s="1">
        <f t="shared" si="1"/>
        <v>56548.667764616279</v>
      </c>
      <c r="D43" s="73" t="str">
        <f>IMPRODUCT(COMPLEX(1/(Calculations!$B$136*(Rcs+(Calculations!$B$135/1000))),0),IMDIV(COMPLEX(1,0),COMPLEX(1,(C43*Lm)/(Rcs+(Calculations!$B$135/1000)))))</f>
        <v>5.96953014149421-144.234017309675i</v>
      </c>
      <c r="E43" s="1">
        <f t="shared" si="2"/>
        <v>43.188786885988506</v>
      </c>
      <c r="F43" s="1">
        <f t="shared" si="3"/>
        <v>-87.630005759087396</v>
      </c>
      <c r="G43" s="1" t="str">
        <f t="shared" si="11"/>
        <v>-0.0304145355660928+0.00638114291558385i</v>
      </c>
      <c r="H43" s="1">
        <f t="shared" si="4"/>
        <v>-30.151294557794056</v>
      </c>
      <c r="I43" s="1">
        <f t="shared" si="5"/>
        <v>168.15088367181721</v>
      </c>
      <c r="J43" s="1" t="str">
        <f t="shared" si="6"/>
        <v>0.738817390940492+4.42490307427732i</v>
      </c>
      <c r="K43" s="1">
        <f t="shared" si="7"/>
        <v>13.037492328194457</v>
      </c>
      <c r="L43" s="1">
        <f t="shared" si="8"/>
        <v>80.520877912729844</v>
      </c>
    </row>
    <row r="44" spans="2:12">
      <c r="B44" s="1">
        <v>10000</v>
      </c>
      <c r="C44" s="1">
        <f t="shared" si="1"/>
        <v>62831.853071795864</v>
      </c>
      <c r="D44" s="73" t="str">
        <f>IMPRODUCT(COMPLEX(1/(Calculations!$B$136*(Rcs+(Calculations!$B$135/1000))),0),IMDIV(COMPLEX(1,0),COMPLEX(1,(C44*Lm)/(Rcs+(Calculations!$B$135/1000)))))</f>
        <v>4.8368909403781-129.852805289422i</v>
      </c>
      <c r="E44" s="1">
        <f t="shared" si="2"/>
        <v>42.275048344691761</v>
      </c>
      <c r="F44" s="1">
        <f t="shared" si="3"/>
        <v>-87.866774079143525</v>
      </c>
      <c r="G44" s="1" t="str">
        <f t="shared" si="11"/>
        <v>-0.0302214168712254+0.00678162965342096i</v>
      </c>
      <c r="H44" s="1">
        <f t="shared" si="4"/>
        <v>-30.180344466154931</v>
      </c>
      <c r="I44" s="1">
        <f t="shared" si="5"/>
        <v>167.35244328495818</v>
      </c>
      <c r="J44" s="1" t="str">
        <f t="shared" si="6"/>
        <v>0.734435937460822+3.95713776358132i</v>
      </c>
      <c r="K44" s="1">
        <f t="shared" si="7"/>
        <v>12.094703878536844</v>
      </c>
      <c r="L44" s="1">
        <f t="shared" si="8"/>
        <v>79.485669205814702</v>
      </c>
    </row>
    <row r="45" spans="2:12">
      <c r="B45" s="1">
        <v>20000</v>
      </c>
      <c r="C45" s="1">
        <f t="shared" si="1"/>
        <v>125663.70614359173</v>
      </c>
      <c r="D45" s="73" t="str">
        <f>IMPRODUCT(COMPLEX(1/(Calculations!$B$136*(Rcs+(Calculations!$B$135/1000))),0),IMDIV(COMPLEX(1,0),COMPLEX(1,(C45*Lm)/(Rcs+(Calculations!$B$135/1000)))))</f>
        <v>1.21048063726458-64.9939427764091i</v>
      </c>
      <c r="E45" s="1">
        <f t="shared" si="2"/>
        <v>36.258963861085732</v>
      </c>
      <c r="F45" s="1">
        <f t="shared" si="3"/>
        <v>-88.933017274553265</v>
      </c>
      <c r="G45" s="1" t="str">
        <f t="shared" si="11"/>
        <v>-0.0274676205144581+0.0107958351766285i</v>
      </c>
      <c r="H45" s="1">
        <f t="shared" si="4"/>
        <v>-30.599717561708736</v>
      </c>
      <c r="I45" s="1">
        <f t="shared" si="5"/>
        <v>158.54325744435505</v>
      </c>
      <c r="J45" s="1" t="str">
        <f t="shared" si="6"/>
        <v>0.668414870908854+1.79829710536522i</v>
      </c>
      <c r="K45" s="1">
        <f t="shared" si="7"/>
        <v>5.6592462993770001</v>
      </c>
      <c r="L45" s="1">
        <f t="shared" si="8"/>
        <v>69.610240169801799</v>
      </c>
    </row>
    <row r="46" spans="2:12">
      <c r="B46" s="1">
        <v>30000</v>
      </c>
      <c r="C46" s="1">
        <f t="shared" si="1"/>
        <v>188495.55921538759</v>
      </c>
      <c r="D46" s="73" t="str">
        <f>IMPRODUCT(COMPLEX(1/(Calculations!$B$136*(Rcs+(Calculations!$B$135/1000))),0),IMDIV(COMPLEX(1,0),COMPLEX(1,(C46*Lm)/(Rcs+(Calculations!$B$135/1000)))))</f>
        <v>0.538095053050315-43.3376437543673i</v>
      </c>
      <c r="E46" s="1">
        <f t="shared" si="2"/>
        <v>32.73797538609778</v>
      </c>
      <c r="F46" s="1">
        <f t="shared" si="3"/>
        <v>-89.288632499262874</v>
      </c>
      <c r="G46" s="1" t="str">
        <f t="shared" si="11"/>
        <v>-0.0238461567540591+0.0136893551287103i</v>
      </c>
      <c r="H46" s="1">
        <f t="shared" si="4"/>
        <v>-31.214565846517679</v>
      </c>
      <c r="I46" s="1">
        <f t="shared" si="5"/>
        <v>150.14117400278525</v>
      </c>
      <c r="J46" s="1" t="str">
        <f t="shared" si="6"/>
        <v>0.580432896811446+1.04080242059242i</v>
      </c>
      <c r="K46" s="1">
        <f t="shared" si="7"/>
        <v>1.5234095395800877</v>
      </c>
      <c r="L46" s="1">
        <f t="shared" si="8"/>
        <v>60.852541503522367</v>
      </c>
    </row>
    <row r="47" spans="2:12">
      <c r="B47" s="1">
        <v>40000</v>
      </c>
      <c r="C47" s="1">
        <f t="shared" si="1"/>
        <v>251327.41228718346</v>
      </c>
      <c r="D47" s="73" t="str">
        <f>IMPRODUCT(COMPLEX(1/(Calculations!$B$136*(Rcs+(Calculations!$B$135/1000))),0),IMDIV(COMPLEX(1,0),COMPLEX(1,(C47*Lm)/(Rcs+(Calculations!$B$135/1000)))))</f>
        <v>0.302698880458154-32.505424885504i</v>
      </c>
      <c r="E47" s="1">
        <f t="shared" si="2"/>
        <v>30.239493539163075</v>
      </c>
      <c r="F47" s="1">
        <f t="shared" si="3"/>
        <v>-89.466462380585199</v>
      </c>
      <c r="G47" s="1" t="str">
        <f t="shared" si="11"/>
        <v>-0.020130426945054+0.0152628568673587i</v>
      </c>
      <c r="H47" s="1">
        <f t="shared" si="4"/>
        <v>-31.950507614075256</v>
      </c>
      <c r="I47" s="1">
        <f t="shared" si="5"/>
        <v>142.8306550557424</v>
      </c>
      <c r="J47" s="1" t="str">
        <f t="shared" si="6"/>
        <v>0.490032189740715+0.658968130661921i</v>
      </c>
      <c r="K47" s="1">
        <f t="shared" si="7"/>
        <v>-1.7110140749121805</v>
      </c>
      <c r="L47" s="1">
        <f t="shared" si="8"/>
        <v>53.364192675157177</v>
      </c>
    </row>
    <row r="48" spans="2:12">
      <c r="B48" s="1">
        <v>50000</v>
      </c>
      <c r="C48" s="1">
        <f t="shared" si="1"/>
        <v>314159.26535897929</v>
      </c>
      <c r="D48" s="73" t="str">
        <f>IMPRODUCT(COMPLEX(1/(Calculations!$B$136*(Rcs+(Calculations!$B$135/1000))),0),IMDIV(COMPLEX(1,0),COMPLEX(1,(C48*Lm)/(Rcs+(Calculations!$B$135/1000)))))</f>
        <v>0.193733331038403-26.0051516805903i</v>
      </c>
      <c r="E48" s="1">
        <f t="shared" si="2"/>
        <v>28.30142884971054</v>
      </c>
      <c r="F48" s="1">
        <f t="shared" si="3"/>
        <v>-89.57316546304952</v>
      </c>
      <c r="G48" s="1" t="str">
        <f t="shared" si="11"/>
        <v>-0.0167705877971184+0.0158241587132007i</v>
      </c>
      <c r="H48" s="1">
        <f t="shared" si="4"/>
        <v>-32.743687789395281</v>
      </c>
      <c r="I48" s="1">
        <f t="shared" si="5"/>
        <v>136.66318705118724</v>
      </c>
      <c r="J48" s="1" t="str">
        <f t="shared" si="6"/>
        <v>0.408260625717111+0.439187346415109i</v>
      </c>
      <c r="K48" s="1">
        <f t="shared" si="7"/>
        <v>-4.4422589396847458</v>
      </c>
      <c r="L48" s="1">
        <f t="shared" si="8"/>
        <v>47.090021588137702</v>
      </c>
    </row>
    <row r="49" spans="2:12">
      <c r="B49" s="1">
        <v>60000</v>
      </c>
      <c r="C49" s="1">
        <f t="shared" si="1"/>
        <v>376991.11843077518</v>
      </c>
      <c r="D49" s="73" t="str">
        <f>IMPRODUCT(COMPLEX(1/(Calculations!$B$136*(Rcs+(Calculations!$B$135/1000))),0),IMDIV(COMPLEX(1,0),COMPLEX(1,(C49*Lm)/(Rcs+(Calculations!$B$135/1000)))))</f>
        <v>0.134539316863151-21.6713272204194i</v>
      </c>
      <c r="E49" s="1">
        <f t="shared" si="2"/>
        <v>26.717877573879822</v>
      </c>
      <c r="F49" s="1">
        <f t="shared" si="3"/>
        <v>-89.644302541964421</v>
      </c>
      <c r="G49" s="1" t="str">
        <f t="shared" si="11"/>
        <v>-0.0139291383822777+0.0157337060592773i</v>
      </c>
      <c r="H49" s="1">
        <f t="shared" si="4"/>
        <v>-33.550000441807498</v>
      </c>
      <c r="I49" s="1">
        <f t="shared" si="5"/>
        <v>131.51864675075592</v>
      </c>
      <c r="J49" s="1" t="str">
        <f t="shared" si="6"/>
        <v>0.33909627563805+0.303979717845784i</v>
      </c>
      <c r="K49" s="1">
        <f t="shared" si="7"/>
        <v>-6.8321228679276791</v>
      </c>
      <c r="L49" s="1">
        <f t="shared" si="8"/>
        <v>41.874344208791463</v>
      </c>
    </row>
    <row r="50" spans="2:12">
      <c r="B50" s="1">
        <v>70000</v>
      </c>
      <c r="C50" s="1">
        <f t="shared" si="1"/>
        <v>439822.97150257102</v>
      </c>
      <c r="D50" s="73" t="str">
        <f>IMPRODUCT(COMPLEX(1/(Calculations!$B$136*(Rcs+(Calculations!$B$135/1000))),0),IMDIV(COMPLEX(1,0),COMPLEX(1,(C50*Lm)/(Rcs+(Calculations!$B$135/1000)))))</f>
        <v>0.0988462230793979-18.5756132650871i</v>
      </c>
      <c r="E50" s="1">
        <f t="shared" si="2"/>
        <v>25.378986187556709</v>
      </c>
      <c r="F50" s="1">
        <f t="shared" si="3"/>
        <v>-89.695115425397347</v>
      </c>
      <c r="G50" s="1" t="str">
        <f t="shared" si="11"/>
        <v>-0.0116053322658661+0.0152713957425188i</v>
      </c>
      <c r="H50" s="1">
        <f t="shared" si="4"/>
        <v>-34.3427107990195</v>
      </c>
      <c r="I50" s="1">
        <f t="shared" si="5"/>
        <v>127.23262576886138</v>
      </c>
      <c r="J50" s="1" t="str">
        <f t="shared" si="6"/>
        <v>0.282528398069065+0.217085683773864i</v>
      </c>
      <c r="K50" s="1">
        <f t="shared" si="7"/>
        <v>-8.9637246114627835</v>
      </c>
      <c r="L50" s="1">
        <f t="shared" si="8"/>
        <v>37.537510343463943</v>
      </c>
    </row>
    <row r="51" spans="2:12">
      <c r="B51" s="1">
        <v>80000</v>
      </c>
      <c r="C51" s="1">
        <f t="shared" si="1"/>
        <v>502654.82457436691</v>
      </c>
      <c r="D51" s="73" t="str">
        <f>IMPRODUCT(COMPLEX(1/(Calculations!$B$136*(Rcs+(Calculations!$B$135/1000))),0),IMDIV(COMPLEX(1,0),COMPLEX(1,(C51*Lm)/(Rcs+(Calculations!$B$135/1000)))))</f>
        <v>0.0756796417858521-16.2537694735343i</v>
      </c>
      <c r="E51" s="1">
        <f t="shared" si="2"/>
        <v>24.219176069635637</v>
      </c>
      <c r="F51" s="1">
        <f t="shared" si="3"/>
        <v>-89.733225407078066</v>
      </c>
      <c r="G51" s="1" t="str">
        <f t="shared" si="11"/>
        <v>-0.00973196082124317+0.0146218557637109i</v>
      </c>
      <c r="H51" s="1">
        <f t="shared" si="4"/>
        <v>-35.107311379841704</v>
      </c>
      <c r="I51" s="1">
        <f t="shared" si="5"/>
        <v>123.64679537878988</v>
      </c>
      <c r="J51" s="1" t="str">
        <f t="shared" si="6"/>
        <v>0.2369237615498+0.159287624520396i</v>
      </c>
      <c r="K51" s="1">
        <f t="shared" si="7"/>
        <v>-10.88813531020608</v>
      </c>
      <c r="L51" s="1">
        <f t="shared" si="8"/>
        <v>33.913569971711809</v>
      </c>
    </row>
    <row r="52" spans="2:12">
      <c r="B52" s="1">
        <v>90000</v>
      </c>
      <c r="C52" s="1">
        <f t="shared" si="1"/>
        <v>565486.6776461628</v>
      </c>
      <c r="D52" s="73" t="str">
        <f>IMPRODUCT(COMPLEX(1/(Calculations!$B$136*(Rcs+(Calculations!$B$135/1000))),0),IMDIV(COMPLEX(1,0),COMPLEX(1,(C52*Lm)/(Rcs+(Calculations!$B$135/1000)))))</f>
        <v>0.0597965322463334-14.4478608242984i</v>
      </c>
      <c r="E52" s="1">
        <f t="shared" si="2"/>
        <v>23.196145380814933</v>
      </c>
      <c r="F52" s="1">
        <f t="shared" si="3"/>
        <v>-89.762866668865911</v>
      </c>
      <c r="G52" s="1" t="str">
        <f t="shared" si="11"/>
        <v>-0.00822688199131875+0.0138965808633813i</v>
      </c>
      <c r="H52" s="1">
        <f t="shared" si="4"/>
        <v>-35.836981630644672</v>
      </c>
      <c r="I52" s="1">
        <f t="shared" si="5"/>
        <v>120.62585670619548</v>
      </c>
      <c r="J52" s="1" t="str">
        <f t="shared" si="6"/>
        <v>0.200283927233461+0.119691813374211i</v>
      </c>
      <c r="K52" s="1">
        <f t="shared" si="7"/>
        <v>-12.640836249829734</v>
      </c>
      <c r="L52" s="1">
        <f t="shared" si="8"/>
        <v>30.862990037329538</v>
      </c>
    </row>
    <row r="53" spans="2:12">
      <c r="B53" s="1">
        <v>100000</v>
      </c>
      <c r="C53" s="1">
        <f t="shared" si="1"/>
        <v>628318.53071795858</v>
      </c>
      <c r="D53" s="73" t="str">
        <f>IMPRODUCT(COMPLEX(1/(Calculations!$B$136*(Rcs+(Calculations!$B$135/1000))),0),IMDIV(COMPLEX(1,0),COMPLEX(1,(C53*Lm)/(Rcs+(Calculations!$B$135/1000)))))</f>
        <v>0.0484353487548354-13.0031170611742i</v>
      </c>
      <c r="E53" s="1">
        <f t="shared" si="2"/>
        <v>22.281009703959178</v>
      </c>
      <c r="F53" s="1">
        <f t="shared" si="3"/>
        <v>-89.786579770449606</v>
      </c>
      <c r="G53" s="1" t="str">
        <f t="shared" si="11"/>
        <v>-0.00701445044873364+0.013158973915368i</v>
      </c>
      <c r="H53" s="1">
        <f t="shared" si="4"/>
        <v>-36.529411674573204</v>
      </c>
      <c r="I53" s="1">
        <f t="shared" si="5"/>
        <v>118.06004809106088</v>
      </c>
      <c r="J53" s="1" t="str">
        <f t="shared" si="6"/>
        <v>0.17076793087266+0.091847079795536i</v>
      </c>
      <c r="K53" s="1">
        <f t="shared" si="7"/>
        <v>-14.248401970614029</v>
      </c>
      <c r="L53" s="1">
        <f t="shared" si="8"/>
        <v>28.273468320611265</v>
      </c>
    </row>
    <row r="54" spans="2:12">
      <c r="B54" s="1">
        <v>200000</v>
      </c>
      <c r="C54" s="1">
        <f t="shared" si="1"/>
        <v>1256637.0614359172</v>
      </c>
      <c r="D54" s="73" t="str">
        <f>IMPRODUCT(COMPLEX(1/(Calculations!$B$136*(Rcs+(Calculations!$B$135/1000))),0),IMDIV(COMPLEX(1,0),COMPLEX(1,(C54*Lm)/(Rcs+(Calculations!$B$135/1000)))))</f>
        <v>0.0121089631949669-6.50162618671697i</v>
      </c>
      <c r="E54" s="1">
        <f t="shared" si="2"/>
        <v>16.260454983737262</v>
      </c>
      <c r="F54" s="1">
        <f t="shared" si="3"/>
        <v>-89.893289515078862</v>
      </c>
      <c r="G54" s="1" t="str">
        <f t="shared" si="11"/>
        <v>-0.00210836397259944+0.00789874464734409i</v>
      </c>
      <c r="H54" s="1">
        <f t="shared" si="4"/>
        <v>-41.749936716545264</v>
      </c>
      <c r="I54" s="1">
        <f t="shared" si="5"/>
        <v>104.94517786640692</v>
      </c>
      <c r="J54" s="1" t="str">
        <f t="shared" si="6"/>
        <v>0.051329154939617+0.0138034400236043i</v>
      </c>
      <c r="K54" s="1">
        <f t="shared" si="7"/>
        <v>-25.489481732808009</v>
      </c>
      <c r="L54" s="1">
        <f t="shared" si="8"/>
        <v>15.051888351328124</v>
      </c>
    </row>
    <row r="55" spans="2:12">
      <c r="B55" s="1">
        <v>300000</v>
      </c>
      <c r="C55" s="1">
        <f t="shared" si="1"/>
        <v>1884955.5921538759</v>
      </c>
      <c r="D55" s="73" t="str">
        <f>IMPRODUCT(COMPLEX(1/(Calculations!$B$136*(Rcs+(Calculations!$B$135/1000))),0),IMDIV(COMPLEX(1,0),COMPLEX(1,(C55*Lm)/(Rcs+(Calculations!$B$135/1000)))))</f>
        <v>0.00538177179099861-4.33442581052296i</v>
      </c>
      <c r="E55" s="1">
        <f t="shared" si="2"/>
        <v>12.738638171760019</v>
      </c>
      <c r="F55" s="1">
        <f t="shared" si="3"/>
        <v>-89.928859631021865</v>
      </c>
      <c r="G55" s="1" t="str">
        <f t="shared" si="11"/>
        <v>-0.000973521182857616+0.00546927095088753i</v>
      </c>
      <c r="H55" s="1">
        <f t="shared" si="4"/>
        <v>-45.105946743694844</v>
      </c>
      <c r="I55" s="1">
        <f t="shared" si="5"/>
        <v>100.09284797283122</v>
      </c>
      <c r="J55" s="1" t="str">
        <f t="shared" si="6"/>
        <v>0.0237009099054305+0.00424908971018971i</v>
      </c>
      <c r="K55" s="1">
        <f t="shared" si="7"/>
        <v>-32.367308571934835</v>
      </c>
      <c r="L55" s="1">
        <f t="shared" si="8"/>
        <v>10.163988341809379</v>
      </c>
    </row>
    <row r="56" spans="2:12">
      <c r="B56" s="1">
        <v>400000</v>
      </c>
      <c r="C56" s="1">
        <f t="shared" si="1"/>
        <v>2513274.1228718343</v>
      </c>
      <c r="D56" s="73" t="str">
        <f>IMPRODUCT(COMPLEX(1/(Calculations!$B$136*(Rcs+(Calculations!$B$135/1000))),0),IMDIV(COMPLEX(1,0),COMPLEX(1,(C56*Lm)/(Rcs+(Calculations!$B$135/1000)))))</f>
        <v>0.00302724867423529-3.25082155048473i</v>
      </c>
      <c r="E56" s="1">
        <f t="shared" si="2"/>
        <v>10.239866368795559</v>
      </c>
      <c r="F56" s="1">
        <f t="shared" si="3"/>
        <v>-89.946644711270821</v>
      </c>
      <c r="G56" s="1" t="str">
        <f t="shared" si="11"/>
        <v>-0.000555168274781243+0.00415820123219839i</v>
      </c>
      <c r="H56" s="1">
        <f t="shared" si="4"/>
        <v>-47.545157275642097</v>
      </c>
      <c r="I56" s="1">
        <f t="shared" si="5"/>
        <v>97.604681023641149</v>
      </c>
      <c r="J56" s="1" t="str">
        <f t="shared" si="6"/>
        <v>0.0135158895444589+0.00181734090097167i</v>
      </c>
      <c r="K56" s="1">
        <f t="shared" si="7"/>
        <v>-37.305290906846515</v>
      </c>
      <c r="L56" s="1">
        <f t="shared" si="8"/>
        <v>7.6580363123703208</v>
      </c>
    </row>
    <row r="57" spans="2:12">
      <c r="B57" s="1">
        <v>500000</v>
      </c>
      <c r="C57" s="1">
        <f t="shared" si="1"/>
        <v>3141592.653589793</v>
      </c>
      <c r="D57" s="73" t="str">
        <f>IMPRODUCT(COMPLEX(1/(Calculations!$B$136*(Rcs+(Calculations!$B$135/1000))),0),IMDIV(COMPLEX(1,0),COMPLEX(1,(C57*Lm)/(Rcs+(Calculations!$B$135/1000)))))</f>
        <v>0.00193743975635024-2.60065805227426i</v>
      </c>
      <c r="E57" s="1">
        <f t="shared" si="2"/>
        <v>8.3016674644369246</v>
      </c>
      <c r="F57" s="1">
        <f t="shared" si="3"/>
        <v>-89.957315764574858</v>
      </c>
      <c r="G57" s="1" t="str">
        <f t="shared" si="11"/>
        <v>-0.000357593506940295+0.00334781230556521i</v>
      </c>
      <c r="H57" s="1">
        <f t="shared" si="4"/>
        <v>-49.455508766073855</v>
      </c>
      <c r="I57" s="1">
        <f t="shared" si="5"/>
        <v>96.096879431107567</v>
      </c>
      <c r="J57" s="1" t="str">
        <f t="shared" si="6"/>
        <v>0.00870582221409406+0.00093646461792287i</v>
      </c>
      <c r="K57" s="1">
        <f t="shared" si="7"/>
        <v>-41.153841301636938</v>
      </c>
      <c r="L57" s="1">
        <f t="shared" si="8"/>
        <v>6.1395636665326956</v>
      </c>
    </row>
    <row r="58" spans="2:12">
      <c r="B58" s="1">
        <v>600000</v>
      </c>
      <c r="C58" s="1">
        <f t="shared" si="1"/>
        <v>3769911.1843077517</v>
      </c>
      <c r="D58" s="73" t="str">
        <f>IMPRODUCT(COMPLEX(1/(Calculations!$B$136*(Rcs+(Calculations!$B$135/1000))),0),IMDIV(COMPLEX(1,0),COMPLEX(1,(C58*Lm)/(Rcs+(Calculations!$B$135/1000)))))</f>
        <v>0.00134544450340645-2.1672154110827i</v>
      </c>
      <c r="E58" s="1">
        <f t="shared" si="2"/>
        <v>6.7180432799699608</v>
      </c>
      <c r="F58" s="1">
        <f t="shared" si="3"/>
        <v>-89.9644298018017</v>
      </c>
      <c r="G58" s="1" t="str">
        <f t="shared" si="11"/>
        <v>-0.000249199689338009+0.00279955936843262i</v>
      </c>
      <c r="H58" s="1">
        <f t="shared" si="4"/>
        <v>-51.023930767940875</v>
      </c>
      <c r="I58" s="1">
        <f t="shared" si="5"/>
        <v>95.086714071792528</v>
      </c>
      <c r="J58" s="1" t="str">
        <f t="shared" si="6"/>
        <v>0.00606691292315585+0.000543836058934572i</v>
      </c>
      <c r="K58" s="1">
        <f t="shared" si="7"/>
        <v>-44.305887487970921</v>
      </c>
      <c r="L58" s="1">
        <f t="shared" si="8"/>
        <v>5.1222842699908497</v>
      </c>
    </row>
    <row r="59" spans="2:12">
      <c r="B59" s="1">
        <v>700000</v>
      </c>
      <c r="C59" s="1">
        <f t="shared" si="1"/>
        <v>4398229.7150257099</v>
      </c>
      <c r="D59" s="73" t="str">
        <f>IMPRODUCT(COMPLEX(1/(Calculations!$B$136*(Rcs+(Calculations!$B$135/1000))),0),IMDIV(COMPLEX(1,0),COMPLEX(1,(C59*Lm)/(Rcs+(Calculations!$B$135/1000)))))</f>
        <v>0.000988489940313094-1.85761339944532i</v>
      </c>
      <c r="E59" s="1">
        <f t="shared" si="2"/>
        <v>5.3791079314352501</v>
      </c>
      <c r="F59" s="1">
        <f t="shared" si="3"/>
        <v>-89.96951125764798</v>
      </c>
      <c r="G59" s="1" t="str">
        <f t="shared" si="11"/>
        <v>-0.000183473450166122+0.00240467201110348i</v>
      </c>
      <c r="H59" s="1">
        <f t="shared" si="4"/>
        <v>-52.353673891699053</v>
      </c>
      <c r="I59" s="1">
        <f t="shared" si="5"/>
        <v>94.363142346531134</v>
      </c>
      <c r="J59" s="1" t="str">
        <f t="shared" si="6"/>
        <v>0.00446676958743715+0.00034319973356378i</v>
      </c>
      <c r="K59" s="1">
        <f t="shared" si="7"/>
        <v>-46.974565960263803</v>
      </c>
      <c r="L59" s="1">
        <f t="shared" si="8"/>
        <v>4.3936310888831471</v>
      </c>
    </row>
    <row r="60" spans="2:12">
      <c r="B60" s="1">
        <v>800000</v>
      </c>
      <c r="C60" s="1">
        <f t="shared" si="1"/>
        <v>5026548.2457436686</v>
      </c>
      <c r="D60" s="73" t="str">
        <f>IMPRODUCT(COMPLEX(1/(Calculations!$B$136*(Rcs+(Calculations!$B$135/1000))),0),IMDIV(COMPLEX(1,0),COMPLEX(1,(C60*Lm)/(Rcs+(Calculations!$B$135/1000)))))</f>
        <v>0.00075681266077877-1.62541183238658i</v>
      </c>
      <c r="E60" s="1">
        <f t="shared" si="2"/>
        <v>4.2192692801049896</v>
      </c>
      <c r="F60" s="1">
        <f t="shared" si="3"/>
        <v>-89.973322349851827</v>
      </c>
      <c r="G60" s="1" t="str">
        <f t="shared" si="11"/>
        <v>-0.00014066532203961+0.00210696581020304i</v>
      </c>
      <c r="H60" s="1">
        <f t="shared" si="4"/>
        <v>-53.507536004836275</v>
      </c>
      <c r="I60" s="1">
        <f t="shared" si="5"/>
        <v>93.819514740348254</v>
      </c>
      <c r="J60" s="1" t="str">
        <f t="shared" si="6"/>
        <v>0.00342458070104135+0.000230233657250641i</v>
      </c>
      <c r="K60" s="1">
        <f t="shared" si="7"/>
        <v>-49.28826672473128</v>
      </c>
      <c r="L60" s="1">
        <f t="shared" si="8"/>
        <v>3.8461923904964324</v>
      </c>
    </row>
    <row r="61" spans="2:12">
      <c r="B61" s="1">
        <v>900000</v>
      </c>
      <c r="C61" s="1">
        <f t="shared" si="1"/>
        <v>5654866.7764616273</v>
      </c>
      <c r="D61" s="73" t="str">
        <f>IMPRODUCT(COMPLEX(1/(Calculations!$B$136*(Rcs+(Calculations!$B$135/1000))),0),IMDIV(COMPLEX(1,0),COMPLEX(1,(C61*Lm)/(Rcs+(Calculations!$B$135/1000)))))</f>
        <v>0.000597975462885082-1.4448105834162i</v>
      </c>
      <c r="E61" s="1">
        <f t="shared" si="2"/>
        <v>3.1962190287624392</v>
      </c>
      <c r="F61" s="1">
        <f t="shared" si="3"/>
        <v>-89.976286532841968</v>
      </c>
      <c r="G61" s="1" t="str">
        <f t="shared" si="11"/>
        <v>-0.000111248013418984+0.0018746163602832i</v>
      </c>
      <c r="H61" s="1">
        <f t="shared" si="4"/>
        <v>-54.52648400284447</v>
      </c>
      <c r="I61" s="1">
        <f t="shared" si="5"/>
        <v>93.396201452270446</v>
      </c>
      <c r="J61" s="1" t="str">
        <f t="shared" si="6"/>
        <v>0.0027083990336+0.000161853281757548i</v>
      </c>
      <c r="K61" s="1">
        <f t="shared" si="7"/>
        <v>-51.330264974082041</v>
      </c>
      <c r="L61" s="1">
        <f t="shared" si="8"/>
        <v>3.419914919428487</v>
      </c>
    </row>
    <row r="62" spans="2:12">
      <c r="B62" s="1">
        <v>1000000</v>
      </c>
      <c r="C62" s="1">
        <f t="shared" si="1"/>
        <v>6283185.307179586</v>
      </c>
      <c r="D62" s="73" t="str">
        <f>IMPRODUCT(COMPLEX(1/(Calculations!$B$136*(Rcs+(Calculations!$B$135/1000))),0),IMDIV(COMPLEX(1,0),COMPLEX(1,(C62*Lm)/(Rcs+(Calculations!$B$135/1000)))))</f>
        <v>0.000484360140700932-1.30032956739518i</v>
      </c>
      <c r="E62" s="1">
        <f t="shared" si="2"/>
        <v>2.2810693588946545</v>
      </c>
      <c r="F62" s="1">
        <f t="shared" si="3"/>
        <v>-89.978657879326235</v>
      </c>
      <c r="G62" s="1" t="str">
        <f t="shared" si="11"/>
        <v>-0.0000901718502315854+0.00168828820979325i</v>
      </c>
      <c r="H62" s="1">
        <f t="shared" si="4"/>
        <v>-55.438696975622612</v>
      </c>
      <c r="I62" s="1">
        <f t="shared" si="5"/>
        <v>93.057275470191726</v>
      </c>
      <c r="J62" s="1" t="str">
        <f t="shared" si="6"/>
        <v>0.00219528740182877+0.0001180708625177i</v>
      </c>
      <c r="K62" s="1">
        <f t="shared" si="7"/>
        <v>-53.157627616727972</v>
      </c>
      <c r="L62" s="1">
        <f t="shared" si="8"/>
        <v>3.0786175908655151</v>
      </c>
    </row>
    <row r="69" spans="2:97">
      <c r="Q69" t="s">
        <v>398</v>
      </c>
    </row>
    <row r="74" spans="2:97" ht="28">
      <c r="B74" s="30" t="s">
        <v>192</v>
      </c>
      <c r="C74" s="29"/>
      <c r="D74" s="29"/>
      <c r="E74" s="29"/>
    </row>
    <row r="75" spans="2:97" ht="28">
      <c r="B75" s="29"/>
      <c r="C75" s="29"/>
      <c r="D75" s="29"/>
      <c r="E75" s="29"/>
    </row>
    <row r="76" spans="2:97" ht="15" thickBot="1">
      <c r="B76" s="213" t="s">
        <v>33</v>
      </c>
      <c r="C76" s="213"/>
      <c r="D76" s="206" t="s">
        <v>31</v>
      </c>
      <c r="E76" s="202"/>
      <c r="F76" s="202"/>
      <c r="G76" s="202"/>
      <c r="H76" s="202"/>
      <c r="I76" s="202"/>
      <c r="J76" s="202"/>
      <c r="K76" s="202"/>
      <c r="L76" s="202"/>
      <c r="M76" s="202"/>
      <c r="N76" s="202"/>
      <c r="O76" s="202"/>
      <c r="P76" s="202"/>
      <c r="Q76" s="202"/>
      <c r="R76" s="202"/>
      <c r="S76" s="202"/>
      <c r="T76" s="202"/>
    </row>
    <row r="77" spans="2:97" ht="15" thickBot="1">
      <c r="B77" s="213"/>
      <c r="C77" s="213"/>
      <c r="D77" s="203" t="s">
        <v>0</v>
      </c>
      <c r="E77" s="204"/>
      <c r="F77" s="205"/>
      <c r="G77" s="203" t="s">
        <v>386</v>
      </c>
      <c r="H77" s="204"/>
      <c r="I77" s="205"/>
      <c r="J77" s="203" t="s">
        <v>387</v>
      </c>
      <c r="K77" s="204"/>
      <c r="L77" s="205"/>
      <c r="M77" s="203" t="s">
        <v>390</v>
      </c>
      <c r="N77" s="205"/>
      <c r="O77" s="207" t="s">
        <v>444</v>
      </c>
      <c r="P77" s="208"/>
      <c r="Q77" s="209"/>
      <c r="R77" s="210" t="s">
        <v>445</v>
      </c>
      <c r="S77" s="211"/>
      <c r="T77" s="211"/>
      <c r="U77" s="202" t="s">
        <v>393</v>
      </c>
      <c r="V77" s="202"/>
      <c r="W77" s="202"/>
      <c r="X77" t="s">
        <v>387</v>
      </c>
    </row>
    <row r="78" spans="2:97" ht="45">
      <c r="B78" s="71" t="s">
        <v>35</v>
      </c>
      <c r="C78" s="84" t="s">
        <v>34</v>
      </c>
      <c r="D78" s="85" t="s">
        <v>38</v>
      </c>
      <c r="E78" s="71" t="s">
        <v>36</v>
      </c>
      <c r="F78" s="86" t="s">
        <v>37</v>
      </c>
      <c r="G78" s="85" t="s">
        <v>38</v>
      </c>
      <c r="H78" s="71" t="s">
        <v>36</v>
      </c>
      <c r="I78" s="86" t="s">
        <v>37</v>
      </c>
      <c r="J78" s="85" t="s">
        <v>38</v>
      </c>
      <c r="K78" s="71" t="s">
        <v>36</v>
      </c>
      <c r="L78" s="86" t="s">
        <v>37</v>
      </c>
      <c r="M78" s="85" t="s">
        <v>388</v>
      </c>
      <c r="N78" s="86" t="s">
        <v>389</v>
      </c>
      <c r="O78" s="85" t="s">
        <v>38</v>
      </c>
      <c r="P78" s="71" t="s">
        <v>36</v>
      </c>
      <c r="Q78" s="86" t="s">
        <v>37</v>
      </c>
      <c r="R78" s="89" t="s">
        <v>38</v>
      </c>
      <c r="S78" s="90" t="s">
        <v>36</v>
      </c>
      <c r="T78" s="91" t="s">
        <v>37</v>
      </c>
      <c r="U78" s="89" t="s">
        <v>38</v>
      </c>
      <c r="V78" s="90" t="s">
        <v>36</v>
      </c>
      <c r="W78" s="91" t="s">
        <v>37</v>
      </c>
      <c r="X78" s="89" t="s">
        <v>38</v>
      </c>
      <c r="Y78" s="90" t="s">
        <v>36</v>
      </c>
      <c r="Z78" s="91" t="s">
        <v>37</v>
      </c>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c r="BM78" s="21"/>
      <c r="BN78" s="21"/>
      <c r="BO78" s="21"/>
      <c r="BP78" s="21"/>
      <c r="BQ78" s="21"/>
      <c r="BR78" s="21"/>
      <c r="BS78" s="21"/>
      <c r="BT78" s="21"/>
      <c r="BU78" s="21"/>
      <c r="BV78" s="21"/>
      <c r="BW78" s="21"/>
      <c r="BX78" s="21"/>
      <c r="BY78" s="21"/>
      <c r="BZ78" s="21"/>
      <c r="CA78" s="21"/>
      <c r="CB78" s="21"/>
      <c r="CC78" s="21"/>
      <c r="CD78" s="21"/>
      <c r="CE78" s="21"/>
      <c r="CF78" s="21"/>
      <c r="CG78" s="21"/>
      <c r="CH78" s="21"/>
      <c r="CI78" s="21"/>
      <c r="CJ78" s="21"/>
      <c r="CK78" s="21"/>
      <c r="CL78" s="21"/>
      <c r="CM78" s="21"/>
      <c r="CN78" s="21"/>
      <c r="CO78" s="21"/>
      <c r="CP78" s="21"/>
      <c r="CQ78" s="21"/>
      <c r="CR78" s="21"/>
      <c r="CS78" s="21"/>
    </row>
    <row r="79" spans="2:97">
      <c r="B79" s="1">
        <v>1</v>
      </c>
      <c r="C79" s="22">
        <f t="shared" ref="C79:C110" si="12">2*PI()*B79</f>
        <v>6.2831853071795862</v>
      </c>
      <c r="D79" s="26" t="str">
        <f t="shared" ref="D79:D110" si="13">IMDIV(COMPLEX((V12_Nom/(I_Channel_Design*np)),((Zo_Buck_Cout*Zo_Buck_Resr*V12_Nom)/(I_Channel_Design*np))*C79),COMPLEX(1,((Zo_Buck_Cout*Zo_Buck_Resr)+((Zo_Buck_Cout*V12_Nom)/(I_Channel_Design*np)))*C79))</f>
        <v>0.444442201345275-0.000992893351405457i</v>
      </c>
      <c r="E79" s="1">
        <f t="shared" ref="E79:E137" si="14">20*LOG(IMABS(D79))</f>
        <v>-7.0436725248520551</v>
      </c>
      <c r="F79" s="6">
        <f t="shared" ref="F79" si="15">IMARGUMENT(D79)*(180/PI())</f>
        <v>-0.12799977978998564</v>
      </c>
      <c r="G79" s="5" t="str">
        <f t="shared" ref="G79:G110" si="16">IMDIV(COMPLEX(V48_Max,0),IMSUM(COMPLEX(Rcs/np,(Lm*C79)/np),D79))</f>
        <v>157.323044443722+0.345847288161591i</v>
      </c>
      <c r="H79" s="1">
        <f>20*LOG10(IMABS(G79))</f>
        <v>43.935867829570654</v>
      </c>
      <c r="I79" s="6">
        <f>IMARGUMENT(G79)*(180/PI())</f>
        <v>0.12595458038173984</v>
      </c>
      <c r="J79" s="26" t="str">
        <f t="shared" ref="J79:J110" si="17">IMDIV(IMPRODUCT(COMPLEX(V48_Max,0),D79),IMSUM(COMPLEX(Rcs/np,(Lm*C79)/np),D79))</f>
        <v>69.9213435843814-0.00249587477120504i</v>
      </c>
      <c r="K79" s="1">
        <f>20*LOG10(IMABS(J79))</f>
        <v>36.892195304718605</v>
      </c>
      <c r="L79" s="6">
        <f>IMARGUMENT(J79)*(180/PI())</f>
        <v>-2.0451994082452862E-3</v>
      </c>
      <c r="M79" s="26">
        <f t="shared" ref="M79:M110" si="18">(Ramp_C*Ramp_R*Fsw)/(V48_Max)</f>
        <v>0.5485714285714286</v>
      </c>
      <c r="N79" s="6">
        <f t="shared" ref="N79:N110" si="19">(Rcs*Acs)/np</f>
        <v>2.5000000000000001E-2</v>
      </c>
      <c r="O79" s="5" t="str">
        <f t="shared" ref="O79:O110" si="20">IMPRODUCT(COMPLEX(gm/(IL_Comp_Ccomp+IL_Comp_Chf),0),IMDIV(COMPLEX(1,C79*IL_Comp_Rcomp*IL_Comp_Ccomp),IMPRODUCT(COMPLEX(0,C79),COMPLEX(1,C79*IL_Comp_Rcomp*IL_Comp_Chf))))</f>
        <v>0.625296041843028-232.444794958096i</v>
      </c>
      <c r="P79" s="1">
        <f t="shared" ref="P79:P137" si="21">20*LOG(IMABS(O79))</f>
        <v>47.326427940793998</v>
      </c>
      <c r="Q79" s="6">
        <f t="shared" ref="Q79" si="22">IMARGUMENT(O79)*(180/PI())</f>
        <v>-89.845869907606328</v>
      </c>
      <c r="R79" s="5" t="str">
        <f>IMDIV(IMPRODUCT(J79,O79,COMPLEX(M79,0)),IMSUM(COMPLEX(1,0),IMPRODUCT(G79,O79,COMPLEX(N79,0),COMPLEX(M79,0))))</f>
        <v>17.7773649095781-0.0751615714144632i</v>
      </c>
      <c r="S79" s="1">
        <f>20*LOG10(IMABS(R79))</f>
        <v>24.997425373700398</v>
      </c>
      <c r="T79" s="6">
        <f>IMARGUMENT(R79)*(180/PI())</f>
        <v>-0.24224147875381954</v>
      </c>
      <c r="U79" t="str">
        <f>IMPRODUCT(COMPLEX(-1,0),IMDIV(COMPLEX(1,C79*Calculations!$B$171*Calculations!$B$173),IMPRODUCT(COMPLEX(0,C79*Calculations!$B$160),COMPLEX((Calculations!$B$173+Calculations!$B$175),C79*Calculations!$B$171*Calculations!$B$173*Calculations!$B$175))))</f>
        <v>-0.223990579259779+177.40653168454i</v>
      </c>
      <c r="V79">
        <f>20*LOG10(IMABS(U79))</f>
        <v>44.979399032658982</v>
      </c>
      <c r="W79">
        <f>IMARGUMENT(U79)*(180/PI())</f>
        <v>90.072340673711039</v>
      </c>
      <c r="X79" t="str">
        <f>IMPRODUCT(U79,R79)</f>
        <v>9.35219143679091+3153.83748658262i</v>
      </c>
      <c r="Y79">
        <f>20*LOG10(IMABS(X79))</f>
        <v>69.976824406359398</v>
      </c>
      <c r="Z79">
        <f>IMARGUMENT(X79)*(180/PI())</f>
        <v>89.830099194957228</v>
      </c>
    </row>
    <row r="80" spans="2:97">
      <c r="B80" s="1">
        <v>2</v>
      </c>
      <c r="C80" s="22">
        <f t="shared" si="12"/>
        <v>12.566370614359172</v>
      </c>
      <c r="D80" s="26" t="str">
        <f t="shared" si="13"/>
        <v>0.444435472185145-0.00198575629839039i</v>
      </c>
      <c r="E80" s="1">
        <f t="shared" si="14"/>
        <v>-7.0437390120476815</v>
      </c>
      <c r="F80" s="6">
        <f t="shared" ref="F80:F133" si="23">IMARGUMENT(D80)*(180/PI())</f>
        <v>-0.25599823833606838</v>
      </c>
      <c r="G80" s="5" t="str">
        <f t="shared" si="16"/>
        <v>157.323142939124+0.691694719909766i</v>
      </c>
      <c r="H80" s="1">
        <f t="shared" ref="H80:H137" si="24">20*LOG10(IMABS(G80))</f>
        <v>43.935936230333546</v>
      </c>
      <c r="I80" s="6">
        <f t="shared" ref="I80:I133" si="25">IMARGUMENT(G80)*(180/PI())</f>
        <v>0.25190783797583538</v>
      </c>
      <c r="J80" s="26" t="str">
        <f t="shared" si="17"/>
        <v>69.9213588549472-0.00499175252286688i</v>
      </c>
      <c r="K80" s="1">
        <f t="shared" ref="K80:K137" si="26">20*LOG10(IMABS(J80))</f>
        <v>36.892197218285851</v>
      </c>
      <c r="L80" s="6">
        <f t="shared" ref="L80:L133" si="27">IMARGUMENT(J80)*(180/PI())</f>
        <v>-4.0904003602316146E-3</v>
      </c>
      <c r="M80" s="26">
        <f t="shared" si="18"/>
        <v>0.5485714285714286</v>
      </c>
      <c r="N80" s="6">
        <f t="shared" si="19"/>
        <v>2.5000000000000001E-2</v>
      </c>
      <c r="O80" s="5" t="str">
        <f t="shared" si="20"/>
        <v>0.625296041185459-116.222415039833i</v>
      </c>
      <c r="P80" s="1">
        <f t="shared" si="21"/>
        <v>41.305923622019456</v>
      </c>
      <c r="Q80" s="6">
        <f t="shared" ref="Q80:Q133" si="28">IMARGUMENT(O80)*(180/PI())</f>
        <v>-89.691742092810486</v>
      </c>
      <c r="R80" s="5" t="str">
        <f t="shared" ref="R80:R133" si="29">IMDIV(IMPRODUCT(J80,O80,COMPLEX(M80,0)),IMSUM(COMPLEX(1,0),IMPRODUCT(G80,O80,COMPLEX(N80,0),COMPLEX(M80,0))))</f>
        <v>17.7761264749214-0.150308713822725i</v>
      </c>
      <c r="S80" s="1">
        <f t="shared" ref="S80:S137" si="30">20*LOG10(IMABS(R80))</f>
        <v>24.99705313205996</v>
      </c>
      <c r="T80" s="6">
        <f t="shared" ref="T80:T133" si="31">IMARGUMENT(R80)*(180/PI())</f>
        <v>-0.48446154446108797</v>
      </c>
      <c r="U80" t="str">
        <f>IMPRODUCT(COMPLEX(-1,0),IMDIV(COMPLEX(1,C80*Calculations!$B$171*Calculations!$B$173),IMPRODUCT(COMPLEX(0,C80*Calculations!$B$160),COMPLEX((Calculations!$B$173+Calculations!$B$175),C80*Calculations!$B$171*Calculations!$B$173*Calculations!$B$175))))</f>
        <v>-0.223990578905664+88.7032735551841i</v>
      </c>
      <c r="V80">
        <f t="shared" ref="V80:V137" si="32">20*LOG10(IMABS(U80))</f>
        <v>38.958820644037282</v>
      </c>
      <c r="W80">
        <f t="shared" ref="W80:W134" si="33">IMARGUMENT(U80)*(180/PI())</f>
        <v>90.14468110397506</v>
      </c>
      <c r="X80" t="str">
        <f t="shared" ref="X80:X134" si="34">IMPRODUCT(U80,R80)</f>
        <v>9.35119010012711+1576.83427719233i</v>
      </c>
      <c r="Y80">
        <f t="shared" ref="Y80:Y137" si="35">20*LOG10(IMABS(X80))</f>
        <v>63.955873776097256</v>
      </c>
      <c r="Z80">
        <f t="shared" ref="Z80:Z134" si="36">IMARGUMENT(X80)*(180/PI())</f>
        <v>89.660219559513976</v>
      </c>
    </row>
    <row r="81" spans="2:26">
      <c r="B81" s="1">
        <v>3</v>
      </c>
      <c r="C81" s="22">
        <f t="shared" si="12"/>
        <v>18.849555921538759</v>
      </c>
      <c r="D81" s="26" t="str">
        <f t="shared" si="13"/>
        <v>0.444424257376162-0.00297855843963768i</v>
      </c>
      <c r="E81" s="1">
        <f t="shared" si="14"/>
        <v>-7.0438498217779619</v>
      </c>
      <c r="F81" s="6">
        <f t="shared" si="23"/>
        <v>-0.38399405447526291</v>
      </c>
      <c r="G81" s="5" t="str">
        <f t="shared" si="16"/>
        <v>157.323307098284+1.03754243883129i</v>
      </c>
      <c r="H81" s="1">
        <f t="shared" si="24"/>
        <v>43.936050229343458</v>
      </c>
      <c r="I81" s="6">
        <f t="shared" si="25"/>
        <v>0.37785845007555491</v>
      </c>
      <c r="J81" s="26" t="str">
        <f t="shared" si="17"/>
        <v>69.9213843059042-0.00748763623545746i</v>
      </c>
      <c r="K81" s="1">
        <f t="shared" si="26"/>
        <v>36.892200407565475</v>
      </c>
      <c r="L81" s="6">
        <f t="shared" si="27"/>
        <v>-6.1356043997089086E-3</v>
      </c>
      <c r="M81" s="26">
        <f t="shared" si="18"/>
        <v>0.5485714285714286</v>
      </c>
      <c r="N81" s="6">
        <f t="shared" si="19"/>
        <v>2.5000000000000001E-2</v>
      </c>
      <c r="O81" s="5" t="str">
        <f t="shared" si="20"/>
        <v>0.625296040089512-77.4816295385384i</v>
      </c>
      <c r="P81" s="1">
        <f t="shared" si="21"/>
        <v>37.784257760404721</v>
      </c>
      <c r="Q81" s="6">
        <f t="shared" si="28"/>
        <v>-89.537618833009788</v>
      </c>
      <c r="R81" s="5" t="str">
        <f t="shared" si="29"/>
        <v>17.774062983458-0.225427008242412i</v>
      </c>
      <c r="S81" s="1">
        <f t="shared" si="30"/>
        <v>24.996432830152312</v>
      </c>
      <c r="T81" s="6">
        <f t="shared" si="31"/>
        <v>-0.72663879372568119</v>
      </c>
      <c r="U81" t="str">
        <f>IMPRODUCT(COMPLEX(-1,0),IMDIV(COMPLEX(1,C81*Calculations!$B$171*Calculations!$B$173),IMPRODUCT(COMPLEX(0,C81*Calculations!$B$160),COMPLEX((Calculations!$B$173+Calculations!$B$175),C81*Calculations!$B$171*Calculations!$B$173*Calculations!$B$175))))</f>
        <v>-0.223990578315469+59.1355242733601i</v>
      </c>
      <c r="V81">
        <f t="shared" si="32"/>
        <v>35.437031337116238</v>
      </c>
      <c r="W81">
        <f t="shared" si="33"/>
        <v>90.217021047349803</v>
      </c>
      <c r="X81" t="str">
        <f t="shared" si="34"/>
        <v>9.34952167110977+1051.12902652046i</v>
      </c>
      <c r="Y81">
        <f t="shared" si="35"/>
        <v>60.433464167268589</v>
      </c>
      <c r="Z81">
        <f t="shared" si="36"/>
        <v>89.490382253624134</v>
      </c>
    </row>
    <row r="82" spans="2:26">
      <c r="B82" s="1">
        <v>4</v>
      </c>
      <c r="C82" s="22">
        <f t="shared" si="12"/>
        <v>25.132741228718345</v>
      </c>
      <c r="D82" s="26" t="str">
        <f t="shared" si="13"/>
        <v>0.444408557605105-0.00397126938003637i</v>
      </c>
      <c r="E82" s="1">
        <f t="shared" si="14"/>
        <v>-7.0440049506494509</v>
      </c>
      <c r="F82" s="6">
        <f t="shared" si="23"/>
        <v>-0.51198590720640635</v>
      </c>
      <c r="G82" s="5" t="str">
        <f t="shared" si="16"/>
        <v>157.323536921436+1.38339058851331i</v>
      </c>
      <c r="H82" s="1">
        <f t="shared" si="24"/>
        <v>43.936209823208266</v>
      </c>
      <c r="I82" s="6">
        <f t="shared" si="25"/>
        <v>0.5038050941359915</v>
      </c>
      <c r="J82" s="26" t="str">
        <f t="shared" si="17"/>
        <v>69.9214199372739-0.00998352888944418i</v>
      </c>
      <c r="K82" s="1">
        <f t="shared" si="26"/>
        <v>36.89220487255885</v>
      </c>
      <c r="L82" s="6">
        <f t="shared" si="27"/>
        <v>-8.1808130704162686E-3</v>
      </c>
      <c r="M82" s="26">
        <f t="shared" si="18"/>
        <v>0.5485714285714286</v>
      </c>
      <c r="N82" s="6">
        <f t="shared" si="19"/>
        <v>2.5000000000000001E-2</v>
      </c>
      <c r="O82" s="5" t="str">
        <f t="shared" si="20"/>
        <v>0.625296038555191-58.1112426414862i</v>
      </c>
      <c r="P82" s="1">
        <f t="shared" si="21"/>
        <v>35.285706065717818</v>
      </c>
      <c r="Q82" s="6">
        <f t="shared" si="28"/>
        <v>-89.383502405200488</v>
      </c>
      <c r="R82" s="5" t="str">
        <f t="shared" si="29"/>
        <v>17.7711752840133-0.300502055724145i</v>
      </c>
      <c r="S82" s="1">
        <f t="shared" si="30"/>
        <v>24.995564619140531</v>
      </c>
      <c r="T82" s="6">
        <f t="shared" si="31"/>
        <v>-0.96875184244209478</v>
      </c>
      <c r="U82" t="str">
        <f>IMPRODUCT(COMPLEX(-1,0),IMDIV(COMPLEX(1,C82*Calculations!$B$171*Calculations!$B$173),IMPRODUCT(COMPLEX(0,C82*Calculations!$B$160),COMPLEX((Calculations!$B$173+Calculations!$B$175),C82*Calculations!$B$171*Calculations!$B$173*Calculations!$B$175))))</f>
        <v>-0.223990577489198+44.3516522034197i</v>
      </c>
      <c r="V82">
        <f t="shared" si="32"/>
        <v>32.938306828321785</v>
      </c>
      <c r="W82">
        <f t="shared" si="33"/>
        <v>90.289360260402773</v>
      </c>
      <c r="X82" t="str">
        <f t="shared" si="34"/>
        <v>9.34718684736202+788.248295071564i</v>
      </c>
      <c r="Y82">
        <f t="shared" si="35"/>
        <v>57.933871447462309</v>
      </c>
      <c r="Z82">
        <f t="shared" si="36"/>
        <v>89.320608417960671</v>
      </c>
    </row>
    <row r="83" spans="2:26">
      <c r="B83" s="1">
        <v>5</v>
      </c>
      <c r="C83" s="22">
        <f t="shared" si="12"/>
        <v>31.415926535897931</v>
      </c>
      <c r="D83" s="26" t="str">
        <f t="shared" si="13"/>
        <v>0.444388373833313-0.00496385873378303i</v>
      </c>
      <c r="E83" s="1">
        <f t="shared" si="14"/>
        <v>-7.0442043939118948</v>
      </c>
      <c r="F83" s="6">
        <f t="shared" si="23"/>
        <v>-0.63997247577103855</v>
      </c>
      <c r="G83" s="5" t="str">
        <f t="shared" si="16"/>
        <v>157.323832408912+1.72923931254353i</v>
      </c>
      <c r="H83" s="1">
        <f t="shared" si="24"/>
        <v>43.936415007179662</v>
      </c>
      <c r="I83" s="6">
        <f t="shared" si="25"/>
        <v>0.62974644785491873</v>
      </c>
      <c r="J83" s="26" t="str">
        <f t="shared" si="17"/>
        <v>69.9214657490853-0.0124794334653368i</v>
      </c>
      <c r="K83" s="1">
        <f t="shared" si="26"/>
        <v>36.892210613267757</v>
      </c>
      <c r="L83" s="6">
        <f t="shared" si="27"/>
        <v>-1.0226027916117009E-2</v>
      </c>
      <c r="M83" s="26">
        <f t="shared" si="18"/>
        <v>0.5485714285714286</v>
      </c>
      <c r="N83" s="6">
        <f t="shared" si="19"/>
        <v>2.5000000000000001E-2</v>
      </c>
      <c r="O83" s="5" t="str">
        <f t="shared" si="20"/>
        <v>0.625296036582483-46.4890151861305i</v>
      </c>
      <c r="P83" s="1">
        <f t="shared" si="21"/>
        <v>33.347792551198268</v>
      </c>
      <c r="Q83" s="6">
        <f t="shared" si="28"/>
        <v>-89.22939508577744</v>
      </c>
      <c r="R83" s="5" t="str">
        <f t="shared" si="29"/>
        <v>17.7674645637024-0.375519487331431i</v>
      </c>
      <c r="S83" s="1">
        <f t="shared" si="30"/>
        <v>24.994448710500308</v>
      </c>
      <c r="T83" s="6">
        <f t="shared" si="31"/>
        <v>-1.2107793354151726</v>
      </c>
      <c r="U83" t="str">
        <f>IMPRODUCT(COMPLEX(-1,0),IMDIV(COMPLEX(1,C83*Calculations!$B$171*Calculations!$B$173),IMPRODUCT(COMPLEX(0,C83*Calculations!$B$160),COMPLEX((Calculations!$B$173+Calculations!$B$175),C83*Calculations!$B$171*Calculations!$B$173*Calculations!$B$175))))</f>
        <v>-0.223990576426849+35.4813310182321i</v>
      </c>
      <c r="V83">
        <f t="shared" si="32"/>
        <v>31.000171140212899</v>
      </c>
      <c r="W83">
        <f t="shared" si="33"/>
        <v>90.361698499715857</v>
      </c>
      <c r="X83" t="str">
        <f t="shared" si="34"/>
        <v>9.344186604536+630.497404365861i</v>
      </c>
      <c r="Y83">
        <f t="shared" si="35"/>
        <v>55.994619850713214</v>
      </c>
      <c r="Z83">
        <f t="shared" si="36"/>
        <v>89.150919164300689</v>
      </c>
    </row>
    <row r="84" spans="2:26">
      <c r="B84" s="1">
        <v>6</v>
      </c>
      <c r="C84" s="22">
        <f t="shared" si="12"/>
        <v>37.699111843077517</v>
      </c>
      <c r="D84" s="26" t="str">
        <f t="shared" si="13"/>
        <v>0.444363707296547-0.00595629612748123i</v>
      </c>
      <c r="E84" s="1">
        <f t="shared" si="14"/>
        <v>-7.0444481454585386</v>
      </c>
      <c r="F84" s="6">
        <f t="shared" si="23"/>
        <v>-0.76795243973424121</v>
      </c>
      <c r="G84" s="5" t="str">
        <f t="shared" si="16"/>
        <v>157.324193561131+2.0750887545104i</v>
      </c>
      <c r="H84" s="1">
        <f t="shared" si="24"/>
        <v>43.936665775153116</v>
      </c>
      <c r="I84" s="6">
        <f t="shared" si="25"/>
        <v>0.75568118925367156</v>
      </c>
      <c r="J84" s="26" t="str">
        <f t="shared" si="17"/>
        <v>69.9215217413766-0.0149753529436596i</v>
      </c>
      <c r="K84" s="1">
        <f t="shared" si="26"/>
        <v>36.892217629694599</v>
      </c>
      <c r="L84" s="6">
        <f t="shared" si="27"/>
        <v>-1.2271250480572154E-2</v>
      </c>
      <c r="M84" s="26">
        <f t="shared" si="18"/>
        <v>0.5485714285714286</v>
      </c>
      <c r="N84" s="6">
        <f t="shared" si="19"/>
        <v>2.5000000000000001E-2</v>
      </c>
      <c r="O84" s="5" t="str">
        <f t="shared" si="20"/>
        <v>0.625296034171399-38.7408674516232i</v>
      </c>
      <c r="P84" s="1">
        <f t="shared" si="21"/>
        <v>31.764518071429659</v>
      </c>
      <c r="Q84" s="6">
        <f t="shared" si="28"/>
        <v>-89.075299150333791</v>
      </c>
      <c r="R84" s="5" t="str">
        <f t="shared" si="29"/>
        <v>17.7629323466928-0.45046497407671i</v>
      </c>
      <c r="S84" s="1">
        <f t="shared" si="30"/>
        <v>24.99308537586775</v>
      </c>
      <c r="T84" s="6">
        <f t="shared" si="31"/>
        <v>-1.4526999559491054</v>
      </c>
      <c r="U84" t="str">
        <f>IMPRODUCT(COMPLEX(-1,0),IMDIV(COMPLEX(1,C84*Calculations!$B$171*Calculations!$B$173),IMPRODUCT(COMPLEX(0,C84*Calculations!$B$160),COMPLEX((Calculations!$B$173+Calculations!$B$175),C84*Calculations!$B$171*Calculations!$B$173*Calculations!$B$175))))</f>
        <v>-0.223990575128423+29.5677852754213i</v>
      </c>
      <c r="V84">
        <f t="shared" si="32"/>
        <v>29.416625139353037</v>
      </c>
      <c r="W84">
        <f t="shared" si="33"/>
        <v>90.434035521890294</v>
      </c>
      <c r="X84" t="str">
        <f t="shared" si="34"/>
        <v>9.3405221952954+525.311469397467i</v>
      </c>
      <c r="Y84">
        <f t="shared" si="35"/>
        <v>54.409710515220794</v>
      </c>
      <c r="Z84">
        <f t="shared" si="36"/>
        <v>88.981335565941194</v>
      </c>
    </row>
    <row r="85" spans="2:26">
      <c r="B85" s="1">
        <v>7</v>
      </c>
      <c r="C85" s="22">
        <f t="shared" si="12"/>
        <v>43.982297150257104</v>
      </c>
      <c r="D85" s="26" t="str">
        <f t="shared" si="13"/>
        <v>0.44433455950479-0.00694855120323821i</v>
      </c>
      <c r="E85" s="1">
        <f t="shared" si="14"/>
        <v>-7.0447361978269631</v>
      </c>
      <c r="F85" s="6">
        <f t="shared" si="23"/>
        <v>-0.89592447906543504</v>
      </c>
      <c r="G85" s="5" t="str">
        <f t="shared" si="16"/>
        <v>157.324620378614+2.42093905800329i</v>
      </c>
      <c r="H85" s="1">
        <f t="shared" si="24"/>
        <v>43.936962119669268</v>
      </c>
      <c r="I85" s="6">
        <f t="shared" si="25"/>
        <v>0.88160799675787482</v>
      </c>
      <c r="J85" s="26" t="str">
        <f t="shared" si="17"/>
        <v>69.9215879141941-0.0174712903049791i</v>
      </c>
      <c r="K85" s="1">
        <f t="shared" si="26"/>
        <v>36.892225921842289</v>
      </c>
      <c r="L85" s="6">
        <f t="shared" si="27"/>
        <v>-1.4316482307559743E-2</v>
      </c>
      <c r="M85" s="26">
        <f t="shared" si="18"/>
        <v>0.5485714285714286</v>
      </c>
      <c r="N85" s="6">
        <f t="shared" si="19"/>
        <v>2.5000000000000001E-2</v>
      </c>
      <c r="O85" s="5" t="str">
        <f t="shared" si="20"/>
        <v>0.625296031321934-33.2064795576005i</v>
      </c>
      <c r="P85" s="1">
        <f t="shared" si="21"/>
        <v>30.42599640012261</v>
      </c>
      <c r="Q85" s="6">
        <f t="shared" si="28"/>
        <v>-88.921216873460878</v>
      </c>
      <c r="R85" s="5" t="str">
        <f t="shared" si="29"/>
        <v>17.7575804926167-0.525324236799154i</v>
      </c>
      <c r="S85" s="1">
        <f t="shared" si="30"/>
        <v>24.991474946843574</v>
      </c>
      <c r="T85" s="6">
        <f t="shared" si="31"/>
        <v>-1.6944924353957744</v>
      </c>
      <c r="U85" t="str">
        <f>IMPRODUCT(COMPLEX(-1,0),IMDIV(COMPLEX(1,C85*Calculations!$B$171*Calculations!$B$173),IMPRODUCT(COMPLEX(0,C85*Calculations!$B$160),COMPLEX((Calculations!$B$173+Calculations!$B$175),C85*Calculations!$B$171*Calculations!$B$173*Calculations!$B$175))))</f>
        <v>-0.22399057359392+25.3438254996827i</v>
      </c>
      <c r="V85">
        <f t="shared" si="32"/>
        <v>28.077782614091031</v>
      </c>
      <c r="W85">
        <f t="shared" si="33"/>
        <v>90.506371083551471</v>
      </c>
      <c r="X85" t="str">
        <f t="shared" si="34"/>
        <v>9.33619514801033+450.162688978571i</v>
      </c>
      <c r="Y85">
        <f t="shared" si="35"/>
        <v>53.069257560934616</v>
      </c>
      <c r="Z85">
        <f t="shared" si="36"/>
        <v>88.811878648155698</v>
      </c>
    </row>
    <row r="86" spans="2:26">
      <c r="B86" s="1">
        <v>8</v>
      </c>
      <c r="C86" s="22">
        <f t="shared" si="12"/>
        <v>50.26548245743669</v>
      </c>
      <c r="D86" s="26" t="str">
        <f t="shared" si="13"/>
        <v>0.444300932242025-0.0079405936217585i</v>
      </c>
      <c r="E86" s="1">
        <f t="shared" si="14"/>
        <v>-7.0450685421996697</v>
      </c>
      <c r="F86" s="6">
        <f t="shared" si="23"/>
        <v>-1.0238872742191221</v>
      </c>
      <c r="G86" s="5" t="str">
        <f t="shared" si="16"/>
        <v>157.32511286197+2.76679036661273i</v>
      </c>
      <c r="H86" s="1">
        <f t="shared" si="24"/>
        <v>43.937304031913968</v>
      </c>
      <c r="I86" s="6">
        <f t="shared" si="25"/>
        <v>1.00752554927825</v>
      </c>
      <c r="J86" s="26" t="str">
        <f t="shared" si="17"/>
        <v>69.9216642675926-0.0199672485299013i</v>
      </c>
      <c r="K86" s="1">
        <f t="shared" si="26"/>
        <v>36.892235489714253</v>
      </c>
      <c r="L86" s="6">
        <f t="shared" si="27"/>
        <v>-1.6361724940868991E-2</v>
      </c>
      <c r="M86" s="26">
        <f t="shared" si="18"/>
        <v>0.5485714285714286</v>
      </c>
      <c r="N86" s="6">
        <f t="shared" si="19"/>
        <v>2.5000000000000001E-2</v>
      </c>
      <c r="O86" s="5" t="str">
        <f t="shared" si="20"/>
        <v>0.625296028034094-29.0556915638806i</v>
      </c>
      <c r="P86" s="1">
        <f t="shared" si="21"/>
        <v>29.266635243776005</v>
      </c>
      <c r="Q86" s="6">
        <f t="shared" si="28"/>
        <v>-88.767150528548328</v>
      </c>
      <c r="R86" s="5" t="str">
        <f t="shared" si="29"/>
        <v>17.7514111946383-0.60008305596991i</v>
      </c>
      <c r="S86" s="1">
        <f t="shared" si="30"/>
        <v>24.989617814755082</v>
      </c>
      <c r="T86" s="6">
        <f t="shared" si="31"/>
        <v>-1.9361355626521894</v>
      </c>
      <c r="U86" t="str">
        <f>IMPRODUCT(COMPLEX(-1,0),IMDIV(COMPLEX(1,C86*Calculations!$B$171*Calculations!$B$173),IMPRODUCT(COMPLEX(0,C86*Calculations!$B$160),COMPLEX((Calculations!$B$173+Calculations!$B$175),C86*Calculations!$B$171*Calculations!$B$173*Calculations!$B$175))))</f>
        <v>-0.223990571823336+22.1758569533641i</v>
      </c>
      <c r="V86">
        <f t="shared" si="32"/>
        <v>26.918051288220202</v>
      </c>
      <c r="W86">
        <f t="shared" si="33"/>
        <v>90.578704941353706</v>
      </c>
      <c r="X86" t="str">
        <f t="shared" si="34"/>
        <v>9.3312072651681+393.787168319493i</v>
      </c>
      <c r="Y86">
        <f t="shared" si="35"/>
        <v>51.907669102975277</v>
      </c>
      <c r="Z86">
        <f t="shared" si="36"/>
        <v>88.642569378701523</v>
      </c>
    </row>
    <row r="87" spans="2:26">
      <c r="B87" s="1">
        <v>9</v>
      </c>
      <c r="C87" s="22">
        <f t="shared" si="12"/>
        <v>56.548667764616276</v>
      </c>
      <c r="D87" s="26" t="str">
        <f t="shared" si="13"/>
        <v>0.444262827565959-0.00893239306543307i</v>
      </c>
      <c r="E87" s="1">
        <f t="shared" si="14"/>
        <v>-7.0454451684050357</v>
      </c>
      <c r="F87" s="6">
        <f t="shared" si="23"/>
        <v>-1.1518395062155069</v>
      </c>
      <c r="G87" s="5" t="str">
        <f t="shared" si="16"/>
        <v>157.325671011903+3.1126428239305i</v>
      </c>
      <c r="H87" s="1">
        <f t="shared" si="24"/>
        <v>43.937691501719513</v>
      </c>
      <c r="I87" s="6">
        <f t="shared" si="25"/>
        <v>1.1334325262912099</v>
      </c>
      <c r="J87" s="26" t="str">
        <f t="shared" si="17"/>
        <v>69.9217508016355-0.0224632305990759i</v>
      </c>
      <c r="K87" s="1">
        <f t="shared" si="26"/>
        <v>36.892246333314475</v>
      </c>
      <c r="L87" s="6">
        <f t="shared" si="27"/>
        <v>-1.8406979924300189E-2</v>
      </c>
      <c r="M87" s="26">
        <f t="shared" si="18"/>
        <v>0.5485714285714286</v>
      </c>
      <c r="N87" s="6">
        <f t="shared" si="19"/>
        <v>2.5000000000000001E-2</v>
      </c>
      <c r="O87" s="5" t="str">
        <f t="shared" si="20"/>
        <v>0.625296024307874-25.827303503696i</v>
      </c>
      <c r="P87" s="1">
        <f t="shared" si="21"/>
        <v>28.244126218922275</v>
      </c>
      <c r="Q87" s="6">
        <f t="shared" si="28"/>
        <v>-88.613102387584604</v>
      </c>
      <c r="R87" s="5" t="str">
        <f t="shared" si="29"/>
        <v>17.7444269771778-0.674727281410644i</v>
      </c>
      <c r="S87" s="1">
        <f t="shared" si="30"/>
        <v>24.987514430375377</v>
      </c>
      <c r="T87" s="6">
        <f t="shared" si="31"/>
        <v>-2.1776081935970923</v>
      </c>
      <c r="U87" t="str">
        <f>IMPRODUCT(COMPLEX(-1,0),IMDIV(COMPLEX(1,C87*Calculations!$B$171*Calculations!$B$173),IMPRODUCT(COMPLEX(0,C87*Calculations!$B$160),COMPLEX((Calculations!$B$173+Calculations!$B$175),C87*Calculations!$B$171*Calculations!$B$173*Calculations!$B$175))))</f>
        <v>-0.223990569816679+19.7118825599923i</v>
      </c>
      <c r="V87">
        <f t="shared" si="32"/>
        <v>25.895122798221038</v>
      </c>
      <c r="W87">
        <f t="shared" si="33"/>
        <v>90.651036851985126</v>
      </c>
      <c r="X87" t="str">
        <f t="shared" si="34"/>
        <v>9.32556062150098+349.927193216722i</v>
      </c>
      <c r="Y87">
        <f t="shared" si="35"/>
        <v>50.882637228596423</v>
      </c>
      <c r="Z87">
        <f t="shared" si="36"/>
        <v>88.47342865838803</v>
      </c>
    </row>
    <row r="88" spans="2:26">
      <c r="B88" s="1">
        <v>10</v>
      </c>
      <c r="C88" s="22">
        <f t="shared" si="12"/>
        <v>62.831853071795862</v>
      </c>
      <c r="D88" s="26" t="str">
        <f t="shared" si="13"/>
        <v>0.444220247807706-0.00992391924142453i</v>
      </c>
      <c r="E88" s="1">
        <f t="shared" si="14"/>
        <v>-7.0458660649183997</v>
      </c>
      <c r="F88" s="6">
        <f t="shared" si="23"/>
        <v>-1.2797798567211232</v>
      </c>
      <c r="G88" s="5" t="str">
        <f t="shared" si="16"/>
        <v>157.326294829214+3.45849657354993i</v>
      </c>
      <c r="H88" s="1">
        <f t="shared" si="24"/>
        <v>43.938124517565825</v>
      </c>
      <c r="I88" s="6">
        <f t="shared" si="25"/>
        <v>1.259327607919448</v>
      </c>
      <c r="J88" s="26" t="str">
        <f t="shared" si="17"/>
        <v>69.9218475163945-0.0249592394932179i</v>
      </c>
      <c r="K88" s="1">
        <f t="shared" si="26"/>
        <v>36.892258452647454</v>
      </c>
      <c r="L88" s="6">
        <f t="shared" si="27"/>
        <v>-2.0452248801678917E-2</v>
      </c>
      <c r="M88" s="26">
        <f t="shared" si="18"/>
        <v>0.5485714285714286</v>
      </c>
      <c r="N88" s="6">
        <f t="shared" si="19"/>
        <v>2.5000000000000001E-2</v>
      </c>
      <c r="O88" s="5" t="str">
        <f t="shared" si="20"/>
        <v>0.625296020143273-23.2445953969857i</v>
      </c>
      <c r="P88" s="1">
        <f t="shared" si="21"/>
        <v>27.329581448881406</v>
      </c>
      <c r="Q88" s="6">
        <f t="shared" si="28"/>
        <v>-88.45907472095746</v>
      </c>
      <c r="R88" s="5" t="str">
        <f t="shared" si="29"/>
        <v>17.7366306932961-0.749242841911503i</v>
      </c>
      <c r="S88" s="1">
        <f t="shared" si="30"/>
        <v>24.985165303599864</v>
      </c>
      <c r="T88" s="6">
        <f t="shared" si="31"/>
        <v>-2.4188892604570569</v>
      </c>
      <c r="U88" t="str">
        <f>IMPRODUCT(COMPLEX(-1,0),IMDIV(COMPLEX(1,C88*Calculations!$B$171*Calculations!$B$173),IMPRODUCT(COMPLEX(0,C88*Calculations!$B$160),COMPLEX((Calculations!$B$173+Calculations!$B$175),C88*Calculations!$B$171*Calculations!$B$173*Calculations!$B$175))))</f>
        <v>-0.223990567573941+17.740704073683i</v>
      </c>
      <c r="V88">
        <f t="shared" si="32"/>
        <v>24.980109290012113</v>
      </c>
      <c r="W88">
        <f t="shared" si="33"/>
        <v>90.723366572172424</v>
      </c>
      <c r="X88" t="str">
        <f t="shared" si="34"/>
        <v>9.31925756183645+314.828139723379i</v>
      </c>
      <c r="Y88">
        <f t="shared" si="35"/>
        <v>49.965274593611966</v>
      </c>
      <c r="Z88">
        <f t="shared" si="36"/>
        <v>88.304477311715374</v>
      </c>
    </row>
    <row r="89" spans="2:26">
      <c r="B89" s="1">
        <v>20</v>
      </c>
      <c r="C89" s="22">
        <f t="shared" si="12"/>
        <v>125.66370614359172</v>
      </c>
      <c r="D89" s="26" t="str">
        <f t="shared" si="13"/>
        <v>0.44354902819974-0.0198175107111376i</v>
      </c>
      <c r="E89" s="1">
        <f t="shared" si="14"/>
        <v>-7.0525063968770247</v>
      </c>
      <c r="F89" s="6">
        <f t="shared" si="23"/>
        <v>-2.558240469251281</v>
      </c>
      <c r="G89" s="5" t="str">
        <f t="shared" si="16"/>
        <v>157.336144951121+6.91713673830356i</v>
      </c>
      <c r="H89" s="1">
        <f t="shared" si="24"/>
        <v>43.944956209521635</v>
      </c>
      <c r="I89" s="6">
        <f t="shared" si="25"/>
        <v>2.5173344278504479</v>
      </c>
      <c r="J89" s="26" t="str">
        <f t="shared" si="17"/>
        <v>69.9233746251648-0.0499214596186642i</v>
      </c>
      <c r="K89" s="1">
        <f t="shared" si="26"/>
        <v>36.892449812644593</v>
      </c>
      <c r="L89" s="6">
        <f t="shared" si="27"/>
        <v>-4.0906041400824093E-2</v>
      </c>
      <c r="M89" s="26">
        <f t="shared" si="18"/>
        <v>0.5485714285714286</v>
      </c>
      <c r="N89" s="6">
        <f t="shared" si="19"/>
        <v>2.5000000000000001E-2</v>
      </c>
      <c r="O89" s="5" t="str">
        <f t="shared" si="20"/>
        <v>0.62529595438645-11.622473306311i</v>
      </c>
      <c r="P89" s="1">
        <f t="shared" si="21"/>
        <v>21.318523660329454</v>
      </c>
      <c r="Q89" s="6">
        <f t="shared" si="28"/>
        <v>-86.920422087132735</v>
      </c>
      <c r="R89" s="5" t="str">
        <f t="shared" si="29"/>
        <v>17.614859992242-1.48430127124738i</v>
      </c>
      <c r="S89" s="1">
        <f t="shared" si="30"/>
        <v>24.948311802705689</v>
      </c>
      <c r="T89" s="6">
        <f t="shared" si="31"/>
        <v>-4.8166018717023391</v>
      </c>
      <c r="U89" t="str">
        <f>IMPRODUCT(COMPLEX(-1,0),IMDIV(COMPLEX(1,C89*Calculations!$B$171*Calculations!$B$173),IMPRODUCT(COMPLEX(0,C89*Calculations!$B$160),COMPLEX((Calculations!$B$173+Calculations!$B$175),C89*Calculations!$B$171*Calculations!$B$173*Calculations!$B$175))))</f>
        <v>-0.223990532162319+8.87042916596011i</v>
      </c>
      <c r="V89">
        <f t="shared" si="32"/>
        <v>18.961660962244647</v>
      </c>
      <c r="W89">
        <f t="shared" si="33"/>
        <v>91.446489816738293</v>
      </c>
      <c r="X89" t="str">
        <f t="shared" si="34"/>
        <v>9.2208274239174+156.583837261123i</v>
      </c>
      <c r="Y89">
        <f t="shared" si="35"/>
        <v>43.909972764950318</v>
      </c>
      <c r="Z89">
        <f t="shared" si="36"/>
        <v>86.629887945035961</v>
      </c>
    </row>
    <row r="90" spans="2:26">
      <c r="B90" s="1">
        <v>30</v>
      </c>
      <c r="C90" s="22">
        <f t="shared" si="12"/>
        <v>188.49555921538757</v>
      </c>
      <c r="D90" s="26" t="str">
        <f t="shared" si="13"/>
        <v>0.442434875642066-0.0296507547943452i</v>
      </c>
      <c r="E90" s="1">
        <f t="shared" si="14"/>
        <v>-7.0635510986743624</v>
      </c>
      <c r="F90" s="6">
        <f t="shared" si="23"/>
        <v>-3.8340706444076225</v>
      </c>
      <c r="G90" s="5" t="str">
        <f t="shared" si="16"/>
        <v>157.352563388016+10.3760641041363i</v>
      </c>
      <c r="H90" s="1">
        <f t="shared" si="24"/>
        <v>43.956319853459632</v>
      </c>
      <c r="I90" s="6">
        <f t="shared" si="25"/>
        <v>3.772707722589105</v>
      </c>
      <c r="J90" s="26" t="str">
        <f t="shared" si="17"/>
        <v>69.9259199470195-0.0748896417120962i</v>
      </c>
      <c r="K90" s="1">
        <f t="shared" si="26"/>
        <v>36.892768754785287</v>
      </c>
      <c r="L90" s="6">
        <f t="shared" si="27"/>
        <v>-6.1362921818535802E-2</v>
      </c>
      <c r="M90" s="26">
        <f t="shared" si="18"/>
        <v>0.5485714285714286</v>
      </c>
      <c r="N90" s="6">
        <f t="shared" si="19"/>
        <v>2.5000000000000001E-2</v>
      </c>
      <c r="O90" s="5" t="str">
        <f t="shared" si="20"/>
        <v>0.625295844791775-7.74851065728379i</v>
      </c>
      <c r="P90" s="1">
        <f t="shared" si="21"/>
        <v>17.812555573265715</v>
      </c>
      <c r="Q90" s="6">
        <f t="shared" si="28"/>
        <v>-85.386294834958804</v>
      </c>
      <c r="R90" s="5" t="str">
        <f t="shared" si="29"/>
        <v>17.4173081122271-2.19194656535574i</v>
      </c>
      <c r="S90" s="1">
        <f t="shared" si="30"/>
        <v>24.887864851426585</v>
      </c>
      <c r="T90" s="6">
        <f t="shared" si="31"/>
        <v>-7.1728933383621643</v>
      </c>
      <c r="U90" t="str">
        <f>IMPRODUCT(COMPLEX(-1,0),IMDIV(COMPLEX(1,C90*Calculations!$B$171*Calculations!$B$173),IMPRODUCT(COMPLEX(0,C90*Calculations!$B$160),COMPLEX((Calculations!$B$173+Calculations!$B$175),C90*Calculations!$B$171*Calculations!$B$173*Calculations!$B$175))))</f>
        <v>-0.223990473142971+5.91370514295793i</v>
      </c>
      <c r="V90">
        <f t="shared" si="32"/>
        <v>15.443419388411787</v>
      </c>
      <c r="W90">
        <f t="shared" si="33"/>
        <v>92.169126888087703</v>
      </c>
      <c r="X90" t="str">
        <f t="shared" si="34"/>
        <v>9.06121459169856+103.491799708038i</v>
      </c>
      <c r="Y90">
        <f t="shared" si="35"/>
        <v>40.331284239838332</v>
      </c>
      <c r="Z90">
        <f t="shared" si="36"/>
        <v>84.996233549725517</v>
      </c>
    </row>
    <row r="91" spans="2:26">
      <c r="B91" s="1">
        <v>40</v>
      </c>
      <c r="C91" s="22">
        <f t="shared" si="12"/>
        <v>251.32741228718345</v>
      </c>
      <c r="D91" s="26" t="str">
        <f t="shared" si="13"/>
        <v>0.44088453781191-0.0393942416379827i</v>
      </c>
      <c r="E91" s="1">
        <f t="shared" si="14"/>
        <v>-7.0789666328470435</v>
      </c>
      <c r="F91" s="6">
        <f t="shared" si="23"/>
        <v>-5.1059751685848509</v>
      </c>
      <c r="G91" s="5" t="str">
        <f t="shared" si="16"/>
        <v>157.375552490968+13.8354223182716i</v>
      </c>
      <c r="H91" s="1">
        <f t="shared" si="24"/>
        <v>43.972181925135999</v>
      </c>
      <c r="I91" s="6">
        <f t="shared" si="25"/>
        <v>5.0241507340617293</v>
      </c>
      <c r="J91" s="26" t="str">
        <f t="shared" si="17"/>
        <v>69.929483692844-0.0998667685164701i</v>
      </c>
      <c r="K91" s="1">
        <f t="shared" si="26"/>
        <v>36.893215292288971</v>
      </c>
      <c r="L91" s="6">
        <f t="shared" si="27"/>
        <v>-8.1824434523125517E-2</v>
      </c>
      <c r="M91" s="26">
        <f t="shared" si="18"/>
        <v>0.5485714285714286</v>
      </c>
      <c r="N91" s="6">
        <f t="shared" si="19"/>
        <v>2.5000000000000001E-2</v>
      </c>
      <c r="O91" s="5" t="str">
        <f t="shared" si="20"/>
        <v>0.625295691359298-5.811587868607i</v>
      </c>
      <c r="P91" s="1">
        <f t="shared" si="21"/>
        <v>15.335883942587634</v>
      </c>
      <c r="Q91" s="6">
        <f t="shared" si="28"/>
        <v>-83.858906317304601</v>
      </c>
      <c r="R91" s="5" t="str">
        <f t="shared" si="29"/>
        <v>17.1515129898792-2.86072892941015i</v>
      </c>
      <c r="S91" s="1">
        <f t="shared" si="30"/>
        <v>24.805217050540151</v>
      </c>
      <c r="T91" s="6">
        <f t="shared" si="31"/>
        <v>-9.4692888211960238</v>
      </c>
      <c r="U91" t="str">
        <f>IMPRODUCT(COMPLEX(-1,0),IMDIV(COMPLEX(1,C91*Calculations!$B$171*Calculations!$B$173),IMPRODUCT(COMPLEX(0,C91*Calculations!$B$160),COMPLEX((Calculations!$B$173+Calculations!$B$175),C91*Calculations!$B$171*Calculations!$B$173*Calculations!$B$175))))</f>
        <v>-0.223990390515937+4.43536884109532i</v>
      </c>
      <c r="V91">
        <f t="shared" si="32"/>
        <v>12.9496567406383</v>
      </c>
      <c r="W91">
        <f t="shared" si="33"/>
        <v>92.891035902219613</v>
      </c>
      <c r="X91" t="str">
        <f t="shared" si="34"/>
        <v>8.84661386378355+76.7140620830106i</v>
      </c>
      <c r="Y91">
        <f t="shared" si="35"/>
        <v>37.75487379117844</v>
      </c>
      <c r="Z91">
        <f t="shared" si="36"/>
        <v>83.421747081023582</v>
      </c>
    </row>
    <row r="92" spans="2:26">
      <c r="B92" s="1">
        <v>50</v>
      </c>
      <c r="C92" s="22">
        <f t="shared" si="12"/>
        <v>314.15926535897933</v>
      </c>
      <c r="D92" s="26" t="str">
        <f t="shared" si="13"/>
        <v>0.438907318549691-0.0490194598890536i</v>
      </c>
      <c r="E92" s="1">
        <f t="shared" si="14"/>
        <v>-7.0987065211923808</v>
      </c>
      <c r="F92" s="6">
        <f t="shared" si="23"/>
        <v>-6.3726824949085401</v>
      </c>
      <c r="G92" s="5" t="str">
        <f t="shared" si="16"/>
        <v>157.405115552449+17.295355083967i</v>
      </c>
      <c r="H92" s="1">
        <f t="shared" si="24"/>
        <v>43.992495964857625</v>
      </c>
      <c r="I92" s="6">
        <f t="shared" si="25"/>
        <v>6.2703903702545443</v>
      </c>
      <c r="J92" s="26" t="str">
        <f t="shared" si="17"/>
        <v>69.934066157935-0.124855824886372i</v>
      </c>
      <c r="K92" s="1">
        <f t="shared" si="26"/>
        <v>36.893789443665234</v>
      </c>
      <c r="L92" s="6">
        <f t="shared" si="27"/>
        <v>-0.10229212465397371</v>
      </c>
      <c r="M92" s="26">
        <f t="shared" si="18"/>
        <v>0.5485714285714286</v>
      </c>
      <c r="N92" s="6">
        <f t="shared" si="19"/>
        <v>2.5000000000000001E-2</v>
      </c>
      <c r="O92" s="5" t="str">
        <f t="shared" si="20"/>
        <v>0.625295494089073-4.64948102400137i</v>
      </c>
      <c r="P92" s="1">
        <f t="shared" si="21"/>
        <v>13.425937640312922</v>
      </c>
      <c r="Q92" s="6">
        <f t="shared" si="28"/>
        <v>-82.340411879152015</v>
      </c>
      <c r="R92" s="5" t="str">
        <f t="shared" si="29"/>
        <v>16.8270093050917-3.48156639419502i</v>
      </c>
      <c r="S92" s="1">
        <f t="shared" si="30"/>
        <v>24.702186573360589</v>
      </c>
      <c r="T92" s="6">
        <f t="shared" si="31"/>
        <v>-11.689748570785097</v>
      </c>
      <c r="U92" t="str">
        <f>IMPRODUCT(COMPLEX(-1,0),IMDIV(COMPLEX(1,C92*Calculations!$B$171*Calculations!$B$173),IMPRODUCT(COMPLEX(0,C92*Calculations!$B$160),COMPLEX((Calculations!$B$173+Calculations!$B$175),C92*Calculations!$B$171*Calculations!$B$173*Calculations!$B$175))))</f>
        <v>-0.223990284281269+3.54838762764299i</v>
      </c>
      <c r="V92">
        <f t="shared" si="32"/>
        <v>11.01789209580782</v>
      </c>
      <c r="W92">
        <f t="shared" si="33"/>
        <v>93.611976411607301</v>
      </c>
      <c r="X92" t="str">
        <f t="shared" si="34"/>
        <v>8.58486052012818+60.4885886748007i</v>
      </c>
      <c r="Y92">
        <f t="shared" si="35"/>
        <v>35.720078669168409</v>
      </c>
      <c r="Z92">
        <f t="shared" si="36"/>
        <v>81.922227840822202</v>
      </c>
    </row>
    <row r="93" spans="2:26">
      <c r="B93" s="1">
        <v>60</v>
      </c>
      <c r="C93" s="22">
        <f t="shared" si="12"/>
        <v>376.99111843077515</v>
      </c>
      <c r="D93" s="26" t="str">
        <f t="shared" si="13"/>
        <v>0.436514939765522-0.0584990667144978i</v>
      </c>
      <c r="E93" s="1">
        <f t="shared" si="14"/>
        <v>-7.1227118070072093</v>
      </c>
      <c r="F93" s="6">
        <f t="shared" si="23"/>
        <v>-7.6329520767607137</v>
      </c>
      <c r="G93" s="5" t="str">
        <f t="shared" si="16"/>
        <v>157.441256807316+20.7560061792136i</v>
      </c>
      <c r="H93" s="1">
        <f t="shared" si="24"/>
        <v>44.017203039723455</v>
      </c>
      <c r="I93" s="6">
        <f t="shared" si="25"/>
        <v>7.5101845385151211</v>
      </c>
      <c r="J93" s="26" t="str">
        <f t="shared" si="17"/>
        <v>69.9396677220578-0.149859798493327i</v>
      </c>
      <c r="K93" s="1">
        <f t="shared" si="26"/>
        <v>36.89449123271622</v>
      </c>
      <c r="L93" s="6">
        <f t="shared" si="27"/>
        <v>-0.12276753824559099</v>
      </c>
      <c r="M93" s="26">
        <f t="shared" si="18"/>
        <v>0.5485714285714286</v>
      </c>
      <c r="N93" s="6">
        <f t="shared" si="19"/>
        <v>2.5000000000000001E-2</v>
      </c>
      <c r="O93" s="5" t="str">
        <f t="shared" si="20"/>
        <v>0.625295252981193-3.87478215135747i</v>
      </c>
      <c r="P93" s="1">
        <f t="shared" si="21"/>
        <v>11.876597538597</v>
      </c>
      <c r="Q93" s="6">
        <f t="shared" si="28"/>
        <v>-80.83289146620352</v>
      </c>
      <c r="R93" s="5" t="str">
        <f t="shared" si="29"/>
        <v>16.4545223024638-4.04804820537229i</v>
      </c>
      <c r="S93" s="1">
        <f t="shared" si="30"/>
        <v>24.580906687631753</v>
      </c>
      <c r="T93" s="6">
        <f t="shared" si="31"/>
        <v>-13.821113477560468</v>
      </c>
      <c r="U93" t="str">
        <f>IMPRODUCT(COMPLEX(-1,0),IMDIV(COMPLEX(1,C93*Calculations!$B$171*Calculations!$B$173),IMPRODUCT(COMPLEX(0,C93*Calculations!$B$160),COMPLEX((Calculations!$B$173+Calculations!$B$175),C93*Calculations!$B$171*Calculations!$B$173*Calculations!$B$175))))</f>
        <v>-0.223990154439034+2.95708395834703i</v>
      </c>
      <c r="V93">
        <f t="shared" si="32"/>
        <v>9.4421199896446559</v>
      </c>
      <c r="W93">
        <f t="shared" si="33"/>
        <v>94.331709872998175</v>
      </c>
      <c r="X93" t="str">
        <f t="shared" si="34"/>
        <v>8.28476741897249+49.5641268855771i</v>
      </c>
      <c r="Y93">
        <f t="shared" si="35"/>
        <v>34.023026677276405</v>
      </c>
      <c r="Z93">
        <f t="shared" si="36"/>
        <v>80.510596395437716</v>
      </c>
    </row>
    <row r="94" spans="2:26">
      <c r="B94" s="1">
        <v>70</v>
      </c>
      <c r="C94" s="22">
        <f t="shared" si="12"/>
        <v>439.82297150257102</v>
      </c>
      <c r="D94" s="26" t="str">
        <f t="shared" si="13"/>
        <v>0.433721370525654-0.0678071339123987i</v>
      </c>
      <c r="E94" s="1">
        <f t="shared" si="14"/>
        <v>-7.1509116327263564</v>
      </c>
      <c r="F94" s="6">
        <f t="shared" si="23"/>
        <v>-8.8855812452341212</v>
      </c>
      <c r="G94" s="5" t="str">
        <f t="shared" si="16"/>
        <v>157.483981434074+24.2175194754549i</v>
      </c>
      <c r="H94" s="1">
        <f t="shared" si="24"/>
        <v>44.046232321266253</v>
      </c>
      <c r="I94" s="6">
        <f t="shared" si="25"/>
        <v>8.7423290227824442</v>
      </c>
      <c r="J94" s="26" t="str">
        <f t="shared" si="17"/>
        <v>69.9462888495216-0.174881680531934i</v>
      </c>
      <c r="K94" s="1">
        <f t="shared" si="26"/>
        <v>36.895320688539911</v>
      </c>
      <c r="L94" s="6">
        <f t="shared" si="27"/>
        <v>-0.14325222245166461</v>
      </c>
      <c r="M94" s="26">
        <f t="shared" si="18"/>
        <v>0.5485714285714286</v>
      </c>
      <c r="N94" s="6">
        <f t="shared" si="19"/>
        <v>2.5000000000000001E-2</v>
      </c>
      <c r="O94" s="5" t="str">
        <f t="shared" si="20"/>
        <v>0.625294968035755-3.32145926261432i</v>
      </c>
      <c r="P94" s="1">
        <f t="shared" si="21"/>
        <v>10.577834247811522</v>
      </c>
      <c r="Q94" s="6">
        <f t="shared" si="28"/>
        <v>-79.338333800655803</v>
      </c>
      <c r="R94" s="5" t="str">
        <f t="shared" si="29"/>
        <v>16.0451706185926-4.55645642704913i</v>
      </c>
      <c r="S94" s="1">
        <f t="shared" si="30"/>
        <v>24.44370855750115</v>
      </c>
      <c r="T94" s="6">
        <f t="shared" si="31"/>
        <v>-15.853317098544943</v>
      </c>
      <c r="U94" t="str">
        <f>IMPRODUCT(COMPLEX(-1,0),IMDIV(COMPLEX(1,C94*Calculations!$B$171*Calculations!$B$173),IMPRODUCT(COMPLEX(0,C94*Calculations!$B$160),COMPLEX((Calculations!$B$173+Calculations!$B$175),C94*Calculations!$B$171*Calculations!$B$173*Calculations!$B$175))))</f>
        <v>-0.223990000989314+2.53473888566077i</v>
      </c>
      <c r="V94">
        <f t="shared" si="32"/>
        <v>8.1124465151457166</v>
      </c>
      <c r="W94">
        <f t="shared" si="33"/>
        <v>95.050000105893844</v>
      </c>
      <c r="X94" t="str">
        <f t="shared" si="34"/>
        <v>7.9554695037281+41.6909185736108i</v>
      </c>
      <c r="Y94">
        <f t="shared" si="35"/>
        <v>32.556155072646867</v>
      </c>
      <c r="Z94">
        <f t="shared" si="36"/>
        <v>79.196683007348881</v>
      </c>
    </row>
    <row r="95" spans="2:26">
      <c r="B95" s="1">
        <v>80</v>
      </c>
      <c r="C95" s="22">
        <f t="shared" si="12"/>
        <v>502.6548245743669</v>
      </c>
      <c r="D95" s="26" t="str">
        <f t="shared" si="13"/>
        <v>0.430542627888567-0.0769193657502366i</v>
      </c>
      <c r="E95" s="1">
        <f t="shared" si="14"/>
        <v>-7.1832239212784108</v>
      </c>
      <c r="F95" s="6">
        <f t="shared" si="23"/>
        <v>-10.129411540413509</v>
      </c>
      <c r="G95" s="5" t="str">
        <f t="shared" si="16"/>
        <v>157.533295556414+27.680038956329i</v>
      </c>
      <c r="H95" s="1">
        <f t="shared" si="24"/>
        <v>44.079501766812029</v>
      </c>
      <c r="I95" s="6">
        <f t="shared" si="25"/>
        <v>9.9656638146435093</v>
      </c>
      <c r="J95" s="26" t="str">
        <f t="shared" si="17"/>
        <v>69.9539300892675-0.199924466428112i</v>
      </c>
      <c r="K95" s="1">
        <f t="shared" si="26"/>
        <v>36.896277845533618</v>
      </c>
      <c r="L95" s="6">
        <f t="shared" si="27"/>
        <v>-0.16374772576997954</v>
      </c>
      <c r="M95" s="26">
        <f t="shared" si="18"/>
        <v>0.5485714285714286</v>
      </c>
      <c r="N95" s="6">
        <f t="shared" si="19"/>
        <v>2.5000000000000001E-2</v>
      </c>
      <c r="O95" s="5" t="str">
        <f t="shared" si="20"/>
        <v>0.625294639252882-2.90649636372912i</v>
      </c>
      <c r="P95" s="1">
        <f t="shared" si="21"/>
        <v>9.4638910585995912</v>
      </c>
      <c r="Q95" s="6">
        <f t="shared" si="28"/>
        <v>-77.858622398857946</v>
      </c>
      <c r="R95" s="5" t="str">
        <f t="shared" si="29"/>
        <v>15.6097718783327-5.00555375825988i</v>
      </c>
      <c r="S95" s="1">
        <f t="shared" si="30"/>
        <v>24.293008740970773</v>
      </c>
      <c r="T95" s="6">
        <f t="shared" si="31"/>
        <v>-17.77938140657038</v>
      </c>
      <c r="U95" t="str">
        <f>IMPRODUCT(COMPLEX(-1,0),IMDIV(COMPLEX(1,C95*Calculations!$B$171*Calculations!$B$173),IMPRODUCT(COMPLEX(0,C95*Calculations!$B$160),COMPLEX((Calculations!$B$173+Calculations!$B$175),C95*Calculations!$B$171*Calculations!$B$173*Calculations!$B$175))))</f>
        <v>-0.223989823932204+2.21799293580271i</v>
      </c>
      <c r="V95">
        <f t="shared" si="32"/>
        <v>6.9632703611890845</v>
      </c>
      <c r="W95">
        <f t="shared" si="33"/>
        <v>95.766613739541256</v>
      </c>
      <c r="X95" t="str">
        <f t="shared" si="34"/>
        <v>7.60585282095151+35.7435568606295i</v>
      </c>
      <c r="Y95">
        <f t="shared" si="35"/>
        <v>31.256279102159851</v>
      </c>
      <c r="Z95">
        <f t="shared" si="36"/>
        <v>77.987232332970862</v>
      </c>
    </row>
    <row r="96" spans="2:26">
      <c r="B96" s="1">
        <v>90</v>
      </c>
      <c r="C96" s="22">
        <f t="shared" si="12"/>
        <v>565.48667764616278</v>
      </c>
      <c r="D96" s="26" t="str">
        <f t="shared" si="13"/>
        <v>0.426996554656609-0.0858132851129982i</v>
      </c>
      <c r="E96" s="1">
        <f t="shared" si="14"/>
        <v>-7.2195561477358314</v>
      </c>
      <c r="F96" s="6">
        <f t="shared" si="23"/>
        <v>-11.363334420767094</v>
      </c>
      <c r="G96" s="5" t="str">
        <f t="shared" si="16"/>
        <v>157.589206245039+31.1437087364386i</v>
      </c>
      <c r="H96" s="1">
        <f t="shared" si="24"/>
        <v>44.116918891134603</v>
      </c>
      <c r="I96" s="6">
        <f t="shared" si="25"/>
        <v>11.179078822499939</v>
      </c>
      <c r="J96" s="26" t="str">
        <f t="shared" si="17"/>
        <v>69.9625920749773-0.224991156548374i</v>
      </c>
      <c r="K96" s="1">
        <f t="shared" si="26"/>
        <v>36.897362743398737</v>
      </c>
      <c r="L96" s="6">
        <f t="shared" si="27"/>
        <v>-0.18425559826713905</v>
      </c>
      <c r="M96" s="26">
        <f t="shared" si="18"/>
        <v>0.5485714285714286</v>
      </c>
      <c r="N96" s="6">
        <f t="shared" si="19"/>
        <v>2.5000000000000001E-2</v>
      </c>
      <c r="O96" s="5" t="str">
        <f t="shared" si="20"/>
        <v>0.625294266632711-2.58377345800046i</v>
      </c>
      <c r="P96" s="1">
        <f t="shared" si="21"/>
        <v>8.4922760630136658</v>
      </c>
      <c r="Q96" s="6">
        <f t="shared" si="28"/>
        <v>-76.395523638330474</v>
      </c>
      <c r="R96" s="5" t="str">
        <f t="shared" si="29"/>
        <v>15.1583088022287-5.39621070115586i</v>
      </c>
      <c r="S96" s="1">
        <f t="shared" si="30"/>
        <v>24.131210053503608</v>
      </c>
      <c r="T96" s="6">
        <f t="shared" si="31"/>
        <v>-19.595235580322942</v>
      </c>
      <c r="U96" t="str">
        <f>IMPRODUCT(COMPLEX(-1,0),IMDIV(COMPLEX(1,C96*Calculations!$B$171*Calculations!$B$173),IMPRODUCT(COMPLEX(0,C96*Calculations!$B$160),COMPLEX((Calculations!$B$173+Calculations!$B$175),C96*Calculations!$B$171*Calculations!$B$173*Calculations!$B$175))))</f>
        <v>-0.223989623267821+1.97164640110927i</v>
      </c>
      <c r="V96">
        <f t="shared" si="32"/>
        <v>5.9522728188575087</v>
      </c>
      <c r="W96">
        <f t="shared" si="33"/>
        <v>96.481320646369028</v>
      </c>
      <c r="X96" t="str">
        <f t="shared" si="34"/>
        <v>7.24411553057278+31.0955201988429i</v>
      </c>
      <c r="Y96">
        <f t="shared" si="35"/>
        <v>30.083482872361124</v>
      </c>
      <c r="Z96">
        <f t="shared" si="36"/>
        <v>76.886085066046107</v>
      </c>
    </row>
    <row r="97" spans="2:26">
      <c r="B97" s="1">
        <v>100</v>
      </c>
      <c r="C97" s="22">
        <f t="shared" si="12"/>
        <v>628.31853071795865</v>
      </c>
      <c r="D97" s="26" t="str">
        <f t="shared" si="13"/>
        <v>0.423102579596012-0.0944683855650296i</v>
      </c>
      <c r="E97" s="1">
        <f t="shared" si="14"/>
        <v>-7.2598061865365011</v>
      </c>
      <c r="F97" s="6">
        <f t="shared" si="23"/>
        <v>-12.586296290770441</v>
      </c>
      <c r="G97" s="5" t="str">
        <f t="shared" si="16"/>
        <v>157.651721519769+34.6086730801549i</v>
      </c>
      <c r="H97" s="1">
        <f t="shared" si="24"/>
        <v>44.158381613682351</v>
      </c>
      <c r="I97" s="6">
        <f t="shared" si="25"/>
        <v>12.381518898966302</v>
      </c>
      <c r="J97" s="26" t="str">
        <f t="shared" si="17"/>
        <v>69.9722755251966-0.25008475691167i</v>
      </c>
      <c r="K97" s="1">
        <f t="shared" si="26"/>
        <v>36.898575427145865</v>
      </c>
      <c r="L97" s="6">
        <f t="shared" si="27"/>
        <v>-0.20477739180418392</v>
      </c>
      <c r="M97" s="26">
        <f t="shared" si="18"/>
        <v>0.5485714285714286</v>
      </c>
      <c r="N97" s="6">
        <f t="shared" si="19"/>
        <v>2.5000000000000001E-2</v>
      </c>
      <c r="O97" s="5" t="str">
        <f t="shared" si="20"/>
        <v>0.625293850175395-2.32561854739768i</v>
      </c>
      <c r="P97" s="1">
        <f t="shared" si="21"/>
        <v>7.6339010548742188</v>
      </c>
      <c r="Q97" s="6">
        <f t="shared" si="28"/>
        <v>-74.950677010454768</v>
      </c>
      <c r="R97" s="5" t="str">
        <f t="shared" si="29"/>
        <v>14.699576018446-5.7309503223647i</v>
      </c>
      <c r="S97" s="1">
        <f t="shared" si="30"/>
        <v>23.96062107053779</v>
      </c>
      <c r="T97" s="6">
        <f t="shared" si="31"/>
        <v>-21.299408293809901</v>
      </c>
      <c r="U97" t="str">
        <f>IMPRODUCT(COMPLEX(-1,0),IMDIV(COMPLEX(1,C97*Calculations!$B$171*Calculations!$B$173),IMPRODUCT(COMPLEX(0,C97*Calculations!$B$160),COMPLEX((Calculations!$B$173+Calculations!$B$175),C97*Calculations!$B$171*Calculations!$B$173*Calculations!$B$175))))</f>
        <v>-0.223989398996286+1.77457945697578i</v>
      </c>
      <c r="V97">
        <f t="shared" si="32"/>
        <v>5.0505544112061571</v>
      </c>
      <c r="W97">
        <f t="shared" si="33"/>
        <v>97.193894359923675</v>
      </c>
      <c r="X97" t="str">
        <f t="shared" si="34"/>
        <v>6.87747751314518+27.3692377469721i</v>
      </c>
      <c r="Y97">
        <f t="shared" si="35"/>
        <v>29.011175481743933</v>
      </c>
      <c r="Z97">
        <f t="shared" si="36"/>
        <v>75.894486066113771</v>
      </c>
    </row>
    <row r="98" spans="2:26">
      <c r="B98" s="1">
        <v>200</v>
      </c>
      <c r="C98" s="22">
        <f t="shared" si="12"/>
        <v>1256.6370614359173</v>
      </c>
      <c r="D98" s="26" t="str">
        <f t="shared" si="13"/>
        <v>0.369931848549794-0.164912595230503i</v>
      </c>
      <c r="E98" s="1">
        <f t="shared" si="14"/>
        <v>-7.8503505195290817</v>
      </c>
      <c r="F98" s="6">
        <f t="shared" si="23"/>
        <v>-24.026922227593335</v>
      </c>
      <c r="G98" s="5" t="str">
        <f t="shared" si="16"/>
        <v>158.642575131914+69.3614006246391i</v>
      </c>
      <c r="H98" s="1">
        <f t="shared" si="24"/>
        <v>44.768094719910501</v>
      </c>
      <c r="I98" s="6">
        <f t="shared" si="25"/>
        <v>23.615818096261506</v>
      </c>
      <c r="J98" s="26" t="str">
        <f t="shared" si="17"/>
        <v>70.1255096630804-0.503167627978338i</v>
      </c>
      <c r="K98" s="1">
        <f t="shared" si="26"/>
        <v>36.917744200381414</v>
      </c>
      <c r="L98" s="6">
        <f t="shared" si="27"/>
        <v>-0.41110413133176638</v>
      </c>
      <c r="M98" s="26">
        <f t="shared" si="18"/>
        <v>0.5485714285714286</v>
      </c>
      <c r="N98" s="6">
        <f t="shared" si="19"/>
        <v>2.5000000000000001E-2</v>
      </c>
      <c r="O98" s="5" t="str">
        <f t="shared" si="20"/>
        <v>0.625287274607126-1.16456532140938i</v>
      </c>
      <c r="P98" s="1">
        <f t="shared" si="21"/>
        <v>2.4234176685537996</v>
      </c>
      <c r="Q98" s="6">
        <f t="shared" si="28"/>
        <v>-61.767420928654325</v>
      </c>
      <c r="R98" s="5" t="str">
        <f t="shared" si="29"/>
        <v>10.7365450700816-6.96467245216789i</v>
      </c>
      <c r="S98" s="1">
        <f t="shared" si="30"/>
        <v>22.142610322641254</v>
      </c>
      <c r="T98" s="6">
        <f t="shared" si="31"/>
        <v>-32.971007751580714</v>
      </c>
      <c r="U98" t="str">
        <f>IMPRODUCT(COMPLEX(-1,0),IMDIV(COMPLEX(1,C98*Calculations!$B$171*Calculations!$B$173),IMPRODUCT(COMPLEX(0,C98*Calculations!$B$160),COMPLEX((Calculations!$B$173+Calculations!$B$175),C98*Calculations!$B$171*Calculations!$B$173*Calculations!$B$175))))</f>
        <v>-0.223985857926335+0.888060999554792i</v>
      </c>
      <c r="V98">
        <f t="shared" si="32"/>
        <v>-0.76330185902025249</v>
      </c>
      <c r="W98">
        <f t="shared" si="33"/>
        <v>104.15584144151107</v>
      </c>
      <c r="X98" t="str">
        <f t="shared" si="34"/>
        <v>3.78021972075695+11.0946950810765i</v>
      </c>
      <c r="Y98">
        <f t="shared" si="35"/>
        <v>21.379308463621015</v>
      </c>
      <c r="Z98">
        <f t="shared" si="36"/>
        <v>71.184833689930386</v>
      </c>
    </row>
    <row r="99" spans="2:26">
      <c r="B99" s="1">
        <v>300</v>
      </c>
      <c r="C99" s="22">
        <f t="shared" si="12"/>
        <v>1884.9555921538758</v>
      </c>
      <c r="D99" s="26" t="str">
        <f t="shared" si="13"/>
        <v>0.306107965328895-0.204112495004652i</v>
      </c>
      <c r="E99" s="1">
        <f t="shared" si="14"/>
        <v>-8.684968301825414</v>
      </c>
      <c r="F99" s="6">
        <f t="shared" si="23"/>
        <v>-33.695317654070635</v>
      </c>
      <c r="G99" s="5" t="str">
        <f t="shared" si="16"/>
        <v>160.309885671393+104.404119826427i</v>
      </c>
      <c r="H99" s="1">
        <f t="shared" si="24"/>
        <v>45.63474911257677</v>
      </c>
      <c r="I99" s="6">
        <f t="shared" si="25"/>
        <v>33.074765505660721</v>
      </c>
      <c r="J99" s="26" t="str">
        <f t="shared" si="17"/>
        <v>70.3823183115144-0.762318046276783i</v>
      </c>
      <c r="K99" s="1">
        <f t="shared" si="26"/>
        <v>36.949780810751335</v>
      </c>
      <c r="L99" s="6">
        <f t="shared" si="27"/>
        <v>-0.62055214840988104</v>
      </c>
      <c r="M99" s="26">
        <f t="shared" si="18"/>
        <v>0.5485714285714286</v>
      </c>
      <c r="N99" s="6">
        <f t="shared" si="19"/>
        <v>2.5000000000000001E-2</v>
      </c>
      <c r="O99" s="5" t="str">
        <f t="shared" si="20"/>
        <v>0.625276315634001-0.7783279903477i</v>
      </c>
      <c r="P99" s="1">
        <f t="shared" si="21"/>
        <v>-1.4072499234741123E-2</v>
      </c>
      <c r="Q99" s="6">
        <f t="shared" si="28"/>
        <v>-51.223053832088773</v>
      </c>
      <c r="R99" s="5" t="str">
        <f t="shared" si="29"/>
        <v>8.39816721531404-6.72389488067945i</v>
      </c>
      <c r="S99" s="1">
        <f t="shared" si="30"/>
        <v>20.634833840046873</v>
      </c>
      <c r="T99" s="6">
        <f t="shared" si="31"/>
        <v>-38.682103569376338</v>
      </c>
      <c r="U99" t="str">
        <f>IMPRODUCT(COMPLEX(-1,0),IMDIV(COMPLEX(1,C99*Calculations!$B$171*Calculations!$B$173),IMPRODUCT(COMPLEX(0,C99*Calculations!$B$160),COMPLEX((Calculations!$B$173+Calculations!$B$175),C99*Calculations!$B$171*Calculations!$B$173*Calculations!$B$175))))</f>
        <v>-0.223979956391878+0.592897598095224i</v>
      </c>
      <c r="V99">
        <f t="shared" si="32"/>
        <v>-3.9610402518310255</v>
      </c>
      <c r="W99">
        <f t="shared" si="33"/>
        <v>110.69514792467737</v>
      </c>
      <c r="X99" t="str">
        <f t="shared" si="34"/>
        <v>2.10555999794188+6.48527085251991i</v>
      </c>
      <c r="Y99">
        <f t="shared" si="35"/>
        <v>16.673793588215851</v>
      </c>
      <c r="Z99">
        <f t="shared" si="36"/>
        <v>72.013044355301062</v>
      </c>
    </row>
    <row r="100" spans="2:26">
      <c r="B100" s="1">
        <v>400</v>
      </c>
      <c r="C100" s="22">
        <f t="shared" si="12"/>
        <v>2513.2741228718346</v>
      </c>
      <c r="D100" s="26" t="str">
        <f t="shared" si="13"/>
        <v>0.246879308766617-0.218627326430566i</v>
      </c>
      <c r="E100" s="1">
        <f t="shared" si="14"/>
        <v>-9.6358151315995606</v>
      </c>
      <c r="F100" s="6">
        <f t="shared" si="23"/>
        <v>-41.526931823515739</v>
      </c>
      <c r="G100" s="5" t="str">
        <f t="shared" si="16"/>
        <v>162.677987554837+139.886580959494i</v>
      </c>
      <c r="H100" s="1">
        <f t="shared" si="24"/>
        <v>46.63063459570742</v>
      </c>
      <c r="I100" s="6">
        <f t="shared" si="25"/>
        <v>40.692192603328735</v>
      </c>
      <c r="J100" s="26" t="str">
        <f t="shared" si="17"/>
        <v>70.7448583177695-1.03075107521344i</v>
      </c>
      <c r="K100" s="1">
        <f t="shared" si="26"/>
        <v>36.994819464107856</v>
      </c>
      <c r="L100" s="6">
        <f t="shared" si="27"/>
        <v>-0.83473922018686597</v>
      </c>
      <c r="M100" s="26">
        <f t="shared" si="18"/>
        <v>0.5485714285714286</v>
      </c>
      <c r="N100" s="6">
        <f t="shared" si="19"/>
        <v>2.5000000000000001E-2</v>
      </c>
      <c r="O100" s="5" t="str">
        <f t="shared" si="20"/>
        <v>0.625260973716968-0.58579457146817i</v>
      </c>
      <c r="P100" s="1">
        <f t="shared" si="21"/>
        <v>-1.3424089195643694</v>
      </c>
      <c r="Q100" s="6">
        <f t="shared" si="28"/>
        <v>-43.133480904175642</v>
      </c>
      <c r="R100" s="5" t="str">
        <f t="shared" si="29"/>
        <v>6.99558889433973-6.34770922409722i</v>
      </c>
      <c r="S100" s="1">
        <f t="shared" si="30"/>
        <v>19.505190520401261</v>
      </c>
      <c r="T100" s="6">
        <f t="shared" si="31"/>
        <v>-42.220204468941525</v>
      </c>
      <c r="U100" t="str">
        <f>IMPRODUCT(COMPLEX(-1,0),IMDIV(COMPLEX(1,C100*Calculations!$B$171*Calculations!$B$173),IMPRODUCT(COMPLEX(0,C100*Calculations!$B$160),COMPLEX((Calculations!$B$173+Calculations!$B$175),C100*Calculations!$B$171*Calculations!$B$173*Calculations!$B$175))))</f>
        <v>-0.223971694766077+0.445572919987922i</v>
      </c>
      <c r="V100">
        <f t="shared" si="32"/>
        <v>-6.043267519061791</v>
      </c>
      <c r="W100">
        <f t="shared" si="33"/>
        <v>116.68684793081727</v>
      </c>
      <c r="X100" t="str">
        <f t="shared" si="34"/>
        <v>1.26155343366325+4.53875216348935i</v>
      </c>
      <c r="Y100">
        <f t="shared" si="35"/>
        <v>13.461923001339478</v>
      </c>
      <c r="Z100">
        <f t="shared" si="36"/>
        <v>74.466643461875762</v>
      </c>
    </row>
    <row r="101" spans="2:26">
      <c r="B101" s="1">
        <v>500</v>
      </c>
      <c r="C101" s="22">
        <f t="shared" si="12"/>
        <v>3141.5926535897929</v>
      </c>
      <c r="D101" s="26" t="str">
        <f t="shared" si="13"/>
        <v>0.198051055976168-0.218128882249066i</v>
      </c>
      <c r="E101" s="1">
        <f t="shared" si="14"/>
        <v>-10.61458110137022</v>
      </c>
      <c r="F101" s="6">
        <f t="shared" si="23"/>
        <v>-47.761986787473063</v>
      </c>
      <c r="G101" s="5" t="str">
        <f t="shared" si="16"/>
        <v>165.781980667913+175.964374779234i</v>
      </c>
      <c r="H101" s="1">
        <f t="shared" si="24"/>
        <v>47.66763162883808</v>
      </c>
      <c r="I101" s="6">
        <f t="shared" si="25"/>
        <v>46.706633149923363</v>
      </c>
      <c r="J101" s="26" t="str">
        <f t="shared" si="17"/>
        <v>71.216208719351-1.31190790091459i</v>
      </c>
      <c r="K101" s="1">
        <f t="shared" si="26"/>
        <v>37.053050527467867</v>
      </c>
      <c r="L101" s="6">
        <f t="shared" si="27"/>
        <v>-1.0553536375496499</v>
      </c>
      <c r="M101" s="26">
        <f t="shared" si="18"/>
        <v>0.5485714285714286</v>
      </c>
      <c r="N101" s="6">
        <f t="shared" si="19"/>
        <v>2.5000000000000001E-2</v>
      </c>
      <c r="O101" s="5" t="str">
        <f t="shared" si="20"/>
        <v>0.625241249501275-0.47074264853329i</v>
      </c>
      <c r="P101" s="1">
        <f t="shared" si="21"/>
        <v>-2.12875995804486</v>
      </c>
      <c r="Q101" s="6">
        <f t="shared" si="28"/>
        <v>-36.976003631586352</v>
      </c>
      <c r="R101" s="5" t="str">
        <f t="shared" si="29"/>
        <v>6.02637981844194-6.03887926615244i</v>
      </c>
      <c r="S101" s="1">
        <f t="shared" si="30"/>
        <v>18.620437748755354</v>
      </c>
      <c r="T101" s="6">
        <f t="shared" si="31"/>
        <v>-45.059357643198737</v>
      </c>
      <c r="U101" t="str">
        <f>IMPRODUCT(COMPLEX(-1,0),IMDIV(COMPLEX(1,C101*Calculations!$B$171*Calculations!$B$173),IMPRODUCT(COMPLEX(0,C101*Calculations!$B$160),COMPLEX((Calculations!$B$173+Calculations!$B$175),C101*Calculations!$B$171*Calculations!$B$173*Calculations!$B$175))))</f>
        <v>-0.223961073571264+0.357383685714053i</v>
      </c>
      <c r="V101">
        <f t="shared" si="32"/>
        <v>-7.4986882319879475</v>
      </c>
      <c r="W101">
        <f t="shared" si="33"/>
        <v>122.07407345713872</v>
      </c>
      <c r="X101" t="str">
        <f t="shared" si="34"/>
        <v>0.808522435833279+3.50620371464231i</v>
      </c>
      <c r="Y101">
        <f t="shared" si="35"/>
        <v>11.121749516767398</v>
      </c>
      <c r="Z101">
        <f t="shared" si="36"/>
        <v>77.014715813939986</v>
      </c>
    </row>
    <row r="102" spans="2:26">
      <c r="B102" s="1">
        <v>600</v>
      </c>
      <c r="C102" s="22">
        <f t="shared" si="12"/>
        <v>3769.9111843077517</v>
      </c>
      <c r="D102" s="26" t="str">
        <f t="shared" si="13"/>
        <v>0.159841913318045-0.209962452001999i</v>
      </c>
      <c r="E102" s="1">
        <f t="shared" si="14"/>
        <v>-11.571807243272598</v>
      </c>
      <c r="F102" s="6">
        <f t="shared" si="23"/>
        <v>-52.718413904450451</v>
      </c>
      <c r="G102" s="5" t="str">
        <f t="shared" si="16"/>
        <v>169.668825806006+212.801110071375i</v>
      </c>
      <c r="H102" s="1">
        <f t="shared" si="24"/>
        <v>48.696530327142398</v>
      </c>
      <c r="I102" s="6">
        <f t="shared" si="25"/>
        <v>51.434232841002192</v>
      </c>
      <c r="J102" s="26" t="str">
        <f t="shared" si="17"/>
        <v>71.8004326065913-1.60954610451633i</v>
      </c>
      <c r="K102" s="1">
        <f t="shared" si="26"/>
        <v>37.124723083869803</v>
      </c>
      <c r="L102" s="6">
        <f t="shared" si="27"/>
        <v>-1.2841810634480562</v>
      </c>
      <c r="M102" s="26">
        <f t="shared" si="18"/>
        <v>0.5485714285714286</v>
      </c>
      <c r="N102" s="6">
        <f t="shared" si="19"/>
        <v>2.5000000000000001E-2</v>
      </c>
      <c r="O102" s="5" t="str">
        <f t="shared" si="20"/>
        <v>0.62521714381644-0.394431399729446i</v>
      </c>
      <c r="P102" s="1">
        <f t="shared" si="21"/>
        <v>-2.6243160380562309</v>
      </c>
      <c r="Q102" s="6">
        <f t="shared" si="28"/>
        <v>-32.246641250727336</v>
      </c>
      <c r="R102" s="5" t="str">
        <f t="shared" si="29"/>
        <v>5.27693855753671-5.78856863041646i</v>
      </c>
      <c r="S102" s="1">
        <f t="shared" si="30"/>
        <v>17.878401024672272</v>
      </c>
      <c r="T102" s="6">
        <f t="shared" si="31"/>
        <v>-47.647269633313797</v>
      </c>
      <c r="U102" t="str">
        <f>IMPRODUCT(COMPLEX(-1,0),IMDIV(COMPLEX(1,C102*Calculations!$B$171*Calculations!$B$173),IMPRODUCT(COMPLEX(0,C102*Calculations!$B$160),COMPLEX((Calculations!$B$173+Calculations!$B$175),C102*Calculations!$B$171*Calculations!$B$173*Calculations!$B$175))))</f>
        <v>-0.223948093478874+0.298762124609176i</v>
      </c>
      <c r="V102">
        <f t="shared" si="32"/>
        <v>-8.5570122654379528</v>
      </c>
      <c r="W102">
        <f t="shared" si="33"/>
        <v>126.85473656659032</v>
      </c>
      <c r="X102" t="str">
        <f t="shared" si="34"/>
        <v>0.547644733103744+2.87288828363513i</v>
      </c>
      <c r="Y102">
        <f t="shared" si="35"/>
        <v>9.321388759234317</v>
      </c>
      <c r="Z102">
        <f t="shared" si="36"/>
        <v>79.207466933276521</v>
      </c>
    </row>
    <row r="103" spans="2:26">
      <c r="B103" s="1">
        <v>700</v>
      </c>
      <c r="C103" s="22">
        <f t="shared" si="12"/>
        <v>4398.22971502571</v>
      </c>
      <c r="D103" s="26" t="str">
        <f t="shared" si="13"/>
        <v>0.130485298266412-0.198531410201441i</v>
      </c>
      <c r="E103" s="1">
        <f t="shared" si="14"/>
        <v>-12.484042698703156</v>
      </c>
      <c r="F103" s="6">
        <f t="shared" si="23"/>
        <v>-56.684975406833196</v>
      </c>
      <c r="G103" s="5" t="str">
        <f t="shared" si="16"/>
        <v>174.39884971659+250.570800149859i</v>
      </c>
      <c r="H103" s="1">
        <f t="shared" si="24"/>
        <v>49.694191027767502</v>
      </c>
      <c r="I103" s="6">
        <f t="shared" si="25"/>
        <v>55.161840917015361</v>
      </c>
      <c r="J103" s="26" t="str">
        <f t="shared" si="17"/>
        <v>72.5026602316434-1.92784397733598i</v>
      </c>
      <c r="K103" s="1">
        <f t="shared" si="26"/>
        <v>37.210148329064353</v>
      </c>
      <c r="L103" s="6">
        <f t="shared" si="27"/>
        <v>-1.5231344898178829</v>
      </c>
      <c r="M103" s="26">
        <f t="shared" si="18"/>
        <v>0.5485714285714286</v>
      </c>
      <c r="N103" s="6">
        <f t="shared" si="19"/>
        <v>2.5000000000000001E-2</v>
      </c>
      <c r="O103" s="5" t="str">
        <f t="shared" si="20"/>
        <v>0.625188657676108-0.340257601656488i</v>
      </c>
      <c r="P103" s="1">
        <f t="shared" si="21"/>
        <v>-2.9530387394733451</v>
      </c>
      <c r="Q103" s="6">
        <f t="shared" si="28"/>
        <v>-28.557148842120757</v>
      </c>
      <c r="R103" s="5" t="str">
        <f t="shared" si="29"/>
        <v>4.65869525858272-5.5700081640205i</v>
      </c>
      <c r="S103" s="1">
        <f t="shared" si="30"/>
        <v>17.220448605735147</v>
      </c>
      <c r="T103" s="6">
        <f t="shared" si="31"/>
        <v>-50.091249754026045</v>
      </c>
      <c r="U103" t="str">
        <f>IMPRODUCT(COMPLEX(-1,0),IMDIV(COMPLEX(1,C103*Calculations!$B$171*Calculations!$B$173),IMPRODUCT(COMPLEX(0,C103*Calculations!$B$160),COMPLEX((Calculations!$B$173+Calculations!$B$175),C103*Calculations!$B$171*Calculations!$B$173*Calculations!$B$175))))</f>
        <v>-0.223932755309333+0.257036325688127i</v>
      </c>
      <c r="V103">
        <f t="shared" si="32"/>
        <v>-9.3474322605734201</v>
      </c>
      <c r="W103">
        <f t="shared" si="33"/>
        <v>131.06272323023992</v>
      </c>
      <c r="X103" t="str">
        <f t="shared" si="34"/>
        <v>0.388459967131746+2.44476118703139i</v>
      </c>
      <c r="Y103">
        <f t="shared" si="35"/>
        <v>7.8730163451617239</v>
      </c>
      <c r="Z103">
        <f t="shared" si="36"/>
        <v>80.971473476213873</v>
      </c>
    </row>
    <row r="104" spans="2:26">
      <c r="B104" s="1">
        <v>800</v>
      </c>
      <c r="C104" s="22">
        <f t="shared" si="12"/>
        <v>5026.5482457436692</v>
      </c>
      <c r="D104" s="26" t="str">
        <f t="shared" si="13"/>
        <v>0.107958215851982-0.186179318242258i</v>
      </c>
      <c r="E104" s="1">
        <f t="shared" si="14"/>
        <v>-13.342528747120053</v>
      </c>
      <c r="F104" s="6">
        <f t="shared" si="23"/>
        <v>-59.892205814040281</v>
      </c>
      <c r="G104" s="5" t="str">
        <f t="shared" si="16"/>
        <v>180.047742599569+289.460525046925i</v>
      </c>
      <c r="H104" s="1">
        <f t="shared" si="24"/>
        <v>50.652232646910846</v>
      </c>
      <c r="I104" s="6">
        <f t="shared" si="25"/>
        <v>58.117917445634063</v>
      </c>
      <c r="J104" s="26" t="str">
        <f t="shared" si="17"/>
        <v>73.3291962705092-2.27152412460147i</v>
      </c>
      <c r="K104" s="1">
        <f t="shared" si="26"/>
        <v>37.309703899790826</v>
      </c>
      <c r="L104" s="6">
        <f t="shared" si="27"/>
        <v>-1.7742883684063102</v>
      </c>
      <c r="M104" s="26">
        <f t="shared" si="18"/>
        <v>0.5485714285714286</v>
      </c>
      <c r="N104" s="6">
        <f t="shared" si="19"/>
        <v>2.5000000000000001E-2</v>
      </c>
      <c r="O104" s="5" t="str">
        <f t="shared" si="20"/>
        <v>0.625155792277998-0.299919630326437i</v>
      </c>
      <c r="P104" s="1">
        <f t="shared" si="21"/>
        <v>-3.1806124058716052</v>
      </c>
      <c r="Q104" s="6">
        <f t="shared" si="28"/>
        <v>-25.629447848474328</v>
      </c>
      <c r="R104" s="5" t="str">
        <f t="shared" si="29"/>
        <v>4.13223448865137-5.36611829888583i</v>
      </c>
      <c r="S104" s="1">
        <f t="shared" si="30"/>
        <v>16.615343021980809</v>
      </c>
      <c r="T104" s="6">
        <f t="shared" si="31"/>
        <v>-52.401561152481804</v>
      </c>
      <c r="U104" t="str">
        <f>IMPRODUCT(COMPLEX(-1,0),IMDIV(COMPLEX(1,C104*Calculations!$B$171*Calculations!$B$173),IMPRODUCT(COMPLEX(0,C104*Calculations!$B$160),COMPLEX((Calculations!$B$173+Calculations!$B$175),C104*Calculations!$B$171*Calculations!$B$173*Calculations!$B$175))))</f>
        <v>-0.223915060031924+0.225870325352532i</v>
      </c>
      <c r="V104">
        <f t="shared" si="32"/>
        <v>-9.9501110862980795</v>
      </c>
      <c r="W104">
        <f t="shared" si="33"/>
        <v>134.75093066900914</v>
      </c>
      <c r="X104" t="str">
        <f t="shared" si="34"/>
        <v>0.28677735245716+2.13490384941807i</v>
      </c>
      <c r="Y104">
        <f t="shared" si="35"/>
        <v>6.6652319356827494</v>
      </c>
      <c r="Z104">
        <f t="shared" si="36"/>
        <v>82.349369516527361</v>
      </c>
    </row>
    <row r="105" spans="2:26">
      <c r="B105" s="1">
        <v>900</v>
      </c>
      <c r="C105" s="22">
        <f t="shared" si="12"/>
        <v>5654.8667764616275</v>
      </c>
      <c r="D105" s="26" t="str">
        <f t="shared" si="13"/>
        <v>0.0905491562366346-0.174054958143399i</v>
      </c>
      <c r="E105" s="1">
        <f t="shared" si="14"/>
        <v>-14.146038199145767</v>
      </c>
      <c r="F105" s="6">
        <f t="shared" si="23"/>
        <v>-62.515054930777737</v>
      </c>
      <c r="G105" s="5" t="str">
        <f t="shared" si="16"/>
        <v>186.709162291867+329.67344660208i</v>
      </c>
      <c r="H105" s="1">
        <f t="shared" si="24"/>
        <v>51.569877449264069</v>
      </c>
      <c r="I105" s="6">
        <f t="shared" si="25"/>
        <v>60.475136704766292</v>
      </c>
      <c r="J105" s="26" t="str">
        <f t="shared" si="17"/>
        <v>74.2876550564925-2.64600300425837i</v>
      </c>
      <c r="K105" s="1">
        <f t="shared" si="26"/>
        <v>37.423839250118291</v>
      </c>
      <c r="L105" s="6">
        <f t="shared" si="27"/>
        <v>-2.0399182260113955</v>
      </c>
      <c r="M105" s="26">
        <f t="shared" si="18"/>
        <v>0.5485714285714286</v>
      </c>
      <c r="N105" s="6">
        <f t="shared" si="19"/>
        <v>2.5000000000000001E-2</v>
      </c>
      <c r="O105" s="5" t="str">
        <f t="shared" si="20"/>
        <v>0.625118549003735-0.268805461497525i</v>
      </c>
      <c r="P105" s="1">
        <f t="shared" si="21"/>
        <v>-3.3439126713714042</v>
      </c>
      <c r="Q105" s="6">
        <f t="shared" si="28"/>
        <v>-23.268051771411407</v>
      </c>
      <c r="R105" s="5" t="str">
        <f t="shared" si="29"/>
        <v>3.67756783455432-5.16887538044773i</v>
      </c>
      <c r="S105" s="1">
        <f t="shared" si="30"/>
        <v>16.046771595436645</v>
      </c>
      <c r="T105" s="6">
        <f t="shared" si="31"/>
        <v>-54.56878925835214</v>
      </c>
      <c r="U105" t="str">
        <f>IMPRODUCT(COMPLEX(-1,0),IMDIV(COMPLEX(1,C105*Calculations!$B$171*Calculations!$B$173),IMPRODUCT(COMPLEX(0,C105*Calculations!$B$160),COMPLEX((Calculations!$B$173+Calculations!$B$175),C105*Calculations!$B$171*Calculations!$B$173*Calculations!$B$175))))</f>
        <v>-0.223895008764649+0.20174413662778i</v>
      </c>
      <c r="V105">
        <f t="shared" si="32"/>
        <v>-10.417722559618049</v>
      </c>
      <c r="W105">
        <f t="shared" si="33"/>
        <v>137.97906714085488</v>
      </c>
      <c r="X105" t="str">
        <f t="shared" si="34"/>
        <v>0.219401218414885+1.89921314628098i</v>
      </c>
      <c r="Y105">
        <f t="shared" si="35"/>
        <v>5.6290490358185998</v>
      </c>
      <c r="Z105">
        <f t="shared" si="36"/>
        <v>83.410277882502726</v>
      </c>
    </row>
    <row r="106" spans="2:26">
      <c r="B106" s="1">
        <v>1000</v>
      </c>
      <c r="C106" s="22">
        <f t="shared" si="12"/>
        <v>6283.1853071795858</v>
      </c>
      <c r="D106" s="26" t="str">
        <f t="shared" si="13"/>
        <v>0.07694897613558-0.162669494161632i</v>
      </c>
      <c r="E106" s="1">
        <f t="shared" si="14"/>
        <v>-14.896895016245002</v>
      </c>
      <c r="F106" s="6">
        <f t="shared" si="23"/>
        <v>-64.684035926871147</v>
      </c>
      <c r="G106" s="5" t="str">
        <f t="shared" si="16"/>
        <v>194.498100720608+371.432266951649i</v>
      </c>
      <c r="H106" s="1">
        <f t="shared" si="24"/>
        <v>52.449977239768742</v>
      </c>
      <c r="I106" s="6">
        <f t="shared" si="25"/>
        <v>62.36148853022118</v>
      </c>
      <c r="J106" s="26" t="str">
        <f t="shared" si="17"/>
        <v>75.3871286910985-3.05757501397255i</v>
      </c>
      <c r="K106" s="1">
        <f t="shared" si="26"/>
        <v>37.553082223523717</v>
      </c>
      <c r="L106" s="6">
        <f t="shared" si="27"/>
        <v>-2.3225473966499046</v>
      </c>
      <c r="M106" s="26">
        <f t="shared" si="18"/>
        <v>0.5485714285714286</v>
      </c>
      <c r="N106" s="6">
        <f t="shared" si="19"/>
        <v>2.5000000000000001E-2</v>
      </c>
      <c r="O106" s="5" t="str">
        <f t="shared" si="20"/>
        <v>0.625076929418729-0.244147870808837i</v>
      </c>
      <c r="P106" s="1">
        <f t="shared" si="21"/>
        <v>-3.4646974668570243</v>
      </c>
      <c r="Q106" s="6">
        <f t="shared" si="28"/>
        <v>-21.335045674268212</v>
      </c>
      <c r="R106" s="5" t="str">
        <f t="shared" si="29"/>
        <v>3.28259110042427-4.97559316824329i</v>
      </c>
      <c r="S106" s="1">
        <f t="shared" si="30"/>
        <v>15.50618818733836</v>
      </c>
      <c r="T106" s="6">
        <f t="shared" si="31"/>
        <v>-56.585620883432874</v>
      </c>
      <c r="U106" t="str">
        <f>IMPRODUCT(COMPLEX(-1,0),IMDIV(COMPLEX(1,C106*Calculations!$B$171*Calculations!$B$173),IMPRODUCT(COMPLEX(0,C106*Calculations!$B$160),COMPLEX((Calculations!$B$173+Calculations!$B$175),C106*Calculations!$B$171*Calculations!$B$173*Calculations!$B$175))))</f>
        <v>-0.223872602774027+0.182545760858825i</v>
      </c>
      <c r="V106">
        <f t="shared" si="32"/>
        <v>-10.786158306342628</v>
      </c>
      <c r="W106">
        <f t="shared" si="33"/>
        <v>140.80619121441387</v>
      </c>
      <c r="X106" t="str">
        <f t="shared" si="34"/>
        <v>0.173391227126104+1.71312208293465i</v>
      </c>
      <c r="Y106">
        <f t="shared" si="35"/>
        <v>4.7200298809957379</v>
      </c>
      <c r="Z106">
        <f t="shared" si="36"/>
        <v>84.220570330981033</v>
      </c>
    </row>
    <row r="107" spans="2:26">
      <c r="B107" s="1">
        <v>2000</v>
      </c>
      <c r="C107" s="22">
        <f t="shared" si="12"/>
        <v>12566.370614359172</v>
      </c>
      <c r="D107" s="26" t="str">
        <f t="shared" si="13"/>
        <v>0.0254672709769429-0.0927287691285862i</v>
      </c>
      <c r="E107" s="1">
        <f t="shared" si="14"/>
        <v>-20.339894432932802</v>
      </c>
      <c r="F107" s="6">
        <f t="shared" si="23"/>
        <v>-74.642787851071446</v>
      </c>
      <c r="G107" s="5" t="str">
        <f t="shared" si="16"/>
        <v>389.37604900631+947.643246183315i</v>
      </c>
      <c r="H107" s="1">
        <f t="shared" si="24"/>
        <v>60.210409640679991</v>
      </c>
      <c r="I107" s="6">
        <f t="shared" si="25"/>
        <v>67.662785715043796</v>
      </c>
      <c r="J107" s="26" t="str">
        <f t="shared" si="17"/>
        <v>97.7901371435716-11.9724744124869i</v>
      </c>
      <c r="K107" s="1">
        <f t="shared" si="26"/>
        <v>39.870515207747182</v>
      </c>
      <c r="L107" s="6">
        <f t="shared" si="27"/>
        <v>-6.9800021360276654</v>
      </c>
      <c r="M107" s="26">
        <f t="shared" si="18"/>
        <v>0.5485714285714286</v>
      </c>
      <c r="N107" s="6">
        <f t="shared" si="19"/>
        <v>2.5000000000000001E-2</v>
      </c>
      <c r="O107" s="5" t="str">
        <f t="shared" si="20"/>
        <v>0.624420511883016-0.139603987008698i</v>
      </c>
      <c r="P107" s="1">
        <f t="shared" si="21"/>
        <v>-3.8786250588826094</v>
      </c>
      <c r="Q107" s="6">
        <f t="shared" si="28"/>
        <v>-12.602575075049378</v>
      </c>
      <c r="R107" s="5" t="str">
        <f t="shared" si="29"/>
        <v>1.24743323929625-3.38007502691222i</v>
      </c>
      <c r="S107" s="1">
        <f t="shared" si="30"/>
        <v>11.133080453363009</v>
      </c>
      <c r="T107" s="6">
        <f t="shared" si="31"/>
        <v>-69.743170839875702</v>
      </c>
      <c r="U107" t="str">
        <f>IMPRODUCT(COMPLEX(-1,0),IMDIV(COMPLEX(1,C107*Calculations!$B$171*Calculations!$B$173),IMPRODUCT(COMPLEX(0,C107*Calculations!$B$160),COMPLEX((Calculations!$B$173+Calculations!$B$175),C107*Calculations!$B$171*Calculations!$B$173*Calculations!$B$175))))</f>
        <v>-0.223519417450449+0.0989655164123322i</v>
      </c>
      <c r="V107">
        <f t="shared" si="32"/>
        <v>-12.236249976463803</v>
      </c>
      <c r="W107">
        <f t="shared" si="33"/>
        <v>156.11814083624219</v>
      </c>
      <c r="X107" t="str">
        <f t="shared" si="34"/>
        <v>0.0556853195949712+0.878965275671092i</v>
      </c>
      <c r="Y107">
        <f t="shared" si="35"/>
        <v>-1.1031695231007903</v>
      </c>
      <c r="Z107">
        <f t="shared" si="36"/>
        <v>86.374969996366488</v>
      </c>
    </row>
    <row r="108" spans="2:26">
      <c r="B108" s="1">
        <v>3000</v>
      </c>
      <c r="C108" s="22">
        <f t="shared" si="12"/>
        <v>18849.555921538758</v>
      </c>
      <c r="D108" s="26" t="str">
        <f t="shared" si="13"/>
        <v>0.014308591084597-0.0634656186000652i</v>
      </c>
      <c r="E108" s="1">
        <f t="shared" si="14"/>
        <v>-23.733906665849759</v>
      </c>
      <c r="F108" s="6">
        <f t="shared" si="23"/>
        <v>-77.294848444871377</v>
      </c>
      <c r="G108" s="5" t="str">
        <f t="shared" si="16"/>
        <v>1766.67975530084+2286.90025701161i</v>
      </c>
      <c r="H108" s="1">
        <f t="shared" si="24"/>
        <v>69.217421314782001</v>
      </c>
      <c r="I108" s="6">
        <f t="shared" si="25"/>
        <v>52.313140135345158</v>
      </c>
      <c r="J108" s="26" t="str">
        <f t="shared" si="17"/>
        <v>170.418237683926-79.4011029095409i</v>
      </c>
      <c r="K108" s="1">
        <f t="shared" si="26"/>
        <v>45.483514648932271</v>
      </c>
      <c r="L108" s="6">
        <f t="shared" si="27"/>
        <v>-24.981708309526205</v>
      </c>
      <c r="M108" s="26">
        <f t="shared" si="18"/>
        <v>0.5485714285714286</v>
      </c>
      <c r="N108" s="6">
        <f t="shared" si="19"/>
        <v>2.5000000000000001E-2</v>
      </c>
      <c r="O108" s="5" t="str">
        <f t="shared" si="20"/>
        <v>0.623329540990803-0.112492709940511i</v>
      </c>
      <c r="P108" s="1">
        <f t="shared" si="21"/>
        <v>-3.9664521723650852</v>
      </c>
      <c r="Q108" s="6">
        <f t="shared" si="28"/>
        <v>-10.230093552447546</v>
      </c>
      <c r="R108" s="5" t="str">
        <f t="shared" si="29"/>
        <v>0.619432223382766-2.44966151962359i</v>
      </c>
      <c r="S108" s="1">
        <f t="shared" si="30"/>
        <v>8.0512946530134712</v>
      </c>
      <c r="T108" s="6">
        <f t="shared" si="31"/>
        <v>-75.809396185606587</v>
      </c>
      <c r="U108" t="str">
        <f>IMPRODUCT(COMPLEX(-1,0),IMDIV(COMPLEX(1,C108*Calculations!$B$171*Calculations!$B$173),IMPRODUCT(COMPLEX(0,C108*Calculations!$B$160),COMPLEX((Calculations!$B$173+Calculations!$B$175),C108*Calculations!$B$171*Calculations!$B$173*Calculations!$B$175))))</f>
        <v>-0.22293324515609+0.0744885199288919i</v>
      </c>
      <c r="V108">
        <f t="shared" si="32"/>
        <v>-12.576852360047786</v>
      </c>
      <c r="W108">
        <f t="shared" si="33"/>
        <v>161.52401813737919</v>
      </c>
      <c r="X108" t="str">
        <f t="shared" si="34"/>
        <v>0.0443796252105493+0.592251581619731i</v>
      </c>
      <c r="Y108">
        <f t="shared" si="35"/>
        <v>-4.5255577070343094</v>
      </c>
      <c r="Z108">
        <f t="shared" si="36"/>
        <v>85.714621951772585</v>
      </c>
    </row>
    <row r="109" spans="2:26">
      <c r="B109" s="1">
        <v>4000</v>
      </c>
      <c r="C109" s="22">
        <f t="shared" si="12"/>
        <v>25132.741228718343</v>
      </c>
      <c r="D109" s="26" t="str">
        <f t="shared" si="13"/>
        <v>0.010261309216715-0.0480470897410128i</v>
      </c>
      <c r="E109" s="1">
        <f t="shared" si="14"/>
        <v>-26.172956045185465</v>
      </c>
      <c r="F109" s="6">
        <f t="shared" si="23"/>
        <v>-77.94457862325433</v>
      </c>
      <c r="G109" s="5" t="str">
        <f t="shared" si="16"/>
        <v>3176.66650706931-3251.51068419069i</v>
      </c>
      <c r="H109" s="1">
        <f t="shared" si="24"/>
        <v>73.152045534704925</v>
      </c>
      <c r="I109" s="6">
        <f t="shared" si="25"/>
        <v>-45.667072730334702</v>
      </c>
      <c r="J109" s="26" t="str">
        <f t="shared" si="17"/>
        <v>-123.628868329752-185.994337294362i</v>
      </c>
      <c r="K109" s="1">
        <f t="shared" si="26"/>
        <v>46.979089489519474</v>
      </c>
      <c r="L109" s="6">
        <f t="shared" si="27"/>
        <v>-123.61165135358907</v>
      </c>
      <c r="M109" s="26">
        <f t="shared" si="18"/>
        <v>0.5485714285714286</v>
      </c>
      <c r="N109" s="6">
        <f t="shared" si="19"/>
        <v>2.5000000000000001E-2</v>
      </c>
      <c r="O109" s="5" t="str">
        <f t="shared" si="20"/>
        <v>0.621808570661526-0.104678776884648i</v>
      </c>
      <c r="P109" s="1">
        <f t="shared" si="21"/>
        <v>-4.0054975225717744</v>
      </c>
      <c r="Q109" s="6">
        <f t="shared" si="28"/>
        <v>-9.5558961387812946</v>
      </c>
      <c r="R109" s="5" t="str">
        <f t="shared" si="29"/>
        <v>0.365409615168463-1.90192196328381i</v>
      </c>
      <c r="S109" s="1">
        <f t="shared" si="30"/>
        <v>5.7412753623851689</v>
      </c>
      <c r="T109" s="6">
        <f t="shared" si="31"/>
        <v>-79.124484447405877</v>
      </c>
      <c r="U109" t="str">
        <f>IMPRODUCT(COMPLEX(-1,0),IMDIV(COMPLEX(1,C109*Calculations!$B$171*Calculations!$B$173),IMPRODUCT(COMPLEX(0,C109*Calculations!$B$160),COMPLEX((Calculations!$B$173+Calculations!$B$175),C109*Calculations!$B$171*Calculations!$B$173*Calculations!$B$175))))</f>
        <v>-0.222117750100892+0.0647474308431831i</v>
      </c>
      <c r="V109">
        <f t="shared" si="32"/>
        <v>-12.714147259579132</v>
      </c>
      <c r="W109">
        <f t="shared" si="33"/>
        <v>163.74857095237317</v>
      </c>
      <c r="X109" t="str">
        <f t="shared" si="34"/>
        <v>0.0419805992003977+0.446109961139625i</v>
      </c>
      <c r="Y109">
        <f t="shared" si="35"/>
        <v>-6.9728718971939703</v>
      </c>
      <c r="Z109">
        <f t="shared" si="36"/>
        <v>84.624086504967309</v>
      </c>
    </row>
    <row r="110" spans="2:26">
      <c r="B110" s="1">
        <v>5000</v>
      </c>
      <c r="C110" s="22">
        <f t="shared" si="12"/>
        <v>31415.926535897932</v>
      </c>
      <c r="D110" s="26" t="str">
        <f t="shared" si="13"/>
        <v>0.00836209792634744-0.0386058065136719i</v>
      </c>
      <c r="E110" s="1">
        <f t="shared" si="14"/>
        <v>-28.067827124099807</v>
      </c>
      <c r="F110" s="6">
        <f t="shared" si="23"/>
        <v>-77.778412076041434</v>
      </c>
      <c r="G110" s="5" t="str">
        <f t="shared" si="16"/>
        <v>470.280614311445-1869.08851899609i</v>
      </c>
      <c r="H110" s="1">
        <f t="shared" si="24"/>
        <v>65.69918572160114</v>
      </c>
      <c r="I110" s="6">
        <f t="shared" si="25"/>
        <v>-75.876991080729297</v>
      </c>
      <c r="J110" s="26" t="str">
        <f t="shared" si="17"/>
        <v>-68.2251371715534-33.7850636320954i</v>
      </c>
      <c r="K110" s="1">
        <f t="shared" si="26"/>
        <v>37.631358597501311</v>
      </c>
      <c r="L110" s="6">
        <f t="shared" si="27"/>
        <v>-153.65540315677069</v>
      </c>
      <c r="M110" s="26">
        <f t="shared" si="18"/>
        <v>0.5485714285714286</v>
      </c>
      <c r="N110" s="6">
        <f t="shared" si="19"/>
        <v>2.5000000000000001E-2</v>
      </c>
      <c r="O110" s="5" t="str">
        <f t="shared" si="20"/>
        <v>0.619863909891474-0.104516387115477i</v>
      </c>
      <c r="P110" s="1">
        <f t="shared" si="21"/>
        <v>-4.0323258223484313</v>
      </c>
      <c r="Q110" s="6">
        <f t="shared" si="28"/>
        <v>-9.5707252843212647</v>
      </c>
      <c r="R110" s="5" t="str">
        <f t="shared" si="29"/>
        <v>0.240270465393975-1.55123728290552i</v>
      </c>
      <c r="S110" s="1">
        <f t="shared" si="30"/>
        <v>3.9165251325407664</v>
      </c>
      <c r="T110" s="6">
        <f t="shared" si="31"/>
        <v>-81.195446218599713</v>
      </c>
      <c r="U110" t="str">
        <f>IMPRODUCT(COMPLEX(-1,0),IMDIV(COMPLEX(1,C110*Calculations!$B$171*Calculations!$B$173),IMPRODUCT(COMPLEX(0,C110*Calculations!$B$160),COMPLEX((Calculations!$B$173+Calculations!$B$175),C110*Calculations!$B$171*Calculations!$B$173*Calculations!$B$175))))</f>
        <v>-0.221077982081883+0.0608567093999342i</v>
      </c>
      <c r="V110">
        <f t="shared" si="32"/>
        <v>-12.791875686343126</v>
      </c>
      <c r="W110">
        <f t="shared" si="33"/>
        <v>164.60922943069019</v>
      </c>
      <c r="X110" t="str">
        <f t="shared" si="34"/>
        <v>0.0412846868929499+0.357566478124804i</v>
      </c>
      <c r="Y110">
        <f t="shared" si="35"/>
        <v>-8.8753505538023472</v>
      </c>
      <c r="Z110">
        <f t="shared" si="36"/>
        <v>83.413783212090493</v>
      </c>
    </row>
    <row r="111" spans="2:26">
      <c r="B111" s="1">
        <v>6000</v>
      </c>
      <c r="C111" s="22">
        <f t="shared" ref="C111:C137" si="37">2*PI()*B111</f>
        <v>37699.111843077517</v>
      </c>
      <c r="D111" s="26" t="str">
        <f t="shared" ref="D111:D137" si="38">IMDIV(COMPLEX((V12_Nom/(I_Channel_Design*np)),((Zo_Buck_Cout*Zo_Buck_Resr*V12_Nom)/(I_Channel_Design*np))*C111),COMPLEX(1,((Zo_Buck_Cout*Zo_Buck_Resr)+((Zo_Buck_Cout*V12_Nom)/(I_Channel_Design*np)))*C111))</f>
        <v>0.00732344688843647-0.0322481307896935i</v>
      </c>
      <c r="E111" s="1">
        <f t="shared" si="14"/>
        <v>-29.611515006095331</v>
      </c>
      <c r="F111" s="6">
        <f t="shared" si="23"/>
        <v>-77.205319815688213</v>
      </c>
      <c r="G111" s="5" t="str">
        <f t="shared" ref="G111:G137" si="39">IMDIV(COMPLEX(V48_Max,0),IMSUM(COMPLEX(Rcs/np,(Lm*C111)/np),D111))</f>
        <v>169.237114847574-1218.85257040853i</v>
      </c>
      <c r="H111" s="1">
        <f t="shared" si="24"/>
        <v>61.801955143038143</v>
      </c>
      <c r="I111" s="6">
        <f t="shared" si="25"/>
        <v>-82.095049346151882</v>
      </c>
      <c r="J111" s="26" t="str">
        <f t="shared" ref="J111:J137" si="40">IMDIV(IMPRODUCT(COMPLEX(V48_Max,0),D111),IMSUM(COMPLEX(Rcs/np,(Lm*C111)/np),D111))</f>
        <v>-38.0663180817498-14.3837826782961i</v>
      </c>
      <c r="K111" s="1">
        <f t="shared" si="26"/>
        <v>32.19044013694279</v>
      </c>
      <c r="L111" s="6">
        <f t="shared" si="27"/>
        <v>-159.30036916183997</v>
      </c>
      <c r="M111" s="26">
        <f t="shared" ref="M111:M137" si="41">(Ramp_C*Ramp_R*Fsw)/(V48_Max)</f>
        <v>0.5485714285714286</v>
      </c>
      <c r="N111" s="6">
        <f t="shared" ref="N111:N137" si="42">(Rcs*Acs)/np</f>
        <v>2.5000000000000001E-2</v>
      </c>
      <c r="O111" s="5" t="str">
        <f t="shared" ref="O111:O137" si="43">IMPRODUCT(COMPLEX(gm/(IL_Comp_Ccomp+IL_Comp_Chf),0),IMDIV(COMPLEX(1,C111*IL_Comp_Rcomp*IL_Comp_Ccomp),IMPRODUCT(COMPLEX(0,C111),COMPLEX(1,C111*IL_Comp_Rcomp*IL_Comp_Chf))))</f>
        <v>0.617503557809955-0.108108561695686i</v>
      </c>
      <c r="P111" s="1">
        <f t="shared" si="21"/>
        <v>-4.0560954372483087</v>
      </c>
      <c r="Q111" s="6">
        <f t="shared" si="28"/>
        <v>-9.9303362910197954</v>
      </c>
      <c r="R111" s="5" t="str">
        <f t="shared" si="29"/>
        <v>0.169726453989989-1.31033547373696i</v>
      </c>
      <c r="S111" s="1">
        <f t="shared" si="30"/>
        <v>2.4199103700629565</v>
      </c>
      <c r="T111" s="6">
        <f t="shared" si="31"/>
        <v>-82.619626842775574</v>
      </c>
      <c r="U111" t="str">
        <f>IMPRODUCT(COMPLEX(-1,0),IMDIV(COMPLEX(1,C111*Calculations!$B$171*Calculations!$B$173),IMPRODUCT(COMPLEX(0,C111*Calculations!$B$160),COMPLEX((Calculations!$B$173+Calculations!$B$175),C111*Calculations!$B$171*Calculations!$B$173*Calculations!$B$175))))</f>
        <v>-0.219820299170738+0.0598450106195671i</v>
      </c>
      <c r="V111">
        <f t="shared" si="32"/>
        <v>-12.848126498060878</v>
      </c>
      <c r="W111">
        <f t="shared" si="33"/>
        <v>164.77059556433915</v>
      </c>
      <c r="X111" t="str">
        <f t="shared" si="34"/>
        <v>0.041107720447716+0.298195617292342i</v>
      </c>
      <c r="Y111">
        <f t="shared" si="35"/>
        <v>-10.42821612799791</v>
      </c>
      <c r="Z111">
        <f t="shared" si="36"/>
        <v>82.150968721563572</v>
      </c>
    </row>
    <row r="112" spans="2:26">
      <c r="B112" s="1">
        <v>7000</v>
      </c>
      <c r="C112" s="22">
        <f t="shared" si="37"/>
        <v>43982.297150257102</v>
      </c>
      <c r="D112" s="26" t="str">
        <f t="shared" si="38"/>
        <v>0.00669477857317319-0.0276810086721767i</v>
      </c>
      <c r="E112" s="1">
        <f t="shared" si="14"/>
        <v>-30.909479263037841</v>
      </c>
      <c r="F112" s="6">
        <f t="shared" si="23"/>
        <v>-76.403836991746573</v>
      </c>
      <c r="G112" s="5" t="str">
        <f t="shared" si="39"/>
        <v>87.1516057076857-916.693398556203i</v>
      </c>
      <c r="H112" s="1">
        <f t="shared" si="24"/>
        <v>59.283560004956655</v>
      </c>
      <c r="I112" s="6">
        <f t="shared" si="25"/>
        <v>-84.569115798373574</v>
      </c>
      <c r="J112" s="26" t="str">
        <f t="shared" si="40"/>
        <v>-24.7915372126519-8.54950367621195i</v>
      </c>
      <c r="K112" s="1">
        <f t="shared" si="26"/>
        <v>28.374080741918807</v>
      </c>
      <c r="L112" s="6">
        <f t="shared" si="27"/>
        <v>-160.9729527901201</v>
      </c>
      <c r="M112" s="26">
        <f t="shared" si="41"/>
        <v>0.5485714285714286</v>
      </c>
      <c r="N112" s="6">
        <f t="shared" si="42"/>
        <v>2.5000000000000001E-2</v>
      </c>
      <c r="O112" s="5" t="str">
        <f t="shared" si="43"/>
        <v>0.614737122336144-0.113772891433085i</v>
      </c>
      <c r="P112" s="1">
        <f t="shared" si="21"/>
        <v>-4.0799432789701697</v>
      </c>
      <c r="Q112" s="6">
        <f t="shared" si="28"/>
        <v>-10.485410783126744</v>
      </c>
      <c r="R112" s="5" t="str">
        <f t="shared" si="29"/>
        <v>0.125893018174014-1.13579900763512i</v>
      </c>
      <c r="S112" s="1">
        <f t="shared" si="30"/>
        <v>1.1590607668603057</v>
      </c>
      <c r="T112" s="6">
        <f t="shared" si="31"/>
        <v>-83.675100167427928</v>
      </c>
      <c r="U112" t="str">
        <f>IMPRODUCT(COMPLEX(-1,0),IMDIV(COMPLEX(1,C112*Calculations!$B$171*Calculations!$B$173),IMPRODUCT(COMPLEX(0,C112*Calculations!$B$160),COMPLEX((Calculations!$B$173+Calculations!$B$175),C112*Calculations!$B$171*Calculations!$B$173*Calculations!$B$175))))</f>
        <v>-0.218352272145282+0.0604313541875746i</v>
      </c>
      <c r="V112">
        <f t="shared" si="32"/>
        <v>-12.896315843417469</v>
      </c>
      <c r="W112">
        <f t="shared" si="33"/>
        <v>164.52999661088938</v>
      </c>
      <c r="X112" t="str">
        <f t="shared" si="34"/>
        <v>0.0411488455507704+0.255612179588502i</v>
      </c>
      <c r="Y112">
        <f t="shared" si="35"/>
        <v>-11.737255076557149</v>
      </c>
      <c r="Z112">
        <f t="shared" si="36"/>
        <v>80.85489644346147</v>
      </c>
    </row>
    <row r="113" spans="2:26">
      <c r="B113" s="1">
        <v>8000</v>
      </c>
      <c r="C113" s="22">
        <f t="shared" si="37"/>
        <v>50265.482457436687</v>
      </c>
      <c r="D113" s="26" t="str">
        <f t="shared" si="38"/>
        <v>0.00628578004851685-0.0242435126573853i</v>
      </c>
      <c r="E113" s="1">
        <f t="shared" si="14"/>
        <v>-32.025531424171952</v>
      </c>
      <c r="F113" s="6">
        <f t="shared" si="23"/>
        <v>-75.464603950375036</v>
      </c>
      <c r="G113" s="5" t="str">
        <f t="shared" si="39"/>
        <v>53.6148543969292-741.754432388276i</v>
      </c>
      <c r="H113" s="1">
        <f t="shared" si="24"/>
        <v>57.427833924225816</v>
      </c>
      <c r="I113" s="6">
        <f t="shared" si="25"/>
        <v>-85.865785678711489</v>
      </c>
      <c r="J113" s="26" t="str">
        <f t="shared" si="40"/>
        <v>-17.6457217882045-5.96231761320098i</v>
      </c>
      <c r="K113" s="1">
        <f t="shared" si="26"/>
        <v>25.402302500053885</v>
      </c>
      <c r="L113" s="6">
        <f t="shared" si="27"/>
        <v>-161.3303896290866</v>
      </c>
      <c r="M113" s="26">
        <f t="shared" si="41"/>
        <v>0.5485714285714286</v>
      </c>
      <c r="N113" s="6">
        <f t="shared" si="42"/>
        <v>2.5000000000000001E-2</v>
      </c>
      <c r="O113" s="5" t="str">
        <f t="shared" si="43"/>
        <v>0.611575723962327-0.120658073172782i</v>
      </c>
      <c r="P113" s="1">
        <f t="shared" si="21"/>
        <v>-4.1051593852489434</v>
      </c>
      <c r="Q113" s="6">
        <f t="shared" si="28"/>
        <v>-11.160582310258695</v>
      </c>
      <c r="R113" s="5" t="str">
        <f t="shared" si="29"/>
        <v>0.0965379788325098-1.00413043907294i</v>
      </c>
      <c r="S113" s="1">
        <f t="shared" si="30"/>
        <v>7.5760398937154291E-2</v>
      </c>
      <c r="T113" s="6">
        <f t="shared" si="31"/>
        <v>-84.508411838842278</v>
      </c>
      <c r="U113" t="str">
        <f>IMPRODUCT(COMPLEX(-1,0),IMDIV(COMPLEX(1,C113*Calculations!$B$171*Calculations!$B$173),IMPRODUCT(COMPLEX(0,C113*Calculations!$B$160),COMPLEX((Calculations!$B$173+Calculations!$B$175),C113*Calculations!$B$171*Calculations!$B$173*Calculations!$B$175))))</f>
        <v>-0.216682573297493+0.0619692519996692i</v>
      </c>
      <c r="V113">
        <f t="shared" si="32"/>
        <v>-12.942087408821813</v>
      </c>
      <c r="W113">
        <f t="shared" si="33"/>
        <v>164.03995055874259</v>
      </c>
      <c r="X113" t="str">
        <f t="shared" si="34"/>
        <v>0.0413071145450824+0.223559953802477i</v>
      </c>
      <c r="Y113">
        <f t="shared" si="35"/>
        <v>-12.866327009884646</v>
      </c>
      <c r="Z113">
        <f t="shared" si="36"/>
        <v>79.531538719900297</v>
      </c>
    </row>
    <row r="114" spans="2:26">
      <c r="B114" s="1">
        <v>9000</v>
      </c>
      <c r="C114" s="22">
        <f t="shared" si="37"/>
        <v>56548.667764616279</v>
      </c>
      <c r="D114" s="26" t="str">
        <f t="shared" si="38"/>
        <v>0.006004930112269-0.0215636019631569i</v>
      </c>
      <c r="E114" s="1">
        <f t="shared" si="14"/>
        <v>-33.001205671533555</v>
      </c>
      <c r="F114" s="6">
        <f t="shared" si="23"/>
        <v>-74.438794449281673</v>
      </c>
      <c r="G114" s="5" t="str">
        <f t="shared" si="39"/>
        <v>36.6158416571107-626.64572821892i</v>
      </c>
      <c r="H114" s="1">
        <f t="shared" si="24"/>
        <v>55.955244264131487</v>
      </c>
      <c r="I114" s="6">
        <f t="shared" si="25"/>
        <v>-86.655924774920862</v>
      </c>
      <c r="J114" s="26" t="str">
        <f t="shared" si="40"/>
        <v>-13.2928634850725-4.55253323814644i</v>
      </c>
      <c r="K114" s="1">
        <f t="shared" si="26"/>
        <v>22.954038592597911</v>
      </c>
      <c r="L114" s="6">
        <f t="shared" si="27"/>
        <v>-161.09471922420249</v>
      </c>
      <c r="M114" s="26">
        <f t="shared" si="41"/>
        <v>0.5485714285714286</v>
      </c>
      <c r="N114" s="6">
        <f t="shared" si="42"/>
        <v>2.5000000000000001E-2</v>
      </c>
      <c r="O114" s="5" t="str">
        <f t="shared" si="43"/>
        <v>0.608031886431177-0.12828283300591i</v>
      </c>
      <c r="P114" s="1">
        <f t="shared" si="21"/>
        <v>-4.1323354624931135</v>
      </c>
      <c r="Q114" s="6">
        <f t="shared" si="28"/>
        <v>-11.913570712460421</v>
      </c>
      <c r="R114" s="5" t="str">
        <f t="shared" si="29"/>
        <v>0.0756412153907557-0.901640554164073i</v>
      </c>
      <c r="S114" s="1">
        <f t="shared" si="30"/>
        <v>-0.86887260757737539</v>
      </c>
      <c r="T114" s="6">
        <f t="shared" si="31"/>
        <v>-85.20452169391784</v>
      </c>
      <c r="U114" t="str">
        <f>IMPRODUCT(COMPLEX(-1,0),IMDIV(COMPLEX(1,C114*Calculations!$B$171*Calculations!$B$173),IMPRODUCT(COMPLEX(0,C114*Calculations!$B$160),COMPLEX((Calculations!$B$173+Calculations!$B$175),C114*Calculations!$B$171*Calculations!$B$173*Calculations!$B$175))))</f>
        <v>-0.214820852586327+0.0640948119300738i</v>
      </c>
      <c r="V114">
        <f t="shared" si="32"/>
        <v>-12.988108398147736</v>
      </c>
      <c r="W114">
        <f t="shared" si="33"/>
        <v>163.38678992332913</v>
      </c>
      <c r="X114" t="str">
        <f t="shared" si="34"/>
        <v>0.0415411713667656+0.198539402046567i</v>
      </c>
      <c r="Y114">
        <f t="shared" si="35"/>
        <v>-13.856981005725119</v>
      </c>
      <c r="Z114">
        <f t="shared" si="36"/>
        <v>78.182268229411292</v>
      </c>
    </row>
    <row r="115" spans="2:26">
      <c r="B115" s="1">
        <v>10000</v>
      </c>
      <c r="C115" s="22">
        <f t="shared" si="37"/>
        <v>62831.853071795864</v>
      </c>
      <c r="D115" s="26" t="str">
        <f t="shared" si="38"/>
        <v>0.00580381883169561-0.0194161438277105i</v>
      </c>
      <c r="E115" s="1">
        <f t="shared" si="14"/>
        <v>-33.865060127294981</v>
      </c>
      <c r="F115" s="6">
        <f t="shared" si="23"/>
        <v>-73.35769142471284</v>
      </c>
      <c r="G115" s="5" t="str">
        <f t="shared" si="39"/>
        <v>26.7679622943287-544.541185185127i</v>
      </c>
      <c r="H115" s="1">
        <f t="shared" si="24"/>
        <v>54.73109628605571</v>
      </c>
      <c r="I115" s="6">
        <f t="shared" si="25"/>
        <v>-87.185781797328062</v>
      </c>
      <c r="J115" s="26" t="str">
        <f t="shared" si="40"/>
        <v>-10.4175335680165-3.68014899109271i</v>
      </c>
      <c r="K115" s="1">
        <f t="shared" si="26"/>
        <v>20.866036158760792</v>
      </c>
      <c r="L115" s="6">
        <f t="shared" si="27"/>
        <v>-160.543473222041</v>
      </c>
      <c r="M115" s="26">
        <f t="shared" si="41"/>
        <v>0.5485714285714286</v>
      </c>
      <c r="N115" s="6">
        <f t="shared" si="42"/>
        <v>2.5000000000000001E-2</v>
      </c>
      <c r="O115" s="5" t="str">
        <f t="shared" si="43"/>
        <v>0.604119416266114-0.136351555090552i</v>
      </c>
      <c r="P115" s="1">
        <f t="shared" si="21"/>
        <v>-4.1617573055919719</v>
      </c>
      <c r="Q115" s="6">
        <f t="shared" si="28"/>
        <v>-12.718714924305093</v>
      </c>
      <c r="R115" s="5" t="str">
        <f t="shared" si="29"/>
        <v>0.0599682696891402-0.819856961961393i</v>
      </c>
      <c r="S115" s="1">
        <f t="shared" si="30"/>
        <v>-1.7020647033604772</v>
      </c>
      <c r="T115" s="6">
        <f t="shared" si="31"/>
        <v>-85.816562008320062</v>
      </c>
      <c r="U115" t="str">
        <f>IMPRODUCT(COMPLEX(-1,0),IMDIV(COMPLEX(1,C115*Calculations!$B$171*Calculations!$B$173),IMPRODUCT(COMPLEX(0,C115*Calculations!$B$160),COMPLEX((Calculations!$B$173+Calculations!$B$175),C115*Calculations!$B$171*Calculations!$B$173*Calculations!$B$175))))</f>
        <v>-0.212777604315723+0.0665860206123845i</v>
      </c>
      <c r="V115">
        <f t="shared" si="32"/>
        <v>-13.035736488338811</v>
      </c>
      <c r="W115">
        <f t="shared" si="33"/>
        <v>162.62315885516367</v>
      </c>
      <c r="X115" t="str">
        <f t="shared" si="34"/>
        <v>0.0418311078089538+0.178440248689322i</v>
      </c>
      <c r="Y115">
        <f t="shared" si="35"/>
        <v>-14.737801191699297</v>
      </c>
      <c r="Z115">
        <f t="shared" si="36"/>
        <v>76.80659684684359</v>
      </c>
    </row>
    <row r="116" spans="2:26">
      <c r="B116" s="1">
        <v>20000</v>
      </c>
      <c r="C116" s="22">
        <f t="shared" si="37"/>
        <v>125663.70614359173</v>
      </c>
      <c r="D116" s="26" t="str">
        <f t="shared" si="38"/>
        <v>0.00515955212060218-0.00972233093866461i</v>
      </c>
      <c r="E116" s="1">
        <f t="shared" si="14"/>
        <v>-39.166955920816228</v>
      </c>
      <c r="F116" s="6">
        <f t="shared" si="23"/>
        <v>-62.045516559461412</v>
      </c>
      <c r="G116" s="5" t="str">
        <f t="shared" si="39"/>
        <v>4.8554731861345-245.012649243296i</v>
      </c>
      <c r="H116" s="1">
        <f t="shared" si="24"/>
        <v>47.78547536301172</v>
      </c>
      <c r="I116" s="6">
        <f t="shared" si="25"/>
        <v>-88.864704690575067</v>
      </c>
      <c r="J116" s="26" t="str">
        <f t="shared" si="40"/>
        <v>-2.35704199312823-1.31136205115702i</v>
      </c>
      <c r="K116" s="1">
        <f t="shared" si="26"/>
        <v>8.6185194421954918</v>
      </c>
      <c r="L116" s="6">
        <f t="shared" si="27"/>
        <v>-150.91022125003644</v>
      </c>
      <c r="M116" s="26">
        <f t="shared" si="41"/>
        <v>0.5485714285714286</v>
      </c>
      <c r="N116" s="6">
        <f t="shared" si="42"/>
        <v>2.5000000000000001E-2</v>
      </c>
      <c r="O116" s="5" t="str">
        <f t="shared" si="43"/>
        <v>0.548401953610384-0.216972837720415i</v>
      </c>
      <c r="P116" s="1">
        <f t="shared" si="21"/>
        <v>-4.5864305810764119</v>
      </c>
      <c r="Q116" s="6">
        <f t="shared" si="28"/>
        <v>-21.586012175270909</v>
      </c>
      <c r="R116" s="5" t="str">
        <f t="shared" si="29"/>
        <v>-0.0153388114492675-0.463314757385945i</v>
      </c>
      <c r="S116" s="1">
        <f t="shared" si="30"/>
        <v>-6.6777198442249883</v>
      </c>
      <c r="T116" s="6">
        <f t="shared" si="31"/>
        <v>-91.896180226632197</v>
      </c>
      <c r="U116" t="str">
        <f>IMPRODUCT(COMPLEX(-1,0),IMDIV(COMPLEX(1,C116*Calculations!$B$171*Calculations!$B$173),IMPRODUCT(COMPLEX(0,C116*Calculations!$B$160),COMPLEX((Calculations!$B$173+Calculations!$B$175),C116*Calculations!$B$171*Calculations!$B$173*Calculations!$B$175))))</f>
        <v>-0.184995033662552+0.0938054915549987i</v>
      </c>
      <c r="V116">
        <f t="shared" si="32"/>
        <v>-13.663030169320026</v>
      </c>
      <c r="W116">
        <f t="shared" si="33"/>
        <v>153.11178644995894</v>
      </c>
      <c r="X116" t="str">
        <f t="shared" si="34"/>
        <v>0.0462990725016743+0.084272064391102i</v>
      </c>
      <c r="Y116">
        <f t="shared" si="35"/>
        <v>-20.340750013545016</v>
      </c>
      <c r="Z116">
        <f t="shared" si="36"/>
        <v>61.215606223326766</v>
      </c>
    </row>
    <row r="117" spans="2:26">
      <c r="B117" s="1">
        <v>30000</v>
      </c>
      <c r="C117" s="22">
        <f t="shared" si="37"/>
        <v>188495.55921538759</v>
      </c>
      <c r="D117" s="26" t="str">
        <f t="shared" si="38"/>
        <v>0.00504003572418039-0.00648331739779371i</v>
      </c>
      <c r="E117" s="1">
        <f t="shared" si="14"/>
        <v>-41.711122901900033</v>
      </c>
      <c r="F117" s="6">
        <f t="shared" si="23"/>
        <v>-52.139029882216491</v>
      </c>
      <c r="G117" s="5" t="str">
        <f t="shared" si="39"/>
        <v>2.03521112518831-160.347610298148i</v>
      </c>
      <c r="H117" s="1">
        <f t="shared" si="24"/>
        <v>44.101949427698479</v>
      </c>
      <c r="I117" s="6">
        <f t="shared" si="25"/>
        <v>-89.272812694876265</v>
      </c>
      <c r="J117" s="26" t="str">
        <f t="shared" si="40"/>
        <v>-1.02932691476343-0.821352603885735i</v>
      </c>
      <c r="K117" s="1">
        <f t="shared" si="26"/>
        <v>2.390826525798428</v>
      </c>
      <c r="L117" s="6">
        <f t="shared" si="27"/>
        <v>-141.41184257709287</v>
      </c>
      <c r="M117" s="26">
        <f t="shared" si="41"/>
        <v>0.5485714285714286</v>
      </c>
      <c r="N117" s="6">
        <f t="shared" si="42"/>
        <v>2.5000000000000001E-2</v>
      </c>
      <c r="O117" s="5" t="str">
        <f t="shared" si="43"/>
        <v>0.475335571766696-0.2747342000699i</v>
      </c>
      <c r="P117" s="1">
        <f t="shared" si="21"/>
        <v>-5.2082391968490951</v>
      </c>
      <c r="Q117" s="6">
        <f t="shared" si="28"/>
        <v>-30.027030386540947</v>
      </c>
      <c r="R117" s="5" t="str">
        <f t="shared" si="29"/>
        <v>-0.0770181493380496-0.342541031481455i</v>
      </c>
      <c r="S117" s="1">
        <f t="shared" si="30"/>
        <v>-9.0915615562754954</v>
      </c>
      <c r="T117" s="6">
        <f t="shared" si="31"/>
        <v>-102.67185245518247</v>
      </c>
      <c r="U117" t="str">
        <f>IMPRODUCT(COMPLEX(-1,0),IMDIV(COMPLEX(1,C117*Calculations!$B$171*Calculations!$B$173),IMPRODUCT(COMPLEX(0,C117*Calculations!$B$160),COMPLEX((Calculations!$B$173+Calculations!$B$175),C117*Calculations!$B$171*Calculations!$B$173*Calculations!$B$175))))</f>
        <v>-0.151931886342235+0.110546304648822i</v>
      </c>
      <c r="V117">
        <f t="shared" si="32"/>
        <v>-14.521787481320009</v>
      </c>
      <c r="W117">
        <f t="shared" si="33"/>
        <v>143.96020036749817</v>
      </c>
      <c r="X117" t="str">
        <f t="shared" si="34"/>
        <v>0.0495681579323885+0.0435288332623799i</v>
      </c>
      <c r="Y117">
        <f t="shared" si="35"/>
        <v>-23.613349037595501</v>
      </c>
      <c r="Z117">
        <f t="shared" si="36"/>
        <v>41.288347912315686</v>
      </c>
    </row>
    <row r="118" spans="2:26">
      <c r="B118" s="1">
        <v>40000</v>
      </c>
      <c r="C118" s="22">
        <f t="shared" si="37"/>
        <v>251327.41228718346</v>
      </c>
      <c r="D118" s="26" t="str">
        <f t="shared" si="38"/>
        <v>0.00499818961974928-0.00486295112103784i</v>
      </c>
      <c r="E118" s="1">
        <f t="shared" si="14"/>
        <v>-43.130940061122509</v>
      </c>
      <c r="F118" s="6">
        <f t="shared" si="23"/>
        <v>-44.21427858369784</v>
      </c>
      <c r="G118" s="5" t="str">
        <f t="shared" si="39"/>
        <v>1.121618866986-119.493060648888i</v>
      </c>
      <c r="H118" s="1">
        <f t="shared" si="24"/>
        <v>41.54723632486261</v>
      </c>
      <c r="I118" s="6">
        <f t="shared" si="25"/>
        <v>-89.462210276449511</v>
      </c>
      <c r="J118" s="26" t="str">
        <f t="shared" si="40"/>
        <v>-0.575482849460467-0.602703353093929i</v>
      </c>
      <c r="K118" s="1">
        <f t="shared" si="26"/>
        <v>-1.583703736259908</v>
      </c>
      <c r="L118" s="6">
        <f t="shared" si="27"/>
        <v>-133.67648886014734</v>
      </c>
      <c r="M118" s="26">
        <f t="shared" si="41"/>
        <v>0.5485714285714286</v>
      </c>
      <c r="N118" s="6">
        <f t="shared" si="42"/>
        <v>2.5000000000000001E-2</v>
      </c>
      <c r="O118" s="5" t="str">
        <f t="shared" si="43"/>
        <v>0.400610118364158-0.305830209786282i</v>
      </c>
      <c r="P118" s="1">
        <f t="shared" si="21"/>
        <v>-5.951310895921111</v>
      </c>
      <c r="Q118" s="6">
        <f t="shared" si="28"/>
        <v>-37.358515840436425</v>
      </c>
      <c r="R118" s="5" t="str">
        <f t="shared" si="29"/>
        <v>-0.131733638239645-0.243588033852529i</v>
      </c>
      <c r="S118" s="1">
        <f t="shared" si="30"/>
        <v>-11.152675953083264</v>
      </c>
      <c r="T118" s="6">
        <f t="shared" si="31"/>
        <v>-118.40474643527224</v>
      </c>
      <c r="U118" t="str">
        <f>IMPRODUCT(COMPLEX(-1,0),IMDIV(COMPLEX(1,C118*Calculations!$B$171*Calculations!$B$173),IMPRODUCT(COMPLEX(0,C118*Calculations!$B$160),COMPLEX((Calculations!$B$173+Calculations!$B$175),C118*Calculations!$B$171*Calculations!$B$173*Calculations!$B$175))))</f>
        <v>-0.121524673098573+0.116024301364083i</v>
      </c>
      <c r="V118">
        <f t="shared" si="32"/>
        <v>-15.492908959759916</v>
      </c>
      <c r="W118">
        <f t="shared" si="33"/>
        <v>136.3264287242479</v>
      </c>
      <c r="X118" t="str">
        <f t="shared" si="34"/>
        <v>0.0442710187715488+0.0143176528417491i</v>
      </c>
      <c r="Y118">
        <f t="shared" si="35"/>
        <v>-26.64558491284318</v>
      </c>
      <c r="Z118">
        <f t="shared" si="36"/>
        <v>17.92168228897571</v>
      </c>
    </row>
    <row r="119" spans="2:26">
      <c r="B119" s="1">
        <v>50000</v>
      </c>
      <c r="C119" s="22">
        <f t="shared" si="37"/>
        <v>314159.26535897929</v>
      </c>
      <c r="D119" s="26" t="str">
        <f t="shared" si="38"/>
        <v>0.00497881815296686-0.00389053238992199i</v>
      </c>
      <c r="E119" s="1">
        <f t="shared" si="14"/>
        <v>-43.987564623522609</v>
      </c>
      <c r="F119" s="6">
        <f t="shared" si="23"/>
        <v>-38.004668373780156</v>
      </c>
      <c r="G119" s="5" t="str">
        <f t="shared" si="39"/>
        <v>0.711073752711983-95.312709458259i</v>
      </c>
      <c r="H119" s="1">
        <f t="shared" si="24"/>
        <v>39.583258021517544</v>
      </c>
      <c r="I119" s="6">
        <f t="shared" si="25"/>
        <v>-89.572556804379204</v>
      </c>
      <c r="J119" s="26" t="str">
        <f t="shared" si="40"/>
        <v>-0.36727687641048-0.477311103525785i</v>
      </c>
      <c r="K119" s="1">
        <f t="shared" si="26"/>
        <v>-4.4043066020050761</v>
      </c>
      <c r="L119" s="6">
        <f t="shared" si="27"/>
        <v>-127.57722517815938</v>
      </c>
      <c r="M119" s="26">
        <f t="shared" si="41"/>
        <v>0.5485714285714286</v>
      </c>
      <c r="N119" s="6">
        <f t="shared" si="42"/>
        <v>2.5000000000000001E-2</v>
      </c>
      <c r="O119" s="5" t="str">
        <f t="shared" si="43"/>
        <v>0.333252576708713-0.316617223127915i</v>
      </c>
      <c r="P119" s="1">
        <f t="shared" si="21"/>
        <v>-6.7509280397113773</v>
      </c>
      <c r="Q119" s="6">
        <f t="shared" si="28"/>
        <v>-43.533664050598759</v>
      </c>
      <c r="R119" s="5" t="str">
        <f t="shared" si="29"/>
        <v>-0.144748643490569-0.147557472933294i</v>
      </c>
      <c r="S119" s="1">
        <f t="shared" si="30"/>
        <v>-13.693140902556614</v>
      </c>
      <c r="T119" s="6">
        <f t="shared" si="31"/>
        <v>-134.44945004468909</v>
      </c>
      <c r="U119" t="str">
        <f>IMPRODUCT(COMPLEX(-1,0),IMDIV(COMPLEX(1,C119*Calculations!$B$171*Calculations!$B$173),IMPRODUCT(COMPLEX(0,C119*Calculations!$B$160),COMPLEX((Calculations!$B$173+Calculations!$B$175),C119*Calculations!$B$171*Calculations!$B$173*Calculations!$B$175))))</f>
        <v>-0.0966537972234409+0.114487679481777i</v>
      </c>
      <c r="V119">
        <f t="shared" si="32"/>
        <v>-16.487955467381944</v>
      </c>
      <c r="W119">
        <f t="shared" si="33"/>
        <v>130.17202100524395</v>
      </c>
      <c r="X119" t="str">
        <f t="shared" si="34"/>
        <v>0.0308840187026335-0.0023099462336723i</v>
      </c>
      <c r="Y119">
        <f t="shared" si="35"/>
        <v>-30.181096369938572</v>
      </c>
      <c r="Z119">
        <f t="shared" si="36"/>
        <v>-4.2774290394451198</v>
      </c>
    </row>
    <row r="120" spans="2:26">
      <c r="B120" s="1">
        <v>60000</v>
      </c>
      <c r="C120" s="22">
        <f t="shared" si="37"/>
        <v>376991.11843077518</v>
      </c>
      <c r="D120" s="26" t="str">
        <f t="shared" si="38"/>
        <v>0.00496829466503706-0.00324218796083374i</v>
      </c>
      <c r="E120" s="1">
        <f t="shared" si="14"/>
        <v>-44.535099651962184</v>
      </c>
      <c r="F120" s="6">
        <f t="shared" si="23"/>
        <v>-33.127486816798985</v>
      </c>
      <c r="G120" s="5" t="str">
        <f t="shared" si="39"/>
        <v>0.491269587342234-79.3002710171098i</v>
      </c>
      <c r="H120" s="1">
        <f t="shared" si="24"/>
        <v>37.98566010479221</v>
      </c>
      <c r="I120" s="6">
        <f t="shared" si="25"/>
        <v>-89.645054001523462</v>
      </c>
      <c r="J120" s="26" t="str">
        <f t="shared" si="40"/>
        <v>-0.254665611912639-0.395579901771904i</v>
      </c>
      <c r="K120" s="1">
        <f t="shared" si="26"/>
        <v>-6.5494395471699809</v>
      </c>
      <c r="L120" s="6">
        <f t="shared" si="27"/>
        <v>-122.77254081832248</v>
      </c>
      <c r="M120" s="26">
        <f t="shared" si="41"/>
        <v>0.5485714285714286</v>
      </c>
      <c r="N120" s="6">
        <f t="shared" si="42"/>
        <v>2.5000000000000001E-2</v>
      </c>
      <c r="O120" s="5" t="str">
        <f t="shared" si="43"/>
        <v>0.276443159091486-0.314418751268441i</v>
      </c>
      <c r="P120" s="1">
        <f t="shared" si="21"/>
        <v>-7.5626770641494439</v>
      </c>
      <c r="Q120" s="6">
        <f t="shared" si="28"/>
        <v>-48.67742870766314</v>
      </c>
      <c r="R120" s="5" t="str">
        <f t="shared" si="29"/>
        <v>-0.124533024545948-0.0814771925868582i</v>
      </c>
      <c r="S120" s="1">
        <f t="shared" si="30"/>
        <v>-16.546849548370009</v>
      </c>
      <c r="T120" s="6">
        <f t="shared" si="31"/>
        <v>-146.8048114836821</v>
      </c>
      <c r="U120" t="str">
        <f>IMPRODUCT(COMPLEX(-1,0),IMDIV(COMPLEX(1,C120*Calculations!$B$171*Calculations!$B$173),IMPRODUCT(COMPLEX(0,C120*Calculations!$B$160),COMPLEX((Calculations!$B$173+Calculations!$B$175),C120*Calculations!$B$171*Calculations!$B$173*Calculations!$B$175))))</f>
        <v>-0.0773146048020251+0.109447127156883i</v>
      </c>
      <c r="V120">
        <f t="shared" si="32"/>
        <v>-17.457850397185645</v>
      </c>
      <c r="W120">
        <f t="shared" si="33"/>
        <v>125.23778671038299</v>
      </c>
      <c r="X120" t="str">
        <f t="shared" si="34"/>
        <v>0.0185456662350106-0.00733040482748017i</v>
      </c>
      <c r="Y120">
        <f t="shared" si="35"/>
        <v>-34.004699945555643</v>
      </c>
      <c r="Z120">
        <f t="shared" si="36"/>
        <v>-21.567024773299106</v>
      </c>
    </row>
    <row r="121" spans="2:26">
      <c r="B121" s="1">
        <v>70000</v>
      </c>
      <c r="C121" s="22">
        <f t="shared" si="37"/>
        <v>439822.97150257102</v>
      </c>
      <c r="D121" s="26" t="str">
        <f t="shared" si="38"/>
        <v>0.00496194909015699-0.00277905837825341i</v>
      </c>
      <c r="E121" s="1">
        <f t="shared" si="14"/>
        <v>-44.902048719678348</v>
      </c>
      <c r="F121" s="6">
        <f t="shared" si="23"/>
        <v>-29.252051314339816</v>
      </c>
      <c r="G121" s="5" t="str">
        <f t="shared" si="39"/>
        <v>0.359816044618043-67.9061896475322i</v>
      </c>
      <c r="H121" s="1">
        <f t="shared" si="24"/>
        <v>36.638309173122053</v>
      </c>
      <c r="I121" s="6">
        <f t="shared" si="25"/>
        <v>-89.696408413914952</v>
      </c>
      <c r="J121" s="26" t="str">
        <f t="shared" si="40"/>
        <v>-0.186929876380023-0.337947005731026i</v>
      </c>
      <c r="K121" s="1">
        <f t="shared" si="26"/>
        <v>-8.2637395465563053</v>
      </c>
      <c r="L121" s="6">
        <f t="shared" si="27"/>
        <v>-118.94845972825478</v>
      </c>
      <c r="M121" s="26">
        <f t="shared" si="41"/>
        <v>0.5485714285714286</v>
      </c>
      <c r="N121" s="6">
        <f t="shared" si="42"/>
        <v>2.5000000000000001E-2</v>
      </c>
      <c r="O121" s="5" t="str">
        <f t="shared" si="43"/>
        <v>0.230088587986979-0.304871174613678i</v>
      </c>
      <c r="P121" s="1">
        <f t="shared" si="21"/>
        <v>-8.3598283651313032</v>
      </c>
      <c r="Q121" s="6">
        <f t="shared" si="28"/>
        <v>-52.957868213023104</v>
      </c>
      <c r="R121" s="5" t="str">
        <f t="shared" si="29"/>
        <v>-0.098047224291578-0.0453835881451739i</v>
      </c>
      <c r="S121" s="1">
        <f t="shared" si="30"/>
        <v>-19.328201834178994</v>
      </c>
      <c r="T121" s="6">
        <f t="shared" si="31"/>
        <v>-155.16177138712794</v>
      </c>
      <c r="U121" t="str">
        <f>IMPRODUCT(COMPLEX(-1,0),IMDIV(COMPLEX(1,C121*Calculations!$B$171*Calculations!$B$173),IMPRODUCT(COMPLEX(0,C121*Calculations!$B$160),COMPLEX((Calculations!$B$173+Calculations!$B$175),C121*Calculations!$B$171*Calculations!$B$173*Calculations!$B$175))))</f>
        <v>-0.0625286566365916+0.103013218150562i</v>
      </c>
      <c r="V121">
        <f t="shared" si="32"/>
        <v>-18.379868455980425</v>
      </c>
      <c r="W121">
        <f t="shared" si="33"/>
        <v>121.25760169180774</v>
      </c>
      <c r="X121" t="str">
        <f t="shared" si="34"/>
        <v>0.010805870687953-0.00726238530493934i</v>
      </c>
      <c r="Y121">
        <f t="shared" si="35"/>
        <v>-37.708070290159426</v>
      </c>
      <c r="Z121">
        <f t="shared" si="36"/>
        <v>-33.904169695320284</v>
      </c>
    </row>
    <row r="122" spans="2:26">
      <c r="B122" s="1">
        <v>80000</v>
      </c>
      <c r="C122" s="22">
        <f t="shared" si="37"/>
        <v>502654.82457436691</v>
      </c>
      <c r="D122" s="26" t="str">
        <f t="shared" si="38"/>
        <v>0.00495783046993471-0.00243169886947955i</v>
      </c>
      <c r="E122" s="1">
        <f t="shared" si="14"/>
        <v>-45.157963944479604</v>
      </c>
      <c r="F122" s="6">
        <f t="shared" si="23"/>
        <v>-26.126861027302947</v>
      </c>
      <c r="G122" s="5" t="str">
        <f t="shared" si="39"/>
        <v>0.274930712360564-59.3807902633427i</v>
      </c>
      <c r="H122" s="1">
        <f t="shared" si="24"/>
        <v>35.473012557955045</v>
      </c>
      <c r="I122" s="6">
        <f t="shared" si="25"/>
        <v>-89.734724700536319</v>
      </c>
      <c r="J122" s="26" t="str">
        <f t="shared" si="40"/>
        <v>-0.14303314068931-0.295068439998835i</v>
      </c>
      <c r="K122" s="1">
        <f t="shared" si="26"/>
        <v>-9.6849513865245722</v>
      </c>
      <c r="L122" s="6">
        <f t="shared" si="27"/>
        <v>-115.86158572783918</v>
      </c>
      <c r="M122" s="26">
        <f t="shared" si="41"/>
        <v>0.5485714285714286</v>
      </c>
      <c r="N122" s="6">
        <f t="shared" si="42"/>
        <v>2.5000000000000001E-2</v>
      </c>
      <c r="O122" s="5" t="str">
        <f t="shared" si="43"/>
        <v>0.192788075801051-0.291665630756336i</v>
      </c>
      <c r="P122" s="1">
        <f t="shared" si="21"/>
        <v>-9.1280057767636809</v>
      </c>
      <c r="Q122" s="6">
        <f t="shared" si="28"/>
        <v>-56.53569378132903</v>
      </c>
      <c r="R122" s="5" t="str">
        <f t="shared" si="29"/>
        <v>-0.0761525778271536-0.0266774185216717i</v>
      </c>
      <c r="S122" s="1">
        <f t="shared" si="30"/>
        <v>-21.863589902981772</v>
      </c>
      <c r="T122" s="6">
        <f t="shared" si="31"/>
        <v>-160.69385790042887</v>
      </c>
      <c r="U122" t="str">
        <f>IMPRODUCT(COMPLEX(-1,0),IMDIV(COMPLEX(1,C122*Calculations!$B$171*Calculations!$B$173),IMPRODUCT(COMPLEX(0,C122*Calculations!$B$160),COMPLEX((Calculations!$B$173+Calculations!$B$175),C122*Calculations!$B$171*Calculations!$B$173*Calculations!$B$175))))</f>
        <v>-0.051225030787199+0.0962915978961812i</v>
      </c>
      <c r="V122">
        <f t="shared" si="32"/>
        <v>-19.245962843537683</v>
      </c>
      <c r="W122">
        <f t="shared" si="33"/>
        <v>118.01200383204623</v>
      </c>
      <c r="X122" t="str">
        <f t="shared" si="34"/>
        <v>0.00646972940091746-0.00596630181779429i</v>
      </c>
      <c r="Y122">
        <f t="shared" si="35"/>
        <v>-41.109552746519455</v>
      </c>
      <c r="Z122">
        <f t="shared" si="36"/>
        <v>-42.681854068382606</v>
      </c>
    </row>
    <row r="123" spans="2:26">
      <c r="B123" s="1">
        <v>90000</v>
      </c>
      <c r="C123" s="22">
        <f t="shared" si="37"/>
        <v>565486.6776461628</v>
      </c>
      <c r="D123" s="26" t="str">
        <f t="shared" si="38"/>
        <v>0.00495500671286419-0.00216152399417981i</v>
      </c>
      <c r="E123" s="1">
        <f t="shared" si="14"/>
        <v>-45.342562168914419</v>
      </c>
      <c r="F123" s="6">
        <f t="shared" si="23"/>
        <v>-23.568287589084964</v>
      </c>
      <c r="G123" s="5" t="str">
        <f t="shared" si="39"/>
        <v>0.216929926374495-52.7603221728556i</v>
      </c>
      <c r="H123" s="1">
        <f t="shared" si="24"/>
        <v>34.446222195071613</v>
      </c>
      <c r="I123" s="6">
        <f t="shared" si="25"/>
        <v>-89.764423364369719</v>
      </c>
      <c r="J123" s="26" t="str">
        <f t="shared" si="40"/>
        <v>-0.112967813075878-0.261896649780291i</v>
      </c>
      <c r="K123" s="1">
        <f t="shared" si="26"/>
        <v>-10.8963399738428</v>
      </c>
      <c r="L123" s="6">
        <f t="shared" si="27"/>
        <v>-113.33271095345474</v>
      </c>
      <c r="M123" s="26">
        <f t="shared" si="41"/>
        <v>0.5485714285714286</v>
      </c>
      <c r="N123" s="6">
        <f t="shared" si="42"/>
        <v>2.5000000000000001E-2</v>
      </c>
      <c r="O123" s="5" t="str">
        <f t="shared" si="43"/>
        <v>0.162865063468753-0.277016410672989i</v>
      </c>
      <c r="P123" s="1">
        <f t="shared" si="21"/>
        <v>-9.8605475441969102</v>
      </c>
      <c r="Q123" s="6">
        <f t="shared" si="28"/>
        <v>-59.547635857340957</v>
      </c>
      <c r="R123" s="5" t="str">
        <f t="shared" si="29"/>
        <v>-0.0598881051533736-0.0166722524827062i</v>
      </c>
      <c r="S123" s="1">
        <f t="shared" si="30"/>
        <v>-24.129011658308936</v>
      </c>
      <c r="T123" s="6">
        <f t="shared" si="31"/>
        <v>-164.44332656540749</v>
      </c>
      <c r="U123" t="str">
        <f>IMPRODUCT(COMPLEX(-1,0),IMDIV(COMPLEX(1,C123*Calculations!$B$171*Calculations!$B$173),IMPRODUCT(COMPLEX(0,C123*Calculations!$B$160),COMPLEX((Calculations!$B$173+Calculations!$B$175),C123*Calculations!$B$171*Calculations!$B$173*Calculations!$B$175))))</f>
        <v>-0.0425146865431009+0.0898084803705657i</v>
      </c>
      <c r="V123">
        <f t="shared" si="32"/>
        <v>-20.055481481226316</v>
      </c>
      <c r="W123">
        <f t="shared" si="33"/>
        <v>115.33253684207588</v>
      </c>
      <c r="X123" t="str">
        <f t="shared" si="34"/>
        <v>0.00404343367808218-0.00466964412782744i</v>
      </c>
      <c r="Y123">
        <f t="shared" si="35"/>
        <v>-44.184493139535249</v>
      </c>
      <c r="Z123">
        <f t="shared" si="36"/>
        <v>-49.110789723331628</v>
      </c>
    </row>
    <row r="124" spans="2:26">
      <c r="B124" s="1">
        <v>100000</v>
      </c>
      <c r="C124" s="22">
        <f t="shared" si="37"/>
        <v>628318.53071795858</v>
      </c>
      <c r="D124" s="26" t="str">
        <f t="shared" si="38"/>
        <v>0.00495298687378153-0.001945380535449i</v>
      </c>
      <c r="E124" s="1">
        <f t="shared" si="14"/>
        <v>-45.479591332522361</v>
      </c>
      <c r="F124" s="6">
        <f t="shared" si="23"/>
        <v>-21.443369562555628</v>
      </c>
      <c r="G124" s="5" t="str">
        <f t="shared" si="39"/>
        <v>0.175540054587356-47.469749397953i</v>
      </c>
      <c r="H124" s="1">
        <f t="shared" si="24"/>
        <v>33.528398168153267</v>
      </c>
      <c r="I124" s="6">
        <f t="shared" si="25"/>
        <v>-89.788124889095855</v>
      </c>
      <c r="J124" s="26" t="str">
        <f t="shared" si="40"/>
        <v>-0.0914772789152256-0.235458537875146i</v>
      </c>
      <c r="K124" s="1">
        <f t="shared" si="26"/>
        <v>-11.951193164369085</v>
      </c>
      <c r="L124" s="6">
        <f t="shared" si="27"/>
        <v>-111.23149445165147</v>
      </c>
      <c r="M124" s="26">
        <f t="shared" si="41"/>
        <v>0.5485714285714286</v>
      </c>
      <c r="N124" s="6">
        <f t="shared" si="42"/>
        <v>2.5000000000000001E-2</v>
      </c>
      <c r="O124" s="5" t="str">
        <f t="shared" si="43"/>
        <v>0.138789028840826-0.262174088758271i</v>
      </c>
      <c r="P124" s="1">
        <f t="shared" si="21"/>
        <v>-10.555289387554449</v>
      </c>
      <c r="Q124" s="6">
        <f t="shared" si="28"/>
        <v>-62.104268372873932</v>
      </c>
      <c r="R124" s="5" t="str">
        <f t="shared" si="29"/>
        <v>-0.0480036661406155-0.0110142459392792i</v>
      </c>
      <c r="S124" s="1">
        <f t="shared" si="30"/>
        <v>-26.151690749740375</v>
      </c>
      <c r="T124" s="6">
        <f t="shared" si="31"/>
        <v>-167.0773898899325</v>
      </c>
      <c r="U124" t="str">
        <f>IMPRODUCT(COMPLEX(-1,0),IMDIV(COMPLEX(1,C124*Calculations!$B$171*Calculations!$B$173),IMPRODUCT(COMPLEX(0,C124*Calculations!$B$160),COMPLEX((Calculations!$B$173+Calculations!$B$175),C124*Calculations!$B$171*Calculations!$B$173*Calculations!$B$175))))</f>
        <v>-0.0357252590152421+0.0837852067862008i</v>
      </c>
      <c r="V124">
        <f t="shared" si="32"/>
        <v>-20.811179071943322</v>
      </c>
      <c r="W124">
        <f t="shared" si="33"/>
        <v>113.09296400483547</v>
      </c>
      <c r="X124" t="str">
        <f t="shared" si="34"/>
        <v>0.00263777428017128-0.00362851030504889i</v>
      </c>
      <c r="Y124">
        <f t="shared" si="35"/>
        <v>-46.962869821683682</v>
      </c>
      <c r="Z124">
        <f t="shared" si="36"/>
        <v>-53.984425885097004</v>
      </c>
    </row>
    <row r="125" spans="2:26">
      <c r="B125" s="1">
        <v>200000</v>
      </c>
      <c r="C125" s="22">
        <f t="shared" si="37"/>
        <v>1256637.0614359172</v>
      </c>
      <c r="D125" s="26" t="str">
        <f t="shared" si="38"/>
        <v>0.00494652857949929-0.000972704561335641i</v>
      </c>
      <c r="E125" s="1">
        <f t="shared" si="14"/>
        <v>-45.949218623081705</v>
      </c>
      <c r="F125" s="6">
        <f t="shared" si="23"/>
        <v>-11.124917899315705</v>
      </c>
      <c r="G125" s="5" t="str">
        <f t="shared" si="39"/>
        <v>0.0437468757753895-23.7116572638131i</v>
      </c>
      <c r="H125" s="1">
        <f t="shared" si="24"/>
        <v>27.49925296085458</v>
      </c>
      <c r="I125" s="6">
        <f t="shared" si="25"/>
        <v>-89.89429214175108</v>
      </c>
      <c r="J125" s="26" t="str">
        <f t="shared" si="40"/>
        <v>-0.0228480420060516-0.117332943108354i</v>
      </c>
      <c r="K125" s="1">
        <f t="shared" si="26"/>
        <v>-18.44996566222715</v>
      </c>
      <c r="L125" s="6">
        <f t="shared" si="27"/>
        <v>-101.01921004106681</v>
      </c>
      <c r="M125" s="26">
        <f t="shared" si="41"/>
        <v>0.5485714285714286</v>
      </c>
      <c r="N125" s="6">
        <f t="shared" si="42"/>
        <v>2.5000000000000001E-2</v>
      </c>
      <c r="O125" s="5" t="str">
        <f t="shared" si="43"/>
        <v>0.0416267840361143-0.157034845477488i</v>
      </c>
      <c r="P125" s="1">
        <f t="shared" si="21"/>
        <v>-15.785156547561261</v>
      </c>
      <c r="Q125" s="6">
        <f t="shared" si="28"/>
        <v>-75.153494495580603</v>
      </c>
      <c r="R125" s="5" t="str">
        <f t="shared" si="29"/>
        <v>-0.0111880094921786-0.000910038420861725i</v>
      </c>
      <c r="S125" s="1">
        <f t="shared" si="30"/>
        <v>-38.996303981830607</v>
      </c>
      <c r="T125" s="6">
        <f t="shared" si="31"/>
        <v>-175.34976966447149</v>
      </c>
      <c r="U125" t="str">
        <f>IMPRODUCT(COMPLEX(-1,0),IMDIV(COMPLEX(1,C125*Calculations!$B$171*Calculations!$B$173),IMPRODUCT(COMPLEX(0,C125*Calculations!$B$160),COMPLEX((Calculations!$B$173+Calculations!$B$175),C125*Calculations!$B$171*Calculations!$B$173*Calculations!$B$175))))</f>
        <v>-0.0101448504186239+0.0474642044334205i</v>
      </c>
      <c r="V125">
        <f t="shared" si="32"/>
        <v>-26.278673541635751</v>
      </c>
      <c r="W125">
        <f t="shared" si="33"/>
        <v>102.06468772831936</v>
      </c>
      <c r="X125" t="str">
        <f t="shared" si="34"/>
        <v>0.000156694932430344-0.000521797766084971i</v>
      </c>
      <c r="Y125">
        <f t="shared" si="35"/>
        <v>-65.274977523466362</v>
      </c>
      <c r="Z125">
        <f t="shared" si="36"/>
        <v>-73.285081936152167</v>
      </c>
    </row>
    <row r="126" spans="2:26">
      <c r="B126" s="1">
        <v>300000</v>
      </c>
      <c r="C126" s="22">
        <f t="shared" si="37"/>
        <v>1884955.5921538759</v>
      </c>
      <c r="D126" s="26" t="str">
        <f t="shared" si="38"/>
        <v>0.00494533257824715-0.000648471472231178i</v>
      </c>
      <c r="E126" s="1">
        <f t="shared" si="14"/>
        <v>-46.042049693362593</v>
      </c>
      <c r="F126" s="6">
        <f t="shared" si="23"/>
        <v>-7.4704573721145975</v>
      </c>
      <c r="G126" s="5" t="str">
        <f t="shared" si="39"/>
        <v>0.0194317085387612-15.8049083121161i</v>
      </c>
      <c r="H126" s="1">
        <f t="shared" si="24"/>
        <v>23.975846179635486</v>
      </c>
      <c r="I126" s="6">
        <f t="shared" si="25"/>
        <v>-89.929556419750796</v>
      </c>
      <c r="J126" s="26" t="str">
        <f t="shared" si="40"/>
        <v>-0.010152935900349-0.0781731288807613i</v>
      </c>
      <c r="K126" s="1">
        <f t="shared" si="26"/>
        <v>-22.066203513727078</v>
      </c>
      <c r="L126" s="6">
        <f t="shared" si="27"/>
        <v>-97.400013791865376</v>
      </c>
      <c r="M126" s="26">
        <f t="shared" si="41"/>
        <v>0.5485714285714286</v>
      </c>
      <c r="N126" s="6">
        <f t="shared" si="42"/>
        <v>2.5000000000000001E-2</v>
      </c>
      <c r="O126" s="5" t="str">
        <f t="shared" si="43"/>
        <v>0.0192113051132069-0.108680695329795i</v>
      </c>
      <c r="P126" s="1">
        <f t="shared" si="21"/>
        <v>-19.143324671519068</v>
      </c>
      <c r="Q126" s="6">
        <f t="shared" si="28"/>
        <v>-79.97547686131233</v>
      </c>
      <c r="R126" s="5" t="str">
        <f t="shared" si="29"/>
        <v>-0.00488155580600494-0.000244773269097019i</v>
      </c>
      <c r="S126" s="1">
        <f t="shared" si="30"/>
        <v>-46.217929208931423</v>
      </c>
      <c r="T126" s="6">
        <f t="shared" si="31"/>
        <v>-177.12945221706934</v>
      </c>
      <c r="U126" t="str">
        <f>IMPRODUCT(COMPLEX(-1,0),IMDIV(COMPLEX(1,C126*Calculations!$B$171*Calculations!$B$173),IMPRODUCT(COMPLEX(0,C126*Calculations!$B$160),COMPLEX((Calculations!$B$173+Calculations!$B$175),C126*Calculations!$B$171*Calculations!$B$173*Calculations!$B$175))))</f>
        <v>-0.0046252012482309+0.0324442830660351i</v>
      </c>
      <c r="V126">
        <f t="shared" si="32"/>
        <v>-29.68986017780518</v>
      </c>
      <c r="W126">
        <f t="shared" si="33"/>
        <v>98.113320644969704</v>
      </c>
      <c r="X126" t="str">
        <f t="shared" si="34"/>
        <v>0.0000305196712368253-0.00015724645274291i</v>
      </c>
      <c r="Y126">
        <f t="shared" si="35"/>
        <v>-75.907789386736624</v>
      </c>
      <c r="Z126">
        <f t="shared" si="36"/>
        <v>-79.016131572099624</v>
      </c>
    </row>
    <row r="127" spans="2:26">
      <c r="B127" s="1">
        <v>400000</v>
      </c>
      <c r="C127" s="22">
        <f t="shared" si="37"/>
        <v>2513274.1228718343</v>
      </c>
      <c r="D127" s="26" t="str">
        <f t="shared" si="38"/>
        <v>0.00494491397627107-0.000486354067402033i</v>
      </c>
      <c r="E127" s="1">
        <f t="shared" si="14"/>
        <v>-46.0750152226138</v>
      </c>
      <c r="F127" s="6">
        <f t="shared" si="23"/>
        <v>-5.6172258290089125</v>
      </c>
      <c r="G127" s="5" t="str">
        <f t="shared" si="39"/>
        <v>0.010928102953814-11.8529298192408i</v>
      </c>
      <c r="H127" s="1">
        <f t="shared" si="24"/>
        <v>21.476517951007807</v>
      </c>
      <c r="I127" s="6">
        <f t="shared" si="25"/>
        <v>-89.947174748397714</v>
      </c>
      <c r="J127" s="26" t="str">
        <f t="shared" si="40"/>
        <v>-0.00571068209918818-0.0586170332502447i</v>
      </c>
      <c r="K127" s="1">
        <f t="shared" si="26"/>
        <v>-24.598497271605972</v>
      </c>
      <c r="L127" s="6">
        <f t="shared" si="27"/>
        <v>-95.56440057740663</v>
      </c>
      <c r="M127" s="26">
        <f t="shared" si="41"/>
        <v>0.5485714285714286</v>
      </c>
      <c r="N127" s="6">
        <f t="shared" si="42"/>
        <v>2.5000000000000001E-2</v>
      </c>
      <c r="O127" s="5" t="str">
        <f t="shared" si="43"/>
        <v>0.0109535923499195-0.082613159094594i</v>
      </c>
      <c r="P127" s="1">
        <f t="shared" si="21"/>
        <v>-21.583330502300843</v>
      </c>
      <c r="Q127" s="6">
        <f t="shared" si="28"/>
        <v>-82.447265531077477</v>
      </c>
      <c r="R127" s="5" t="str">
        <f t="shared" si="29"/>
        <v>-0.00272723392361162-0.0000996437317370355i</v>
      </c>
      <c r="S127" s="1">
        <f t="shared" si="30"/>
        <v>-51.279758575521939</v>
      </c>
      <c r="T127" s="6">
        <f t="shared" si="31"/>
        <v>-177.90754036869268</v>
      </c>
      <c r="U127" t="str">
        <f>IMPRODUCT(COMPLEX(-1,0),IMDIV(COMPLEX(1,C127*Calculations!$B$171*Calculations!$B$173),IMPRODUCT(COMPLEX(0,C127*Calculations!$B$160),COMPLEX((Calculations!$B$173+Calculations!$B$175),C127*Calculations!$B$171*Calculations!$B$173*Calculations!$B$175))))</f>
        <v>-0.00262539344381743+0.0245509987199704i</v>
      </c>
      <c r="V127">
        <f t="shared" si="32"/>
        <v>-32.149235330349825</v>
      </c>
      <c r="W127">
        <f t="shared" si="33"/>
        <v>96.10380388143524</v>
      </c>
      <c r="X127" t="str">
        <f t="shared" si="34"/>
        <v>9.60641519313546E-06-0.0000666947125676288i</v>
      </c>
      <c r="Y127">
        <f t="shared" si="35"/>
        <v>-83.428993905871764</v>
      </c>
      <c r="Z127">
        <f t="shared" si="36"/>
        <v>-81.803736487257453</v>
      </c>
    </row>
    <row r="128" spans="2:26">
      <c r="B128" s="1">
        <v>500000</v>
      </c>
      <c r="C128" s="22">
        <f t="shared" si="37"/>
        <v>3141592.653589793</v>
      </c>
      <c r="D128" s="26" t="str">
        <f t="shared" si="38"/>
        <v>0.00494472022308648-0.000389083425448816i</v>
      </c>
      <c r="E128" s="1">
        <f t="shared" si="14"/>
        <v>-46.090358703446782</v>
      </c>
      <c r="F128" s="6">
        <f t="shared" si="23"/>
        <v>-4.4991421093003492</v>
      </c>
      <c r="G128" s="5" t="str">
        <f t="shared" si="39"/>
        <v>0.00699332448512647-9.48206564169402i</v>
      </c>
      <c r="H128" s="1">
        <f t="shared" si="24"/>
        <v>19.538061512214234</v>
      </c>
      <c r="I128" s="6">
        <f t="shared" si="25"/>
        <v>-89.95774255101658</v>
      </c>
      <c r="J128" s="26" t="str">
        <f t="shared" si="40"/>
        <v>-0.00365473454719262-0.0468888827217639i</v>
      </c>
      <c r="K128" s="1">
        <f t="shared" si="26"/>
        <v>-26.552297191232533</v>
      </c>
      <c r="L128" s="6">
        <f t="shared" si="27"/>
        <v>-94.456884660316902</v>
      </c>
      <c r="M128" s="26">
        <f t="shared" si="41"/>
        <v>0.5485714285714286</v>
      </c>
      <c r="N128" s="6">
        <f t="shared" si="42"/>
        <v>2.5000000000000001E-2</v>
      </c>
      <c r="O128" s="5" t="str">
        <f t="shared" si="43"/>
        <v>0.00705478859105775-0.0665070075027824i</v>
      </c>
      <c r="P128" s="1">
        <f t="shared" si="21"/>
        <v>-23.494057536442735</v>
      </c>
      <c r="Q128" s="6">
        <f t="shared" si="28"/>
        <v>-83.944943353755164</v>
      </c>
      <c r="R128" s="5" t="str">
        <f t="shared" si="29"/>
        <v>-0.00173983021228689-0.0000501648535453497i</v>
      </c>
      <c r="S128" s="1">
        <f t="shared" si="30"/>
        <v>-55.186253618054963</v>
      </c>
      <c r="T128" s="6">
        <f t="shared" si="31"/>
        <v>-178.34843752919934</v>
      </c>
      <c r="U128" t="str">
        <f>IMPRODUCT(COMPLEX(-1,0),IMDIV(COMPLEX(1,C128*Calculations!$B$171*Calculations!$B$173),IMPRODUCT(COMPLEX(0,C128*Calculations!$B$160),COMPLEX((Calculations!$B$173+Calculations!$B$175),C128*Calculations!$B$171*Calculations!$B$173*Calculations!$B$175))))</f>
        <v>-0.00168737177009765+0.0197225221824434i</v>
      </c>
      <c r="V128">
        <f t="shared" si="32"/>
        <v>-34.069077416558983</v>
      </c>
      <c r="W128">
        <f t="shared" si="33"/>
        <v>94.890065327492195</v>
      </c>
      <c r="X128" t="str">
        <f t="shared" si="34"/>
        <v>3.92511782180308E-06-0.0000342291931977899i</v>
      </c>
      <c r="Y128">
        <f t="shared" si="35"/>
        <v>-89.255331034613931</v>
      </c>
      <c r="Z128">
        <f t="shared" si="36"/>
        <v>-83.458372201707149</v>
      </c>
    </row>
    <row r="129" spans="1:26">
      <c r="B129" s="1">
        <v>600000</v>
      </c>
      <c r="C129" s="22">
        <f t="shared" si="37"/>
        <v>3769911.1843077517</v>
      </c>
      <c r="D129" s="26" t="str">
        <f t="shared" si="38"/>
        <v>0.00494461497437138-0.000324236265520119i</v>
      </c>
      <c r="E129" s="1">
        <f t="shared" si="14"/>
        <v>-46.098716216368885</v>
      </c>
      <c r="F129" s="6">
        <f t="shared" si="23"/>
        <v>-3.7517200481239015</v>
      </c>
      <c r="G129" s="5" t="str">
        <f t="shared" si="39"/>
        <v>0.00485622585444836-7.90159543313226i</v>
      </c>
      <c r="H129" s="1">
        <f t="shared" si="24"/>
        <v>17.95429743545786</v>
      </c>
      <c r="I129" s="6">
        <f t="shared" si="25"/>
        <v>-89.964786705021211</v>
      </c>
      <c r="J129" s="26" t="str">
        <f t="shared" si="40"/>
        <v>-0.00253797162781079-0.0390719216646259i</v>
      </c>
      <c r="K129" s="1">
        <f t="shared" si="26"/>
        <v>-28.144418780911018</v>
      </c>
      <c r="L129" s="6">
        <f t="shared" si="27"/>
        <v>-93.716506753145097</v>
      </c>
      <c r="M129" s="26">
        <f t="shared" si="41"/>
        <v>0.5485714285714286</v>
      </c>
      <c r="N129" s="6">
        <f t="shared" si="42"/>
        <v>2.5000000000000001E-2</v>
      </c>
      <c r="O129" s="5" t="str">
        <f t="shared" si="43"/>
        <v>0.00491610640535665-0.0556128891871675i</v>
      </c>
      <c r="P129" s="1">
        <f t="shared" si="21"/>
        <v>-25.06268555596801</v>
      </c>
      <c r="Q129" s="6">
        <f t="shared" si="28"/>
        <v>-84.948259642157524</v>
      </c>
      <c r="R129" s="5" t="str">
        <f t="shared" si="29"/>
        <v>-0.00120608933710138-0.000028763338287979i</v>
      </c>
      <c r="S129" s="1">
        <f t="shared" si="30"/>
        <v>-58.369941103825241</v>
      </c>
      <c r="T129" s="6">
        <f t="shared" si="31"/>
        <v>-178.63384451793249</v>
      </c>
      <c r="U129" t="str">
        <f>IMPRODUCT(COMPLEX(-1,0),IMDIV(COMPLEX(1,C129*Calculations!$B$171*Calculations!$B$173),IMPRODUCT(COMPLEX(0,C129*Calculations!$B$160),COMPLEX((Calculations!$B$173+Calculations!$B$175),C129*Calculations!$B$171*Calculations!$B$173*Calculations!$B$175))))</f>
        <v>-0.00117448941375211+0.0164726716678823i</v>
      </c>
      <c r="V129">
        <f t="shared" si="32"/>
        <v>-35.64269735264628</v>
      </c>
      <c r="W129">
        <f t="shared" si="33"/>
        <v>94.078245715467304</v>
      </c>
      <c r="X129" t="str">
        <f t="shared" si="34"/>
        <v>1.89034818615498E-06-0.0000198337314158814i</v>
      </c>
      <c r="Y129">
        <f t="shared" si="35"/>
        <v>-94.012638456471535</v>
      </c>
      <c r="Z129">
        <f t="shared" si="36"/>
        <v>-84.555598802465141</v>
      </c>
    </row>
    <row r="130" spans="1:26">
      <c r="B130" s="1">
        <v>700000</v>
      </c>
      <c r="C130" s="22">
        <f t="shared" si="37"/>
        <v>4398229.7150257099</v>
      </c>
      <c r="D130" s="26" t="str">
        <f t="shared" si="38"/>
        <v>0.00494455151269137-0.000277916839147106i</v>
      </c>
      <c r="E130" s="1">
        <f t="shared" si="14"/>
        <v>-46.103763318494813</v>
      </c>
      <c r="F130" s="6">
        <f t="shared" si="23"/>
        <v>-3.2170208341124931</v>
      </c>
      <c r="G130" s="5" t="str">
        <f t="shared" si="39"/>
        <v>0.00356772888795197-6.77273100014802i</v>
      </c>
      <c r="H130" s="1">
        <f t="shared" si="24"/>
        <v>16.615277737291635</v>
      </c>
      <c r="I130" s="6">
        <f t="shared" si="25"/>
        <v>-89.969817819604245</v>
      </c>
      <c r="J130" s="26" t="str">
        <f t="shared" si="40"/>
        <v>-0.00186461517268496-0.0334891088437691i</v>
      </c>
      <c r="K130" s="1">
        <f t="shared" si="26"/>
        <v>-29.488485581203182</v>
      </c>
      <c r="L130" s="6">
        <f t="shared" si="27"/>
        <v>-93.186838653716734</v>
      </c>
      <c r="M130" s="26">
        <f t="shared" si="41"/>
        <v>0.5485714285714286</v>
      </c>
      <c r="N130" s="6">
        <f t="shared" si="42"/>
        <v>2.5000000000000001E-2</v>
      </c>
      <c r="O130" s="5" t="str">
        <f t="shared" si="43"/>
        <v>0.00361938276334505-0.0477671331237009i</v>
      </c>
      <c r="P130" s="1">
        <f t="shared" si="21"/>
        <v>-26.392553596905906</v>
      </c>
      <c r="Q130" s="6">
        <f t="shared" si="28"/>
        <v>-85.666898213280362</v>
      </c>
      <c r="R130" s="5" t="str">
        <f t="shared" si="29"/>
        <v>-0.000885161211660879-0.0000180120562806899i</v>
      </c>
      <c r="S130" s="1">
        <f t="shared" si="30"/>
        <v>-61.057754563501724</v>
      </c>
      <c r="T130" s="6">
        <f t="shared" si="31"/>
        <v>-178.83425484279078</v>
      </c>
      <c r="U130" t="str">
        <f>IMPRODUCT(COMPLEX(-1,0),IMDIV(COMPLEX(1,C130*Calculations!$B$171*Calculations!$B$173),IMPRODUCT(COMPLEX(0,C130*Calculations!$B$160),COMPLEX((Calculations!$B$173+Calculations!$B$175),C130*Calculations!$B$171*Calculations!$B$173*Calculations!$B$175))))</f>
        <v>-0.00086409224315584+0.0141387490826315i</v>
      </c>
      <c r="V130">
        <f t="shared" si="32"/>
        <v>-36.97558929007549</v>
      </c>
      <c r="W130">
        <f t="shared" si="33"/>
        <v>93.497292195775159</v>
      </c>
      <c r="X130" t="str">
        <f t="shared" si="34"/>
        <v>0.0000010195288811535-0.0000124995081912358i</v>
      </c>
      <c r="Y130">
        <f t="shared" si="35"/>
        <v>-98.033343853577222</v>
      </c>
      <c r="Z130">
        <f t="shared" si="36"/>
        <v>-85.336962647015625</v>
      </c>
    </row>
    <row r="131" spans="1:26">
      <c r="B131" s="1">
        <v>800000</v>
      </c>
      <c r="C131" s="22">
        <f t="shared" si="37"/>
        <v>5026548.2457436686</v>
      </c>
      <c r="D131" s="26" t="str">
        <f t="shared" si="38"/>
        <v>0.00494451032361038-0.000243177257043818i</v>
      </c>
      <c r="E131" s="1">
        <f t="shared" si="14"/>
        <v>-46.107042224325724</v>
      </c>
      <c r="F131" s="6">
        <f t="shared" si="23"/>
        <v>-2.8156100694028288</v>
      </c>
      <c r="G131" s="5" t="str">
        <f t="shared" si="39"/>
        <v>0.00273148751401333-5.92610266312695i</v>
      </c>
      <c r="H131" s="1">
        <f t="shared" si="24"/>
        <v>15.455384340211609</v>
      </c>
      <c r="I131" s="6">
        <f t="shared" si="25"/>
        <v>-89.973590957808355</v>
      </c>
      <c r="J131" s="26" t="str">
        <f t="shared" si="40"/>
        <v>-0.00142758752236743-0.0293023400322475i</v>
      </c>
      <c r="K131" s="1">
        <f t="shared" si="26"/>
        <v>-30.651657884114112</v>
      </c>
      <c r="L131" s="6">
        <f t="shared" si="27"/>
        <v>-92.789201027211192</v>
      </c>
      <c r="M131" s="26">
        <f t="shared" si="41"/>
        <v>0.5485714285714286</v>
      </c>
      <c r="N131" s="6">
        <f t="shared" si="42"/>
        <v>2.5000000000000001E-2</v>
      </c>
      <c r="O131" s="5" t="str">
        <f t="shared" si="43"/>
        <v>0.00277485436762005-0.0418526256653819i</v>
      </c>
      <c r="P131" s="1">
        <f t="shared" si="21"/>
        <v>-27.546497067864703</v>
      </c>
      <c r="Q131" s="6">
        <f t="shared" si="28"/>
        <v>-86.206806703769672</v>
      </c>
      <c r="R131" s="5" t="str">
        <f t="shared" si="29"/>
        <v>-0.000677230809831451-0.0000120226733156644i</v>
      </c>
      <c r="S131" s="1">
        <f t="shared" si="30"/>
        <v>-63.383897348537197</v>
      </c>
      <c r="T131" s="6">
        <f t="shared" si="31"/>
        <v>-178.98295222587123</v>
      </c>
      <c r="U131" t="str">
        <f>IMPRODUCT(COMPLEX(-1,0),IMDIV(COMPLEX(1,C131*Calculations!$B$171*Calculations!$B$173),IMPRODUCT(COMPLEX(0,C131*Calculations!$B$160),COMPLEX((Calculations!$B$173+Calculations!$B$175),C131*Calculations!$B$171*Calculations!$B$173*Calculations!$B$175))))</f>
        <v>-0.000662169325649899+0.0123824005212571i</v>
      </c>
      <c r="V131">
        <f t="shared" si="32"/>
        <v>-38.131501026404464</v>
      </c>
      <c r="W131">
        <f t="shared" si="33"/>
        <v>93.061070725449483</v>
      </c>
      <c r="X131" t="str">
        <f t="shared" si="34"/>
        <v>5.97311024986214E-07-8.37778208718638E-06i</v>
      </c>
      <c r="Y131">
        <f t="shared" si="35"/>
        <v>-101.51539837494167</v>
      </c>
      <c r="Z131">
        <f t="shared" si="36"/>
        <v>-85.921881500421719</v>
      </c>
    </row>
    <row r="132" spans="1:26">
      <c r="B132" s="1">
        <v>900000</v>
      </c>
      <c r="C132" s="22">
        <f t="shared" si="37"/>
        <v>5654866.7764616273</v>
      </c>
      <c r="D132" s="26" t="str">
        <f t="shared" si="38"/>
        <v>0.00494448208450759-0.000216157575705457i</v>
      </c>
      <c r="E132" s="1">
        <f t="shared" si="14"/>
        <v>-46.109291663006154</v>
      </c>
      <c r="F132" s="6">
        <f t="shared" si="23"/>
        <v>-2.503201695872586</v>
      </c>
      <c r="G132" s="5" t="str">
        <f t="shared" si="39"/>
        <v>0.00215818260903973-5.26762428653557i</v>
      </c>
      <c r="H132" s="1">
        <f t="shared" si="24"/>
        <v>14.43229655554763</v>
      </c>
      <c r="I132" s="6">
        <f t="shared" si="25"/>
        <v>-89.976525518664332</v>
      </c>
      <c r="J132" s="26" t="str">
        <f t="shared" si="40"/>
        <v>-0.00112796580025922-0.0260461404202129i</v>
      </c>
      <c r="K132" s="1">
        <f t="shared" si="26"/>
        <v>-31.676995107458524</v>
      </c>
      <c r="L132" s="6">
        <f t="shared" si="27"/>
        <v>-92.479727214536894</v>
      </c>
      <c r="M132" s="26">
        <f t="shared" si="41"/>
        <v>0.5485714285714286</v>
      </c>
      <c r="N132" s="6">
        <f t="shared" si="42"/>
        <v>2.5000000000000001E-2</v>
      </c>
      <c r="O132" s="5" t="str">
        <f t="shared" si="43"/>
        <v>0.0021945214184351-0.0372367742889776i</v>
      </c>
      <c r="P132" s="1">
        <f t="shared" si="21"/>
        <v>-28.565500973253791</v>
      </c>
      <c r="Q132" s="6">
        <f t="shared" si="28"/>
        <v>-86.627217348746484</v>
      </c>
      <c r="R132" s="5" t="str">
        <f t="shared" si="29"/>
        <v>-0.000534840575029608-8.42273790134742E-06i</v>
      </c>
      <c r="S132" s="1">
        <f t="shared" si="30"/>
        <v>-65.434436126602932</v>
      </c>
      <c r="T132" s="6">
        <f t="shared" si="31"/>
        <v>-179.09777330348376</v>
      </c>
      <c r="U132" t="str">
        <f>IMPRODUCT(COMPLEX(-1,0),IMDIV(COMPLEX(1,C132*Calculations!$B$171*Calculations!$B$173),IMPRODUCT(COMPLEX(0,C132*Calculations!$B$160),COMPLEX((Calculations!$B$173+Calculations!$B$175),C132*Calculations!$B$171*Calculations!$B$173*Calculations!$B$175))))</f>
        <v>-0.000523520332074711+0.0110132890789051i</v>
      </c>
      <c r="V132">
        <f t="shared" si="32"/>
        <v>-39.151856942979293</v>
      </c>
      <c r="W132">
        <f t="shared" si="33"/>
        <v>92.721525167695532</v>
      </c>
      <c r="X132" t="str">
        <f t="shared" si="34"/>
        <v>3.72761962789919E-07-5.88594438938581E-06i</v>
      </c>
      <c r="Y132">
        <f t="shared" si="35"/>
        <v>-104.58629306958223</v>
      </c>
      <c r="Z132">
        <f t="shared" si="36"/>
        <v>-86.376248135788245</v>
      </c>
    </row>
    <row r="133" spans="1:26" ht="15" thickBot="1">
      <c r="B133" s="98">
        <v>1000000</v>
      </c>
      <c r="C133" s="99">
        <f t="shared" si="37"/>
        <v>6283185.307179586</v>
      </c>
      <c r="D133" s="100" t="str">
        <f t="shared" si="38"/>
        <v>0.00494446188524127-0.000194541827075986i</v>
      </c>
      <c r="E133" s="98">
        <f t="shared" si="14"/>
        <v>-46.110901388494852</v>
      </c>
      <c r="F133" s="101">
        <f t="shared" si="23"/>
        <v>-2.2531631237424534</v>
      </c>
      <c r="G133" s="102" t="str">
        <f t="shared" si="39"/>
        <v>0.00174811067805931-4.74084735709743i</v>
      </c>
      <c r="H133" s="98">
        <f t="shared" si="24"/>
        <v>13.517120038407835</v>
      </c>
      <c r="I133" s="101">
        <f t="shared" si="25"/>
        <v>-89.97887311024995</v>
      </c>
      <c r="J133" s="100" t="str">
        <f t="shared" si="40"/>
        <v>-0.000913649640119245-0.0234412791415603i</v>
      </c>
      <c r="K133" s="98">
        <f t="shared" si="26"/>
        <v>-32.593781350087021</v>
      </c>
      <c r="L133" s="101">
        <f t="shared" si="27"/>
        <v>-92.232036233992403</v>
      </c>
      <c r="M133" s="100">
        <f t="shared" si="41"/>
        <v>0.5485714285714286</v>
      </c>
      <c r="N133" s="101">
        <f t="shared" si="42"/>
        <v>2.5000000000000001E-2</v>
      </c>
      <c r="O133" s="102" t="str">
        <f t="shared" si="43"/>
        <v>0.00177874845159321-0.0335353038279558i</v>
      </c>
      <c r="P133" s="98">
        <f t="shared" si="21"/>
        <v>-29.477754000684119</v>
      </c>
      <c r="Q133" s="101">
        <f t="shared" si="28"/>
        <v>-86.963815611735271</v>
      </c>
      <c r="R133" s="102" t="str">
        <f t="shared" si="29"/>
        <v>-0.000433072756782028-6.12914261079445E-06i</v>
      </c>
      <c r="S133" s="98">
        <f t="shared" si="30"/>
        <v>-67.267912911393154</v>
      </c>
      <c r="T133" s="101">
        <f t="shared" si="31"/>
        <v>-179.18916497422873</v>
      </c>
      <c r="U133" t="str">
        <f>IMPRODUCT(COMPLEX(-1,0),IMDIV(COMPLEX(1,C133*Calculations!$B$171*Calculations!$B$173),IMPRODUCT(COMPLEX(0,C133*Calculations!$B$160),COMPLEX((Calculations!$B$173+Calculations!$B$175),C133*Calculations!$B$171*Calculations!$B$173*Calculations!$B$175))))</f>
        <v>-0.000424239863764988+0.00991628497418116i</v>
      </c>
      <c r="V133">
        <f t="shared" si="32"/>
        <v>-40.065078344269864</v>
      </c>
      <c r="W133">
        <f t="shared" si="33"/>
        <v>92.449742029118482</v>
      </c>
      <c r="X133" t="str">
        <f t="shared" si="34"/>
        <v>2.4450505211357E-07-4.29187264417864E-06i</v>
      </c>
      <c r="Y133">
        <f t="shared" si="35"/>
        <v>-107.33299125566302</v>
      </c>
      <c r="Z133">
        <f t="shared" si="36"/>
        <v>-86.739422945110263</v>
      </c>
    </row>
    <row r="134" spans="1:26">
      <c r="A134" s="82" t="s">
        <v>443</v>
      </c>
      <c r="B134" s="106">
        <f>Calculations!B165</f>
        <v>1000</v>
      </c>
      <c r="C134" s="107">
        <f t="shared" si="37"/>
        <v>6283.1853071795858</v>
      </c>
      <c r="D134" s="108" t="str">
        <f t="shared" si="38"/>
        <v>0.07694897613558-0.162669494161632i</v>
      </c>
      <c r="E134" s="107">
        <f t="shared" si="14"/>
        <v>-14.896895016245002</v>
      </c>
      <c r="F134" s="107">
        <f t="shared" ref="F134" si="44">IMARGUMENT(D134)*(180/PI())</f>
        <v>-64.684035926871147</v>
      </c>
      <c r="G134" s="107" t="str">
        <f t="shared" si="39"/>
        <v>194.498100720608+371.432266951649i</v>
      </c>
      <c r="H134" s="107">
        <f t="shared" si="24"/>
        <v>52.449977239768742</v>
      </c>
      <c r="I134" s="107">
        <f t="shared" ref="I134" si="45">IMARGUMENT(G134)*(180/PI())</f>
        <v>62.36148853022118</v>
      </c>
      <c r="J134" s="108" t="str">
        <f t="shared" si="40"/>
        <v>75.3871286910985-3.05757501397255i</v>
      </c>
      <c r="K134" s="107">
        <f t="shared" si="26"/>
        <v>37.553082223523717</v>
      </c>
      <c r="L134" s="107">
        <f t="shared" ref="L134" si="46">IMARGUMENT(J134)*(180/PI())</f>
        <v>-2.3225473966499046</v>
      </c>
      <c r="M134" s="108">
        <f t="shared" si="41"/>
        <v>0.5485714285714286</v>
      </c>
      <c r="N134" s="107">
        <f t="shared" si="42"/>
        <v>2.5000000000000001E-2</v>
      </c>
      <c r="O134" s="107" t="str">
        <f t="shared" si="43"/>
        <v>0.625076929418729-0.244147870808837i</v>
      </c>
      <c r="P134" s="107">
        <f t="shared" si="21"/>
        <v>-3.4646974668570243</v>
      </c>
      <c r="Q134" s="107">
        <f t="shared" ref="Q134" si="47">IMARGUMENT(O134)*(180/PI())</f>
        <v>-21.335045674268212</v>
      </c>
      <c r="R134" s="107" t="str">
        <f t="shared" ref="R134" si="48">IMDIV(IMPRODUCT(J134,O134,COMPLEX(M134,0)),IMSUM(COMPLEX(1,0),IMPRODUCT(G134,O134,COMPLEX(N134,0),COMPLEX(M134,0))))</f>
        <v>3.28259110042427-4.97559316824329i</v>
      </c>
      <c r="S134" s="107">
        <f t="shared" si="30"/>
        <v>15.50618818733836</v>
      </c>
      <c r="T134" s="107">
        <f t="shared" ref="T134" si="49">IMARGUMENT(R134)*(180/PI())</f>
        <v>-56.585620883432874</v>
      </c>
      <c r="U134" s="92" t="str">
        <f>IMPRODUCT(COMPLEX(-1,0),IMDIV(COMPLEX(1,C134*Calculations!$B$171*Calculations!$B$173),IMPRODUCT(COMPLEX(0,C134*Calculations!$B$160),COMPLEX((Calculations!$B$173+Calculations!$B$175),C134*Calculations!$B$171*Calculations!$B$173*Calculations!$B$175))))</f>
        <v>-0.223872602774027+0.182545760858825i</v>
      </c>
      <c r="V134" s="107">
        <f t="shared" si="32"/>
        <v>-10.786158306342628</v>
      </c>
      <c r="W134" s="107">
        <f t="shared" si="33"/>
        <v>140.80619121441387</v>
      </c>
      <c r="X134" s="107" t="str">
        <f t="shared" si="34"/>
        <v>0.173391227126104+1.71312208293465i</v>
      </c>
      <c r="Y134" s="107">
        <f t="shared" si="35"/>
        <v>4.7200298809957379</v>
      </c>
      <c r="Z134" s="110">
        <f t="shared" si="36"/>
        <v>84.220570330981033</v>
      </c>
    </row>
    <row r="135" spans="1:26">
      <c r="A135" t="s">
        <v>446</v>
      </c>
      <c r="B135" s="96">
        <f>Calculations!B176*1000</f>
        <v>777.88339732109148</v>
      </c>
      <c r="C135" s="92">
        <f t="shared" si="37"/>
        <v>4887.5855327468225</v>
      </c>
      <c r="D135" s="93" t="str">
        <f t="shared" si="38"/>
        <v>0.112446051347189-0.18891898672722i</v>
      </c>
      <c r="E135" s="92">
        <f t="shared" si="14"/>
        <v>-13.157427875249386</v>
      </c>
      <c r="F135" s="92">
        <f t="shared" ref="F135:F136" si="50">IMARGUMENT(D135)*(180/PI())</f>
        <v>-59.238562861233973</v>
      </c>
      <c r="G135" s="92" t="str">
        <f t="shared" si="39"/>
        <v>178.714784698879+280.752879266076i</v>
      </c>
      <c r="H135" s="92">
        <f t="shared" si="24"/>
        <v>50.443874699163061</v>
      </c>
      <c r="I135" s="92">
        <f t="shared" ref="I135:I136" si="51">IMARGUMENT(G135)*(180/PI())</f>
        <v>57.520984664562533</v>
      </c>
      <c r="J135" s="93" t="str">
        <f t="shared" si="40"/>
        <v>73.1353213284486-2.19306336066122i</v>
      </c>
      <c r="K135" s="92">
        <f t="shared" si="26"/>
        <v>37.286446823913671</v>
      </c>
      <c r="L135" s="92">
        <f t="shared" ref="L135:L136" si="52">IMARGUMENT(J135)*(180/PI())</f>
        <v>-1.7175781966714863</v>
      </c>
      <c r="M135" s="93">
        <f t="shared" si="41"/>
        <v>0.5485714285714286</v>
      </c>
      <c r="N135" s="92">
        <f t="shared" si="42"/>
        <v>2.5000000000000001E-2</v>
      </c>
      <c r="O135" s="92" t="str">
        <f t="shared" si="43"/>
        <v>0.625163438086941-0.307921897569371i</v>
      </c>
      <c r="P135" s="92">
        <f t="shared" si="21"/>
        <v>-3.1368088208865981</v>
      </c>
      <c r="Q135" s="92">
        <f t="shared" ref="Q135:Q136" si="53">IMARGUMENT(O135)*(180/PI())</f>
        <v>-26.222378139389647</v>
      </c>
      <c r="R135" s="92" t="str">
        <f t="shared" ref="R135:R136" si="54">IMDIV(IMPRODUCT(J135,O135,COMPLEX(M135,0)),IMSUM(COMPLEX(1,0),IMPRODUCT(G135,O135,COMPLEX(N135,0),COMPLEX(M135,0))))</f>
        <v>4.24195628844883-5.41046525786104i</v>
      </c>
      <c r="S135" s="92">
        <f t="shared" si="30"/>
        <v>16.745610475674241</v>
      </c>
      <c r="T135" s="92">
        <f t="shared" ref="T135:T136" si="55">IMARGUMENT(R135)*(180/PI())</f>
        <v>-51.902560140116478</v>
      </c>
      <c r="U135" s="92" t="str">
        <f>IMPRODUCT(COMPLEX(-1,0),IMDIV(COMPLEX(1,C135*Calculations!$B$171*Calculations!$B$173),IMPRODUCT(COMPLEX(0,C135*Calculations!$B$160),COMPLEX((Calculations!$B$173+Calculations!$B$175),C135*Calculations!$B$171*Calculations!$B$173*Calculations!$B$175))))</f>
        <v>-0.223919176579165+0.232061692091135i</v>
      </c>
      <c r="V135" s="92">
        <f t="shared" si="32"/>
        <v>-9.8299828777791589</v>
      </c>
      <c r="W135" s="92">
        <f t="shared" ref="W135:W136" si="56">IMARGUMENT(U135)*(180/PI())</f>
        <v>133.97696981133214</v>
      </c>
      <c r="X135" s="92" t="str">
        <f t="shared" ref="X135:X136" si="57">IMPRODUCT(U135,R135)</f>
        <v>0.305706363545259+2.19590247952449i</v>
      </c>
      <c r="Y135" s="92">
        <f t="shared" si="35"/>
        <v>6.9156275978950816</v>
      </c>
      <c r="Z135" s="111">
        <f t="shared" ref="Z135:Z136" si="58">IMARGUMENT(X135)*(180/PI())</f>
        <v>82.074409671215648</v>
      </c>
    </row>
    <row r="136" spans="1:26" ht="15" thickBot="1">
      <c r="A136" t="s">
        <v>447</v>
      </c>
      <c r="B136" s="97">
        <f>Calculations!B177*1000</f>
        <v>42783.586852660039</v>
      </c>
      <c r="C136" s="94">
        <f t="shared" si="37"/>
        <v>268817.20430107525</v>
      </c>
      <c r="D136" s="109" t="str">
        <f t="shared" si="38"/>
        <v>0.00499141566659963-0.00454662775138511i</v>
      </c>
      <c r="E136" s="94">
        <f t="shared" si="14"/>
        <v>-43.411679968410468</v>
      </c>
      <c r="F136" s="94">
        <f t="shared" si="50"/>
        <v>-42.330058158923741</v>
      </c>
      <c r="G136" s="94" t="str">
        <f t="shared" si="39"/>
        <v>0.977177022836995-111.603248815296i</v>
      </c>
      <c r="H136" s="94">
        <f t="shared" si="24"/>
        <v>40.953869681229101</v>
      </c>
      <c r="I136" s="94">
        <f t="shared" si="51"/>
        <v>-89.498341767433345</v>
      </c>
      <c r="J136" s="109" t="str">
        <f t="shared" si="40"/>
        <v>-0.502540931507533-0.561501064750131i</v>
      </c>
      <c r="K136" s="94">
        <f t="shared" si="26"/>
        <v>-2.457810287181367</v>
      </c>
      <c r="L136" s="94">
        <f t="shared" si="52"/>
        <v>-131.82839992635715</v>
      </c>
      <c r="M136" s="109">
        <f t="shared" si="41"/>
        <v>0.5485714285714286</v>
      </c>
      <c r="N136" s="94">
        <f t="shared" si="42"/>
        <v>2.5000000000000001E-2</v>
      </c>
      <c r="O136" s="94" t="str">
        <f t="shared" si="43"/>
        <v>0.380898232474032-0.310540711937829i</v>
      </c>
      <c r="P136" s="94">
        <f t="shared" si="21"/>
        <v>-6.1704870306478332</v>
      </c>
      <c r="Q136" s="94">
        <f t="shared" si="53"/>
        <v>-39.189853387583511</v>
      </c>
      <c r="R136" s="94" t="str">
        <f t="shared" si="54"/>
        <v>-0.140203586291935-0.215242391027994i</v>
      </c>
      <c r="S136" s="94">
        <f t="shared" si="30"/>
        <v>-11.805460088903491</v>
      </c>
      <c r="T136" s="94">
        <f t="shared" si="55"/>
        <v>-123.07922912706067</v>
      </c>
      <c r="U136" s="92" t="str">
        <f>IMPRODUCT(COMPLEX(-1,0),IMDIV(COMPLEX(1,C136*Calculations!$B$171*Calculations!$B$173),IMPRODUCT(COMPLEX(0,C136*Calculations!$B$160),COMPLEX((Calculations!$B$173+Calculations!$B$175),C136*Calculations!$B$171*Calculations!$B$173*Calculations!$B$175))))</f>
        <v>-0.114013059069768+0.116123714047588i</v>
      </c>
      <c r="V136" s="94">
        <f t="shared" si="32"/>
        <v>-15.770214288388843</v>
      </c>
      <c r="W136" s="94">
        <f t="shared" si="56"/>
        <v>134.47453755375497</v>
      </c>
      <c r="X136" s="94" t="str">
        <f t="shared" si="57"/>
        <v>0.0409797856323496+0.00825948227958179i</v>
      </c>
      <c r="Y136" s="94">
        <f t="shared" si="35"/>
        <v>-27.575674377292327</v>
      </c>
      <c r="Z136" s="95">
        <f t="shared" si="58"/>
        <v>11.395308426694308</v>
      </c>
    </row>
    <row r="137" spans="1:26" ht="15" thickBot="1">
      <c r="A137" t="s">
        <v>448</v>
      </c>
      <c r="B137" s="112">
        <f>Calculations!B162</f>
        <v>447.62327744595569</v>
      </c>
      <c r="C137" s="94">
        <f t="shared" si="37"/>
        <v>2812.5000000000005</v>
      </c>
      <c r="D137" s="109" t="str">
        <f t="shared" si="38"/>
        <v>0.222236127408934-0.219736283842284i</v>
      </c>
      <c r="E137" s="94">
        <f t="shared" si="14"/>
        <v>-10.102257806962793</v>
      </c>
      <c r="F137" s="94">
        <f t="shared" ref="F137" si="59">IMARGUMENT(D137)*(180/PI())</f>
        <v>-44.675932355037311</v>
      </c>
      <c r="G137" s="94" t="str">
        <f t="shared" si="39"/>
        <v>164.061842783008+156.983933491468i</v>
      </c>
      <c r="H137" s="94">
        <f t="shared" si="24"/>
        <v>47.123149608089989</v>
      </c>
      <c r="I137" s="94">
        <f t="shared" ref="I137" si="60">IMARGUMENT(G137)*(180/PI())</f>
        <v>43.737037903257026</v>
      </c>
      <c r="J137" s="109" t="str">
        <f t="shared" si="40"/>
        <v>70.9555347640288-1.16283820888968i</v>
      </c>
      <c r="K137" s="94">
        <f t="shared" si="26"/>
        <v>37.020891801127227</v>
      </c>
      <c r="L137" s="94">
        <f t="shared" ref="L137" si="61">IMARGUMENT(J137)*(180/PI())</f>
        <v>-0.93889445178026854</v>
      </c>
      <c r="M137" s="109">
        <f t="shared" si="41"/>
        <v>0.5485714285714286</v>
      </c>
      <c r="N137" s="94">
        <f t="shared" si="42"/>
        <v>2.5000000000000001E-2</v>
      </c>
      <c r="O137" s="94" t="str">
        <f t="shared" si="43"/>
        <v>0.625252126901995-0.524526672676325i</v>
      </c>
      <c r="P137" s="94">
        <f t="shared" si="21"/>
        <v>-1.7648113564258163</v>
      </c>
      <c r="Q137" s="94">
        <f t="shared" ref="Q137" si="62">IMARGUMENT(O137)*(180/PI())</f>
        <v>-39.993430483723813</v>
      </c>
      <c r="R137" s="94" t="str">
        <f t="shared" ref="R137" si="63">IMDIV(IMPRODUCT(J137,O137,COMPLEX(M137,0)),IMSUM(COMPLEX(1,0),IMPRODUCT(G137,O137,COMPLEX(N137,0),COMPLEX(M137,0))))</f>
        <v>6.49742937027378-6.19154965252556i</v>
      </c>
      <c r="S137" s="94">
        <f t="shared" si="30"/>
        <v>19.060756567242738</v>
      </c>
      <c r="T137" s="94">
        <f t="shared" ref="T137" si="64">IMARGUMENT(R137)*(180/PI())</f>
        <v>-43.619099036439117</v>
      </c>
      <c r="U137" s="92" t="str">
        <f>IMPRODUCT(COMPLEX(-1,0),IMDIV(COMPLEX(1,C137*Calculations!$B$171*Calculations!$B$173),IMPRODUCT(COMPLEX(0,C137*Calculations!$B$160),COMPLEX((Calculations!$B$173+Calculations!$B$175),C137*Calculations!$B$171*Calculations!$B$173*Calculations!$B$175))))</f>
        <v>-0.22396693084697+0.398631394537274i</v>
      </c>
      <c r="V137" s="94">
        <f t="shared" si="32"/>
        <v>-6.7971207215775546</v>
      </c>
      <c r="W137" s="94">
        <f t="shared" ref="W137" si="65">IMARGUMENT(U137)*(180/PI())</f>
        <v>119.32900493881719</v>
      </c>
      <c r="X137" s="94" t="str">
        <f t="shared" ref="X137" si="66">IMPRODUCT(U137,R137)</f>
        <v>1.01293675787786+3.97678170364245i</v>
      </c>
      <c r="Y137" s="94">
        <f t="shared" si="35"/>
        <v>12.263635845665181</v>
      </c>
      <c r="Z137" s="95">
        <f t="shared" ref="Z137" si="67">IMARGUMENT(X137)*(180/PI())</f>
        <v>75.709905902378068</v>
      </c>
    </row>
    <row r="165" spans="2:93" ht="29" thickBot="1">
      <c r="B165" s="30" t="s">
        <v>392</v>
      </c>
    </row>
    <row r="166" spans="2:93">
      <c r="B166" s="207" t="s">
        <v>33</v>
      </c>
      <c r="C166" s="209"/>
      <c r="D166" s="219" t="s">
        <v>31</v>
      </c>
      <c r="E166" s="212"/>
      <c r="F166" s="212"/>
      <c r="G166" s="212" t="s">
        <v>386</v>
      </c>
      <c r="H166" s="212"/>
      <c r="I166" s="212"/>
      <c r="J166" s="212" t="s">
        <v>387</v>
      </c>
      <c r="K166" s="212"/>
      <c r="L166" s="212"/>
      <c r="M166" s="212"/>
      <c r="N166" s="212"/>
      <c r="O166" s="212"/>
      <c r="P166" s="212"/>
      <c r="Q166" s="212"/>
      <c r="R166" s="212"/>
      <c r="S166" s="212"/>
      <c r="T166" s="212"/>
      <c r="U166" s="81"/>
      <c r="V166" s="81"/>
      <c r="W166" s="81"/>
      <c r="X166" s="81"/>
      <c r="Y166" s="81"/>
      <c r="Z166" s="81"/>
      <c r="AA166" s="81"/>
      <c r="AB166" s="213"/>
      <c r="AC166" s="213"/>
      <c r="AD166" s="213"/>
      <c r="BC166" s="202"/>
      <c r="BD166" s="202"/>
      <c r="BE166" s="202"/>
      <c r="BF166" s="202"/>
      <c r="BG166" s="202"/>
      <c r="BH166" s="202"/>
      <c r="BI166" s="202"/>
      <c r="BJ166" s="202"/>
      <c r="BK166" s="202"/>
      <c r="BL166" s="202"/>
      <c r="BM166" s="202"/>
      <c r="BN166" s="202"/>
      <c r="BO166" s="202"/>
      <c r="BP166" s="202"/>
      <c r="BQ166" s="202"/>
      <c r="BR166" s="202"/>
      <c r="BS166" s="202"/>
      <c r="BT166" s="202"/>
      <c r="BU166" s="202"/>
      <c r="BV166" s="202"/>
      <c r="BW166" s="202"/>
      <c r="BX166" s="202"/>
      <c r="BY166" s="202"/>
      <c r="BZ166" s="202"/>
      <c r="CA166" s="202"/>
      <c r="CB166" s="202"/>
      <c r="CC166" s="202"/>
      <c r="CD166" s="202"/>
      <c r="CE166" s="202"/>
      <c r="CF166" s="202"/>
      <c r="CG166" s="202"/>
      <c r="CH166" s="202"/>
      <c r="CI166" s="202"/>
      <c r="CJ166" s="202"/>
      <c r="CK166" s="202"/>
      <c r="CL166" s="202"/>
      <c r="CM166" s="202"/>
      <c r="CN166" s="202"/>
      <c r="CO166" s="202"/>
    </row>
    <row r="167" spans="2:93" ht="15" thickBot="1">
      <c r="B167" s="214"/>
      <c r="C167" s="215"/>
      <c r="D167" s="216" t="s">
        <v>385</v>
      </c>
      <c r="E167" s="217"/>
      <c r="F167" s="218"/>
      <c r="G167" s="216" t="s">
        <v>385</v>
      </c>
      <c r="H167" s="217"/>
      <c r="I167" s="218"/>
      <c r="J167" s="216" t="s">
        <v>385</v>
      </c>
      <c r="K167" s="217"/>
      <c r="L167" s="218"/>
      <c r="M167" s="206" t="s">
        <v>390</v>
      </c>
      <c r="N167" s="202"/>
      <c r="O167" s="202" t="s">
        <v>394</v>
      </c>
      <c r="P167" s="202"/>
      <c r="Q167" s="202"/>
      <c r="R167" s="202" t="s">
        <v>391</v>
      </c>
      <c r="S167" s="202"/>
      <c r="T167" s="202"/>
      <c r="U167" s="202" t="s">
        <v>393</v>
      </c>
      <c r="V167" s="202"/>
      <c r="W167" s="202"/>
      <c r="X167" s="202" t="s">
        <v>395</v>
      </c>
      <c r="Y167" s="202"/>
      <c r="Z167" s="202"/>
      <c r="AB167" s="213"/>
      <c r="AC167" s="213"/>
      <c r="AD167" s="213"/>
      <c r="BC167" s="202"/>
      <c r="BD167" s="202"/>
      <c r="BE167" s="202"/>
      <c r="BF167" s="202"/>
      <c r="BG167" s="202"/>
      <c r="BH167" s="202"/>
      <c r="BI167" s="202"/>
      <c r="BJ167" s="202"/>
      <c r="BK167" s="202"/>
      <c r="BL167" s="202"/>
      <c r="BM167" s="202"/>
      <c r="BN167" s="202"/>
      <c r="BO167" s="202"/>
      <c r="BP167" s="202"/>
      <c r="BQ167" s="202"/>
      <c r="BR167" s="202"/>
      <c r="BS167" s="202"/>
      <c r="BT167" s="202"/>
      <c r="BU167" s="202"/>
      <c r="BV167" s="202"/>
      <c r="BW167" s="202"/>
      <c r="BX167" s="202"/>
      <c r="BY167" s="202"/>
      <c r="BZ167" s="202"/>
      <c r="CA167" s="202"/>
      <c r="CB167" s="202"/>
      <c r="CC167" s="202"/>
      <c r="CD167" s="202"/>
      <c r="CE167" s="202"/>
      <c r="CF167" s="202"/>
      <c r="CG167" s="202"/>
      <c r="CH167" s="202"/>
      <c r="CI167" s="202"/>
      <c r="CJ167" s="202"/>
      <c r="CK167" s="202"/>
      <c r="CL167" s="202"/>
      <c r="CM167" s="202"/>
      <c r="CN167" s="202"/>
      <c r="CO167" s="202"/>
    </row>
    <row r="168" spans="2:93" ht="45">
      <c r="B168" s="23" t="s">
        <v>35</v>
      </c>
      <c r="C168" s="24" t="s">
        <v>34</v>
      </c>
      <c r="D168" s="23" t="s">
        <v>38</v>
      </c>
      <c r="E168" s="24" t="s">
        <v>36</v>
      </c>
      <c r="F168" s="25" t="s">
        <v>37</v>
      </c>
      <c r="G168" s="23" t="s">
        <v>38</v>
      </c>
      <c r="H168" s="24" t="s">
        <v>36</v>
      </c>
      <c r="I168" s="25" t="s">
        <v>37</v>
      </c>
      <c r="J168" s="23" t="s">
        <v>38</v>
      </c>
      <c r="K168" s="24" t="s">
        <v>36</v>
      </c>
      <c r="L168" s="25" t="s">
        <v>37</v>
      </c>
      <c r="M168" s="21" t="s">
        <v>388</v>
      </c>
      <c r="N168" s="21" t="s">
        <v>389</v>
      </c>
      <c r="O168" s="23" t="s">
        <v>38</v>
      </c>
      <c r="P168" s="24" t="s">
        <v>36</v>
      </c>
      <c r="Q168" s="25" t="s">
        <v>37</v>
      </c>
      <c r="R168" s="23" t="s">
        <v>38</v>
      </c>
      <c r="S168" s="24" t="s">
        <v>36</v>
      </c>
      <c r="T168" s="25" t="s">
        <v>37</v>
      </c>
      <c r="U168" s="23" t="s">
        <v>38</v>
      </c>
      <c r="V168" s="24" t="s">
        <v>36</v>
      </c>
      <c r="W168" s="25" t="s">
        <v>37</v>
      </c>
      <c r="X168" s="23" t="s">
        <v>38</v>
      </c>
      <c r="Y168" s="24" t="s">
        <v>36</v>
      </c>
      <c r="Z168" s="25" t="s">
        <v>37</v>
      </c>
      <c r="AA168" s="21"/>
      <c r="AB168" s="21"/>
      <c r="AC168" s="21"/>
      <c r="AD168" s="21"/>
      <c r="AE168" s="21"/>
      <c r="AF168" s="21"/>
      <c r="AG168" s="21"/>
      <c r="AH168" s="21"/>
      <c r="AI168" s="21"/>
      <c r="AJ168" s="21"/>
      <c r="AK168" s="21"/>
      <c r="AL168" s="21"/>
      <c r="AM168" s="21"/>
      <c r="AN168" s="21"/>
      <c r="AO168" s="21"/>
      <c r="AP168" s="21"/>
      <c r="AQ168" s="21"/>
      <c r="AR168" s="21"/>
      <c r="AS168" s="21"/>
      <c r="AT168" s="21"/>
      <c r="AU168" s="21"/>
      <c r="AV168" s="21"/>
      <c r="AW168" s="21"/>
      <c r="AX168" s="21"/>
      <c r="AY168" s="21"/>
      <c r="AZ168" s="21"/>
      <c r="BA168" s="21"/>
      <c r="BB168" s="21"/>
      <c r="BC168" s="21"/>
      <c r="BD168" s="21"/>
      <c r="BE168" s="21"/>
      <c r="BF168" s="21"/>
      <c r="BG168" s="21"/>
      <c r="BH168" s="21"/>
      <c r="BI168" s="21"/>
      <c r="BJ168" s="21"/>
      <c r="BK168" s="21"/>
      <c r="BL168" s="21"/>
      <c r="BM168" s="21"/>
      <c r="BN168" s="21"/>
      <c r="BO168" s="21"/>
      <c r="BP168" s="21"/>
      <c r="BQ168" s="21"/>
      <c r="BR168" s="21"/>
      <c r="BS168" s="21"/>
      <c r="BT168" s="21"/>
      <c r="BU168" s="21"/>
      <c r="BV168" s="21"/>
      <c r="BW168" s="21"/>
      <c r="BX168" s="21"/>
      <c r="BY168" s="21"/>
      <c r="BZ168" s="21"/>
      <c r="CA168" s="21"/>
      <c r="CB168" s="21"/>
      <c r="CC168" s="21"/>
      <c r="CD168" s="21"/>
      <c r="CE168" s="21"/>
      <c r="CF168" s="21"/>
      <c r="CG168" s="21"/>
      <c r="CH168" s="21"/>
      <c r="CI168" s="21"/>
      <c r="CJ168" s="21"/>
      <c r="CK168" s="21"/>
      <c r="CL168" s="21"/>
      <c r="CM168" s="21"/>
      <c r="CN168" s="21"/>
      <c r="CO168" s="21"/>
    </row>
    <row r="169" spans="2:93">
      <c r="B169" s="1">
        <v>1</v>
      </c>
      <c r="C169" s="1">
        <f t="shared" ref="C169:C200" si="68">2*PI()*B169</f>
        <v>6.2831853071795862</v>
      </c>
      <c r="D169" s="83" t="str">
        <f t="shared" ref="D169:D200" si="69">IMDIV(COMPLEX((POWER(V48_Nom,2)/(V12_Min*I_Channel_Design*np)),((Zo_Boost_Cout*Zo_Boost_Resr*POWER(V48_Nom,2))/(V12_Min*I_Channel_Design*np))*C169),COMPLEX(1,((Zo_Boost_Cout*Zo_Boost_Resr)+((Zo_Boost_Cout*POWER(V48_Nom,2))/(V12_Min*I_Channel_Design*np)))*C169))</f>
        <v>3.00261752802516-0.0339927897342698i</v>
      </c>
      <c r="E169" s="1">
        <f t="shared" ref="E169:E200" si="70">20*LOG(IMABS(D169))</f>
        <v>9.5505568931665223</v>
      </c>
      <c r="F169" s="1">
        <f t="shared" ref="F169:F200" si="71">IMARGUMENT(D169)*(180/PI())</f>
        <v>-0.64862080051966919</v>
      </c>
      <c r="G169" s="1" t="str">
        <f t="shared" ref="G169:G200" si="72">IMDIV(IMSUM(COMPLEX(V48_Nom,0),IMPRODUCT(COMPLEX(np*(I_Channel_Design*(V12_Min/V48_Nom)),0),D169)),IMSUM(IMPRODUCT(COMPLEX(((V12_Min/V48_Nom)^2),0),D169),COMPLEX(Rcs/np,(Lm*C169)/np)))</f>
        <v>242.94795839994+1.36315683392201i</v>
      </c>
      <c r="H169" s="1">
        <f>20*LOG10(IMABS(G169))</f>
        <v>47.710401800209226</v>
      </c>
      <c r="I169" s="1">
        <f>IMARGUMENT(G169)*(180/PI())</f>
        <v>0.32147754732492034</v>
      </c>
      <c r="J169" s="83" t="str">
        <f t="shared" ref="J169:J200" si="73">IMPRODUCT(COMPLEX(-1,0),IMDIV(IMSUM(IMSUB(IMPRODUCT(COMPLEX((1-(V12_Min/V48_Nom))*V48_Nom,0),D169),IMPRODUCT(COMPLEX(V48_Nom,0),D169)),IMPRODUCT(COMPLEX(0,I_Channel_Design*Lm*C169),D169)),IMSUM(IMPRODUCT(COMPLEX(((V12_Min/V48_Nom)^2),0),D169),COMPLEX(Rcs/np,(Lm*C169)/np))))</f>
        <v>134.971035444678-0.0115455054403514i</v>
      </c>
      <c r="K169" s="1">
        <f>20*LOG10(IMABS(J169))</f>
        <v>42.604811624466102</v>
      </c>
      <c r="L169" s="1">
        <f>IMARGUMENT(J169)*(180/PI())</f>
        <v>-4.9011162304903747E-3</v>
      </c>
      <c r="M169" s="1">
        <f t="shared" ref="M169:M200" si="74">(Ramp_R*Ramp_C*Fsw)/V48_Nom</f>
        <v>0.76800000000000002</v>
      </c>
      <c r="N169" s="1">
        <f t="shared" ref="N169:N200" si="75">Rcs*Acs/np</f>
        <v>2.5000000000000001E-2</v>
      </c>
      <c r="O169" s="1" t="str">
        <f t="shared" ref="O169:O200" si="76">IMPRODUCT(COMPLEX(gm/(IL_Comp_Ccomp+IL_Comp_Chf),0),IMDIV(COMPLEX(1,C169*IL_Comp_Rcomp*IL_Comp_Ccomp),IMPRODUCT(COMPLEX(0,C169),COMPLEX(1,C169*IL_Comp_Rcomp*IL_Comp_Chf))))</f>
        <v>0.625296041843028-232.444794958096i</v>
      </c>
      <c r="P169" s="1">
        <f>20*LOG(IMABS(O169))</f>
        <v>47.326427940793998</v>
      </c>
      <c r="Q169" s="1">
        <f>IMARGUMENT(O169)*(180/PI())</f>
        <v>-89.845869907606328</v>
      </c>
      <c r="R169" s="1" t="str">
        <f>IMDIV(IMPRODUCT(O169,J169,COMPLEX(M169,0)),IMSUM(COMPLEX(1,0),IMPRODUCT(G169,O169,COMPLEX(M169,0),COMPLEX(N169,0))))</f>
        <v>22.2211975667802-0.147075621303567i</v>
      </c>
      <c r="S169" s="1">
        <f>20*LOG10(IMABS(R169))</f>
        <v>26.935539461784064</v>
      </c>
      <c r="T169" s="1">
        <f>IMARGUMENT(R169)*(180/PI())</f>
        <v>-0.3792185050292593</v>
      </c>
      <c r="U169" s="1" t="str">
        <f>IMPRODUCT(COMPLEX(-1,0),IMDIV(COMPLEX(1,C169*Calculations!$B$195*Calculations!$B$197),IMPRODUCT(COMPLEX(0,C169*Calculations!$B$184),COMPLEX((Calculations!$B$197+Calculations!$B$199),C169*Calculations!$B$195*Calculations!$B$197*Calculations!$B$199))))</f>
        <v>-0.958767360207492+664.474574740913i</v>
      </c>
      <c r="V169" s="1">
        <f>20*LOG10(IMABS(U169))</f>
        <v>56.449576399388022</v>
      </c>
      <c r="W169" s="1">
        <f>IMARGUMENT(U169)*(180/PI())</f>
        <v>90.082671763887262</v>
      </c>
      <c r="X169" s="1" t="str">
        <f>IMPRODUCT(U169,R169)</f>
        <v>76.4230519886922+14765.5618147253i</v>
      </c>
      <c r="Y169" s="1">
        <f>20*LOG10(IMABS(X169))</f>
        <v>83.385115861172096</v>
      </c>
      <c r="Z169" s="1">
        <f>IMARGUMENT(X169)*(180/PI())</f>
        <v>89.703453258858019</v>
      </c>
    </row>
    <row r="170" spans="2:93">
      <c r="B170" s="1">
        <v>2</v>
      </c>
      <c r="C170" s="1">
        <f t="shared" si="68"/>
        <v>12.566370614359172</v>
      </c>
      <c r="D170" s="83" t="str">
        <f t="shared" si="69"/>
        <v>3.00146169762043-0.0679593654565017i</v>
      </c>
      <c r="E170" s="1">
        <f t="shared" si="70"/>
        <v>9.54888201375738</v>
      </c>
      <c r="F170" s="1">
        <f t="shared" si="71"/>
        <v>-1.2970745638134034</v>
      </c>
      <c r="G170" s="1" t="str">
        <f t="shared" si="72"/>
        <v>242.948534910359+2.72631691600678i</v>
      </c>
      <c r="H170" s="1">
        <f t="shared" ref="H170:H228" si="77">20*LOG10(IMABS(G170))</f>
        <v>47.710832554483858</v>
      </c>
      <c r="I170" s="1">
        <f t="shared" ref="I170:I223" si="78">IMARGUMENT(G170)*(180/PI())</f>
        <v>0.64293409509982924</v>
      </c>
      <c r="J170" s="83" t="str">
        <f t="shared" si="73"/>
        <v>134.971198061867-0.0230910613305323i</v>
      </c>
      <c r="K170" s="1">
        <f t="shared" ref="K170:K228" si="79">20*LOG10(IMABS(J170))</f>
        <v>42.604822184817344</v>
      </c>
      <c r="L170" s="1">
        <f t="shared" ref="L170:L223" si="80">IMARGUMENT(J170)*(180/PI())</f>
        <v>-9.8022419953851612E-3</v>
      </c>
      <c r="M170" s="1">
        <f t="shared" si="74"/>
        <v>0.76800000000000002</v>
      </c>
      <c r="N170" s="1">
        <f t="shared" si="75"/>
        <v>2.5000000000000001E-2</v>
      </c>
      <c r="O170" s="1" t="str">
        <f t="shared" si="76"/>
        <v>0.625296041185459-116.222415039833i</v>
      </c>
      <c r="P170" s="1">
        <f t="shared" ref="P170:P228" si="81">20*LOG(IMABS(O170))</f>
        <v>41.305923622019456</v>
      </c>
      <c r="Q170" s="1">
        <f t="shared" ref="Q170:Q223" si="82">IMARGUMENT(O170)*(180/PI())</f>
        <v>-89.691742092810486</v>
      </c>
      <c r="R170" s="1" t="str">
        <f t="shared" ref="R170:R223" si="83">IMDIV(IMPRODUCT(O170,J170,COMPLEX(M170,0)),IMSUM(COMPLEX(1,0),IMPRODUCT(G170,O170,COMPLEX(M170,0),COMPLEX(N170,0))))</f>
        <v>22.2181242235224-0.294107607880358i</v>
      </c>
      <c r="S170" s="1">
        <f t="shared" ref="S170:S228" si="84">20*LOG10(IMABS(R170))</f>
        <v>26.934908741147488</v>
      </c>
      <c r="T170" s="1">
        <f t="shared" ref="T170:T223" si="85">IMARGUMENT(R170)*(180/PI())</f>
        <v>-0.75839617864656406</v>
      </c>
      <c r="U170" s="1" t="str">
        <f>IMPRODUCT(COMPLEX(-1,0),IMDIV(COMPLEX(1,C170*Calculations!$B$195*Calculations!$B$197),IMPRODUCT(COMPLEX(0,C170*Calculations!$B$184),COMPLEX((Calculations!$B$197+Calculations!$B$199),C170*Calculations!$B$195*Calculations!$B$197*Calculations!$B$199))))</f>
        <v>-0.95876735749662+332.237331521556i</v>
      </c>
      <c r="V170" s="1">
        <f t="shared" ref="V170:V228" si="86">20*LOG10(IMABS(U170))</f>
        <v>50.429004765575016</v>
      </c>
      <c r="W170" s="1">
        <f t="shared" ref="W170:W224" si="87">IMARGUMENT(U170)*(180/PI())</f>
        <v>90.165343161100054</v>
      </c>
      <c r="X170" s="1" t="str">
        <f t="shared" ref="X170:X224" si="88">IMPRODUCT(U170,R170)</f>
        <v>76.4115145720401+7381.97228421155i</v>
      </c>
      <c r="Y170" s="1">
        <f t="shared" ref="Y170:Y228" si="89">20*LOG10(IMABS(X170))</f>
        <v>77.363913506722511</v>
      </c>
      <c r="Z170" s="1">
        <f t="shared" ref="Z170:Z224" si="90">IMARGUMENT(X170)*(180/PI())</f>
        <v>89.406946982453491</v>
      </c>
    </row>
    <row r="171" spans="2:93">
      <c r="B171" s="1">
        <v>3</v>
      </c>
      <c r="C171" s="1">
        <f t="shared" si="68"/>
        <v>18.849555921538759</v>
      </c>
      <c r="D171" s="83" t="str">
        <f t="shared" si="69"/>
        <v>2.99953729308417-0.101873580495714i</v>
      </c>
      <c r="E171" s="1">
        <f t="shared" si="70"/>
        <v>9.5460919826753994</v>
      </c>
      <c r="F171" s="1">
        <f t="shared" si="71"/>
        <v>-1.9451945101821491</v>
      </c>
      <c r="G171" s="1" t="str">
        <f t="shared" si="72"/>
        <v>242.949495765668+4.08948349444255i</v>
      </c>
      <c r="H171" s="1">
        <f t="shared" si="77"/>
        <v>47.711550387961744</v>
      </c>
      <c r="I171" s="1">
        <f t="shared" si="78"/>
        <v>0.96434865189727514</v>
      </c>
      <c r="J171" s="83" t="str">
        <f t="shared" si="73"/>
        <v>134.971469091377-0.0346367181208309i</v>
      </c>
      <c r="K171" s="1">
        <f t="shared" si="79"/>
        <v>42.604839785431011</v>
      </c>
      <c r="L171" s="1">
        <f t="shared" si="80"/>
        <v>-1.4703386829111063E-2</v>
      </c>
      <c r="M171" s="1">
        <f t="shared" si="74"/>
        <v>0.76800000000000002</v>
      </c>
      <c r="N171" s="1">
        <f t="shared" si="75"/>
        <v>2.5000000000000001E-2</v>
      </c>
      <c r="O171" s="1" t="str">
        <f t="shared" si="76"/>
        <v>0.625296040089512-77.4816295385384i</v>
      </c>
      <c r="P171" s="1">
        <f t="shared" si="81"/>
        <v>37.784257760404721</v>
      </c>
      <c r="Q171" s="1">
        <f t="shared" si="82"/>
        <v>-89.537618833009788</v>
      </c>
      <c r="R171" s="1" t="str">
        <f t="shared" si="83"/>
        <v>22.2130040606967-0.441052369543751i</v>
      </c>
      <c r="S171" s="1">
        <f t="shared" si="84"/>
        <v>26.933857764985056</v>
      </c>
      <c r="T171" s="1">
        <f t="shared" si="85"/>
        <v>-1.1374922151085518</v>
      </c>
      <c r="U171" s="1" t="str">
        <f>IMPRODUCT(COMPLEX(-1,0),IMDIV(COMPLEX(1,C171*Calculations!$B$195*Calculations!$B$197),IMPRODUCT(COMPLEX(0,C171*Calculations!$B$184),COMPLEX((Calculations!$B$197+Calculations!$B$199),C171*Calculations!$B$195*Calculations!$B$197*Calculations!$B$199))))</f>
        <v>-0.958767352978505+221.491603404482i</v>
      </c>
      <c r="V171" s="1">
        <f t="shared" si="86"/>
        <v>46.907226716496247</v>
      </c>
      <c r="W171" s="1">
        <f t="shared" si="87"/>
        <v>90.248013824973427</v>
      </c>
      <c r="X171" s="1" t="str">
        <f t="shared" si="88"/>
        <v>76.3922934106166+4920.41675244685i</v>
      </c>
      <c r="Y171" s="1">
        <f t="shared" si="89"/>
        <v>73.841084481481303</v>
      </c>
      <c r="Z171" s="1">
        <f t="shared" si="90"/>
        <v>89.110521609864875</v>
      </c>
    </row>
    <row r="172" spans="2:93">
      <c r="B172" s="1">
        <v>4</v>
      </c>
      <c r="C172" s="1">
        <f t="shared" si="68"/>
        <v>25.132741228718345</v>
      </c>
      <c r="D172" s="83" t="str">
        <f t="shared" si="69"/>
        <v>2.99684727562209-0.13570942250008i</v>
      </c>
      <c r="E172" s="1">
        <f t="shared" si="70"/>
        <v>9.5421889479530559</v>
      </c>
      <c r="F172" s="1">
        <f t="shared" si="71"/>
        <v>-2.5928143739887899</v>
      </c>
      <c r="G172" s="1" t="str">
        <f t="shared" si="72"/>
        <v>242.950840972781+5.45265981746863i</v>
      </c>
      <c r="H172" s="1">
        <f t="shared" si="77"/>
        <v>47.712555165234207</v>
      </c>
      <c r="I172" s="1">
        <f t="shared" si="78"/>
        <v>1.2857002425271067</v>
      </c>
      <c r="J172" s="83" t="str">
        <f t="shared" si="73"/>
        <v>134.971848534495-0.0461825262627324i</v>
      </c>
      <c r="K172" s="1">
        <f t="shared" si="79"/>
        <v>42.604864426349131</v>
      </c>
      <c r="L172" s="1">
        <f t="shared" si="80"/>
        <v>-1.9604560266258866E-2</v>
      </c>
      <c r="M172" s="1">
        <f t="shared" si="74"/>
        <v>0.76800000000000002</v>
      </c>
      <c r="N172" s="1">
        <f t="shared" si="75"/>
        <v>2.5000000000000001E-2</v>
      </c>
      <c r="O172" s="1" t="str">
        <f t="shared" si="76"/>
        <v>0.625296038555191-58.1112426414862i</v>
      </c>
      <c r="P172" s="1">
        <f t="shared" si="81"/>
        <v>35.285706065717818</v>
      </c>
      <c r="Q172" s="1">
        <f t="shared" si="82"/>
        <v>-89.383502405200488</v>
      </c>
      <c r="R172" s="1" t="str">
        <f t="shared" si="83"/>
        <v>22.2058401888645-0.587866405091731i</v>
      </c>
      <c r="S172" s="1">
        <f t="shared" si="84"/>
        <v>26.93238687039991</v>
      </c>
      <c r="T172" s="1">
        <f t="shared" si="85"/>
        <v>-1.51646585996955</v>
      </c>
      <c r="U172" s="1" t="str">
        <f>IMPRODUCT(COMPLEX(-1,0),IMDIV(COMPLEX(1,C172*Calculations!$B$195*Calculations!$B$197),IMPRODUCT(COMPLEX(0,C172*Calculations!$B$184),COMPLEX((Calculations!$B$197+Calculations!$B$199),C172*Calculations!$B$195*Calculations!$B$197*Calculations!$B$199))))</f>
        <v>-0.958767346653138+166.118754062977i</v>
      </c>
      <c r="V172" s="1">
        <f t="shared" si="86"/>
        <v>44.408517968318947</v>
      </c>
      <c r="W172" s="1">
        <f t="shared" si="87"/>
        <v>90.330683388861573</v>
      </c>
      <c r="X172" s="1" t="str">
        <f t="shared" si="88"/>
        <v>76.3654002912384+3689.37013220915i</v>
      </c>
      <c r="Y172" s="1">
        <f t="shared" si="89"/>
        <v>71.340904838718856</v>
      </c>
      <c r="Z172" s="1">
        <f t="shared" si="90"/>
        <v>88.81421752889203</v>
      </c>
    </row>
    <row r="173" spans="2:93">
      <c r="B173" s="1">
        <v>5</v>
      </c>
      <c r="C173" s="1">
        <f t="shared" si="68"/>
        <v>31.415926535897931</v>
      </c>
      <c r="D173" s="83" t="str">
        <f t="shared" si="69"/>
        <v>2.99339577497768-0.169441079692462i</v>
      </c>
      <c r="E173" s="1">
        <f t="shared" si="70"/>
        <v>9.5371759091220287</v>
      </c>
      <c r="F173" s="1">
        <f t="shared" si="71"/>
        <v>-3.2397686582168066</v>
      </c>
      <c r="G173" s="1" t="str">
        <f t="shared" si="72"/>
        <v>242.952570541379+6.81584913340052i</v>
      </c>
      <c r="H173" s="1">
        <f t="shared" si="77"/>
        <v>47.713846696851398</v>
      </c>
      <c r="I173" s="1">
        <f t="shared" si="78"/>
        <v>1.6069679161353889</v>
      </c>
      <c r="J173" s="83" t="str">
        <f t="shared" si="73"/>
        <v>134.972336393025-0.05772853620962i</v>
      </c>
      <c r="K173" s="1">
        <f t="shared" si="79"/>
        <v>42.60489610763068</v>
      </c>
      <c r="L173" s="1">
        <f t="shared" si="80"/>
        <v>-2.4505771841708573E-2</v>
      </c>
      <c r="M173" s="1">
        <f t="shared" si="74"/>
        <v>0.76800000000000002</v>
      </c>
      <c r="N173" s="1">
        <f t="shared" si="75"/>
        <v>2.5000000000000001E-2</v>
      </c>
      <c r="O173" s="1" t="str">
        <f t="shared" si="76"/>
        <v>0.625296036582483-46.4890151861305i</v>
      </c>
      <c r="P173" s="1">
        <f t="shared" si="81"/>
        <v>33.347792551198268</v>
      </c>
      <c r="Q173" s="1">
        <f t="shared" si="82"/>
        <v>-89.22939508577744</v>
      </c>
      <c r="R173" s="1" t="str">
        <f t="shared" si="83"/>
        <v>22.1966369561349-0.734506346560278i</v>
      </c>
      <c r="S173" s="1">
        <f t="shared" si="84"/>
        <v>26.9304965288486</v>
      </c>
      <c r="T173" s="1">
        <f t="shared" si="85"/>
        <v>-1.8952764356315457</v>
      </c>
      <c r="U173" s="1" t="str">
        <f>IMPRODUCT(COMPLEX(-1,0),IMDIV(COMPLEX(1,C173*Calculations!$B$195*Calculations!$B$197),IMPRODUCT(COMPLEX(0,C173*Calculations!$B$184),COMPLEX((Calculations!$B$197+Calculations!$B$199),C173*Calculations!$B$195*Calculations!$B$197*Calculations!$B$199))))</f>
        <v>-0.958767338520532+132.895056231701i</v>
      </c>
      <c r="V173" s="1">
        <f t="shared" si="86"/>
        <v>42.470402543240468</v>
      </c>
      <c r="W173" s="1">
        <f t="shared" si="87"/>
        <v>90.413351486147334</v>
      </c>
      <c r="X173" s="1" t="str">
        <f t="shared" si="88"/>
        <v>76.3308516901295+2950.52753713522i</v>
      </c>
      <c r="Y173" s="1">
        <f t="shared" si="89"/>
        <v>69.400899072089075</v>
      </c>
      <c r="Z173" s="1">
        <f t="shared" si="90"/>
        <v>88.51807505051579</v>
      </c>
    </row>
    <row r="174" spans="2:93">
      <c r="B174" s="1">
        <v>6</v>
      </c>
      <c r="C174" s="1">
        <f t="shared" si="68"/>
        <v>37.699111843077517</v>
      </c>
      <c r="D174" s="83" t="str">
        <f t="shared" si="69"/>
        <v>2.98918807362497-0.203043006050425i</v>
      </c>
      <c r="E174" s="1">
        <f t="shared" si="70"/>
        <v>9.5310567095495458</v>
      </c>
      <c r="F174" s="1">
        <f t="shared" si="71"/>
        <v>-3.8858928860818978</v>
      </c>
      <c r="G174" s="1" t="str">
        <f t="shared" si="72"/>
        <v>242.954684483909+8.17905469065596i</v>
      </c>
      <c r="H174" s="1">
        <f t="shared" si="77"/>
        <v>47.715424739444295</v>
      </c>
      <c r="I174" s="1">
        <f t="shared" si="78"/>
        <v>1.9281307542800361</v>
      </c>
      <c r="J174" s="83" t="str">
        <f t="shared" si="73"/>
        <v>134.972932669287-0.0692747984168971i</v>
      </c>
      <c r="K174" s="1">
        <f t="shared" si="79"/>
        <v>42.604934829351549</v>
      </c>
      <c r="L174" s="1">
        <f t="shared" si="80"/>
        <v>-2.9407031090509055E-2</v>
      </c>
      <c r="M174" s="1">
        <f t="shared" si="74"/>
        <v>0.76800000000000002</v>
      </c>
      <c r="N174" s="1">
        <f t="shared" si="75"/>
        <v>2.5000000000000001E-2</v>
      </c>
      <c r="O174" s="1" t="str">
        <f t="shared" si="76"/>
        <v>0.625296034171399-38.7408674516232i</v>
      </c>
      <c r="P174" s="1">
        <f t="shared" si="81"/>
        <v>31.764518071429659</v>
      </c>
      <c r="Q174" s="1">
        <f t="shared" si="82"/>
        <v>-89.075299150333791</v>
      </c>
      <c r="R174" s="1" t="str">
        <f t="shared" si="83"/>
        <v>22.1853999415093-0.880929003190922i</v>
      </c>
      <c r="S174" s="1">
        <f t="shared" si="84"/>
        <v>26.928187345653942</v>
      </c>
      <c r="T174" s="1">
        <f t="shared" si="85"/>
        <v>-2.2738833667756717</v>
      </c>
      <c r="U174" s="1" t="str">
        <f>IMPRODUCT(COMPLEX(-1,0),IMDIV(COMPLEX(1,C174*Calculations!$B$195*Calculations!$B$197),IMPRODUCT(COMPLEX(0,C174*Calculations!$B$184),COMPLEX((Calculations!$B$197+Calculations!$B$199),C174*Calculations!$B$195*Calculations!$B$197*Calculations!$B$199))))</f>
        <v>-0.95876732858068+110.745934155537i</v>
      </c>
      <c r="V174" s="1">
        <f t="shared" si="86"/>
        <v>40.886881307358735</v>
      </c>
      <c r="W174" s="1">
        <f t="shared" si="87"/>
        <v>90.496017750251767</v>
      </c>
      <c r="X174" s="1" t="str">
        <f t="shared" si="88"/>
        <v>76.2886687476698+2457.7874470837i</v>
      </c>
      <c r="Y174" s="1">
        <f t="shared" si="89"/>
        <v>67.815068653012673</v>
      </c>
      <c r="Z174" s="1">
        <f t="shared" si="90"/>
        <v>88.222134383476089</v>
      </c>
    </row>
    <row r="175" spans="2:93">
      <c r="B175" s="1">
        <v>7</v>
      </c>
      <c r="C175" s="1">
        <f t="shared" si="68"/>
        <v>43.982297150257104</v>
      </c>
      <c r="D175" s="83" t="str">
        <f t="shared" si="69"/>
        <v>2.98423058663902-0.236489985067643i</v>
      </c>
      <c r="E175" s="1">
        <f t="shared" si="70"/>
        <v>9.5238360266554185</v>
      </c>
      <c r="F175" s="1">
        <f t="shared" si="71"/>
        <v>-4.5310238487473109</v>
      </c>
      <c r="G175" s="1" t="str">
        <f t="shared" si="72"/>
        <v>242.957182815582+9.54227973777968i</v>
      </c>
      <c r="H175" s="1">
        <f t="shared" si="77"/>
        <v>47.717288995881304</v>
      </c>
      <c r="I175" s="1">
        <f t="shared" si="78"/>
        <v>2.2491678789748688</v>
      </c>
      <c r="J175" s="83" t="str">
        <f t="shared" si="73"/>
        <v>134.973637366112-0.0808213633439647i</v>
      </c>
      <c r="K175" s="1">
        <f t="shared" si="79"/>
        <v>42.604980591604182</v>
      </c>
      <c r="L175" s="1">
        <f t="shared" si="80"/>
        <v>-3.4308347548546461E-2</v>
      </c>
      <c r="M175" s="1">
        <f t="shared" si="74"/>
        <v>0.76800000000000002</v>
      </c>
      <c r="N175" s="1">
        <f t="shared" si="75"/>
        <v>2.5000000000000001E-2</v>
      </c>
      <c r="O175" s="1" t="str">
        <f t="shared" si="76"/>
        <v>0.625296031321934-33.2064795576005i</v>
      </c>
      <c r="P175" s="1">
        <f t="shared" si="81"/>
        <v>30.42599640012261</v>
      </c>
      <c r="Q175" s="1">
        <f t="shared" si="82"/>
        <v>-88.921216873460878</v>
      </c>
      <c r="R175" s="1" t="str">
        <f t="shared" si="83"/>
        <v>22.1721359463586-1.02709140501924i</v>
      </c>
      <c r="S175" s="1">
        <f t="shared" si="84"/>
        <v>26.92546005938102</v>
      </c>
      <c r="T175" s="1">
        <f t="shared" si="85"/>
        <v>-2.6522462056371339</v>
      </c>
      <c r="U175" s="1" t="str">
        <f>IMPRODUCT(COMPLEX(-1,0),IMDIV(COMPLEX(1,C175*Calculations!$B$195*Calculations!$B$197),IMPRODUCT(COMPLEX(0,C175*Calculations!$B$184),COMPLEX((Calculations!$B$197+Calculations!$B$199),C175*Calculations!$B$195*Calculations!$B$197*Calculations!$B$199))))</f>
        <v>-0.958767316833581+94.9251410822949i</v>
      </c>
      <c r="V175" s="1">
        <f t="shared" si="86"/>
        <v>39.548068048454205</v>
      </c>
      <c r="W175" s="1">
        <f t="shared" si="87"/>
        <v>90.578681814643673</v>
      </c>
      <c r="X175" s="1" t="str">
        <f t="shared" si="88"/>
        <v>76.2388772361042+2105.67787447445i</v>
      </c>
      <c r="Y175" s="1">
        <f t="shared" si="89"/>
        <v>66.47352810783525</v>
      </c>
      <c r="Z175" s="1">
        <f t="shared" si="90"/>
        <v>87.926435609006546</v>
      </c>
    </row>
    <row r="176" spans="2:93">
      <c r="B176" s="1">
        <v>8</v>
      </c>
      <c r="C176" s="1">
        <f t="shared" si="68"/>
        <v>50.26548245743669</v>
      </c>
      <c r="D176" s="83" t="str">
        <f t="shared" si="69"/>
        <v>2.97853083738673-0.269757191766522i</v>
      </c>
      <c r="E176" s="1">
        <f t="shared" si="70"/>
        <v>9.5155193600620507</v>
      </c>
      <c r="F176" s="1">
        <f t="shared" si="71"/>
        <v>-5.1749998482208603</v>
      </c>
      <c r="G176" s="1" t="str">
        <f t="shared" si="72"/>
        <v>242.960065554381+10.9055275234699i</v>
      </c>
      <c r="H176" s="1">
        <f t="shared" si="77"/>
        <v>47.719439115459522</v>
      </c>
      <c r="I176" s="1">
        <f t="shared" si="78"/>
        <v>2.570058460694999</v>
      </c>
      <c r="J176" s="83" t="str">
        <f t="shared" si="73"/>
        <v>134.974450486853-0.0923682814518884i</v>
      </c>
      <c r="K176" s="1">
        <f t="shared" si="79"/>
        <v>42.605033394498271</v>
      </c>
      <c r="L176" s="1">
        <f t="shared" si="80"/>
        <v>-3.9209730751379325E-2</v>
      </c>
      <c r="M176" s="1">
        <f t="shared" si="74"/>
        <v>0.76800000000000002</v>
      </c>
      <c r="N176" s="1">
        <f t="shared" si="75"/>
        <v>2.5000000000000001E-2</v>
      </c>
      <c r="O176" s="1" t="str">
        <f t="shared" si="76"/>
        <v>0.625296028034094-29.0556915638806i</v>
      </c>
      <c r="P176" s="1">
        <f t="shared" si="81"/>
        <v>29.266635243776005</v>
      </c>
      <c r="Q176" s="1">
        <f t="shared" si="82"/>
        <v>-88.767150528548328</v>
      </c>
      <c r="R176" s="1" t="str">
        <f t="shared" si="83"/>
        <v>22.1568529840558-1.17295084599106i</v>
      </c>
      <c r="S176" s="1">
        <f t="shared" si="84"/>
        <v>26.922315541077193</v>
      </c>
      <c r="T176" s="1">
        <f t="shared" si="85"/>
        <v>-3.0303246570825544</v>
      </c>
      <c r="U176" s="1" t="str">
        <f>IMPRODUCT(COMPLEX(-1,0),IMDIV(COMPLEX(1,C176*Calculations!$B$195*Calculations!$B$197),IMPRODUCT(COMPLEX(0,C176*Calculations!$B$184),COMPLEX((Calculations!$B$197+Calculations!$B$199),C176*Calculations!$B$195*Calculations!$B$197*Calculations!$B$199))))</f>
        <v>-0.958767303279239+83.0595536358784i</v>
      </c>
      <c r="V176" s="1">
        <f t="shared" si="86"/>
        <v>38.388370489648338</v>
      </c>
      <c r="W176" s="1">
        <f t="shared" si="87"/>
        <v>90.661343312849183</v>
      </c>
      <c r="X176" s="1" t="str">
        <f t="shared" si="88"/>
        <v>76.1815075201657+1841.46290575095i</v>
      </c>
      <c r="Y176" s="1">
        <f t="shared" si="89"/>
        <v>65.310686030725563</v>
      </c>
      <c r="Z176" s="1">
        <f t="shared" si="90"/>
        <v>87.631018655766653</v>
      </c>
    </row>
    <row r="177" spans="2:26">
      <c r="B177" s="1">
        <v>9</v>
      </c>
      <c r="C177" s="1">
        <f t="shared" si="68"/>
        <v>56.548667764616276</v>
      </c>
      <c r="D177" s="83" t="str">
        <f t="shared" si="69"/>
        <v>2.972097429209-0.302820252647719i</v>
      </c>
      <c r="E177" s="1">
        <f t="shared" si="70"/>
        <v>9.506113017740347</v>
      </c>
      <c r="F177" s="1">
        <f t="shared" si="71"/>
        <v>-5.8176609345459269</v>
      </c>
      <c r="G177" s="1" t="str">
        <f t="shared" si="72"/>
        <v>242.96333272105+12.2688012966026i</v>
      </c>
      <c r="H177" s="1">
        <f t="shared" si="77"/>
        <v>47.721874694129426</v>
      </c>
      <c r="I177" s="1">
        <f t="shared" si="78"/>
        <v>2.890781726335204</v>
      </c>
      <c r="J177" s="83" t="str">
        <f t="shared" si="73"/>
        <v>134.975372035379-0.103915603207146i</v>
      </c>
      <c r="K177" s="1">
        <f t="shared" si="79"/>
        <v>42.605093238160435</v>
      </c>
      <c r="L177" s="1">
        <f t="shared" si="80"/>
        <v>-4.4111190235657925E-2</v>
      </c>
      <c r="M177" s="1">
        <f t="shared" si="74"/>
        <v>0.76800000000000002</v>
      </c>
      <c r="N177" s="1">
        <f t="shared" si="75"/>
        <v>2.5000000000000001E-2</v>
      </c>
      <c r="O177" s="1" t="str">
        <f t="shared" si="76"/>
        <v>0.625296024307874-25.827303503696i</v>
      </c>
      <c r="P177" s="1">
        <f t="shared" si="81"/>
        <v>28.244126218922275</v>
      </c>
      <c r="Q177" s="1">
        <f t="shared" si="82"/>
        <v>-88.613102387584604</v>
      </c>
      <c r="R177" s="1" t="str">
        <f t="shared" si="83"/>
        <v>22.1395602677941-1.31846492651768i</v>
      </c>
      <c r="S177" s="1">
        <f t="shared" si="84"/>
        <v>26.918754793377872</v>
      </c>
      <c r="T177" s="1">
        <f t="shared" si="85"/>
        <v>-3.408078603456385</v>
      </c>
      <c r="U177" s="1" t="str">
        <f>IMPRODUCT(COMPLEX(-1,0),IMDIV(COMPLEX(1,C177*Calculations!$B$195*Calculations!$B$197),IMPRODUCT(COMPLEX(0,C177*Calculations!$B$184),COMPLEX((Calculations!$B$197+Calculations!$B$199),C177*Calculations!$B$195*Calculations!$B$197*Calculations!$B$199))))</f>
        <v>-0.958767287917651+73.8307699406775i</v>
      </c>
      <c r="V177" s="1">
        <f t="shared" si="86"/>
        <v>37.365480266646308</v>
      </c>
      <c r="W177" s="1">
        <f t="shared" si="87"/>
        <v>90.74400187846129</v>
      </c>
      <c r="X177" s="1" t="str">
        <f t="shared" si="88"/>
        <v>76.1165945109368+1635.84488176108i</v>
      </c>
      <c r="Y177" s="1">
        <f t="shared" si="89"/>
        <v>64.284235060024173</v>
      </c>
      <c r="Z177" s="1">
        <f t="shared" si="90"/>
        <v>87.335923275004902</v>
      </c>
    </row>
    <row r="178" spans="2:26">
      <c r="B178" s="1">
        <v>10</v>
      </c>
      <c r="C178" s="1">
        <f t="shared" si="68"/>
        <v>62.831853071795862</v>
      </c>
      <c r="D178" s="83" t="str">
        <f t="shared" si="69"/>
        <v>2.96494001329142-0.335655303280721i</v>
      </c>
      <c r="E178" s="1">
        <f t="shared" si="70"/>
        <v>9.4956241002239032</v>
      </c>
      <c r="F178" s="1">
        <f t="shared" si="71"/>
        <v>-6.4588491364387473</v>
      </c>
      <c r="G178" s="1" t="str">
        <f t="shared" si="72"/>
        <v>242.966984339105+13.632104306258i</v>
      </c>
      <c r="H178" s="1">
        <f t="shared" si="77"/>
        <v>47.724595274754343</v>
      </c>
      <c r="I178" s="1">
        <f t="shared" si="78"/>
        <v>3.2113169671144162</v>
      </c>
      <c r="J178" s="83" t="str">
        <f t="shared" si="73"/>
        <v>134.976402016067-0.115463379081295i</v>
      </c>
      <c r="K178" s="1">
        <f t="shared" si="79"/>
        <v>42.605160122733629</v>
      </c>
      <c r="L178" s="1">
        <f t="shared" si="80"/>
        <v>-4.9012735538813787E-2</v>
      </c>
      <c r="M178" s="1">
        <f t="shared" si="74"/>
        <v>0.76800000000000002</v>
      </c>
      <c r="N178" s="1">
        <f t="shared" si="75"/>
        <v>2.5000000000000001E-2</v>
      </c>
      <c r="O178" s="1" t="str">
        <f t="shared" si="76"/>
        <v>0.625296020143273-23.2445953969857i</v>
      </c>
      <c r="P178" s="1">
        <f t="shared" si="81"/>
        <v>27.329581448881406</v>
      </c>
      <c r="Q178" s="1">
        <f t="shared" si="82"/>
        <v>-88.45907472095746</v>
      </c>
      <c r="R178" s="1" t="str">
        <f t="shared" si="83"/>
        <v>22.1202681966216-1.46359159537967i</v>
      </c>
      <c r="S178" s="1">
        <f t="shared" si="84"/>
        <v>26.914778949478734</v>
      </c>
      <c r="T178" s="1">
        <f t="shared" si="85"/>
        <v>-3.785468129154598</v>
      </c>
      <c r="U178" s="1" t="str">
        <f>IMPRODUCT(COMPLEX(-1,0),IMDIV(COMPLEX(1,C178*Calculations!$B$195*Calculations!$B$197),IMPRODUCT(COMPLEX(0,C178*Calculations!$B$184),COMPLEX((Calculations!$B$197+Calculations!$B$199),C178*Calculations!$B$195*Calculations!$B$197*Calculations!$B$199))))</f>
        <v>-0.958767270748817+66.4477488713279i</v>
      </c>
      <c r="V178" s="1">
        <f t="shared" si="86"/>
        <v>36.45050952448856</v>
      </c>
      <c r="W178" s="1">
        <f t="shared" si="87"/>
        <v>90.826657145149312</v>
      </c>
      <c r="X178" s="1" t="str">
        <f t="shared" si="88"/>
        <v>76.0441776128677+1471.24526981493i</v>
      </c>
      <c r="Y178" s="1">
        <f t="shared" si="89"/>
        <v>63.365288473967311</v>
      </c>
      <c r="Z178" s="1">
        <f t="shared" si="90"/>
        <v>87.041189015994732</v>
      </c>
    </row>
    <row r="179" spans="2:26">
      <c r="B179" s="1">
        <v>20</v>
      </c>
      <c r="C179" s="1">
        <f t="shared" si="68"/>
        <v>125.66370614359172</v>
      </c>
      <c r="D179" s="83" t="str">
        <f t="shared" si="69"/>
        <v>2.85633728303813-0.646679715502209i</v>
      </c>
      <c r="E179" s="1">
        <f t="shared" si="70"/>
        <v>9.333281858990345</v>
      </c>
      <c r="F179" s="1">
        <f t="shared" si="71"/>
        <v>-12.756804029168705</v>
      </c>
      <c r="G179" s="1" t="str">
        <f t="shared" si="72"/>
        <v>243.024652498328+27.2674574060072i</v>
      </c>
      <c r="H179" s="1">
        <f t="shared" si="77"/>
        <v>47.767338344096572</v>
      </c>
      <c r="I179" s="1">
        <f t="shared" si="78"/>
        <v>6.4018335368438546</v>
      </c>
      <c r="J179" s="83" t="str">
        <f t="shared" si="73"/>
        <v>134.992666924618-0.230977222464963i</v>
      </c>
      <c r="K179" s="1">
        <f t="shared" si="79"/>
        <v>42.606216262146923</v>
      </c>
      <c r="L179" s="1">
        <f t="shared" si="80"/>
        <v>-9.8035007364404528E-2</v>
      </c>
      <c r="M179" s="1">
        <f t="shared" si="74"/>
        <v>0.76800000000000002</v>
      </c>
      <c r="N179" s="1">
        <f t="shared" si="75"/>
        <v>2.5000000000000001E-2</v>
      </c>
      <c r="O179" s="1" t="str">
        <f t="shared" si="76"/>
        <v>0.62529595438645-11.622473306311i</v>
      </c>
      <c r="P179" s="1">
        <f t="shared" si="81"/>
        <v>21.318523660329454</v>
      </c>
      <c r="Q179" s="1">
        <f t="shared" si="82"/>
        <v>-86.920422087132735</v>
      </c>
      <c r="R179" s="1" t="str">
        <f t="shared" si="83"/>
        <v>21.8204822868719-2.884628146794i</v>
      </c>
      <c r="S179" s="1">
        <f t="shared" si="84"/>
        <v>26.852530183389703</v>
      </c>
      <c r="T179" s="1">
        <f t="shared" si="85"/>
        <v>-7.530730719131614</v>
      </c>
      <c r="U179" s="1" t="str">
        <f>IMPRODUCT(COMPLEX(-1,0),IMDIV(COMPLEX(1,C179*Calculations!$B$195*Calculations!$B$197),IMPRODUCT(COMPLEX(0,C179*Calculations!$B$184),COMPLEX((Calculations!$B$197+Calculations!$B$199),C179*Calculations!$B$195*Calculations!$B$197*Calculations!$B$199))))</f>
        <v>-0.95876699966202+33.2243159464624i</v>
      </c>
      <c r="V179" s="1">
        <f t="shared" si="86"/>
        <v>30.432736038281142</v>
      </c>
      <c r="W179" s="1">
        <f t="shared" si="87"/>
        <v>91.65294785214401</v>
      </c>
      <c r="X179" s="1" t="str">
        <f t="shared" si="88"/>
        <v>74.9190386037797+727.736283876661i</v>
      </c>
      <c r="Y179" s="1">
        <f t="shared" si="89"/>
        <v>57.285266221670852</v>
      </c>
      <c r="Z179" s="1">
        <f t="shared" si="90"/>
        <v>84.122217133012413</v>
      </c>
    </row>
    <row r="180" spans="2:26">
      <c r="B180" s="1">
        <v>30</v>
      </c>
      <c r="C180" s="1">
        <f t="shared" si="68"/>
        <v>188.49555921538757</v>
      </c>
      <c r="D180" s="83" t="str">
        <f t="shared" si="69"/>
        <v>2.69202201059176-0.914119989989313i</v>
      </c>
      <c r="E180" s="1">
        <f t="shared" si="70"/>
        <v>9.0755097161941727</v>
      </c>
      <c r="F180" s="1">
        <f t="shared" si="71"/>
        <v>-18.7557566988229</v>
      </c>
      <c r="G180" s="1" t="str">
        <f t="shared" si="72"/>
        <v>243.12081222813+40.9093106420608i</v>
      </c>
      <c r="H180" s="1">
        <f t="shared" si="77"/>
        <v>47.837699920020142</v>
      </c>
      <c r="I180" s="1">
        <f t="shared" si="78"/>
        <v>9.5515362952456329</v>
      </c>
      <c r="J180" s="83" t="str">
        <f t="shared" si="73"/>
        <v>135.019783700057-0.346592053188779i</v>
      </c>
      <c r="K180" s="1">
        <f t="shared" si="79"/>
        <v>42.607976775461196</v>
      </c>
      <c r="L180" s="1">
        <f t="shared" si="80"/>
        <v>-0.14707635946979156</v>
      </c>
      <c r="M180" s="1">
        <f t="shared" si="74"/>
        <v>0.76800000000000002</v>
      </c>
      <c r="N180" s="1">
        <f t="shared" si="75"/>
        <v>2.5000000000000001E-2</v>
      </c>
      <c r="O180" s="1" t="str">
        <f t="shared" si="76"/>
        <v>0.625295844791775-7.74851065728379i</v>
      </c>
      <c r="P180" s="1">
        <f t="shared" si="81"/>
        <v>17.812555573265715</v>
      </c>
      <c r="Q180" s="1">
        <f t="shared" si="82"/>
        <v>-85.386294834958804</v>
      </c>
      <c r="R180" s="1" t="str">
        <f t="shared" si="83"/>
        <v>21.3402012825699-4.22470865537381i</v>
      </c>
      <c r="S180" s="1">
        <f t="shared" si="84"/>
        <v>26.75092782864338</v>
      </c>
      <c r="T180" s="1">
        <f t="shared" si="85"/>
        <v>-11.198023584984158</v>
      </c>
      <c r="U180" s="1" t="str">
        <f>IMPRODUCT(COMPLEX(-1,0),IMDIV(COMPLEX(1,C180*Calculations!$B$195*Calculations!$B$197),IMPRODUCT(COMPLEX(0,C180*Calculations!$B$184),COMPLEX((Calculations!$B$197+Calculations!$B$199),C180*Calculations!$B$195*Calculations!$B$197*Calculations!$B$199))))</f>
        <v>-0.95876654785104+22.1500345314923i</v>
      </c>
      <c r="V180" s="1">
        <f t="shared" si="86"/>
        <v>26.915617481549003</v>
      </c>
      <c r="W180" s="1">
        <f t="shared" si="87"/>
        <v>92.478506636246323</v>
      </c>
      <c r="X180" s="1" t="str">
        <f t="shared" si="88"/>
        <v>73.1171714878884+476.736704651109i</v>
      </c>
      <c r="Y180" s="1">
        <f t="shared" si="89"/>
        <v>53.66654531019239</v>
      </c>
      <c r="Z180" s="1">
        <f t="shared" si="90"/>
        <v>81.280483051262181</v>
      </c>
    </row>
    <row r="181" spans="2:26">
      <c r="B181" s="1">
        <v>40</v>
      </c>
      <c r="C181" s="1">
        <f t="shared" si="68"/>
        <v>251.32741228718345</v>
      </c>
      <c r="D181" s="83" t="str">
        <f t="shared" si="69"/>
        <v>2.4914213810582-1.12783497675754i</v>
      </c>
      <c r="E181" s="1">
        <f t="shared" si="70"/>
        <v>8.7385469575422174</v>
      </c>
      <c r="F181" s="1">
        <f t="shared" si="71"/>
        <v>-24.355661865721604</v>
      </c>
      <c r="G181" s="1" t="str">
        <f t="shared" si="72"/>
        <v>243.255532802657+54.5609204600211i</v>
      </c>
      <c r="H181" s="1">
        <f t="shared" si="77"/>
        <v>47.934421691377203</v>
      </c>
      <c r="I181" s="1">
        <f t="shared" si="78"/>
        <v>12.641912776996849</v>
      </c>
      <c r="J181" s="83" t="str">
        <f t="shared" si="73"/>
        <v>135.057765244771-0.462358511885152i</v>
      </c>
      <c r="K181" s="1">
        <f t="shared" si="79"/>
        <v>42.610442084348321</v>
      </c>
      <c r="L181" s="1">
        <f t="shared" si="80"/>
        <v>-0.19614635127109886</v>
      </c>
      <c r="M181" s="1">
        <f t="shared" si="74"/>
        <v>0.76800000000000002</v>
      </c>
      <c r="N181" s="1">
        <f t="shared" si="75"/>
        <v>2.5000000000000001E-2</v>
      </c>
      <c r="O181" s="1" t="str">
        <f t="shared" si="76"/>
        <v>0.625295691359298-5.811587868607i</v>
      </c>
      <c r="P181" s="1">
        <f t="shared" si="81"/>
        <v>15.335883942587634</v>
      </c>
      <c r="Q181" s="1">
        <f t="shared" si="82"/>
        <v>-83.858906317304601</v>
      </c>
      <c r="R181" s="1" t="str">
        <f t="shared" si="83"/>
        <v>20.7055838507285-5.45291446779993i</v>
      </c>
      <c r="S181" s="1">
        <f t="shared" si="84"/>
        <v>26.612971671522331</v>
      </c>
      <c r="T181" s="1">
        <f t="shared" si="85"/>
        <v>-14.754112373848439</v>
      </c>
      <c r="U181" s="1" t="str">
        <f>IMPRODUCT(COMPLEX(-1,0),IMDIV(COMPLEX(1,C181*Calculations!$B$195*Calculations!$B$197),IMPRODUCT(COMPLEX(0,C181*Calculations!$B$184),COMPLEX((Calculations!$B$197+Calculations!$B$199),C181*Calculations!$B$195*Calculations!$B$197*Calculations!$B$199))))</f>
        <v>-0.958765915316375+16.6130409935798i</v>
      </c>
      <c r="V181" s="1">
        <f t="shared" si="86"/>
        <v>24.423423458551238</v>
      </c>
      <c r="W181" s="1">
        <f t="shared" si="87"/>
        <v>93.302969913359078</v>
      </c>
      <c r="X181" s="1" t="str">
        <f t="shared" si="88"/>
        <v>70.737683535241+349.210781839019i</v>
      </c>
      <c r="Y181" s="1">
        <f t="shared" si="89"/>
        <v>51.036395130073579</v>
      </c>
      <c r="Z181" s="1">
        <f t="shared" si="90"/>
        <v>78.548857539510649</v>
      </c>
    </row>
    <row r="182" spans="2:26">
      <c r="B182" s="1">
        <v>50</v>
      </c>
      <c r="C182" s="1">
        <f t="shared" si="68"/>
        <v>314.15926535897933</v>
      </c>
      <c r="D182" s="83" t="str">
        <f t="shared" si="69"/>
        <v>2.27366259106793-1.28632553048497i</v>
      </c>
      <c r="E182" s="1">
        <f t="shared" si="70"/>
        <v>8.3405015212055229</v>
      </c>
      <c r="F182" s="1">
        <f t="shared" si="71"/>
        <v>-29.499028911422691</v>
      </c>
      <c r="G182" s="1" t="str">
        <f t="shared" si="72"/>
        <v>243.428911360942+68.2255509700505i</v>
      </c>
      <c r="H182" s="1">
        <f t="shared" si="77"/>
        <v>48.055848591128637</v>
      </c>
      <c r="I182" s="1">
        <f t="shared" si="78"/>
        <v>15.656531723150973</v>
      </c>
      <c r="J182" s="83" t="str">
        <f t="shared" si="73"/>
        <v>135.106629643312-0.578327415904113i</v>
      </c>
      <c r="K182" s="1">
        <f t="shared" si="79"/>
        <v>42.613612779615053</v>
      </c>
      <c r="L182" s="1">
        <f t="shared" si="80"/>
        <v>-0.24525456535237772</v>
      </c>
      <c r="M182" s="1">
        <f t="shared" si="74"/>
        <v>0.76800000000000002</v>
      </c>
      <c r="N182" s="1">
        <f t="shared" si="75"/>
        <v>2.5000000000000001E-2</v>
      </c>
      <c r="O182" s="1" t="str">
        <f t="shared" si="76"/>
        <v>0.625295494089073-4.64948102400137i</v>
      </c>
      <c r="P182" s="1">
        <f t="shared" si="81"/>
        <v>13.425937640312922</v>
      </c>
      <c r="Q182" s="1">
        <f t="shared" si="82"/>
        <v>-82.340411879152015</v>
      </c>
      <c r="R182" s="1" t="str">
        <f t="shared" si="83"/>
        <v>19.9482373206036-6.5477560471958i</v>
      </c>
      <c r="S182" s="1">
        <f t="shared" si="84"/>
        <v>26.442467893192916</v>
      </c>
      <c r="T182" s="1">
        <f t="shared" si="85"/>
        <v>-18.171766500130186</v>
      </c>
      <c r="U182" s="1" t="str">
        <f>IMPRODUCT(COMPLEX(-1,0),IMDIV(COMPLEX(1,C182*Calculations!$B$195*Calculations!$B$197),IMPRODUCT(COMPLEX(0,C182*Calculations!$B$184),COMPLEX((Calculations!$B$197+Calculations!$B$199),C182*Calculations!$B$195*Calculations!$B$197*Calculations!$B$199))))</f>
        <v>-0.958765102058756+13.2909626060245i</v>
      </c>
      <c r="V182" s="1">
        <f t="shared" si="86"/>
        <v>22.49366947181208</v>
      </c>
      <c r="W182" s="1">
        <f t="shared" si="87"/>
        <v>94.125976934938322</v>
      </c>
      <c r="X182" s="1" t="str">
        <f t="shared" si="88"/>
        <v>67.9003069860694+271.40903627909i</v>
      </c>
      <c r="Y182" s="1">
        <f t="shared" si="89"/>
        <v>48.936137365004981</v>
      </c>
      <c r="Z182" s="1">
        <f t="shared" si="90"/>
        <v>75.954210434808118</v>
      </c>
    </row>
    <row r="183" spans="2:26">
      <c r="B183" s="1">
        <v>60</v>
      </c>
      <c r="C183" s="1">
        <f t="shared" si="68"/>
        <v>376.99111843077515</v>
      </c>
      <c r="D183" s="83" t="str">
        <f t="shared" si="69"/>
        <v>2.05430254542793-1.39433932289107i</v>
      </c>
      <c r="E183" s="1">
        <f t="shared" si="70"/>
        <v>7.8988666181149148</v>
      </c>
      <c r="F183" s="1">
        <f t="shared" si="71"/>
        <v>-34.166345752246741</v>
      </c>
      <c r="G183" s="1" t="str">
        <f t="shared" si="72"/>
        <v>243.641073062655+81.9064765211281i</v>
      </c>
      <c r="H183" s="1">
        <f t="shared" si="77"/>
        <v>48.200019626452885</v>
      </c>
      <c r="I183" s="1">
        <f t="shared" si="78"/>
        <v>18.581450355690873</v>
      </c>
      <c r="J183" s="83" t="str">
        <f t="shared" si="73"/>
        <v>135.166400183681-0.69454981882591i</v>
      </c>
      <c r="K183" s="1">
        <f t="shared" si="79"/>
        <v>42.617489621671382</v>
      </c>
      <c r="L183" s="1">
        <f t="shared" si="80"/>
        <v>-0.29441061524936224</v>
      </c>
      <c r="M183" s="1">
        <f t="shared" si="74"/>
        <v>0.76800000000000002</v>
      </c>
      <c r="N183" s="1">
        <f t="shared" si="75"/>
        <v>2.5000000000000001E-2</v>
      </c>
      <c r="O183" s="1" t="str">
        <f t="shared" si="76"/>
        <v>0.625295252981193-3.87478215135747i</v>
      </c>
      <c r="P183" s="1">
        <f t="shared" si="81"/>
        <v>11.876597538597</v>
      </c>
      <c r="Q183" s="1">
        <f t="shared" si="82"/>
        <v>-80.83289146620352</v>
      </c>
      <c r="R183" s="1" t="str">
        <f t="shared" si="83"/>
        <v>19.1016640697947-7.49759392231054i</v>
      </c>
      <c r="S183" s="1">
        <f t="shared" si="84"/>
        <v>26.243723339460793</v>
      </c>
      <c r="T183" s="1">
        <f t="shared" si="85"/>
        <v>-21.430503144822637</v>
      </c>
      <c r="U183" s="1" t="str">
        <f>IMPRODUCT(COMPLEX(-1,0),IMDIV(COMPLEX(1,C183*Calculations!$B$195*Calculations!$B$197),IMPRODUCT(COMPLEX(0,C183*Calculations!$B$184),COMPLEX((Calculations!$B$197+Calculations!$B$199),C183*Calculations!$B$195*Calculations!$B$197*Calculations!$B$199))))</f>
        <v>-0.958764108079096+11.0763417931483i</v>
      </c>
      <c r="V183" s="1">
        <f t="shared" si="86"/>
        <v>20.920345496587416</v>
      </c>
      <c r="W183" s="1">
        <f t="shared" si="87"/>
        <v>94.947170704625236</v>
      </c>
      <c r="X183" s="1" t="str">
        <f t="shared" si="88"/>
        <v>64.7319229950397+218.76498400461i</v>
      </c>
      <c r="Y183" s="1">
        <f t="shared" si="89"/>
        <v>47.164068836048223</v>
      </c>
      <c r="Z183" s="1">
        <f t="shared" si="90"/>
        <v>73.516667559802627</v>
      </c>
    </row>
    <row r="184" spans="2:26">
      <c r="B184" s="1">
        <v>70</v>
      </c>
      <c r="C184" s="1">
        <f t="shared" si="68"/>
        <v>439.82297150257102</v>
      </c>
      <c r="D184" s="83" t="str">
        <f t="shared" si="69"/>
        <v>1.84414081345824-1.45990423708428i</v>
      </c>
      <c r="E184" s="1">
        <f t="shared" si="70"/>
        <v>7.42895966373497</v>
      </c>
      <c r="F184" s="1">
        <f t="shared" si="71"/>
        <v>-38.36671046049058</v>
      </c>
      <c r="G184" s="1" t="str">
        <f t="shared" si="72"/>
        <v>243.892171289095+95.6069842919987i</v>
      </c>
      <c r="H184" s="1">
        <f t="shared" si="77"/>
        <v>48.364765773415485</v>
      </c>
      <c r="I184" s="1">
        <f t="shared" si="78"/>
        <v>21.405434610086726</v>
      </c>
      <c r="J184" s="83" t="str">
        <f t="shared" si="73"/>
        <v>135.237105384751-0.811077070497096i</v>
      </c>
      <c r="K184" s="1">
        <f t="shared" si="79"/>
        <v>42.622073541132501</v>
      </c>
      <c r="L184" s="1">
        <f t="shared" si="80"/>
        <v>-0.34362415328615065</v>
      </c>
      <c r="M184" s="1">
        <f t="shared" si="74"/>
        <v>0.76800000000000002</v>
      </c>
      <c r="N184" s="1">
        <f t="shared" si="75"/>
        <v>2.5000000000000001E-2</v>
      </c>
      <c r="O184" s="1" t="str">
        <f t="shared" si="76"/>
        <v>0.625294968035755-3.32145926261432i</v>
      </c>
      <c r="P184" s="1">
        <f t="shared" si="81"/>
        <v>10.577834247811522</v>
      </c>
      <c r="Q184" s="1">
        <f t="shared" si="82"/>
        <v>-79.338333800655803</v>
      </c>
      <c r="R184" s="1" t="str">
        <f t="shared" si="83"/>
        <v>18.1981747128248-8.29976772842642i</v>
      </c>
      <c r="S184" s="1">
        <f t="shared" si="84"/>
        <v>26.021248127853308</v>
      </c>
      <c r="T184" s="1">
        <f t="shared" si="85"/>
        <v>-24.516634897881058</v>
      </c>
      <c r="U184" s="1" t="str">
        <f>IMPRODUCT(COMPLEX(-1,0),IMDIV(COMPLEX(1,C184*Calculations!$B$195*Calculations!$B$197),IMPRODUCT(COMPLEX(0,C184*Calculations!$B$184),COMPLEX((Calculations!$B$197+Calculations!$B$199),C184*Calculations!$B$195*Calculations!$B$197*Calculations!$B$199))))</f>
        <v>-0.958762933378514+9.49455387956564i</v>
      </c>
      <c r="V184" s="1">
        <f t="shared" si="86"/>
        <v>19.593552105131089</v>
      </c>
      <c r="W184" s="1">
        <f t="shared" si="87"/>
        <v>95.766198870846395</v>
      </c>
      <c r="X184" s="1" t="str">
        <f t="shared" si="88"/>
        <v>61.3548565156222+180.74105997433i</v>
      </c>
      <c r="Y184" s="1">
        <f t="shared" si="89"/>
        <v>45.614800232984379</v>
      </c>
      <c r="Z184" s="1">
        <f t="shared" si="90"/>
        <v>71.249563972965291</v>
      </c>
    </row>
    <row r="185" spans="2:26">
      <c r="B185" s="1">
        <v>80</v>
      </c>
      <c r="C185" s="1">
        <f t="shared" si="68"/>
        <v>502.6548245743669</v>
      </c>
      <c r="D185" s="83" t="str">
        <f t="shared" si="69"/>
        <v>1.64954172707832-1.49192318605169i</v>
      </c>
      <c r="E185" s="1">
        <f t="shared" si="70"/>
        <v>6.9432634522834977</v>
      </c>
      <c r="F185" s="1">
        <f t="shared" si="71"/>
        <v>-42.127674261956663</v>
      </c>
      <c r="G185" s="1" t="str">
        <f t="shared" si="72"/>
        <v>244.182387889996+109.330376903087i</v>
      </c>
      <c r="H185" s="1">
        <f t="shared" si="77"/>
        <v>48.547805900337558</v>
      </c>
      <c r="I185" s="1">
        <f t="shared" si="78"/>
        <v>24.1200017922679</v>
      </c>
      <c r="J185" s="83" t="str">
        <f t="shared" si="73"/>
        <v>135.318779029912-0.927960877722547i</v>
      </c>
      <c r="K185" s="1">
        <f t="shared" si="79"/>
        <v>42.627365639557155</v>
      </c>
      <c r="L185" s="1">
        <f t="shared" si="80"/>
        <v>-0.39290487847748679</v>
      </c>
      <c r="M185" s="1">
        <f t="shared" si="74"/>
        <v>0.76800000000000002</v>
      </c>
      <c r="N185" s="1">
        <f t="shared" si="75"/>
        <v>2.5000000000000001E-2</v>
      </c>
      <c r="O185" s="1" t="str">
        <f t="shared" si="76"/>
        <v>0.625294639252882-2.90649636372912i</v>
      </c>
      <c r="P185" s="1">
        <f t="shared" si="81"/>
        <v>9.4638910585995912</v>
      </c>
      <c r="Q185" s="1">
        <f t="shared" si="82"/>
        <v>-77.858622398857946</v>
      </c>
      <c r="R185" s="1" t="str">
        <f t="shared" si="83"/>
        <v>17.2666546397979-8.95888856870624i</v>
      </c>
      <c r="S185" s="1">
        <f t="shared" si="84"/>
        <v>25.779500337705898</v>
      </c>
      <c r="T185" s="1">
        <f t="shared" si="85"/>
        <v>-27.422763274611938</v>
      </c>
      <c r="U185" s="1" t="str">
        <f>IMPRODUCT(COMPLEX(-1,0),IMDIV(COMPLEX(1,C185*Calculations!$B$195*Calculations!$B$197),IMPRODUCT(COMPLEX(0,C185*Calculations!$B$184),COMPLEX((Calculations!$B$197+Calculations!$B$199),C185*Calculations!$B$195*Calculations!$B$197*Calculations!$B$199))))</f>
        <v>-0.958761577958347+8.30828652750058i</v>
      </c>
      <c r="V185" s="1">
        <f t="shared" si="86"/>
        <v>18.447681536313098</v>
      </c>
      <c r="W185" s="1">
        <f t="shared" si="87"/>
        <v>96.582714589918041</v>
      </c>
      <c r="X185" s="1" t="str">
        <f t="shared" si="88"/>
        <v>57.8784081482466+152.045752259724i</v>
      </c>
      <c r="Y185" s="1">
        <f t="shared" si="89"/>
        <v>44.227181874018989</v>
      </c>
      <c r="Z185" s="1">
        <f t="shared" si="90"/>
        <v>69.159951315306088</v>
      </c>
    </row>
    <row r="186" spans="2:26">
      <c r="B186" s="1">
        <v>90</v>
      </c>
      <c r="C186" s="1">
        <f t="shared" si="68"/>
        <v>565.48667764616278</v>
      </c>
      <c r="D186" s="83" t="str">
        <f t="shared" si="69"/>
        <v>1.47344848547361-1.49869434078154i</v>
      </c>
      <c r="E186" s="1">
        <f t="shared" si="70"/>
        <v>6.4514068907924997</v>
      </c>
      <c r="F186" s="1">
        <f t="shared" si="71"/>
        <v>-45.486667787242226</v>
      </c>
      <c r="G186" s="1" t="str">
        <f t="shared" si="72"/>
        <v>244.511933476839+123.079975053688i</v>
      </c>
      <c r="H186" s="1">
        <f t="shared" si="77"/>
        <v>48.746833547254539</v>
      </c>
      <c r="I186" s="1">
        <f t="shared" si="78"/>
        <v>26.719312860896782</v>
      </c>
      <c r="J186" s="83" t="str">
        <f t="shared" si="73"/>
        <v>135.411460207016-1.04525336574396i</v>
      </c>
      <c r="K186" s="1">
        <f t="shared" si="79"/>
        <v>42.633367190323668</v>
      </c>
      <c r="L186" s="1">
        <f t="shared" si="80"/>
        <v>-0.44226254450770636</v>
      </c>
      <c r="M186" s="1">
        <f t="shared" si="74"/>
        <v>0.76800000000000002</v>
      </c>
      <c r="N186" s="1">
        <f t="shared" si="75"/>
        <v>2.5000000000000001E-2</v>
      </c>
      <c r="O186" s="1" t="str">
        <f t="shared" si="76"/>
        <v>0.625294266632711-2.58377345800046i</v>
      </c>
      <c r="P186" s="1">
        <f t="shared" si="81"/>
        <v>8.4922760630136658</v>
      </c>
      <c r="Q186" s="1">
        <f t="shared" si="82"/>
        <v>-76.395523638330474</v>
      </c>
      <c r="R186" s="1" t="str">
        <f t="shared" si="83"/>
        <v>16.3312854813779-9.48478767985067i</v>
      </c>
      <c r="S186" s="1">
        <f t="shared" si="84"/>
        <v>25.522691178672709</v>
      </c>
      <c r="T186" s="1">
        <f t="shared" si="85"/>
        <v>-30.146910303399597</v>
      </c>
      <c r="U186" s="1" t="str">
        <f>IMPRODUCT(COMPLEX(-1,0),IMDIV(COMPLEX(1,C186*Calculations!$B$195*Calculations!$B$197),IMPRODUCT(COMPLEX(0,C186*Calculations!$B$184),COMPLEX((Calculations!$B$197+Calculations!$B$199),C186*Calculations!$B$195*Calculations!$B$197*Calculations!$B$199))))</f>
        <v>-0.958760041820123+7.38569954922567i</v>
      </c>
      <c r="V186" s="1">
        <f t="shared" si="86"/>
        <v>17.440407737803707</v>
      </c>
      <c r="W186" s="1">
        <f t="shared" si="87"/>
        <v>97.396377354535318</v>
      </c>
      <c r="X186" s="1" t="str">
        <f t="shared" si="88"/>
        <v>54.394008140472+129.711603250677i</v>
      </c>
      <c r="Y186" s="1">
        <f t="shared" si="89"/>
        <v>42.963098916476412</v>
      </c>
      <c r="Z186" s="1">
        <f t="shared" si="90"/>
        <v>67.249467051135724</v>
      </c>
    </row>
    <row r="187" spans="2:26">
      <c r="B187" s="1">
        <v>100</v>
      </c>
      <c r="C187" s="1">
        <f t="shared" si="68"/>
        <v>628.31853071795865</v>
      </c>
      <c r="D187" s="83" t="str">
        <f t="shared" si="69"/>
        <v>1.31649541880233-1.48723266078047i</v>
      </c>
      <c r="E187" s="1">
        <f t="shared" si="70"/>
        <v>5.9604933864037442</v>
      </c>
      <c r="F187" s="1">
        <f t="shared" si="71"/>
        <v>-48.484809324049472</v>
      </c>
      <c r="G187" s="1" t="str">
        <f t="shared" si="72"/>
        <v>244.881047763496+136.859120188812i</v>
      </c>
      <c r="H187" s="1">
        <f t="shared" si="77"/>
        <v>48.959589845258591</v>
      </c>
      <c r="I187" s="1">
        <f t="shared" si="78"/>
        <v>29.199951594267375</v>
      </c>
      <c r="J187" s="83" t="str">
        <f t="shared" si="73"/>
        <v>135.515193354684-1.16300714066524i</v>
      </c>
      <c r="K187" s="1">
        <f t="shared" si="79"/>
        <v>42.640079639643673</v>
      </c>
      <c r="L187" s="1">
        <f t="shared" si="80"/>
        <v>-0.49170696780917678</v>
      </c>
      <c r="M187" s="1">
        <f t="shared" si="74"/>
        <v>0.76800000000000002</v>
      </c>
      <c r="N187" s="1">
        <f t="shared" si="75"/>
        <v>2.5000000000000001E-2</v>
      </c>
      <c r="O187" s="1" t="str">
        <f t="shared" si="76"/>
        <v>0.625293850175395-2.32561854739768i</v>
      </c>
      <c r="P187" s="1">
        <f t="shared" si="81"/>
        <v>7.6339010548742188</v>
      </c>
      <c r="Q187" s="1">
        <f t="shared" si="82"/>
        <v>-74.950677010454768</v>
      </c>
      <c r="R187" s="1" t="str">
        <f t="shared" si="83"/>
        <v>15.4111088987665-9.89051924857561i</v>
      </c>
      <c r="S187" s="1">
        <f t="shared" si="84"/>
        <v>25.254654780109703</v>
      </c>
      <c r="T187" s="1">
        <f t="shared" si="85"/>
        <v>-32.691477463206326</v>
      </c>
      <c r="U187" s="1" t="str">
        <f>IMPRODUCT(COMPLEX(-1,0),IMDIV(COMPLEX(1,C187*Calculations!$B$195*Calculations!$B$197),IMPRODUCT(COMPLEX(0,C187*Calculations!$B$184),COMPLEX((Calculations!$B$197+Calculations!$B$199),C187*Calculations!$B$195*Calculations!$B$197*Calculations!$B$199))))</f>
        <v>-0.958758324965578+6.64768883203806i</v>
      </c>
      <c r="V187" s="1">
        <f t="shared" si="86"/>
        <v>16.542823036185283</v>
      </c>
      <c r="W187" s="1">
        <f t="shared" si="87"/>
        <v>98.206853782929059</v>
      </c>
      <c r="X187" s="1" t="str">
        <f t="shared" si="88"/>
        <v>50.9735653981701+111.930874183457i</v>
      </c>
      <c r="Y187" s="1">
        <f t="shared" si="89"/>
        <v>41.797477816295014</v>
      </c>
      <c r="Z187" s="1">
        <f t="shared" si="90"/>
        <v>65.515376319722805</v>
      </c>
    </row>
    <row r="188" spans="2:26">
      <c r="B188" s="1">
        <v>200</v>
      </c>
      <c r="C188" s="1">
        <f t="shared" si="68"/>
        <v>1256.6370614359173</v>
      </c>
      <c r="D188" s="83" t="str">
        <f t="shared" si="69"/>
        <v>0.492970143340599-1.10672578157762i</v>
      </c>
      <c r="E188" s="1">
        <f t="shared" si="70"/>
        <v>1.6668508495505285</v>
      </c>
      <c r="F188" s="1">
        <f t="shared" si="71"/>
        <v>-65.990319213111874</v>
      </c>
      <c r="G188" s="1" t="str">
        <f t="shared" si="72"/>
        <v>250.822946159039+277.031146830435i</v>
      </c>
      <c r="H188" s="1">
        <f t="shared" si="77"/>
        <v>51.450670828577152</v>
      </c>
      <c r="I188" s="1">
        <f t="shared" si="78"/>
        <v>47.842427886818491</v>
      </c>
      <c r="J188" s="83" t="str">
        <f t="shared" si="73"/>
        <v>137.174111495037-2.37796413729218i</v>
      </c>
      <c r="K188" s="1">
        <f t="shared" si="79"/>
        <v>42.746748041652467</v>
      </c>
      <c r="L188" s="1">
        <f t="shared" si="80"/>
        <v>-0.9931441272089675</v>
      </c>
      <c r="M188" s="1">
        <f t="shared" si="74"/>
        <v>0.76800000000000002</v>
      </c>
      <c r="N188" s="1">
        <f t="shared" si="75"/>
        <v>2.5000000000000001E-2</v>
      </c>
      <c r="O188" s="1" t="str">
        <f t="shared" si="76"/>
        <v>0.625287274607126-1.16456532140938i</v>
      </c>
      <c r="P188" s="1">
        <f t="shared" si="81"/>
        <v>2.4234176685537996</v>
      </c>
      <c r="Q188" s="1">
        <f t="shared" si="82"/>
        <v>-61.767420928654325</v>
      </c>
      <c r="R188" s="1" t="str">
        <f t="shared" si="83"/>
        <v>8.53305924651221-10.2250552385191i</v>
      </c>
      <c r="S188" s="1">
        <f t="shared" si="84"/>
        <v>22.488675675437175</v>
      </c>
      <c r="T188" s="1">
        <f t="shared" si="85"/>
        <v>-50.154174052862494</v>
      </c>
      <c r="U188" s="1" t="str">
        <f>IMPRODUCT(COMPLEX(-1,0),IMDIV(COMPLEX(1,C188*Calculations!$B$195*Calculations!$B$197),IMPRODUCT(COMPLEX(0,C188*Calculations!$B$184),COMPLEX((Calculations!$B$197+Calculations!$B$199),C188*Calculations!$B$195*Calculations!$B$197*Calculations!$B$199))))</f>
        <v>-0.958731217550898+3.32825931803441i</v>
      </c>
      <c r="V188" s="1">
        <f t="shared" si="86"/>
        <v>10.790536763119732</v>
      </c>
      <c r="W188" s="1">
        <f t="shared" si="87"/>
        <v>106.0694610897943</v>
      </c>
      <c r="X188" s="1" t="str">
        <f t="shared" si="88"/>
        <v>25.8507250941752+38.2033136068945i</v>
      </c>
      <c r="Y188" s="1">
        <f t="shared" si="89"/>
        <v>33.279212438556904</v>
      </c>
      <c r="Z188" s="1">
        <f t="shared" si="90"/>
        <v>55.915287036931737</v>
      </c>
    </row>
    <row r="189" spans="2:26">
      <c r="B189" s="1">
        <v>300</v>
      </c>
      <c r="C189" s="1">
        <f t="shared" si="68"/>
        <v>1884.9555921538758</v>
      </c>
      <c r="D189" s="83" t="str">
        <f t="shared" si="69"/>
        <v>0.24343231080252-0.8111681405252i</v>
      </c>
      <c r="E189" s="1">
        <f t="shared" si="70"/>
        <v>-1.4432760106827682</v>
      </c>
      <c r="F189" s="1">
        <f t="shared" si="71"/>
        <v>-73.295450700060584</v>
      </c>
      <c r="G189" s="1" t="str">
        <f t="shared" si="72"/>
        <v>261.223356926026+424.09815776793i</v>
      </c>
      <c r="H189" s="1">
        <f t="shared" si="77"/>
        <v>53.946213195854057</v>
      </c>
      <c r="I189" s="1">
        <f t="shared" si="78"/>
        <v>58.368998029431353</v>
      </c>
      <c r="J189" s="83" t="str">
        <f t="shared" si="73"/>
        <v>140.029775446139-3.70314412421226i</v>
      </c>
      <c r="K189" s="1">
        <f t="shared" si="79"/>
        <v>42.927444065326711</v>
      </c>
      <c r="L189" s="1">
        <f t="shared" si="80"/>
        <v>-1.5148570168582909</v>
      </c>
      <c r="M189" s="1">
        <f t="shared" si="74"/>
        <v>0.76800000000000002</v>
      </c>
      <c r="N189" s="1">
        <f t="shared" si="75"/>
        <v>2.5000000000000001E-2</v>
      </c>
      <c r="O189" s="1" t="str">
        <f t="shared" si="76"/>
        <v>0.625276315634001-0.7783279903477i</v>
      </c>
      <c r="P189" s="1">
        <f t="shared" si="81"/>
        <v>-1.4072499234741123E-2</v>
      </c>
      <c r="Q189" s="1">
        <f t="shared" si="82"/>
        <v>-51.223053832088773</v>
      </c>
      <c r="R189" s="1" t="str">
        <f t="shared" si="83"/>
        <v>5.2162922458701-8.75307504193158i</v>
      </c>
      <c r="S189" s="1">
        <f t="shared" si="84"/>
        <v>20.163062376719019</v>
      </c>
      <c r="T189" s="1">
        <f t="shared" si="85"/>
        <v>-59.207668509747293</v>
      </c>
      <c r="U189" s="1" t="str">
        <f>IMPRODUCT(COMPLEX(-1,0),IMDIV(COMPLEX(1,C189*Calculations!$B$195*Calculations!$B$197),IMPRODUCT(COMPLEX(0,C189*Calculations!$B$184),COMPLEX((Calculations!$B$197+Calculations!$B$199),C189*Calculations!$B$195*Calculations!$B$197*Calculations!$B$199))))</f>
        <v>-0.95868604193259+2.22374462220694i</v>
      </c>
      <c r="V189" s="1">
        <f t="shared" si="86"/>
        <v>7.6820278013522367</v>
      </c>
      <c r="W189" s="1">
        <f t="shared" si="87"/>
        <v>113.32152008391775</v>
      </c>
      <c r="X189" s="1" t="str">
        <f t="shared" si="88"/>
        <v>14.4638169855123+19.9911526963017i</v>
      </c>
      <c r="Y189" s="1">
        <f t="shared" si="89"/>
        <v>27.845090178071253</v>
      </c>
      <c r="Z189" s="1">
        <f t="shared" si="90"/>
        <v>54.113851574170361</v>
      </c>
    </row>
    <row r="190" spans="2:26">
      <c r="B190" s="1">
        <v>400</v>
      </c>
      <c r="C190" s="1">
        <f t="shared" si="68"/>
        <v>2513.2741228718346</v>
      </c>
      <c r="D190" s="83" t="str">
        <f t="shared" si="69"/>
        <v>0.143949672988574-0.63030808920523i</v>
      </c>
      <c r="E190" s="1">
        <f t="shared" si="70"/>
        <v>-3.7881354081816281</v>
      </c>
      <c r="F190" s="1">
        <f t="shared" si="71"/>
        <v>-77.135429988927072</v>
      </c>
      <c r="G190" s="1" t="str">
        <f t="shared" si="72"/>
        <v>276.918366399236+582.2271206006i</v>
      </c>
      <c r="H190" s="1">
        <f t="shared" si="77"/>
        <v>56.187509817105628</v>
      </c>
      <c r="I190" s="1">
        <f t="shared" si="78"/>
        <v>64.563344825692411</v>
      </c>
      <c r="J190" s="83" t="str">
        <f t="shared" si="73"/>
        <v>144.230300477513-5.21097140425014i</v>
      </c>
      <c r="K190" s="1">
        <f t="shared" si="79"/>
        <v>43.186795497907497</v>
      </c>
      <c r="L190" s="1">
        <f t="shared" si="80"/>
        <v>-2.069168952278837</v>
      </c>
      <c r="M190" s="1">
        <f t="shared" si="74"/>
        <v>0.76800000000000002</v>
      </c>
      <c r="N190" s="1">
        <f t="shared" si="75"/>
        <v>2.5000000000000001E-2</v>
      </c>
      <c r="O190" s="1" t="str">
        <f t="shared" si="76"/>
        <v>0.625260973716968-0.58579457146817i</v>
      </c>
      <c r="P190" s="1">
        <f t="shared" si="81"/>
        <v>-1.3424089195643694</v>
      </c>
      <c r="Q190" s="1">
        <f t="shared" si="82"/>
        <v>-43.133480904175642</v>
      </c>
      <c r="R190" s="1" t="str">
        <f t="shared" si="83"/>
        <v>3.50070121332067-7.44565281101199i</v>
      </c>
      <c r="S190" s="1">
        <f t="shared" si="84"/>
        <v>18.305415465700488</v>
      </c>
      <c r="T190" s="1">
        <f t="shared" si="85"/>
        <v>-64.818632712770039</v>
      </c>
      <c r="U190" s="1" t="str">
        <f>IMPRODUCT(COMPLEX(-1,0),IMDIV(COMPLEX(1,C190*Calculations!$B$195*Calculations!$B$197),IMPRODUCT(COMPLEX(0,C190*Calculations!$B$184),COMPLEX((Calculations!$B$197+Calculations!$B$199),C190*Calculations!$B$195*Calculations!$B$197*Calculations!$B$199))))</f>
        <v>-0.95862280321886+1.67295821494359i</v>
      </c>
      <c r="V190" s="1">
        <f t="shared" si="86"/>
        <v>5.7027981640392325</v>
      </c>
      <c r="W190" s="1">
        <f t="shared" si="87"/>
        <v>119.81316635593463</v>
      </c>
      <c r="X190" s="1" t="str">
        <f t="shared" si="88"/>
        <v>9.10041402545522+12.9940994223745i</v>
      </c>
      <c r="Y190" s="1">
        <f t="shared" si="89"/>
        <v>24.008213629739718</v>
      </c>
      <c r="Z190" s="1">
        <f t="shared" si="90"/>
        <v>54.99453364316458</v>
      </c>
    </row>
    <row r="191" spans="2:26">
      <c r="B191" s="1">
        <v>500</v>
      </c>
      <c r="C191" s="1">
        <f t="shared" si="68"/>
        <v>3141.5926535897929</v>
      </c>
      <c r="D191" s="83" t="str">
        <f t="shared" si="69"/>
        <v>0.0954339194898609-0.512803113959996i</v>
      </c>
      <c r="E191" s="1">
        <f t="shared" si="70"/>
        <v>-5.6531189421768078</v>
      </c>
      <c r="F191" s="1">
        <f t="shared" si="71"/>
        <v>-79.457718104941137</v>
      </c>
      <c r="G191" s="1" t="str">
        <f t="shared" si="72"/>
        <v>299.288104841677+756.592769465822i</v>
      </c>
      <c r="H191" s="1">
        <f t="shared" si="77"/>
        <v>58.208619180863451</v>
      </c>
      <c r="I191" s="1">
        <f t="shared" si="78"/>
        <v>68.417557814675448</v>
      </c>
      <c r="J191" s="83" t="str">
        <f t="shared" si="73"/>
        <v>150.009797058781-6.99946041499715i</v>
      </c>
      <c r="K191" s="1">
        <f t="shared" si="79"/>
        <v>43.531837468005612</v>
      </c>
      <c r="L191" s="1">
        <f t="shared" si="80"/>
        <v>-2.6714847030111577</v>
      </c>
      <c r="M191" s="1">
        <f t="shared" si="74"/>
        <v>0.76800000000000002</v>
      </c>
      <c r="N191" s="1">
        <f t="shared" si="75"/>
        <v>2.5000000000000001E-2</v>
      </c>
      <c r="O191" s="1" t="str">
        <f t="shared" si="76"/>
        <v>0.625241249501275-0.47074264853329i</v>
      </c>
      <c r="P191" s="1">
        <f t="shared" si="81"/>
        <v>-2.12875995804486</v>
      </c>
      <c r="Q191" s="1">
        <f t="shared" si="82"/>
        <v>-36.976003631586352</v>
      </c>
      <c r="R191" s="1" t="str">
        <f t="shared" si="83"/>
        <v>2.49308265862352-6.42928443059861i</v>
      </c>
      <c r="S191" s="1">
        <f t="shared" si="84"/>
        <v>16.771611107349859</v>
      </c>
      <c r="T191" s="1">
        <f t="shared" si="85"/>
        <v>-68.805208974199246</v>
      </c>
      <c r="U191" s="1" t="str">
        <f>IMPRODUCT(COMPLEX(-1,0),IMDIV(COMPLEX(1,C191*Calculations!$B$195*Calculations!$B$197),IMPRODUCT(COMPLEX(0,C191*Calculations!$B$184),COMPLEX((Calculations!$B$197+Calculations!$B$199),C191*Calculations!$B$195*Calculations!$B$197*Calculations!$B$199))))</f>
        <v>-0.958541508559205+1.34366265734012i</v>
      </c>
      <c r="V191" s="1">
        <f t="shared" si="86"/>
        <v>4.3524395618124858</v>
      </c>
      <c r="W191" s="1">
        <f t="shared" si="87"/>
        <v>125.50328532040179</v>
      </c>
      <c r="X191" s="1" t="str">
        <f t="shared" si="88"/>
        <v>6.24906619025381+9.51259806711685i</v>
      </c>
      <c r="Y191" s="1">
        <f t="shared" si="89"/>
        <v>21.124050669162347</v>
      </c>
      <c r="Z191" s="1">
        <f t="shared" si="90"/>
        <v>56.698076346202548</v>
      </c>
    </row>
    <row r="192" spans="2:26">
      <c r="B192" s="1">
        <v>600</v>
      </c>
      <c r="C192" s="1">
        <f t="shared" si="68"/>
        <v>3769.9111843077517</v>
      </c>
      <c r="D192" s="83" t="str">
        <f t="shared" si="69"/>
        <v>0.0683831242430918-0.431311681365876i</v>
      </c>
      <c r="E192" s="1">
        <f t="shared" si="70"/>
        <v>-7.1963560158359696</v>
      </c>
      <c r="F192" s="1">
        <f t="shared" si="71"/>
        <v>-80.99092051129935</v>
      </c>
      <c r="G192" s="1" t="str">
        <f t="shared" si="72"/>
        <v>330.54957046488+954.003025281572i</v>
      </c>
      <c r="H192" s="1">
        <f t="shared" si="77"/>
        <v>60.08338149628203</v>
      </c>
      <c r="I192" s="1">
        <f t="shared" si="78"/>
        <v>70.889467982362078</v>
      </c>
      <c r="J192" s="83" t="str">
        <f t="shared" si="73"/>
        <v>157.723101707932-9.21094772982247i</v>
      </c>
      <c r="K192" s="1">
        <f t="shared" si="79"/>
        <v>43.972692594142032</v>
      </c>
      <c r="L192" s="1">
        <f t="shared" si="80"/>
        <v>-3.3422478209511355</v>
      </c>
      <c r="M192" s="1">
        <f t="shared" si="74"/>
        <v>0.76800000000000002</v>
      </c>
      <c r="N192" s="1">
        <f t="shared" si="75"/>
        <v>2.5000000000000001E-2</v>
      </c>
      <c r="O192" s="1" t="str">
        <f t="shared" si="76"/>
        <v>0.62521714381644-0.394431399729446i</v>
      </c>
      <c r="P192" s="1">
        <f t="shared" si="81"/>
        <v>-2.6243160380562309</v>
      </c>
      <c r="Q192" s="1">
        <f t="shared" si="82"/>
        <v>-32.246641250727336</v>
      </c>
      <c r="R192" s="1" t="str">
        <f t="shared" si="83"/>
        <v>1.8459405894918-5.6361209929863i</v>
      </c>
      <c r="S192" s="1">
        <f t="shared" si="84"/>
        <v>15.462138139563141</v>
      </c>
      <c r="T192" s="1">
        <f t="shared" si="85"/>
        <v>-71.865359802131778</v>
      </c>
      <c r="U192" s="1" t="str">
        <f>IMPRODUCT(COMPLEX(-1,0),IMDIV(COMPLEX(1,C192*Calculations!$B$195*Calculations!$B$197),IMPRODUCT(COMPLEX(0,C192*Calculations!$B$184),COMPLEX((Calculations!$B$197+Calculations!$B$199),C192*Calculations!$B$195*Calculations!$B$197*Calculations!$B$199))))</f>
        <v>-0.958442167142346+1.12511202571988i</v>
      </c>
      <c r="V192" s="1">
        <f t="shared" si="86"/>
        <v>3.3934975444100384</v>
      </c>
      <c r="W192" s="1">
        <f t="shared" si="87"/>
        <v>130.42647430847225</v>
      </c>
      <c r="X192" s="1" t="str">
        <f t="shared" si="88"/>
        <v>4.57204020861262+7.47878597479593i</v>
      </c>
      <c r="Y192" s="1">
        <f t="shared" si="89"/>
        <v>18.85563568397318</v>
      </c>
      <c r="Z192" s="1">
        <f t="shared" si="90"/>
        <v>58.561114506340473</v>
      </c>
    </row>
    <row r="193" spans="2:26">
      <c r="B193" s="1">
        <v>700</v>
      </c>
      <c r="C193" s="1">
        <f t="shared" si="68"/>
        <v>4398.22971502571</v>
      </c>
      <c r="D193" s="83" t="str">
        <f t="shared" si="69"/>
        <v>0.0518277274422973-0.371781332417268i</v>
      </c>
      <c r="E193" s="1">
        <f t="shared" si="70"/>
        <v>-8.5106597520427876</v>
      </c>
      <c r="F193" s="1">
        <f t="shared" si="71"/>
        <v>-82.063895891533562</v>
      </c>
      <c r="G193" s="1" t="str">
        <f t="shared" si="72"/>
        <v>374.302734815165+1183.89567531925i</v>
      </c>
      <c r="H193" s="1">
        <f t="shared" si="77"/>
        <v>61.880031139895493</v>
      </c>
      <c r="I193" s="1">
        <f t="shared" si="78"/>
        <v>72.455028956208707</v>
      </c>
      <c r="J193" s="83" t="str">
        <f t="shared" si="73"/>
        <v>167.905542949035-12.065428533424i</v>
      </c>
      <c r="K193" s="1">
        <f t="shared" si="79"/>
        <v>44.523668345785268</v>
      </c>
      <c r="L193" s="1">
        <f t="shared" si="80"/>
        <v>-4.1101200330389034</v>
      </c>
      <c r="M193" s="1">
        <f t="shared" si="74"/>
        <v>0.76800000000000002</v>
      </c>
      <c r="N193" s="1">
        <f t="shared" si="75"/>
        <v>2.5000000000000001E-2</v>
      </c>
      <c r="O193" s="1" t="str">
        <f t="shared" si="76"/>
        <v>0.625188657676108-0.340257601656488i</v>
      </c>
      <c r="P193" s="1">
        <f t="shared" si="81"/>
        <v>-2.9530387394733451</v>
      </c>
      <c r="Q193" s="1">
        <f t="shared" si="82"/>
        <v>-28.557148842120757</v>
      </c>
      <c r="R193" s="1" t="str">
        <f t="shared" si="83"/>
        <v>1.40482909472454-5.00469796191484i</v>
      </c>
      <c r="S193" s="1">
        <f t="shared" si="84"/>
        <v>14.316941281368516</v>
      </c>
      <c r="T193" s="1">
        <f t="shared" si="85"/>
        <v>-74.320458933645497</v>
      </c>
      <c r="U193" s="1" t="str">
        <f>IMPRODUCT(COMPLEX(-1,0),IMDIV(COMPLEX(1,C193*Calculations!$B$195*Calculations!$B$197),IMPRODUCT(COMPLEX(0,C193*Calculations!$B$184),COMPLEX((Calculations!$B$197+Calculations!$B$199),C193*Calculations!$B$195*Calculations!$B$197*Calculations!$B$199))))</f>
        <v>-0.958324790193658+0.969843686592063i</v>
      </c>
      <c r="V193" s="1">
        <f t="shared" si="86"/>
        <v>2.6927546029367377</v>
      </c>
      <c r="W193" s="1">
        <f t="shared" si="87"/>
        <v>134.65771855258168</v>
      </c>
      <c r="X193" s="1" t="str">
        <f t="shared" si="88"/>
        <v>3.50749217420343+6.15859075259411i</v>
      </c>
      <c r="Y193" s="1">
        <f t="shared" si="89"/>
        <v>17.009695884305255</v>
      </c>
      <c r="Z193" s="1">
        <f t="shared" si="90"/>
        <v>60.337259618936223</v>
      </c>
    </row>
    <row r="194" spans="2:26">
      <c r="B194" s="1">
        <v>800</v>
      </c>
      <c r="C194" s="1">
        <f t="shared" si="68"/>
        <v>5026.5482457436692</v>
      </c>
      <c r="D194" s="83" t="str">
        <f t="shared" si="69"/>
        <v>0.0409823102922362-0.326504158458536i</v>
      </c>
      <c r="E194" s="1">
        <f t="shared" si="70"/>
        <v>-9.654336433131002</v>
      </c>
      <c r="F194" s="1">
        <f t="shared" si="71"/>
        <v>-82.845735034435378</v>
      </c>
      <c r="G194" s="1" t="str">
        <f t="shared" si="72"/>
        <v>436.591815076296+1460.02935978979i</v>
      </c>
      <c r="H194" s="1">
        <f t="shared" si="77"/>
        <v>63.659179751669654</v>
      </c>
      <c r="I194" s="1">
        <f t="shared" si="78"/>
        <v>73.351784890285089</v>
      </c>
      <c r="J194" s="83" t="str">
        <f t="shared" si="73"/>
        <v>181.378098589477-15.9243880586974i</v>
      </c>
      <c r="K194" s="1">
        <f t="shared" si="79"/>
        <v>45.20504503915123</v>
      </c>
      <c r="L194" s="1">
        <f t="shared" si="80"/>
        <v>-5.0175113797691937</v>
      </c>
      <c r="M194" s="1">
        <f t="shared" si="74"/>
        <v>0.76800000000000002</v>
      </c>
      <c r="N194" s="1">
        <f t="shared" si="75"/>
        <v>2.5000000000000001E-2</v>
      </c>
      <c r="O194" s="1" t="str">
        <f t="shared" si="76"/>
        <v>0.625155792277998-0.299919630326437i</v>
      </c>
      <c r="P194" s="1">
        <f t="shared" si="81"/>
        <v>-3.1806124058716052</v>
      </c>
      <c r="Q194" s="1">
        <f t="shared" si="82"/>
        <v>-25.629447848474328</v>
      </c>
      <c r="R194" s="1" t="str">
        <f t="shared" si="83"/>
        <v>1.09114934631036-4.49229281810937i</v>
      </c>
      <c r="S194" s="1">
        <f t="shared" si="84"/>
        <v>13.298309744973263</v>
      </c>
      <c r="T194" s="1">
        <f t="shared" si="85"/>
        <v>-76.347606313658531</v>
      </c>
      <c r="U194" s="1" t="str">
        <f>IMPRODUCT(COMPLEX(-1,0),IMDIV(COMPLEX(1,C194*Calculations!$B$195*Calculations!$B$197),IMPRODUCT(COMPLEX(0,C194*Calculations!$B$184),COMPLEX((Calculations!$B$197+Calculations!$B$199),C194*Calculations!$B$195*Calculations!$B$197*Calculations!$B$199))))</f>
        <v>-0.958189390972003+0.854126240414617i</v>
      </c>
      <c r="V194" s="1">
        <f t="shared" si="86"/>
        <v>2.1686721462874865</v>
      </c>
      <c r="W194" s="1">
        <f t="shared" si="87"/>
        <v>138.28631469802269</v>
      </c>
      <c r="X194" s="1" t="str">
        <f t="shared" si="88"/>
        <v>2.79145744797272+5.23644660834706i</v>
      </c>
      <c r="Y194" s="1">
        <f t="shared" si="89"/>
        <v>15.466981891260758</v>
      </c>
      <c r="Z194" s="1">
        <f t="shared" si="90"/>
        <v>61.93870838436419</v>
      </c>
    </row>
    <row r="195" spans="2:26">
      <c r="B195" s="1">
        <v>900</v>
      </c>
      <c r="C195" s="1">
        <f t="shared" si="68"/>
        <v>5654.8667764616275</v>
      </c>
      <c r="D195" s="83" t="str">
        <f t="shared" si="69"/>
        <v>0.0335005520835862-0.290958999311662i</v>
      </c>
      <c r="E195" s="1">
        <f t="shared" si="70"/>
        <v>-10.666168628352864</v>
      </c>
      <c r="F195" s="1">
        <f t="shared" si="71"/>
        <v>-83.431977792184256</v>
      </c>
      <c r="G195" s="1" t="str">
        <f t="shared" si="72"/>
        <v>528.103214979476+1803.53014841462i</v>
      </c>
      <c r="H195" s="1">
        <f t="shared" si="77"/>
        <v>65.479732300129953</v>
      </c>
      <c r="I195" s="1">
        <f t="shared" si="78"/>
        <v>73.679103511301321</v>
      </c>
      <c r="J195" s="83" t="str">
        <f t="shared" si="73"/>
        <v>199.440304126036-21.422777148417i</v>
      </c>
      <c r="K195" s="1">
        <f t="shared" si="79"/>
        <v>46.046080025423102</v>
      </c>
      <c r="L195" s="1">
        <f t="shared" si="80"/>
        <v>-6.1308895065611697</v>
      </c>
      <c r="M195" s="1">
        <f t="shared" si="74"/>
        <v>0.76800000000000002</v>
      </c>
      <c r="N195" s="1">
        <f t="shared" si="75"/>
        <v>2.5000000000000001E-2</v>
      </c>
      <c r="O195" s="1" t="str">
        <f t="shared" si="76"/>
        <v>0.625118549003735-0.268805461497525i</v>
      </c>
      <c r="P195" s="1">
        <f t="shared" si="81"/>
        <v>-3.3439126713714042</v>
      </c>
      <c r="Q195" s="1">
        <f t="shared" si="82"/>
        <v>-23.268051771411407</v>
      </c>
      <c r="R195" s="1" t="str">
        <f t="shared" si="83"/>
        <v>0.860722304444186-4.06951484706255i</v>
      </c>
      <c r="S195" s="1">
        <f t="shared" si="84"/>
        <v>12.380911362738964</v>
      </c>
      <c r="T195" s="1">
        <f t="shared" si="85"/>
        <v>-78.057663750574633</v>
      </c>
      <c r="U195" s="1" t="str">
        <f>IMPRODUCT(COMPLEX(-1,0),IMDIV(COMPLEX(1,C195*Calculations!$B$195*Calculations!$B$197),IMPRODUCT(COMPLEX(0,C195*Calculations!$B$184),COMPLEX((Calculations!$B$197+Calculations!$B$199),C195*Calculations!$B$195*Calculations!$B$197*Calculations!$B$199))))</f>
        <v>-0.958035984765971+0.764775502869244i</v>
      </c>
      <c r="V195" s="1">
        <f t="shared" si="86"/>
        <v>1.7687648219769603</v>
      </c>
      <c r="W195" s="1">
        <f t="shared" si="87"/>
        <v>141.40053243398623</v>
      </c>
      <c r="X195" s="1" t="str">
        <f t="shared" si="88"/>
        <v>2.28766232304789+4.55700099723739i</v>
      </c>
      <c r="Y195" s="1">
        <f t="shared" si="89"/>
        <v>14.149676184715927</v>
      </c>
      <c r="Z195" s="1">
        <f t="shared" si="90"/>
        <v>63.342868683411659</v>
      </c>
    </row>
    <row r="196" spans="2:26">
      <c r="B196" s="1">
        <v>1000</v>
      </c>
      <c r="C196" s="1">
        <f t="shared" si="68"/>
        <v>6283.1853071795858</v>
      </c>
      <c r="D196" s="83" t="str">
        <f t="shared" si="69"/>
        <v>0.0281256655883556-0.262337079267606i</v>
      </c>
      <c r="E196" s="1">
        <f t="shared" si="70"/>
        <v>-11.573171598052742</v>
      </c>
      <c r="F196" s="1">
        <f t="shared" si="71"/>
        <v>-83.880583577002099</v>
      </c>
      <c r="G196" s="1" t="str">
        <f t="shared" si="72"/>
        <v>669.118771914366+2248.7383987441i</v>
      </c>
      <c r="H196" s="1">
        <f t="shared" si="77"/>
        <v>67.407213725646699</v>
      </c>
      <c r="I196" s="1">
        <f t="shared" si="78"/>
        <v>73.429470618727152</v>
      </c>
      <c r="J196" s="83" t="str">
        <f t="shared" si="73"/>
        <v>224.244365466594-29.767543850651i</v>
      </c>
      <c r="K196" s="1">
        <f t="shared" si="79"/>
        <v>47.090293538110743</v>
      </c>
      <c r="L196" s="1">
        <f t="shared" si="80"/>
        <v>-7.5615772393696412</v>
      </c>
      <c r="M196" s="1">
        <f t="shared" si="74"/>
        <v>0.76800000000000002</v>
      </c>
      <c r="N196" s="1">
        <f t="shared" si="75"/>
        <v>2.5000000000000001E-2</v>
      </c>
      <c r="O196" s="1" t="str">
        <f t="shared" si="76"/>
        <v>0.625076929418729-0.244147870808837i</v>
      </c>
      <c r="P196" s="1">
        <f t="shared" si="81"/>
        <v>-3.4646974668570243</v>
      </c>
      <c r="Q196" s="1">
        <f t="shared" si="82"/>
        <v>-21.335045674268212</v>
      </c>
      <c r="R196" s="1" t="str">
        <f t="shared" si="83"/>
        <v>0.686936316019184-3.71566183532178i</v>
      </c>
      <c r="S196" s="1">
        <f t="shared" si="84"/>
        <v>11.54668119089974</v>
      </c>
      <c r="T196" s="1">
        <f t="shared" si="85"/>
        <v>-79.52565726154053</v>
      </c>
      <c r="U196" s="1" t="str">
        <f>IMPRODUCT(COMPLEX(-1,0),IMDIV(COMPLEX(1,C196*Calculations!$B$195*Calculations!$B$197),IMPRODUCT(COMPLEX(0,C196*Calculations!$B$184),COMPLEX((Calculations!$B$197+Calculations!$B$199),C196*Calculations!$B$195*Calculations!$B$197*Calculations!$B$199))))</f>
        <v>-0.957864588889582+0.693880897390028i</v>
      </c>
      <c r="V196" s="1">
        <f t="shared" si="86"/>
        <v>1.4581003756631428</v>
      </c>
      <c r="W196" s="1">
        <f t="shared" si="87"/>
        <v>144.08027927100676</v>
      </c>
      <c r="X196" s="1" t="str">
        <f t="shared" si="88"/>
        <v>1.92023479675392+4.0357528837524i</v>
      </c>
      <c r="Y196" s="1">
        <f t="shared" si="89"/>
        <v>13.004781566562889</v>
      </c>
      <c r="Z196" s="1">
        <f t="shared" si="90"/>
        <v>64.5546220094662</v>
      </c>
    </row>
    <row r="197" spans="2:26">
      <c r="B197" s="1">
        <v>2000</v>
      </c>
      <c r="C197" s="1">
        <f t="shared" si="68"/>
        <v>12566.370614359172</v>
      </c>
      <c r="D197" s="83" t="str">
        <f t="shared" si="69"/>
        <v>0.0108088488537093-0.131932074161302i</v>
      </c>
      <c r="E197" s="1">
        <f t="shared" si="70"/>
        <v>-17.563939330563368</v>
      </c>
      <c r="F197" s="1">
        <f t="shared" si="71"/>
        <v>-85.316367344002757</v>
      </c>
      <c r="G197" s="1" t="str">
        <f t="shared" si="72"/>
        <v>547.348340130201-4280.6131993512i</v>
      </c>
      <c r="H197" s="1">
        <f t="shared" si="77"/>
        <v>72.700552300334763</v>
      </c>
      <c r="I197" s="1">
        <f t="shared" si="78"/>
        <v>-82.713312218865724</v>
      </c>
      <c r="J197" s="83" t="str">
        <f t="shared" si="73"/>
        <v>-207.502741026084-37.965110560144i</v>
      </c>
      <c r="K197" s="1">
        <f t="shared" si="79"/>
        <v>46.483476861452743</v>
      </c>
      <c r="L197" s="1">
        <f t="shared" si="80"/>
        <v>-169.6317291097123</v>
      </c>
      <c r="M197" s="1">
        <f t="shared" si="74"/>
        <v>0.76800000000000002</v>
      </c>
      <c r="N197" s="1">
        <f t="shared" si="75"/>
        <v>2.5000000000000001E-2</v>
      </c>
      <c r="O197" s="1" t="str">
        <f t="shared" si="76"/>
        <v>0.624420511883016-0.139603987008698i</v>
      </c>
      <c r="P197" s="1">
        <f t="shared" si="81"/>
        <v>-3.8786250588826094</v>
      </c>
      <c r="Q197" s="1">
        <f t="shared" si="82"/>
        <v>-12.602575075049378</v>
      </c>
      <c r="R197" s="1" t="str">
        <f t="shared" si="83"/>
        <v>0.0684724684003784-1.95714660517216i</v>
      </c>
      <c r="S197" s="1">
        <f t="shared" si="84"/>
        <v>5.8377797374748921</v>
      </c>
      <c r="T197" s="1">
        <f t="shared" si="85"/>
        <v>-87.996274809785319</v>
      </c>
      <c r="U197" s="1" t="str">
        <f>IMPRODUCT(COMPLEX(-1,0),IMDIV(COMPLEX(1,C197*Calculations!$B$195*Calculations!$B$197),IMPRODUCT(COMPLEX(0,C197*Calculations!$B$184),COMPLEX((Calculations!$B$197+Calculations!$B$199),C197*Calculations!$B$195*Calculations!$B$197*Calculations!$B$199))))</f>
        <v>-0.955166444060245+0.390884311238777i</v>
      </c>
      <c r="V197" s="1">
        <f t="shared" si="86"/>
        <v>0.27404036196468179</v>
      </c>
      <c r="W197" s="1">
        <f t="shared" si="87"/>
        <v>157.74407035526522</v>
      </c>
      <c r="X197" s="1" t="str">
        <f t="shared" si="88"/>
        <v>0.699615298598013+1.89616557701637i</v>
      </c>
      <c r="Y197" s="1">
        <f t="shared" si="89"/>
        <v>6.1118200994395613</v>
      </c>
      <c r="Z197" s="1">
        <f t="shared" si="90"/>
        <v>69.747795545479889</v>
      </c>
    </row>
    <row r="198" spans="2:26">
      <c r="B198" s="1">
        <v>3000</v>
      </c>
      <c r="C198" s="1">
        <f t="shared" si="68"/>
        <v>18849.555921538758</v>
      </c>
      <c r="D198" s="83" t="str">
        <f t="shared" si="69"/>
        <v>0.00757988327620127-0.0880496306538705i</v>
      </c>
      <c r="E198" s="1">
        <f t="shared" si="70"/>
        <v>-21.073382846804094</v>
      </c>
      <c r="F198" s="1">
        <f t="shared" si="71"/>
        <v>-85.079738259757079</v>
      </c>
      <c r="G198" s="1" t="str">
        <f t="shared" si="72"/>
        <v>28.6101331058952-1553.29985927529i</v>
      </c>
      <c r="H198" s="1">
        <f t="shared" si="77"/>
        <v>63.826579183699216</v>
      </c>
      <c r="I198" s="1">
        <f t="shared" si="78"/>
        <v>-88.944791933421087</v>
      </c>
      <c r="J198" s="83" t="str">
        <f t="shared" si="73"/>
        <v>-50.9258764069824-1.33435686985642i</v>
      </c>
      <c r="K198" s="1">
        <f t="shared" si="79"/>
        <v>34.141750824237235</v>
      </c>
      <c r="L198" s="1">
        <f t="shared" si="80"/>
        <v>-178.49908271511285</v>
      </c>
      <c r="M198" s="1">
        <f t="shared" si="74"/>
        <v>0.76800000000000002</v>
      </c>
      <c r="N198" s="1">
        <f t="shared" si="75"/>
        <v>2.5000000000000001E-2</v>
      </c>
      <c r="O198" s="1" t="str">
        <f t="shared" si="76"/>
        <v>0.623329540990803-0.112492709940511i</v>
      </c>
      <c r="P198" s="1">
        <f t="shared" si="81"/>
        <v>-3.9664521723650852</v>
      </c>
      <c r="Q198" s="1">
        <f t="shared" si="82"/>
        <v>-10.230093552447546</v>
      </c>
      <c r="R198" s="1" t="str">
        <f t="shared" si="83"/>
        <v>-0.0592507954254468-1.31965331474573i</v>
      </c>
      <c r="S198" s="1">
        <f t="shared" si="84"/>
        <v>2.417943182749001</v>
      </c>
      <c r="T198" s="1">
        <f t="shared" si="85"/>
        <v>-92.570782813535075</v>
      </c>
      <c r="U198" s="1" t="str">
        <f>IMPRODUCT(COMPLEX(-1,0),IMDIV(COMPLEX(1,C198*Calculations!$B$195*Calculations!$B$197),IMPRODUCT(COMPLEX(0,C198*Calculations!$B$184),COMPLEX((Calculations!$B$197+Calculations!$B$199),C198*Calculations!$B$195*Calculations!$B$197*Calculations!$B$199))))</f>
        <v>-0.950703156944139+0.309051005506143i</v>
      </c>
      <c r="V198" s="1">
        <f t="shared" si="86"/>
        <v>-2.8281054878245473E-3</v>
      </c>
      <c r="W198" s="1">
        <f t="shared" si="87"/>
        <v>161.99188768276102</v>
      </c>
      <c r="X198" s="1" t="str">
        <f t="shared" si="88"/>
        <v>0.464170102104106+1.23628705449729i</v>
      </c>
      <c r="Y198" s="1">
        <f t="shared" si="89"/>
        <v>2.4151150772611754</v>
      </c>
      <c r="Z198" s="1">
        <f t="shared" si="90"/>
        <v>69.421104869225942</v>
      </c>
    </row>
    <row r="199" spans="2:26">
      <c r="B199" s="1">
        <v>4000</v>
      </c>
      <c r="C199" s="1">
        <f t="shared" si="68"/>
        <v>25132.741228718343</v>
      </c>
      <c r="D199" s="83" t="str">
        <f t="shared" si="69"/>
        <v>0.00644809828866754-0.0660621743694274i</v>
      </c>
      <c r="E199" s="1">
        <f t="shared" si="70"/>
        <v>-23.559763201127758</v>
      </c>
      <c r="F199" s="1">
        <f t="shared" si="71"/>
        <v>-84.425217872367355</v>
      </c>
      <c r="G199" s="1" t="str">
        <f t="shared" si="72"/>
        <v>5.69916755651322-1001.62841532063i</v>
      </c>
      <c r="H199" s="1">
        <f t="shared" si="77"/>
        <v>60.014273332399874</v>
      </c>
      <c r="I199" s="1">
        <f t="shared" si="78"/>
        <v>-89.67399614576658</v>
      </c>
      <c r="J199" s="83" t="str">
        <f t="shared" si="73"/>
        <v>-24.7889896923427+0.440092346845167i</v>
      </c>
      <c r="K199" s="1">
        <f t="shared" si="79"/>
        <v>27.886545167165785</v>
      </c>
      <c r="L199" s="1">
        <f t="shared" si="80"/>
        <v>178.98290387460574</v>
      </c>
      <c r="M199" s="1">
        <f t="shared" si="74"/>
        <v>0.76800000000000002</v>
      </c>
      <c r="N199" s="1">
        <f t="shared" si="75"/>
        <v>2.5000000000000001E-2</v>
      </c>
      <c r="O199" s="1" t="str">
        <f t="shared" si="76"/>
        <v>0.621808570661526-0.104678776884648i</v>
      </c>
      <c r="P199" s="1">
        <f t="shared" si="81"/>
        <v>-4.0054975225717744</v>
      </c>
      <c r="Q199" s="1">
        <f t="shared" si="82"/>
        <v>-9.5558961387812946</v>
      </c>
      <c r="R199" s="1" t="str">
        <f t="shared" si="83"/>
        <v>-0.105540822094496-0.994377355651777i</v>
      </c>
      <c r="S199" s="1">
        <f t="shared" si="84"/>
        <v>-3.2490541691909951E-4</v>
      </c>
      <c r="T199" s="1">
        <f t="shared" si="85"/>
        <v>-96.058553991303668</v>
      </c>
      <c r="U199" s="1" t="str">
        <f>IMPRODUCT(COMPLEX(-1,0),IMDIV(COMPLEX(1,C199*Calculations!$B$195*Calculations!$B$197),IMPRODUCT(COMPLEX(0,C199*Calculations!$B$184),COMPLEX((Calculations!$B$197+Calculations!$B$199),C199*Calculations!$B$195*Calculations!$B$197*Calculations!$B$199))))</f>
        <v>-0.944524175621906+0.282105846968304i</v>
      </c>
      <c r="V199" s="1">
        <f t="shared" si="86"/>
        <v>-0.12463494469645273</v>
      </c>
      <c r="W199" s="1">
        <f t="shared" si="87"/>
        <v>163.37042473327165</v>
      </c>
      <c r="X199" s="1" t="str">
        <f t="shared" si="88"/>
        <v>0.380205524105509+0.909439769097387i</v>
      </c>
      <c r="Y199" s="1">
        <f t="shared" si="89"/>
        <v>-0.12495985011336962</v>
      </c>
      <c r="Z199" s="1">
        <f t="shared" si="90"/>
        <v>67.311870741968008</v>
      </c>
    </row>
    <row r="200" spans="2:26">
      <c r="B200" s="1">
        <v>5000</v>
      </c>
      <c r="C200" s="1">
        <f t="shared" si="68"/>
        <v>31415.926535897932</v>
      </c>
      <c r="D200" s="83" t="str">
        <f t="shared" si="69"/>
        <v>0.00592395392569771-0.0528589837423259i</v>
      </c>
      <c r="E200" s="1">
        <f t="shared" si="70"/>
        <v>-25.483416630411803</v>
      </c>
      <c r="F200" s="1">
        <f t="shared" si="71"/>
        <v>-83.60549272413796</v>
      </c>
      <c r="G200" s="1" t="str">
        <f t="shared" si="72"/>
        <v>1.59416861535731-752.301654222519i</v>
      </c>
      <c r="H200" s="1">
        <f t="shared" si="77"/>
        <v>57.527859837141378</v>
      </c>
      <c r="I200" s="1">
        <f t="shared" si="78"/>
        <v>-89.878587271125028</v>
      </c>
      <c r="J200" s="83" t="str">
        <f t="shared" si="73"/>
        <v>-14.9942809234489+0.69618136436597i</v>
      </c>
      <c r="K200" s="1">
        <f t="shared" si="79"/>
        <v>23.527864986220695</v>
      </c>
      <c r="L200" s="1">
        <f t="shared" si="80"/>
        <v>177.34167790624977</v>
      </c>
      <c r="M200" s="1">
        <f t="shared" si="74"/>
        <v>0.76800000000000002</v>
      </c>
      <c r="N200" s="1">
        <f t="shared" si="75"/>
        <v>2.5000000000000001E-2</v>
      </c>
      <c r="O200" s="1" t="str">
        <f t="shared" si="76"/>
        <v>0.619863909891474-0.104516387115477i</v>
      </c>
      <c r="P200" s="1">
        <f t="shared" si="81"/>
        <v>-4.0323258223484313</v>
      </c>
      <c r="Q200" s="1">
        <f t="shared" si="82"/>
        <v>-9.5707252843212647</v>
      </c>
      <c r="R200" s="1" t="str">
        <f t="shared" si="83"/>
        <v>-0.127677933035184-0.797719190361408i</v>
      </c>
      <c r="S200" s="1">
        <f t="shared" si="84"/>
        <v>-1.8531462617638623</v>
      </c>
      <c r="T200" s="1">
        <f t="shared" si="85"/>
        <v>-99.093278634205603</v>
      </c>
      <c r="U200" s="1" t="str">
        <f>IMPRODUCT(COMPLEX(-1,0),IMDIV(COMPLEX(1,C200*Calculations!$B$195*Calculations!$B$197),IMPRODUCT(COMPLEX(0,C200*Calculations!$B$184),COMPLEX((Calculations!$B$197+Calculations!$B$199),C200*Calculations!$B$195*Calculations!$B$197*Calculations!$B$199))))</f>
        <v>-0.936696812922108+0.27667742589871i</v>
      </c>
      <c r="V200" s="1">
        <f t="shared" si="86"/>
        <v>-0.20473787926841849</v>
      </c>
      <c r="W200" s="1">
        <f t="shared" si="87"/>
        <v>163.54414296409598</v>
      </c>
      <c r="X200" s="1" t="str">
        <f t="shared" si="88"/>
        <v>0.340306405133737+0.711895421362093i</v>
      </c>
      <c r="Y200" s="1">
        <f t="shared" si="89"/>
        <v>-2.0578841410322757</v>
      </c>
      <c r="Z200" s="1">
        <f t="shared" si="90"/>
        <v>64.450864329890365</v>
      </c>
    </row>
    <row r="201" spans="2:26">
      <c r="B201" s="1">
        <v>6000</v>
      </c>
      <c r="C201" s="1">
        <f t="shared" ref="C201:C228" si="91">2*PI()*B201</f>
        <v>37699.111843077517</v>
      </c>
      <c r="D201" s="83" t="str">
        <f t="shared" ref="D201:D228" si="92">IMDIV(COMPLEX((POWER(V48_Nom,2)/(V12_Min*I_Channel_Design*np)),((Zo_Boost_Cout*Zo_Boost_Resr*POWER(V48_Nom,2))/(V12_Min*I_Channel_Design*np))*C201),COMPLEX(1,((Zo_Boost_Cout*Zo_Boost_Resr)+((Zo_Boost_Cout*POWER(V48_Nom,2))/(V12_Min*I_Channel_Design*np)))*C201))</f>
        <v>0.00563915666867293-0.0440533388867402i</v>
      </c>
      <c r="E201" s="1">
        <f t="shared" ref="E201:E228" si="93">20*LOG(IMABS(D201))</f>
        <v>-27.049837025850039</v>
      </c>
      <c r="F201" s="1">
        <f t="shared" ref="F201:F223" si="94">IMARGUMENT(D201)*(180/PI())</f>
        <v>-82.705382319472989</v>
      </c>
      <c r="G201" s="1" t="str">
        <f t="shared" ref="G201:G228" si="95">IMDIV(IMSUM(COMPLEX(V48_Nom,0),IMPRODUCT(COMPLEX(np*(I_Channel_Design*(V12_Min/V48_Nom)),0),D201)),IMSUM(IMPRODUCT(COMPLEX(((V12_Min/V48_Nom)^2),0),D201),COMPLEX(Rcs/np,(Lm*C201)/np)))</f>
        <v>0.463648902706309-606.735491896627i</v>
      </c>
      <c r="H201" s="1">
        <f t="shared" si="77"/>
        <v>55.65999054388395</v>
      </c>
      <c r="I201" s="1">
        <f t="shared" si="78"/>
        <v>-89.95621630762534</v>
      </c>
      <c r="J201" s="83" t="str">
        <f t="shared" ref="J201:J228" si="96">IMPRODUCT(COMPLEX(-1,0),IMDIV(IMSUM(IMSUB(IMPRODUCT(COMPLEX((1-(V12_Min/V48_Nom))*V48_Nom,0),D201),IMPRODUCT(COMPLEX(V48_Nom,0),D201)),IMPRODUCT(COMPLEX(0,I_Channel_Design*Lm*C201),D201)),IMSUM(IMPRODUCT(COMPLEX(((V12_Min/V48_Nom)^2),0),D201),COMPLEX(Rcs/np,(Lm*C201)/np))))</f>
        <v>-10.1544016235843+0.707175239737908i</v>
      </c>
      <c r="K201" s="1">
        <f t="shared" si="79"/>
        <v>20.154099275785086</v>
      </c>
      <c r="L201" s="1">
        <f t="shared" si="80"/>
        <v>176.01622595133816</v>
      </c>
      <c r="M201" s="1">
        <f t="shared" ref="M201:M228" si="97">(Ramp_R*Ramp_C*Fsw)/V48_Nom</f>
        <v>0.76800000000000002</v>
      </c>
      <c r="N201" s="1">
        <f t="shared" ref="N201:N228" si="98">Rcs*Acs/np</f>
        <v>2.5000000000000001E-2</v>
      </c>
      <c r="O201" s="1" t="str">
        <f t="shared" ref="O201:O228" si="99">IMPRODUCT(COMPLEX(gm/(IL_Comp_Ccomp+IL_Comp_Chf),0),IMDIV(COMPLEX(1,C201*IL_Comp_Rcomp*IL_Comp_Ccomp),IMPRODUCT(COMPLEX(0,C201),COMPLEX(1,C201*IL_Comp_Rcomp*IL_Comp_Chf))))</f>
        <v>0.617503557809955-0.108108561695686i</v>
      </c>
      <c r="P201" s="1">
        <f t="shared" si="81"/>
        <v>-4.0560954372483087</v>
      </c>
      <c r="Q201" s="1">
        <f t="shared" si="82"/>
        <v>-9.9303362910197954</v>
      </c>
      <c r="R201" s="1" t="str">
        <f t="shared" si="83"/>
        <v>-0.140293437967383-0.666145352394958i</v>
      </c>
      <c r="S201" s="1">
        <f t="shared" si="84"/>
        <v>-3.340140946117713</v>
      </c>
      <c r="T201" s="1">
        <f t="shared" si="85"/>
        <v>-101.89296634870492</v>
      </c>
      <c r="U201" s="1" t="str">
        <f>IMPRODUCT(COMPLEX(-1,0),IMDIV(COMPLEX(1,C201*Calculations!$B$195*Calculations!$B$197),IMPRODUCT(COMPLEX(0,C201*Calculations!$B$184),COMPLEX((Calculations!$B$197+Calculations!$B$199),C201*Calculations!$B$195*Calculations!$B$197*Calculations!$B$199))))</f>
        <v>-0.927304449268549+0.281554709712761i</v>
      </c>
      <c r="V201" s="1">
        <f t="shared" si="86"/>
        <v>-0.27257362589551315</v>
      </c>
      <c r="W201" s="1">
        <f t="shared" si="87"/>
        <v>163.1102912192413</v>
      </c>
      <c r="X201" s="1" t="str">
        <f t="shared" si="88"/>
        <v>0.317651090550403+0.578219270933898i</v>
      </c>
      <c r="Y201" s="1">
        <f t="shared" si="89"/>
        <v>-3.6127145720132257</v>
      </c>
      <c r="Z201" s="1">
        <f t="shared" si="90"/>
        <v>61.217324870536324</v>
      </c>
    </row>
    <row r="202" spans="2:26">
      <c r="B202" s="1">
        <v>7000</v>
      </c>
      <c r="C202" s="1">
        <f t="shared" si="91"/>
        <v>43982.297150257102</v>
      </c>
      <c r="D202" s="83" t="str">
        <f t="shared" si="92"/>
        <v>0.00546740674635794-0.0377621684206049i</v>
      </c>
      <c r="E202" s="1">
        <f t="shared" si="93"/>
        <v>-28.368762395498184</v>
      </c>
      <c r="F202" s="1">
        <f t="shared" si="94"/>
        <v>-81.761661434695085</v>
      </c>
      <c r="G202" s="1" t="str">
        <f t="shared" si="95"/>
        <v>0.0832600248956796-510.149325400818i</v>
      </c>
      <c r="H202" s="1">
        <f t="shared" si="77"/>
        <v>54.153946449615837</v>
      </c>
      <c r="I202" s="1">
        <f t="shared" si="78"/>
        <v>-89.990648918368038</v>
      </c>
      <c r="J202" s="83" t="str">
        <f t="shared" si="96"/>
        <v>-7.38230832145347+0.664769874452582i</v>
      </c>
      <c r="K202" s="1">
        <f t="shared" si="79"/>
        <v>17.398917786022324</v>
      </c>
      <c r="L202" s="1">
        <f t="shared" si="80"/>
        <v>174.85444749796289</v>
      </c>
      <c r="M202" s="1">
        <f t="shared" si="97"/>
        <v>0.76800000000000002</v>
      </c>
      <c r="N202" s="1">
        <f t="shared" si="98"/>
        <v>2.5000000000000001E-2</v>
      </c>
      <c r="O202" s="1" t="str">
        <f t="shared" si="99"/>
        <v>0.614737122336144-0.113772891433085i</v>
      </c>
      <c r="P202" s="1">
        <f t="shared" si="81"/>
        <v>-4.0799432789701697</v>
      </c>
      <c r="Q202" s="1">
        <f t="shared" si="82"/>
        <v>-10.485410783126744</v>
      </c>
      <c r="R202" s="1" t="str">
        <f t="shared" si="83"/>
        <v>-0.148474640452962-0.57196746258841i</v>
      </c>
      <c r="S202" s="1">
        <f t="shared" si="84"/>
        <v>-4.5693633999489434</v>
      </c>
      <c r="T202" s="1">
        <f t="shared" si="85"/>
        <v>-104.55198559409006</v>
      </c>
      <c r="U202" s="1" t="str">
        <f>IMPRODUCT(COMPLEX(-1,0),IMDIV(COMPLEX(1,C202*Calculations!$B$195*Calculations!$B$197),IMPRODUCT(COMPLEX(0,C202*Calculations!$B$184),COMPLEX((Calculations!$B$197+Calculations!$B$199),C202*Calculations!$B$195*Calculations!$B$197*Calculations!$B$199))))</f>
        <v>-0.916444378991317+0.291868224002444i</v>
      </c>
      <c r="V202" s="1">
        <f t="shared" si="86"/>
        <v>-0.33831337158420172</v>
      </c>
      <c r="W202" s="1">
        <f t="shared" si="87"/>
        <v>162.33441891305714</v>
      </c>
      <c r="X202" s="1" t="str">
        <f t="shared" si="88"/>
        <v>0.303007877158737+0.480841336436667i</v>
      </c>
      <c r="Y202" s="1">
        <f t="shared" si="89"/>
        <v>-4.9076767715331497</v>
      </c>
      <c r="Z202" s="1">
        <f t="shared" si="90"/>
        <v>57.782433318967087</v>
      </c>
    </row>
    <row r="203" spans="2:26">
      <c r="B203" s="1">
        <v>8000</v>
      </c>
      <c r="C203" s="1">
        <f t="shared" si="91"/>
        <v>50265.482457436687</v>
      </c>
      <c r="D203" s="83" t="str">
        <f t="shared" si="92"/>
        <v>0.0053559239075504-0.0330431262456856i</v>
      </c>
      <c r="E203" s="1">
        <f t="shared" si="93"/>
        <v>-29.505749174791383</v>
      </c>
      <c r="F203" s="1">
        <f t="shared" si="94"/>
        <v>-80.793063696805305</v>
      </c>
      <c r="G203" s="1" t="str">
        <f t="shared" si="95"/>
        <v>-0.0564032589809498-440.92537256742i</v>
      </c>
      <c r="H203" s="1">
        <f t="shared" si="77"/>
        <v>52.887301881975553</v>
      </c>
      <c r="I203" s="1">
        <f t="shared" si="78"/>
        <v>-90.007329287162463</v>
      </c>
      <c r="J203" s="83" t="str">
        <f t="shared" si="96"/>
        <v>-5.63839519882006+0.6127203257407i</v>
      </c>
      <c r="K203" s="1">
        <f t="shared" si="79"/>
        <v>15.074095682807352</v>
      </c>
      <c r="L203" s="1">
        <f t="shared" si="80"/>
        <v>173.79804568261468</v>
      </c>
      <c r="M203" s="1">
        <f t="shared" si="97"/>
        <v>0.76800000000000002</v>
      </c>
      <c r="N203" s="1">
        <f t="shared" si="98"/>
        <v>2.5000000000000001E-2</v>
      </c>
      <c r="O203" s="1" t="str">
        <f t="shared" si="99"/>
        <v>0.611575723962327-0.120658073172782i</v>
      </c>
      <c r="P203" s="1">
        <f t="shared" si="81"/>
        <v>-4.1051593852489434</v>
      </c>
      <c r="Q203" s="1">
        <f t="shared" si="82"/>
        <v>-11.160582310258695</v>
      </c>
      <c r="R203" s="1" t="str">
        <f t="shared" si="83"/>
        <v>-0.15436214834019-0.501211546807603i</v>
      </c>
      <c r="S203" s="1">
        <f t="shared" si="84"/>
        <v>-5.606030550903899</v>
      </c>
      <c r="T203" s="1">
        <f t="shared" si="85"/>
        <v>-107.1176829770489</v>
      </c>
      <c r="U203" s="1" t="str">
        <f>IMPRODUCT(COMPLEX(-1,0),IMDIV(COMPLEX(1,C203*Calculations!$B$195*Calculations!$B$197),IMPRODUCT(COMPLEX(0,C203*Calculations!$B$184),COMPLEX((Calculations!$B$197+Calculations!$B$199),C203*Calculations!$B$195*Calculations!$B$197*Calculations!$B$199))))</f>
        <v>-0.904225400469584+0.305136390828414i</v>
      </c>
      <c r="V203" s="1">
        <f t="shared" si="86"/>
        <v>-0.40609502790228186</v>
      </c>
      <c r="W203" s="1">
        <f t="shared" si="87"/>
        <v>161.35271857440563</v>
      </c>
      <c r="X203" s="1" t="str">
        <f t="shared" si="88"/>
        <v>0.292516057834652+0.406106702807039i</v>
      </c>
      <c r="Y203" s="1">
        <f t="shared" si="89"/>
        <v>-6.0121255788061791</v>
      </c>
      <c r="Z203" s="1">
        <f t="shared" si="90"/>
        <v>54.23503559735677</v>
      </c>
    </row>
    <row r="204" spans="2:26">
      <c r="B204" s="1">
        <v>9000</v>
      </c>
      <c r="C204" s="1">
        <f t="shared" si="91"/>
        <v>56548.667764616279</v>
      </c>
      <c r="D204" s="83" t="str">
        <f t="shared" si="92"/>
        <v>0.00527948684863483-0.0293724167226485i</v>
      </c>
      <c r="E204" s="1">
        <f t="shared" si="93"/>
        <v>-30.50311532866283</v>
      </c>
      <c r="F204" s="1">
        <f t="shared" si="94"/>
        <v>-79.810288775915382</v>
      </c>
      <c r="G204" s="1" t="str">
        <f t="shared" si="95"/>
        <v>-0.107026790323025-388.676191118628i</v>
      </c>
      <c r="H204" s="1">
        <f t="shared" si="77"/>
        <v>51.791759092403012</v>
      </c>
      <c r="I204" s="1">
        <f t="shared" si="78"/>
        <v>-90.015777100232711</v>
      </c>
      <c r="J204" s="83" t="str">
        <f t="shared" si="96"/>
        <v>-4.46695795103576+0.562707532546459i</v>
      </c>
      <c r="K204" s="1">
        <f t="shared" si="79"/>
        <v>13.068613140392632</v>
      </c>
      <c r="L204" s="1">
        <f t="shared" si="80"/>
        <v>172.82020721909717</v>
      </c>
      <c r="M204" s="1">
        <f t="shared" si="97"/>
        <v>0.76800000000000002</v>
      </c>
      <c r="N204" s="1">
        <f t="shared" si="98"/>
        <v>2.5000000000000001E-2</v>
      </c>
      <c r="O204" s="1" t="str">
        <f t="shared" si="99"/>
        <v>0.608031886431177-0.12828283300591i</v>
      </c>
      <c r="P204" s="1">
        <f t="shared" si="81"/>
        <v>-4.1323354624931135</v>
      </c>
      <c r="Q204" s="1">
        <f t="shared" si="82"/>
        <v>-11.913570712460421</v>
      </c>
      <c r="R204" s="1" t="str">
        <f t="shared" si="83"/>
        <v>-0.158981991003544-0.446066392060193i</v>
      </c>
      <c r="S204" s="1">
        <f t="shared" si="84"/>
        <v>-6.4926658075421404</v>
      </c>
      <c r="T204" s="1">
        <f t="shared" si="85"/>
        <v>-109.61651514495968</v>
      </c>
      <c r="U204" s="1" t="str">
        <f>IMPRODUCT(COMPLEX(-1,0),IMDIV(COMPLEX(1,C204*Calculations!$B$195*Calculations!$B$197),IMPRODUCT(COMPLEX(0,C204*Calculations!$B$184),COMPLEX((Calculations!$B$197+Calculations!$B$199),C204*Calculations!$B$195*Calculations!$B$197*Calculations!$B$199))))</f>
        <v>-0.890765256004797+0.319948185349615i</v>
      </c>
      <c r="V204" s="1">
        <f t="shared" si="86"/>
        <v>-0.47774600125531941</v>
      </c>
      <c r="W204" s="1">
        <f t="shared" si="87"/>
        <v>160.24254890937166</v>
      </c>
      <c r="X204" s="1" t="str">
        <f t="shared" si="88"/>
        <v>0.284333766601533+0.346474444393781i</v>
      </c>
      <c r="Y204" s="1">
        <f t="shared" si="89"/>
        <v>-6.9704118087974631</v>
      </c>
      <c r="Z204" s="1">
        <f t="shared" si="90"/>
        <v>50.626033764411943</v>
      </c>
    </row>
    <row r="205" spans="2:26">
      <c r="B205" s="1">
        <v>10000</v>
      </c>
      <c r="C205" s="1">
        <f t="shared" si="91"/>
        <v>62831.853071795864</v>
      </c>
      <c r="D205" s="83" t="str">
        <f t="shared" si="92"/>
        <v>0.00522480947858715-0.0264356572182156i</v>
      </c>
      <c r="E205" s="1">
        <f t="shared" si="93"/>
        <v>-31.389780801294449</v>
      </c>
      <c r="F205" s="1">
        <f t="shared" si="94"/>
        <v>-78.820005626434778</v>
      </c>
      <c r="G205" s="1" t="str">
        <f t="shared" si="95"/>
        <v>-0.121861329328306-347.740885023031i</v>
      </c>
      <c r="H205" s="1">
        <f t="shared" si="77"/>
        <v>50.825115635244451</v>
      </c>
      <c r="I205" s="1">
        <f t="shared" si="78"/>
        <v>-90.020078569622555</v>
      </c>
      <c r="J205" s="83" t="str">
        <f t="shared" si="96"/>
        <v>-3.64079514076272+0.517700016111941i</v>
      </c>
      <c r="K205" s="1">
        <f t="shared" si="79"/>
        <v>11.310859762739565</v>
      </c>
      <c r="L205" s="1">
        <f t="shared" si="80"/>
        <v>171.90712426428846</v>
      </c>
      <c r="M205" s="1">
        <f t="shared" si="97"/>
        <v>0.76800000000000002</v>
      </c>
      <c r="N205" s="1">
        <f t="shared" si="98"/>
        <v>2.5000000000000001E-2</v>
      </c>
      <c r="O205" s="1" t="str">
        <f t="shared" si="99"/>
        <v>0.604119416266114-0.136351555090552i</v>
      </c>
      <c r="P205" s="1">
        <f t="shared" si="81"/>
        <v>-4.1617573055919719</v>
      </c>
      <c r="Q205" s="1">
        <f t="shared" si="82"/>
        <v>-12.718714924305093</v>
      </c>
      <c r="R205" s="1" t="str">
        <f t="shared" si="83"/>
        <v>-0.16287451063216-0.401822863000667i</v>
      </c>
      <c r="S205" s="1">
        <f t="shared" si="84"/>
        <v>-7.2586590026261959</v>
      </c>
      <c r="T205" s="1">
        <f t="shared" si="85"/>
        <v>-112.06463585606949</v>
      </c>
      <c r="U205" s="1" t="str">
        <f>IMPRODUCT(COMPLEX(-1,0),IMDIV(COMPLEX(1,C205*Calculations!$B$195*Calculations!$B$197),IMPRODUCT(COMPLEX(0,C205*Calculations!$B$184),COMPLEX((Calculations!$B$197+Calculations!$B$199),C205*Calculations!$B$195*Calculations!$B$197*Calculations!$B$199))))</f>
        <v>-0.876188025814607+0.335436347919482i</v>
      </c>
      <c r="V205" s="1">
        <f t="shared" si="86"/>
        <v>-0.55407287579335862</v>
      </c>
      <c r="W205" s="1">
        <f t="shared" si="87"/>
        <v>159.05135342124012</v>
      </c>
      <c r="X205" s="1" t="str">
        <f t="shared" si="88"/>
        <v>0.277494689601807+0.297438350044103i</v>
      </c>
      <c r="Y205" s="1">
        <f t="shared" si="89"/>
        <v>-7.8127318784195507</v>
      </c>
      <c r="Z205" s="1">
        <f t="shared" si="90"/>
        <v>46.986717565170594</v>
      </c>
    </row>
    <row r="206" spans="2:26">
      <c r="B206" s="1">
        <v>20000</v>
      </c>
      <c r="C206" s="1">
        <f t="shared" si="91"/>
        <v>125663.70614359173</v>
      </c>
      <c r="D206" s="83" t="str">
        <f t="shared" si="92"/>
        <v>0.0050499723972386-0.0132185995022248i</v>
      </c>
      <c r="E206" s="1">
        <f t="shared" si="93"/>
        <v>-36.984630573734094</v>
      </c>
      <c r="F206" s="1">
        <f t="shared" si="94"/>
        <v>-69.091375225957648</v>
      </c>
      <c r="G206" s="1" t="str">
        <f t="shared" si="95"/>
        <v>-0.0572195922650185-170.644415729915i</v>
      </c>
      <c r="H206" s="1">
        <f t="shared" si="77"/>
        <v>44.641842102991383</v>
      </c>
      <c r="I206" s="1">
        <f t="shared" si="78"/>
        <v>-90.019212120158457</v>
      </c>
      <c r="J206" s="83" t="str">
        <f t="shared" si="96"/>
        <v>-1.06296910449019+0.275878241275037i</v>
      </c>
      <c r="K206" s="1">
        <f t="shared" si="79"/>
        <v>0.8135167273331696</v>
      </c>
      <c r="L206" s="1">
        <f t="shared" si="80"/>
        <v>165.4507141551189</v>
      </c>
      <c r="M206" s="1">
        <f t="shared" si="97"/>
        <v>0.76800000000000002</v>
      </c>
      <c r="N206" s="1">
        <f t="shared" si="98"/>
        <v>2.5000000000000001E-2</v>
      </c>
      <c r="O206" s="1" t="str">
        <f t="shared" si="99"/>
        <v>0.548401953610384-0.216972837720415i</v>
      </c>
      <c r="P206" s="1">
        <f t="shared" si="81"/>
        <v>-4.5864305810764119</v>
      </c>
      <c r="Q206" s="1">
        <f t="shared" si="82"/>
        <v>-21.586012175270909</v>
      </c>
      <c r="R206" s="1" t="str">
        <f t="shared" si="83"/>
        <v>-0.194173219464796-0.192426942367628i</v>
      </c>
      <c r="S206" s="1">
        <f t="shared" si="84"/>
        <v>-11.264970716962011</v>
      </c>
      <c r="T206" s="1">
        <f t="shared" si="85"/>
        <v>-135.25880389335572</v>
      </c>
      <c r="U206" s="1" t="str">
        <f>IMPRODUCT(COMPLEX(-1,0),IMDIV(COMPLEX(1,C206*Calculations!$B$195*Calculations!$B$197),IMPRODUCT(COMPLEX(0,C206*Calculations!$B$184),COMPLEX((Calculations!$B$197+Calculations!$B$199),C206*Calculations!$B$195*Calculations!$B$197*Calculations!$B$199))))</f>
        <v>-0.696275793149441+0.460735744263172i</v>
      </c>
      <c r="V206" s="1">
        <f t="shared" si="86"/>
        <v>-1.5671899348748592</v>
      </c>
      <c r="W206" s="1">
        <f t="shared" si="87"/>
        <v>146.50681839499001</v>
      </c>
      <c r="X206" s="1" t="str">
        <f t="shared" si="88"/>
        <v>0.223856082899267+0.0445196791342529i</v>
      </c>
      <c r="Y206" s="1">
        <f t="shared" si="89"/>
        <v>-12.832160651836864</v>
      </c>
      <c r="Z206" s="1">
        <f t="shared" si="90"/>
        <v>11.248014501634291</v>
      </c>
    </row>
    <row r="207" spans="2:26">
      <c r="B207" s="1">
        <v>30000</v>
      </c>
      <c r="C207" s="1">
        <f t="shared" si="91"/>
        <v>188495.55921538759</v>
      </c>
      <c r="D207" s="83" t="str">
        <f t="shared" si="92"/>
        <v>0.00501759292192779-0.00881249484671824i</v>
      </c>
      <c r="E207" s="1">
        <f t="shared" si="93"/>
        <v>-39.878535399106738</v>
      </c>
      <c r="F207" s="1">
        <f t="shared" si="94"/>
        <v>-60.344000175017634</v>
      </c>
      <c r="G207" s="1" t="str">
        <f t="shared" si="95"/>
        <v>-0.0275361401719347-113.373295915491i</v>
      </c>
      <c r="H207" s="1">
        <f t="shared" si="77"/>
        <v>41.090215703191234</v>
      </c>
      <c r="I207" s="1">
        <f t="shared" si="78"/>
        <v>-90.01391601586748</v>
      </c>
      <c r="J207" s="83" t="str">
        <f t="shared" si="96"/>
        <v>-0.595958545006003+0.185916701245893i</v>
      </c>
      <c r="K207" s="1">
        <f t="shared" si="79"/>
        <v>-4.092343715695387</v>
      </c>
      <c r="L207" s="1">
        <f t="shared" si="80"/>
        <v>162.67403766904292</v>
      </c>
      <c r="M207" s="1">
        <f t="shared" si="97"/>
        <v>0.76800000000000002</v>
      </c>
      <c r="N207" s="1">
        <f t="shared" si="98"/>
        <v>2.5000000000000001E-2</v>
      </c>
      <c r="O207" s="1" t="str">
        <f t="shared" si="99"/>
        <v>0.475335571766696-0.2747342000699i</v>
      </c>
      <c r="P207" s="1">
        <f t="shared" si="81"/>
        <v>-5.2082391968490951</v>
      </c>
      <c r="Q207" s="1">
        <f t="shared" si="82"/>
        <v>-30.027030386540947</v>
      </c>
      <c r="R207" s="1" t="str">
        <f t="shared" si="83"/>
        <v>-0.220792411269519-0.0866422457660825i</v>
      </c>
      <c r="S207" s="1">
        <f t="shared" si="84"/>
        <v>-12.498298568801243</v>
      </c>
      <c r="T207" s="1">
        <f t="shared" si="85"/>
        <v>-158.57421470788302</v>
      </c>
      <c r="U207" s="1" t="str">
        <f>IMPRODUCT(COMPLEX(-1,0),IMDIV(COMPLEX(1,C207*Calculations!$B$195*Calculations!$B$197),IMPRODUCT(COMPLEX(0,C207*Calculations!$B$184),COMPLEX((Calculations!$B$197+Calculations!$B$199),C207*Calculations!$B$195*Calculations!$B$197*Calculations!$B$199))))</f>
        <v>-0.518747326970477+0.499913964492424i</v>
      </c>
      <c r="V207" s="1">
        <f t="shared" si="86"/>
        <v>-2.848219638822755</v>
      </c>
      <c r="W207" s="1">
        <f t="shared" si="87"/>
        <v>136.05918352761711</v>
      </c>
      <c r="X207" s="1" t="str">
        <f t="shared" si="88"/>
        <v>0.157849141734878-0.0654317762537126i</v>
      </c>
      <c r="Y207" s="1">
        <f t="shared" si="89"/>
        <v>-15.346518207624019</v>
      </c>
      <c r="Z207" s="1">
        <f t="shared" si="90"/>
        <v>-22.51503118026595</v>
      </c>
    </row>
    <row r="208" spans="2:26">
      <c r="B208" s="1">
        <v>40000</v>
      </c>
      <c r="C208" s="1">
        <f t="shared" si="91"/>
        <v>251327.41228718346</v>
      </c>
      <c r="D208" s="83" t="str">
        <f t="shared" si="92"/>
        <v>0.00500625994032786-0.00660939611977717i</v>
      </c>
      <c r="E208" s="1">
        <f t="shared" si="93"/>
        <v>-41.627477925226174</v>
      </c>
      <c r="F208" s="1">
        <f t="shared" si="94"/>
        <v>-52.858041117051634</v>
      </c>
      <c r="G208" s="1" t="str">
        <f t="shared" si="95"/>
        <v>-0.0158996609134742-84.9281562773383i</v>
      </c>
      <c r="H208" s="1">
        <f t="shared" si="77"/>
        <v>38.581034072207544</v>
      </c>
      <c r="I208" s="1">
        <f t="shared" si="78"/>
        <v>-90.010726518687306</v>
      </c>
      <c r="J208" s="83" t="str">
        <f t="shared" si="96"/>
        <v>-0.433252754614769+0.139956394601382i</v>
      </c>
      <c r="K208" s="1">
        <f t="shared" si="79"/>
        <v>-6.8340961900747423</v>
      </c>
      <c r="L208" s="1">
        <f t="shared" si="80"/>
        <v>162.09765673922632</v>
      </c>
      <c r="M208" s="1">
        <f t="shared" si="97"/>
        <v>0.76800000000000002</v>
      </c>
      <c r="N208" s="1">
        <f t="shared" si="98"/>
        <v>2.5000000000000001E-2</v>
      </c>
      <c r="O208" s="1" t="str">
        <f t="shared" si="99"/>
        <v>0.400610118364158-0.305830209786282i</v>
      </c>
      <c r="P208" s="1">
        <f t="shared" si="81"/>
        <v>-5.951310895921111</v>
      </c>
      <c r="Q208" s="1">
        <f t="shared" si="82"/>
        <v>-37.358515840436425</v>
      </c>
      <c r="R208" s="1" t="str">
        <f t="shared" si="83"/>
        <v>-0.213815202112572+0.0103119791507818i</v>
      </c>
      <c r="S208" s="1">
        <f t="shared" si="84"/>
        <v>-13.389138505682123</v>
      </c>
      <c r="T208" s="1">
        <f t="shared" si="85"/>
        <v>177.23885193044327</v>
      </c>
      <c r="U208" s="1" t="str">
        <f>IMPRODUCT(COMPLEX(-1,0),IMDIV(COMPLEX(1,C208*Calculations!$B$195*Calculations!$B$197),IMPRODUCT(COMPLEX(0,C208*Calculations!$B$184),COMPLEX((Calculations!$B$197+Calculations!$B$199),C208*Calculations!$B$195*Calculations!$B$197*Calculations!$B$199))))</f>
        <v>-0.382287495064388+0.48605945809456i</v>
      </c>
      <c r="V208" s="1">
        <f t="shared" si="86"/>
        <v>-4.1748492650181621</v>
      </c>
      <c r="W208" s="1">
        <f t="shared" si="87"/>
        <v>128.18517659237833</v>
      </c>
      <c r="X208" s="1" t="str">
        <f t="shared" si="88"/>
        <v>0.0767266430243896-0.107869041949924i</v>
      </c>
      <c r="Y208" s="1">
        <f t="shared" si="89"/>
        <v>-17.563987770700294</v>
      </c>
      <c r="Z208" s="1">
        <f t="shared" si="90"/>
        <v>-54.575971477178349</v>
      </c>
    </row>
    <row r="209" spans="1:26">
      <c r="B209" s="1">
        <v>50000</v>
      </c>
      <c r="C209" s="1">
        <f t="shared" si="91"/>
        <v>314159.26535897929</v>
      </c>
      <c r="D209" s="83" t="str">
        <f t="shared" si="92"/>
        <v>0.00500101435983708-0.00528752614736464i</v>
      </c>
      <c r="E209" s="1">
        <f t="shared" si="93"/>
        <v>-42.75985790622034</v>
      </c>
      <c r="F209" s="1">
        <f t="shared" si="94"/>
        <v>-46.595141186079907</v>
      </c>
      <c r="G209" s="1" t="str">
        <f t="shared" si="95"/>
        <v>-0.0102969764491855-67.9048893776036i</v>
      </c>
      <c r="H209" s="1">
        <f t="shared" si="77"/>
        <v>36.638021020896318</v>
      </c>
      <c r="I209" s="1">
        <f t="shared" si="78"/>
        <v>-90.008688229863409</v>
      </c>
      <c r="J209" s="83" t="str">
        <f t="shared" si="96"/>
        <v>-0.358073842239619+0.112156468953432i</v>
      </c>
      <c r="K209" s="1">
        <f t="shared" si="79"/>
        <v>-8.5140983743378769</v>
      </c>
      <c r="L209" s="1">
        <f t="shared" si="80"/>
        <v>162.6083157747849</v>
      </c>
      <c r="M209" s="1">
        <f t="shared" si="97"/>
        <v>0.76800000000000002</v>
      </c>
      <c r="N209" s="1">
        <f t="shared" si="98"/>
        <v>2.5000000000000001E-2</v>
      </c>
      <c r="O209" s="1" t="str">
        <f t="shared" si="99"/>
        <v>0.333252576708713-0.316617223127915i</v>
      </c>
      <c r="P209" s="1">
        <f t="shared" si="81"/>
        <v>-6.7509280397113773</v>
      </c>
      <c r="Q209" s="1">
        <f t="shared" si="82"/>
        <v>-43.533664050598759</v>
      </c>
      <c r="R209" s="1" t="str">
        <f t="shared" si="83"/>
        <v>-0.165133201433633+0.0750035246822599i</v>
      </c>
      <c r="S209" s="1">
        <f t="shared" si="84"/>
        <v>-14.828766718501463</v>
      </c>
      <c r="T209" s="1">
        <f t="shared" si="85"/>
        <v>155.57244414119202</v>
      </c>
      <c r="U209" s="1" t="str">
        <f>IMPRODUCT(COMPLEX(-1,0),IMDIV(COMPLEX(1,C209*Calculations!$B$195*Calculations!$B$197),IMPRODUCT(COMPLEX(0,C209*Calculations!$B$184),COMPLEX((Calculations!$B$197+Calculations!$B$199),C209*Calculations!$B$195*Calculations!$B$197*Calculations!$B$199))))</f>
        <v>-0.285669619188711+0.451791002433466i</v>
      </c>
      <c r="V209" s="1">
        <f t="shared" si="86"/>
        <v>-5.4405595192517966</v>
      </c>
      <c r="W209" s="1">
        <f t="shared" si="87"/>
        <v>122.30536400259983</v>
      </c>
      <c r="X209" s="1" t="str">
        <f t="shared" si="88"/>
        <v>0.0132876211667172-0.0960319229445408i</v>
      </c>
      <c r="Y209" s="1">
        <f t="shared" si="89"/>
        <v>-20.269326237753262</v>
      </c>
      <c r="Z209" s="1">
        <f t="shared" si="90"/>
        <v>-82.122191856208204</v>
      </c>
    </row>
    <row r="210" spans="1:26">
      <c r="B210" s="1">
        <v>60000</v>
      </c>
      <c r="C210" s="1">
        <f t="shared" si="91"/>
        <v>376991.11843077518</v>
      </c>
      <c r="D210" s="83" t="str">
        <f t="shared" si="92"/>
        <v>0.00499816490101234-0.00440627597742307i</v>
      </c>
      <c r="E210" s="1">
        <f t="shared" si="93"/>
        <v>-43.526471540753803</v>
      </c>
      <c r="F210" s="1">
        <f t="shared" si="94"/>
        <v>-41.398715595113785</v>
      </c>
      <c r="G210" s="1" t="str">
        <f t="shared" si="95"/>
        <v>-0.00719631633743659-56.5703854945233i</v>
      </c>
      <c r="H210" s="1">
        <f t="shared" si="77"/>
        <v>35.051782834613178</v>
      </c>
      <c r="I210" s="1">
        <f t="shared" si="78"/>
        <v>-90.007288593640425</v>
      </c>
      <c r="J210" s="83" t="str">
        <f t="shared" si="96"/>
        <v>-0.317270491793285+0.0935501738919178i</v>
      </c>
      <c r="K210" s="1">
        <f t="shared" si="79"/>
        <v>-9.6093424933362712</v>
      </c>
      <c r="L210" s="1">
        <f t="shared" si="80"/>
        <v>163.57135406745689</v>
      </c>
      <c r="M210" s="1">
        <f t="shared" si="97"/>
        <v>0.76800000000000002</v>
      </c>
      <c r="N210" s="1">
        <f t="shared" si="98"/>
        <v>2.5000000000000001E-2</v>
      </c>
      <c r="O210" s="1" t="str">
        <f t="shared" si="99"/>
        <v>0.276443159091486-0.314418751268441i</v>
      </c>
      <c r="P210" s="1">
        <f t="shared" si="81"/>
        <v>-7.5626770641494439</v>
      </c>
      <c r="Q210" s="1">
        <f t="shared" si="82"/>
        <v>-48.67742870766314</v>
      </c>
      <c r="R210" s="1" t="str">
        <f t="shared" si="83"/>
        <v>-0.111595072207867+0.0956349308642509i</v>
      </c>
      <c r="S210" s="1">
        <f t="shared" si="84"/>
        <v>-16.655562992134488</v>
      </c>
      <c r="T210" s="1">
        <f t="shared" si="85"/>
        <v>139.40402982480373</v>
      </c>
      <c r="U210" s="1" t="str">
        <f>IMPRODUCT(COMPLEX(-1,0),IMDIV(COMPLEX(1,C210*Calculations!$B$195*Calculations!$B$197),IMPRODUCT(COMPLEX(0,C210*Calculations!$B$184),COMPLEX((Calculations!$B$197+Calculations!$B$199),C210*Calculations!$B$195*Calculations!$B$197*Calculations!$B$199))))</f>
        <v>-0.218251716605101+0.413092996460396i</v>
      </c>
      <c r="V210" s="1">
        <f t="shared" si="86"/>
        <v>-6.6098678005523093</v>
      </c>
      <c r="W210" s="1">
        <f t="shared" si="87"/>
        <v>117.84908626053796</v>
      </c>
      <c r="X210" s="1" t="str">
        <f t="shared" si="88"/>
        <v>-0.015150304082959-0.0669716305970949i</v>
      </c>
      <c r="Y210" s="1">
        <f t="shared" si="89"/>
        <v>-23.265430792686807</v>
      </c>
      <c r="Z210" s="1">
        <f t="shared" si="90"/>
        <v>-102.74688391465828</v>
      </c>
    </row>
    <row r="211" spans="1:26">
      <c r="B211" s="1">
        <v>70000</v>
      </c>
      <c r="C211" s="1">
        <f t="shared" si="91"/>
        <v>439822.97150257102</v>
      </c>
      <c r="D211" s="83" t="str">
        <f t="shared" si="92"/>
        <v>0.00499644676459496-0.0037768101451116i</v>
      </c>
      <c r="E211" s="1">
        <f t="shared" si="93"/>
        <v>-44.063952518158814</v>
      </c>
      <c r="F211" s="1">
        <f t="shared" si="94"/>
        <v>-37.085605590610839</v>
      </c>
      <c r="G211" s="1" t="str">
        <f t="shared" si="95"/>
        <v>-0.00530728734278895-48.4801083973901i</v>
      </c>
      <c r="H211" s="1">
        <f t="shared" si="77"/>
        <v>33.71127169614298</v>
      </c>
      <c r="I211" s="1">
        <f t="shared" si="78"/>
        <v>-90.006272369725281</v>
      </c>
      <c r="J211" s="83" t="str">
        <f t="shared" si="96"/>
        <v>-0.29267911041791+0.0802304933732718i</v>
      </c>
      <c r="K211" s="1">
        <f t="shared" si="79"/>
        <v>-10.35749830349252</v>
      </c>
      <c r="L211" s="1">
        <f t="shared" si="80"/>
        <v>164.67039871903339</v>
      </c>
      <c r="M211" s="1">
        <f t="shared" si="97"/>
        <v>0.76800000000000002</v>
      </c>
      <c r="N211" s="1">
        <f t="shared" si="98"/>
        <v>2.5000000000000001E-2</v>
      </c>
      <c r="O211" s="1" t="str">
        <f t="shared" si="99"/>
        <v>0.230088587986979-0.304871174613678i</v>
      </c>
      <c r="P211" s="1">
        <f t="shared" si="81"/>
        <v>-8.3598283651313032</v>
      </c>
      <c r="Q211" s="1">
        <f t="shared" si="82"/>
        <v>-52.957868213023104</v>
      </c>
      <c r="R211" s="1" t="str">
        <f t="shared" si="83"/>
        <v>-0.0739045474203364+0.0933816931089851i</v>
      </c>
      <c r="S211" s="1">
        <f t="shared" si="84"/>
        <v>-18.48261822678985</v>
      </c>
      <c r="T211" s="1">
        <f t="shared" si="85"/>
        <v>128.35895028987161</v>
      </c>
      <c r="U211" s="1" t="str">
        <f>IMPRODUCT(COMPLEX(-1,0),IMDIV(COMPLEX(1,C211*Calculations!$B$195*Calculations!$B$197),IMPRODUCT(COMPLEX(0,C211*Calculations!$B$184),COMPLEX((Calculations!$B$197+Calculations!$B$199),C211*Calculations!$B$195*Calculations!$B$197*Calculations!$B$199))))</f>
        <v>-0.170654668266291+0.376228243266915i</v>
      </c>
      <c r="V211" s="1">
        <f t="shared" si="86"/>
        <v>-7.67841012878106</v>
      </c>
      <c r="W211" s="1">
        <f t="shared" si="87"/>
        <v>114.39873294951951</v>
      </c>
      <c r="X211" s="1" t="str">
        <f t="shared" si="88"/>
        <v>-0.0225206743282958-0.043740999905048i</v>
      </c>
      <c r="Y211" s="1">
        <f t="shared" si="89"/>
        <v>-26.161028355570913</v>
      </c>
      <c r="Z211" s="1">
        <f t="shared" si="90"/>
        <v>-117.24231676060894</v>
      </c>
    </row>
    <row r="212" spans="1:26">
      <c r="B212" s="1">
        <v>80000</v>
      </c>
      <c r="C212" s="1">
        <f t="shared" si="91"/>
        <v>502654.82457436691</v>
      </c>
      <c r="D212" s="83" t="str">
        <f t="shared" si="92"/>
        <v>0.00499533162692406-0.00330471010619123i</v>
      </c>
      <c r="E212" s="1">
        <f t="shared" si="93"/>
        <v>-44.452147854185888</v>
      </c>
      <c r="F212" s="1">
        <f t="shared" si="94"/>
        <v>-33.48701535919902</v>
      </c>
      <c r="G212" s="1" t="str">
        <f t="shared" si="95"/>
        <v>-0.00407342245193847-42.4151024445334i</v>
      </c>
      <c r="H212" s="1">
        <f t="shared" si="77"/>
        <v>32.550410445727856</v>
      </c>
      <c r="I212" s="1">
        <f t="shared" si="78"/>
        <v>-90.005502519161837</v>
      </c>
      <c r="J212" s="83" t="str">
        <f t="shared" si="96"/>
        <v>-0.276723086631975+0.0702270099579592i</v>
      </c>
      <c r="K212" s="1">
        <f t="shared" si="79"/>
        <v>-10.888024294655466</v>
      </c>
      <c r="L212" s="1">
        <f t="shared" si="80"/>
        <v>165.76005658929321</v>
      </c>
      <c r="M212" s="1">
        <f t="shared" si="97"/>
        <v>0.76800000000000002</v>
      </c>
      <c r="N212" s="1">
        <f t="shared" si="98"/>
        <v>2.5000000000000001E-2</v>
      </c>
      <c r="O212" s="1" t="str">
        <f t="shared" si="99"/>
        <v>0.192788075801051-0.291665630756336i</v>
      </c>
      <c r="P212" s="1">
        <f t="shared" si="81"/>
        <v>-9.1280057767636809</v>
      </c>
      <c r="Q212" s="1">
        <f t="shared" si="82"/>
        <v>-56.53569378132903</v>
      </c>
      <c r="R212" s="1" t="str">
        <f t="shared" si="83"/>
        <v>-0.0505092420355077+0.084535200039369i</v>
      </c>
      <c r="S212" s="1">
        <f t="shared" si="84"/>
        <v>-20.133454256800892</v>
      </c>
      <c r="T212" s="1">
        <f t="shared" si="85"/>
        <v>120.85804752880213</v>
      </c>
      <c r="U212" s="1" t="str">
        <f>IMPRODUCT(COMPLEX(-1,0),IMDIV(COMPLEX(1,C212*Calculations!$B$195*Calculations!$B$197),IMPRODUCT(COMPLEX(0,C212*Calculations!$B$184),COMPLEX((Calculations!$B$197+Calculations!$B$199),C212*Calculations!$B$195*Calculations!$B$197*Calculations!$B$199))))</f>
        <v>-0.136345444522897+0.343169309632712i</v>
      </c>
      <c r="V212" s="1">
        <f t="shared" si="86"/>
        <v>-8.6532811910313825</v>
      </c>
      <c r="W212" s="1">
        <f t="shared" si="87"/>
        <v>111.66854143609748</v>
      </c>
      <c r="X212" s="1" t="str">
        <f t="shared" si="88"/>
        <v>-0.0221231811793276-0.0288592111465965i</v>
      </c>
      <c r="Y212" s="1">
        <f t="shared" si="89"/>
        <v>-28.786735447832275</v>
      </c>
      <c r="Z212" s="1">
        <f t="shared" si="90"/>
        <v>-127.47341103510044</v>
      </c>
    </row>
    <row r="213" spans="1:26">
      <c r="B213" s="1">
        <v>90000</v>
      </c>
      <c r="C213" s="1">
        <f t="shared" si="91"/>
        <v>565486.6776461628</v>
      </c>
      <c r="D213" s="83" t="str">
        <f t="shared" si="92"/>
        <v>0.00499456709172878-0.0029375208435022i</v>
      </c>
      <c r="E213" s="1">
        <f t="shared" si="93"/>
        <v>-44.739874822651764</v>
      </c>
      <c r="F213" s="1">
        <f t="shared" si="94"/>
        <v>-30.461626073206254</v>
      </c>
      <c r="G213" s="1" t="str">
        <f t="shared" si="95"/>
        <v>-0.00322393806119959-37.6992714137478i</v>
      </c>
      <c r="H213" s="1">
        <f t="shared" si="77"/>
        <v>31.52665917166102</v>
      </c>
      <c r="I213" s="1">
        <f t="shared" si="78"/>
        <v>-90.004899777553817</v>
      </c>
      <c r="J213" s="83" t="str">
        <f t="shared" si="96"/>
        <v>-0.265785839204941+0.0624394372971543i</v>
      </c>
      <c r="K213" s="1">
        <f t="shared" si="79"/>
        <v>-11.276059758782871</v>
      </c>
      <c r="L213" s="1">
        <f t="shared" si="80"/>
        <v>166.77958265566366</v>
      </c>
      <c r="M213" s="1">
        <f t="shared" si="97"/>
        <v>0.76800000000000002</v>
      </c>
      <c r="N213" s="1">
        <f t="shared" si="98"/>
        <v>2.5000000000000001E-2</v>
      </c>
      <c r="O213" s="1" t="str">
        <f t="shared" si="99"/>
        <v>0.162865063468753-0.277016410672989i</v>
      </c>
      <c r="P213" s="1">
        <f t="shared" si="81"/>
        <v>-9.8605475441969102</v>
      </c>
      <c r="Q213" s="1">
        <f t="shared" si="82"/>
        <v>-59.547635857340957</v>
      </c>
      <c r="R213" s="1" t="str">
        <f t="shared" si="83"/>
        <v>-0.0360513548338342+0.075181763010576i</v>
      </c>
      <c r="S213" s="1">
        <f t="shared" si="84"/>
        <v>-21.578903818198341</v>
      </c>
      <c r="T213" s="1">
        <f t="shared" si="85"/>
        <v>115.61877092290024</v>
      </c>
      <c r="U213" s="1" t="str">
        <f>IMPRODUCT(COMPLEX(-1,0),IMDIV(COMPLEX(1,C213*Calculations!$B$195*Calculations!$B$197),IMPRODUCT(COMPLEX(0,C213*Calculations!$B$184),COMPLEX((Calculations!$B$197+Calculations!$B$199),C213*Calculations!$B$195*Calculations!$B$197*Calculations!$B$199))))</f>
        <v>-0.111043992307713+0.31419665392489i</v>
      </c>
      <c r="V213" s="1">
        <f t="shared" si="86"/>
        <v>-9.5448024211224958</v>
      </c>
      <c r="W213" s="1">
        <f t="shared" si="87"/>
        <v>109.46452585079062</v>
      </c>
      <c r="X213" s="1" t="str">
        <f t="shared" si="88"/>
        <v>-0.0196185720052461-0.0196756981716763i</v>
      </c>
      <c r="Y213" s="1">
        <f t="shared" si="89"/>
        <v>-31.123706239320846</v>
      </c>
      <c r="Z213" s="1">
        <f t="shared" si="90"/>
        <v>-134.91670322630912</v>
      </c>
    </row>
    <row r="214" spans="1:26">
      <c r="B214" s="1">
        <v>100000</v>
      </c>
      <c r="C214" s="1">
        <f t="shared" si="91"/>
        <v>628318.53071795858</v>
      </c>
      <c r="D214" s="83" t="str">
        <f t="shared" si="92"/>
        <v>0.00499402022396167-0.00264376924140277i</v>
      </c>
      <c r="E214" s="1">
        <f t="shared" si="93"/>
        <v>-44.958044301637642</v>
      </c>
      <c r="F214" s="1">
        <f t="shared" si="94"/>
        <v>-27.896161452813157</v>
      </c>
      <c r="G214" s="1" t="str">
        <f t="shared" si="95"/>
        <v>-0.00261453585140682-33.9273862915127i</v>
      </c>
      <c r="H214" s="1">
        <f t="shared" si="77"/>
        <v>30.611008098212604</v>
      </c>
      <c r="I214" s="1">
        <f t="shared" si="78"/>
        <v>-90.00441536722245</v>
      </c>
      <c r="J214" s="83" t="str">
        <f t="shared" si="96"/>
        <v>-0.257963563106685+0.0562054226764385i</v>
      </c>
      <c r="K214" s="1">
        <f t="shared" si="79"/>
        <v>-11.567407448965145</v>
      </c>
      <c r="L214" s="1">
        <f t="shared" si="80"/>
        <v>167.70842415315565</v>
      </c>
      <c r="M214" s="1">
        <f t="shared" si="97"/>
        <v>0.76800000000000002</v>
      </c>
      <c r="N214" s="1">
        <f t="shared" si="98"/>
        <v>2.5000000000000001E-2</v>
      </c>
      <c r="O214" s="1" t="str">
        <f t="shared" si="99"/>
        <v>0.138789028840826-0.262174088758271i</v>
      </c>
      <c r="P214" s="1">
        <f t="shared" si="81"/>
        <v>-10.555289387554449</v>
      </c>
      <c r="Q214" s="1">
        <f t="shared" si="82"/>
        <v>-62.104268372873932</v>
      </c>
      <c r="R214" s="1" t="str">
        <f t="shared" si="83"/>
        <v>-0.0268092373464848+0.0669412054835105i</v>
      </c>
      <c r="S214" s="1">
        <f t="shared" si="84"/>
        <v>-22.840083324720318</v>
      </c>
      <c r="T214" s="1">
        <f t="shared" si="85"/>
        <v>111.8255739661535</v>
      </c>
      <c r="U214" s="1" t="str">
        <f>IMPRODUCT(COMPLEX(-1,0),IMDIV(COMPLEX(1,C214*Calculations!$B$195*Calculations!$B$197),IMPRODUCT(COMPLEX(0,C214*Calculations!$B$184),COMPLEX((Calculations!$B$197+Calculations!$B$199),C214*Calculations!$B$195*Calculations!$B$197*Calculations!$B$199))))</f>
        <v>-0.0919694878425152+0.288990201353273i</v>
      </c>
      <c r="V214" s="1">
        <f t="shared" si="86"/>
        <v>-10.363362325602584</v>
      </c>
      <c r="W214" s="1">
        <f t="shared" si="87"/>
        <v>107.65337562380229</v>
      </c>
      <c r="X214" s="1" t="str">
        <f t="shared" si="88"/>
        <v>-0.0168797206233059-0.0139041552827674i</v>
      </c>
      <c r="Y214" s="1">
        <f t="shared" si="89"/>
        <v>-33.203445650322884</v>
      </c>
      <c r="Z214" s="1">
        <f t="shared" si="90"/>
        <v>-140.52105041004415</v>
      </c>
    </row>
    <row r="215" spans="1:26">
      <c r="B215" s="1">
        <v>200000</v>
      </c>
      <c r="C215" s="1">
        <f t="shared" si="91"/>
        <v>1256637.0614359172</v>
      </c>
      <c r="D215" s="83" t="str">
        <f t="shared" si="92"/>
        <v>0.00499227168489381-0.00132188539166869i</v>
      </c>
      <c r="E215" s="1">
        <f t="shared" si="93"/>
        <v>-45.739744185361992</v>
      </c>
      <c r="F215" s="1">
        <f t="shared" si="94"/>
        <v>-14.830788379667551</v>
      </c>
      <c r="G215" s="1" t="str">
        <f t="shared" si="95"/>
        <v>-0.000656147471180137-16.960563701992i</v>
      </c>
      <c r="H215" s="1">
        <f t="shared" si="77"/>
        <v>24.588805654296131</v>
      </c>
      <c r="I215" s="1">
        <f t="shared" si="78"/>
        <v>-90.002216582035757</v>
      </c>
      <c r="J215" s="83" t="str">
        <f t="shared" si="96"/>
        <v>-0.23295886570549+0.0281185759547035i</v>
      </c>
      <c r="K215" s="1">
        <f t="shared" si="79"/>
        <v>-12.591599483215916</v>
      </c>
      <c r="L215" s="1">
        <f t="shared" si="80"/>
        <v>173.11758529199619</v>
      </c>
      <c r="M215" s="1">
        <f t="shared" si="97"/>
        <v>0.76800000000000002</v>
      </c>
      <c r="N215" s="1">
        <f t="shared" si="98"/>
        <v>2.5000000000000001E-2</v>
      </c>
      <c r="O215" s="1" t="str">
        <f t="shared" si="99"/>
        <v>0.0416267840361143-0.157034845477488i</v>
      </c>
      <c r="P215" s="1">
        <f t="shared" si="81"/>
        <v>-15.785156547561261</v>
      </c>
      <c r="Q215" s="1">
        <f t="shared" si="82"/>
        <v>-75.153494495580603</v>
      </c>
      <c r="R215" s="1" t="str">
        <f t="shared" si="83"/>
        <v>-0.00471049711707861+0.0304897505996767i</v>
      </c>
      <c r="S215" s="1">
        <f t="shared" si="84"/>
        <v>-30.214480599774912</v>
      </c>
      <c r="T215" s="1">
        <f t="shared" si="85"/>
        <v>98.782444277587544</v>
      </c>
      <c r="U215" s="1" t="str">
        <f>IMPRODUCT(COMPLEX(-1,0),IMDIV(COMPLEX(1,C215*Calculations!$B$195*Calculations!$B$197),IMPRODUCT(COMPLEX(0,C215*Calculations!$B$184),COMPLEX((Calculations!$B$197+Calculations!$B$199),C215*Calculations!$B$195*Calculations!$B$197*Calculations!$B$199))))</f>
        <v>-0.0247747555208342+0.155438901945965i</v>
      </c>
      <c r="V215" s="1">
        <f t="shared" si="86"/>
        <v>-16.059856225268518</v>
      </c>
      <c r="W215" s="1">
        <f t="shared" si="87"/>
        <v>99.055961614177804</v>
      </c>
      <c r="X215" s="1" t="str">
        <f t="shared" si="88"/>
        <v>-0.00462259193936286-0.00148757061649653i</v>
      </c>
      <c r="Y215" s="1">
        <f t="shared" si="89"/>
        <v>-46.274336825043427</v>
      </c>
      <c r="Z215" s="1">
        <f t="shared" si="90"/>
        <v>-162.16159410823465</v>
      </c>
    </row>
    <row r="216" spans="1:26">
      <c r="B216" s="1">
        <v>300000</v>
      </c>
      <c r="C216" s="1">
        <f t="shared" si="91"/>
        <v>1884955.5921538759</v>
      </c>
      <c r="D216" s="83" t="str">
        <f t="shared" si="92"/>
        <v>0.00499194788113888-0.000881257022960337i</v>
      </c>
      <c r="E216" s="1">
        <f t="shared" si="93"/>
        <v>-45.90131812966775</v>
      </c>
      <c r="F216" s="1">
        <f t="shared" si="94"/>
        <v>-10.011597825051172</v>
      </c>
      <c r="G216" s="1" t="str">
        <f t="shared" si="95"/>
        <v>-0.000291827879359455-11.306656200409i</v>
      </c>
      <c r="H216" s="1">
        <f t="shared" si="77"/>
        <v>21.066683739910303</v>
      </c>
      <c r="I216" s="1">
        <f t="shared" si="78"/>
        <v>-90.001478819690945</v>
      </c>
      <c r="J216" s="83" t="str">
        <f t="shared" si="96"/>
        <v>-0.2283293692467+0.0187476749069473i</v>
      </c>
      <c r="K216" s="1">
        <f t="shared" si="79"/>
        <v>-12.799583759400747</v>
      </c>
      <c r="L216" s="1">
        <f t="shared" si="80"/>
        <v>175.30608583316521</v>
      </c>
      <c r="M216" s="1">
        <f t="shared" si="97"/>
        <v>0.76800000000000002</v>
      </c>
      <c r="N216" s="1">
        <f t="shared" si="98"/>
        <v>2.5000000000000001E-2</v>
      </c>
      <c r="O216" s="1" t="str">
        <f t="shared" si="99"/>
        <v>0.0192113051132069-0.108680695329795i</v>
      </c>
      <c r="P216" s="1">
        <f t="shared" si="81"/>
        <v>-19.143324671519068</v>
      </c>
      <c r="Q216" s="1">
        <f t="shared" si="82"/>
        <v>-79.97547686131233</v>
      </c>
      <c r="R216" s="1" t="str">
        <f t="shared" si="83"/>
        <v>-0.00193215134550133+0.0197934616933503i</v>
      </c>
      <c r="S216" s="1">
        <f t="shared" si="84"/>
        <v>-34.02837771743939</v>
      </c>
      <c r="T216" s="1">
        <f t="shared" si="85"/>
        <v>95.575300051107291</v>
      </c>
      <c r="U216" s="1" t="str">
        <f>IMPRODUCT(COMPLEX(-1,0),IMDIV(COMPLEX(1,C216*Calculations!$B$195*Calculations!$B$197),IMPRODUCT(COMPLEX(0,C216*Calculations!$B$184),COMPLEX((Calculations!$B$197+Calculations!$B$199),C216*Calculations!$B$195*Calculations!$B$197*Calculations!$B$199))))</f>
        <v>-0.011171375088797+0.105102962039346i</v>
      </c>
      <c r="V216" s="1">
        <f t="shared" si="86"/>
        <v>-19.518911439164256</v>
      </c>
      <c r="W216" s="1">
        <f t="shared" si="87"/>
        <v>96.067178578074575</v>
      </c>
      <c r="X216" s="1" t="str">
        <f t="shared" si="88"/>
        <v>-0.00205876666557453-0.000424195014402649i</v>
      </c>
      <c r="Y216" s="1">
        <f t="shared" si="89"/>
        <v>-53.547289156603632</v>
      </c>
      <c r="Z216" s="1">
        <f t="shared" si="90"/>
        <v>-168.35752137081815</v>
      </c>
    </row>
    <row r="217" spans="1:26">
      <c r="B217" s="1">
        <v>400000</v>
      </c>
      <c r="C217" s="1">
        <f t="shared" si="91"/>
        <v>2513274.1228718343</v>
      </c>
      <c r="D217" s="83" t="str">
        <f t="shared" si="92"/>
        <v>0.00499183454980814-0.000660942792205326i</v>
      </c>
      <c r="E217" s="1">
        <f t="shared" si="93"/>
        <v>-45.959319737269865</v>
      </c>
      <c r="F217" s="1">
        <f t="shared" si="94"/>
        <v>-7.5423645479838086</v>
      </c>
      <c r="G217" s="1" t="str">
        <f t="shared" si="95"/>
        <v>-0.000164193888338714-8.47989075968779i</v>
      </c>
      <c r="H217" s="1">
        <f t="shared" si="77"/>
        <v>18.567805153436154</v>
      </c>
      <c r="I217" s="1">
        <f t="shared" si="78"/>
        <v>-90.001109403067687</v>
      </c>
      <c r="J217" s="83" t="str">
        <f t="shared" si="96"/>
        <v>-0.22670911952344+0.0140612699963683i</v>
      </c>
      <c r="K217" s="1">
        <f t="shared" si="79"/>
        <v>-12.873945364729618</v>
      </c>
      <c r="L217" s="1">
        <f t="shared" si="80"/>
        <v>176.45086744760684</v>
      </c>
      <c r="M217" s="1">
        <f t="shared" si="97"/>
        <v>0.76800000000000002</v>
      </c>
      <c r="N217" s="1">
        <f t="shared" si="98"/>
        <v>2.5000000000000001E-2</v>
      </c>
      <c r="O217" s="1" t="str">
        <f t="shared" si="99"/>
        <v>0.0109535923499195-0.082613159094594i</v>
      </c>
      <c r="P217" s="1">
        <f t="shared" si="81"/>
        <v>-21.583330502300843</v>
      </c>
      <c r="Q217" s="1">
        <f t="shared" si="82"/>
        <v>-82.447265531077477</v>
      </c>
      <c r="R217" s="1" t="str">
        <f t="shared" si="83"/>
        <v>-0.00105541914903586+0.0146980970340339i</v>
      </c>
      <c r="S217" s="1">
        <f t="shared" si="84"/>
        <v>-36.63244234265062</v>
      </c>
      <c r="T217" s="1">
        <f t="shared" si="85"/>
        <v>94.107160942812683</v>
      </c>
      <c r="U217" s="1" t="str">
        <f>IMPRODUCT(COMPLEX(-1,0),IMDIV(COMPLEX(1,C217*Calculations!$B$195*Calculations!$B$197),IMPRODUCT(COMPLEX(0,C217*Calculations!$B$184),COMPLEX((Calculations!$B$197+Calculations!$B$199),C217*Calculations!$B$195*Calculations!$B$197*Calculations!$B$199))))</f>
        <v>-0.00631609583988377+0.0792226037966251i</v>
      </c>
      <c r="V217" s="1">
        <f t="shared" si="86"/>
        <v>-21.995500386756181</v>
      </c>
      <c r="W217" s="1">
        <f t="shared" si="87"/>
        <v>94.558317780520881</v>
      </c>
      <c r="X217" s="1" t="str">
        <f t="shared" si="88"/>
        <v>-0.00115775538939506-0.000176447642614309i</v>
      </c>
      <c r="Y217" s="1">
        <f t="shared" si="89"/>
        <v>-58.62794272940679</v>
      </c>
      <c r="Z217" s="1">
        <f t="shared" si="90"/>
        <v>-171.33452127666641</v>
      </c>
    </row>
    <row r="218" spans="1:26">
      <c r="B218" s="1">
        <v>500000</v>
      </c>
      <c r="C218" s="1">
        <f t="shared" si="91"/>
        <v>3141592.653589793</v>
      </c>
      <c r="D218" s="83" t="str">
        <f t="shared" si="92"/>
        <v>0.0049917820935893-0.000528754243015877i</v>
      </c>
      <c r="E218" s="1">
        <f t="shared" si="93"/>
        <v>-45.986430714783012</v>
      </c>
      <c r="F218" s="1">
        <f t="shared" si="94"/>
        <v>-6.0465054331824382</v>
      </c>
      <c r="G218" s="1" t="str">
        <f t="shared" si="95"/>
        <v>-0.000105096146446629-6.78387506490157i</v>
      </c>
      <c r="H218" s="1">
        <f t="shared" si="77"/>
        <v>16.629556823976944</v>
      </c>
      <c r="I218" s="1">
        <f t="shared" si="78"/>
        <v>-90.000887629205494</v>
      </c>
      <c r="J218" s="83" t="str">
        <f t="shared" si="96"/>
        <v>-0.225959188361883+0.0112492062481765i</v>
      </c>
      <c r="K218" s="1">
        <f t="shared" si="79"/>
        <v>-12.908649334617124</v>
      </c>
      <c r="L218" s="1">
        <f t="shared" si="80"/>
        <v>177.14992627000521</v>
      </c>
      <c r="M218" s="1">
        <f t="shared" si="97"/>
        <v>0.76800000000000002</v>
      </c>
      <c r="N218" s="1">
        <f t="shared" si="98"/>
        <v>2.5000000000000001E-2</v>
      </c>
      <c r="O218" s="1" t="str">
        <f t="shared" si="99"/>
        <v>0.00705478859105775-0.0665070075027824i</v>
      </c>
      <c r="P218" s="1">
        <f t="shared" si="81"/>
        <v>-23.494057536442735</v>
      </c>
      <c r="Q218" s="1">
        <f t="shared" si="82"/>
        <v>-83.944943353755164</v>
      </c>
      <c r="R218" s="1" t="str">
        <f t="shared" si="83"/>
        <v>-0.000666207799054129+0.0117031199144887i</v>
      </c>
      <c r="S218" s="1">
        <f t="shared" si="84"/>
        <v>-38.619916208455017</v>
      </c>
      <c r="T218" s="1">
        <f t="shared" si="85"/>
        <v>93.258083665552121</v>
      </c>
      <c r="U218" s="1" t="str">
        <f>IMPRODUCT(COMPLEX(-1,0),IMDIV(COMPLEX(1,C218*Calculations!$B$195*Calculations!$B$197),IMPRODUCT(COMPLEX(0,C218*Calculations!$B$184),COMPLEX((Calculations!$B$197+Calculations!$B$199),C218*Calculations!$B$195*Calculations!$B$197*Calculations!$B$199))))</f>
        <v>-0.00405191077231849+0.063525587405933i</v>
      </c>
      <c r="V218" s="1">
        <f t="shared" si="86"/>
        <v>-23.923393268695065</v>
      </c>
      <c r="W218" s="1">
        <f t="shared" si="87"/>
        <v>93.649605246309775</v>
      </c>
      <c r="X218" s="1" t="str">
        <f t="shared" si="88"/>
        <v>-0.000740748152492377-0.0000897412394205791i</v>
      </c>
      <c r="Y218" s="1">
        <f t="shared" si="89"/>
        <v>-62.543309477150082</v>
      </c>
      <c r="Z218" s="1">
        <f t="shared" si="90"/>
        <v>-173.09231108813808</v>
      </c>
    </row>
    <row r="219" spans="1:26">
      <c r="B219" s="1">
        <v>600000</v>
      </c>
      <c r="C219" s="1">
        <f t="shared" si="91"/>
        <v>3769911.1843077517</v>
      </c>
      <c r="D219" s="83" t="str">
        <f t="shared" si="92"/>
        <v>0.00499175359885237-0.000440628540034539i</v>
      </c>
      <c r="E219" s="1">
        <f t="shared" si="93"/>
        <v>-46.001228911625105</v>
      </c>
      <c r="F219" s="1">
        <f t="shared" si="94"/>
        <v>-5.0444976616689097</v>
      </c>
      <c r="G219" s="1" t="str">
        <f t="shared" si="95"/>
        <v>-0.0000729879835475672-5.6532122261896i</v>
      </c>
      <c r="H219" s="1">
        <f t="shared" si="77"/>
        <v>15.045905791415757</v>
      </c>
      <c r="I219" s="1">
        <f t="shared" si="78"/>
        <v>-90.000739739327813</v>
      </c>
      <c r="J219" s="83" t="str">
        <f t="shared" si="96"/>
        <v>-0.225551821795193+0.0093744246603338i</v>
      </c>
      <c r="K219" s="1">
        <f t="shared" si="79"/>
        <v>-12.927577620769634</v>
      </c>
      <c r="L219" s="1">
        <f t="shared" si="80"/>
        <v>177.62003245693506</v>
      </c>
      <c r="M219" s="1">
        <f t="shared" si="97"/>
        <v>0.76800000000000002</v>
      </c>
      <c r="N219" s="1">
        <f t="shared" si="98"/>
        <v>2.5000000000000001E-2</v>
      </c>
      <c r="O219" s="1" t="str">
        <f t="shared" si="99"/>
        <v>0.00491610640535665-0.0556128891871675i</v>
      </c>
      <c r="P219" s="1">
        <f t="shared" si="81"/>
        <v>-25.06268555596801</v>
      </c>
      <c r="Q219" s="1">
        <f t="shared" si="82"/>
        <v>-84.948259642157524</v>
      </c>
      <c r="R219" s="1" t="str">
        <f t="shared" si="83"/>
        <v>-0.000459159811699078+0.00972734214627181i</v>
      </c>
      <c r="S219" s="1">
        <f t="shared" si="84"/>
        <v>-40.230450307380082</v>
      </c>
      <c r="T219" s="1">
        <f t="shared" si="85"/>
        <v>92.702527156426157</v>
      </c>
      <c r="U219" s="1" t="str">
        <f>IMPRODUCT(COMPLEX(-1,0),IMDIV(COMPLEX(1,C219*Calculations!$B$195*Calculations!$B$197),IMPRODUCT(COMPLEX(0,C219*Calculations!$B$184),COMPLEX((Calculations!$B$197+Calculations!$B$199),C219*Calculations!$B$195*Calculations!$B$197*Calculations!$B$199))))</f>
        <v>-0.00281746519900286+0.05300500630108i</v>
      </c>
      <c r="V219" s="1">
        <f t="shared" si="86"/>
        <v>-25.50140884050488</v>
      </c>
      <c r="W219" s="1">
        <f t="shared" si="87"/>
        <v>93.042676501830826</v>
      </c>
      <c r="X219" s="1" t="str">
        <f t="shared" si="88"/>
        <v>-0.000514304164965655-0.000051744216688227i</v>
      </c>
      <c r="Y219" s="1">
        <f t="shared" si="89"/>
        <v>-65.731859147884975</v>
      </c>
      <c r="Z219" s="1">
        <f t="shared" si="90"/>
        <v>-174.254796341743</v>
      </c>
    </row>
    <row r="220" spans="1:26">
      <c r="B220" s="1">
        <v>700000</v>
      </c>
      <c r="C220" s="1">
        <f t="shared" si="91"/>
        <v>4398229.7150257099</v>
      </c>
      <c r="D220" s="83" t="str">
        <f t="shared" si="92"/>
        <v>0.00499173641742444-0.000377681607908361i</v>
      </c>
      <c r="E220" s="1">
        <f t="shared" si="93"/>
        <v>-46.010176187106566</v>
      </c>
      <c r="F220" s="1">
        <f t="shared" si="94"/>
        <v>-4.3268331220784386</v>
      </c>
      <c r="G220" s="1" t="str">
        <f t="shared" si="95"/>
        <v>-0.0000536258396070789-4.84560169633175i</v>
      </c>
      <c r="H220" s="1">
        <f t="shared" si="77"/>
        <v>13.706954254364028</v>
      </c>
      <c r="I220" s="1">
        <f t="shared" si="78"/>
        <v>-90.000634087255776</v>
      </c>
      <c r="J220" s="83" t="str">
        <f t="shared" si="96"/>
        <v>-0.225306193776506+0.00803526564643799i</v>
      </c>
      <c r="K220" s="1">
        <f t="shared" si="79"/>
        <v>-12.939017085418712</v>
      </c>
      <c r="L220" s="1">
        <f t="shared" si="80"/>
        <v>177.9574828339446</v>
      </c>
      <c r="M220" s="1">
        <f t="shared" si="97"/>
        <v>0.76800000000000002</v>
      </c>
      <c r="N220" s="1">
        <f t="shared" si="98"/>
        <v>2.5000000000000001E-2</v>
      </c>
      <c r="O220" s="1" t="str">
        <f t="shared" si="99"/>
        <v>0.00361938276334505-0.0477671331237009i</v>
      </c>
      <c r="P220" s="1">
        <f t="shared" si="81"/>
        <v>-26.392553596905906</v>
      </c>
      <c r="Q220" s="1">
        <f t="shared" si="82"/>
        <v>-85.666898213280362</v>
      </c>
      <c r="R220" s="1" t="str">
        <f t="shared" si="83"/>
        <v>-0.000335800532495645+0.00832461077583307i</v>
      </c>
      <c r="S220" s="1">
        <f t="shared" si="84"/>
        <v>-41.585660264801795</v>
      </c>
      <c r="T220" s="1">
        <f t="shared" si="85"/>
        <v>92.309961193293702</v>
      </c>
      <c r="U220" s="1" t="str">
        <f>IMPRODUCT(COMPLEX(-1,0),IMDIV(COMPLEX(1,C220*Calculations!$B$195*Calculations!$B$197),IMPRODUCT(COMPLEX(0,C220*Calculations!$B$184),COMPLEX((Calculations!$B$197+Calculations!$B$199),C220*Calculations!$B$195*Calculations!$B$197*Calculations!$B$199))))</f>
        <v>-0.0020715895203167+0.0454675706862523i</v>
      </c>
      <c r="V220" s="1">
        <f t="shared" si="86"/>
        <v>-26.836958864810683</v>
      </c>
      <c r="W220" s="1">
        <f t="shared" si="87"/>
        <v>92.608701221495565</v>
      </c>
      <c r="X220" s="1" t="str">
        <f t="shared" si="88"/>
        <v>-0.000377804188021693-0.0000325132108916582i</v>
      </c>
      <c r="Y220" s="1">
        <f t="shared" si="89"/>
        <v>-68.422619129612471</v>
      </c>
      <c r="Z220" s="1">
        <f t="shared" si="90"/>
        <v>-175.08133758521072</v>
      </c>
    </row>
    <row r="221" spans="1:26">
      <c r="B221" s="1">
        <v>800000</v>
      </c>
      <c r="C221" s="1">
        <f t="shared" si="91"/>
        <v>5026548.2457436686</v>
      </c>
      <c r="D221" s="83" t="str">
        <f t="shared" si="92"/>
        <v>0.0049917252660168-0.000330471408149038i</v>
      </c>
      <c r="E221" s="1">
        <f t="shared" si="93"/>
        <v>-46.01599319301971</v>
      </c>
      <c r="F221" s="1">
        <f t="shared" si="94"/>
        <v>-3.7876736589872126</v>
      </c>
      <c r="G221" s="1" t="str">
        <f t="shared" si="95"/>
        <v>-0.0000410582847170896-4.23989649621606i</v>
      </c>
      <c r="H221" s="1">
        <f t="shared" si="77"/>
        <v>12.547105096078486</v>
      </c>
      <c r="I221" s="1">
        <f t="shared" si="78"/>
        <v>-90.00055484053216</v>
      </c>
      <c r="J221" s="83" t="str">
        <f t="shared" si="96"/>
        <v>-0.225146772217284+0.00703088271750988i</v>
      </c>
      <c r="K221" s="1">
        <f t="shared" si="79"/>
        <v>-12.946452374006672</v>
      </c>
      <c r="L221" s="1">
        <f t="shared" si="80"/>
        <v>178.21134884422924</v>
      </c>
      <c r="M221" s="1">
        <f t="shared" si="97"/>
        <v>0.76800000000000002</v>
      </c>
      <c r="N221" s="1">
        <f t="shared" si="98"/>
        <v>2.5000000000000001E-2</v>
      </c>
      <c r="O221" s="1" t="str">
        <f t="shared" si="99"/>
        <v>0.00277485436762005-0.0418526256653819i</v>
      </c>
      <c r="P221" s="1">
        <f t="shared" si="81"/>
        <v>-27.546497067864703</v>
      </c>
      <c r="Q221" s="1">
        <f t="shared" si="82"/>
        <v>-86.206806703769672</v>
      </c>
      <c r="R221" s="1" t="str">
        <f t="shared" si="83"/>
        <v>-0.000256332046967878+0.00727656861209308i</v>
      </c>
      <c r="S221" s="1">
        <f t="shared" si="84"/>
        <v>-42.756081410414268</v>
      </c>
      <c r="T221" s="1">
        <f t="shared" si="85"/>
        <v>92.017527024003343</v>
      </c>
      <c r="U221" s="1" t="str">
        <f>IMPRODUCT(COMPLEX(-1,0),IMDIV(COMPLEX(1,C221*Calculations!$B$195*Calculations!$B$197),IMPRODUCT(COMPLEX(0,C221*Calculations!$B$184),COMPLEX((Calculations!$B$197+Calculations!$B$199),C221*Calculations!$B$195*Calculations!$B$197*Calculations!$B$199))))</f>
        <v>-0.00158686432948847+0.0398038607791139i</v>
      </c>
      <c r="V221" s="1">
        <f t="shared" si="86"/>
        <v>-27.994598895894601</v>
      </c>
      <c r="W221" s="1">
        <f t="shared" si="87"/>
        <v>92.283007314872108</v>
      </c>
      <c r="X221" s="1" t="str">
        <f t="shared" si="88"/>
        <v>-0.000289228759803585-0.0000217499322823406i</v>
      </c>
      <c r="Y221" s="1">
        <f t="shared" si="89"/>
        <v>-70.750680306308865</v>
      </c>
      <c r="Z221" s="1">
        <f t="shared" si="90"/>
        <v>-175.69946566112455</v>
      </c>
    </row>
    <row r="222" spans="1:26">
      <c r="B222" s="1">
        <v>900000</v>
      </c>
      <c r="C222" s="1">
        <f t="shared" si="91"/>
        <v>5654866.7764616273</v>
      </c>
      <c r="D222" s="83" t="str">
        <f t="shared" si="92"/>
        <v>0.00499171762064838-0.000293752363548256i</v>
      </c>
      <c r="E222" s="1">
        <f t="shared" si="93"/>
        <v>-46.01998581993638</v>
      </c>
      <c r="F222" s="1">
        <f t="shared" si="94"/>
        <v>-3.3678552001933504</v>
      </c>
      <c r="G222" s="1" t="str">
        <f t="shared" si="95"/>
        <v>-0.000032441656241232-3.76879384570265i</v>
      </c>
      <c r="H222" s="1">
        <f t="shared" si="77"/>
        <v>11.524047641208718</v>
      </c>
      <c r="I222" s="1">
        <f t="shared" si="78"/>
        <v>-90.000493200227723</v>
      </c>
      <c r="J222" s="83" t="str">
        <f t="shared" si="96"/>
        <v>-0.225037473535872+0.00624968893082108i</v>
      </c>
      <c r="K222" s="1">
        <f t="shared" si="79"/>
        <v>-12.95155483435672</v>
      </c>
      <c r="L222" s="1">
        <f t="shared" si="80"/>
        <v>178.40920369028882</v>
      </c>
      <c r="M222" s="1">
        <f t="shared" si="97"/>
        <v>0.76800000000000002</v>
      </c>
      <c r="N222" s="1">
        <f t="shared" si="98"/>
        <v>2.5000000000000001E-2</v>
      </c>
      <c r="O222" s="1" t="str">
        <f t="shared" si="99"/>
        <v>0.0021945214184351-0.0372367742889776i</v>
      </c>
      <c r="P222" s="1">
        <f t="shared" si="81"/>
        <v>-28.565500973253791</v>
      </c>
      <c r="Q222" s="1">
        <f t="shared" si="82"/>
        <v>-86.627217348746484</v>
      </c>
      <c r="R222" s="1" t="str">
        <f t="shared" si="83"/>
        <v>-0.000202119684333963+0.00646350316341412i</v>
      </c>
      <c r="S222" s="1">
        <f t="shared" si="84"/>
        <v>-43.786395923984607</v>
      </c>
      <c r="T222" s="1">
        <f t="shared" si="85"/>
        <v>91.791108012564379</v>
      </c>
      <c r="U222" s="1" t="str">
        <f>IMPRODUCT(COMPLEX(-1,0),IMDIV(COMPLEX(1,C222*Calculations!$B$195*Calculations!$B$197),IMPRODUCT(COMPLEX(0,C222*Calculations!$B$184),COMPLEX((Calculations!$B$197+Calculations!$B$199),C222*Calculations!$B$195*Calculations!$B$197*Calculations!$B$199))))</f>
        <v>-0.00125425441797425+0.0353932476175725i</v>
      </c>
      <c r="V222" s="1">
        <f t="shared" si="86"/>
        <v>-29.016141136303759</v>
      </c>
      <c r="W222" s="1">
        <f t="shared" si="87"/>
        <v>92.029579914885431</v>
      </c>
      <c r="X222" s="1" t="str">
        <f t="shared" si="88"/>
        <v>-0.000228510858432644-0.0000152605494343202i</v>
      </c>
      <c r="Y222" s="1">
        <f t="shared" si="89"/>
        <v>-72.802537060288358</v>
      </c>
      <c r="Z222" s="1">
        <f t="shared" si="90"/>
        <v>-176.1793120725502</v>
      </c>
    </row>
    <row r="223" spans="1:26" ht="15" thickBot="1">
      <c r="B223" s="98">
        <v>1000000</v>
      </c>
      <c r="C223" s="98">
        <f t="shared" si="91"/>
        <v>6283185.307179586</v>
      </c>
      <c r="D223" s="113" t="str">
        <f t="shared" si="92"/>
        <v>0.00499171215196132-0.000264377127675683i</v>
      </c>
      <c r="E223" s="98">
        <f t="shared" si="93"/>
        <v>-46.022843975957173</v>
      </c>
      <c r="F223" s="98">
        <f t="shared" si="94"/>
        <v>-3.0317360728721363</v>
      </c>
      <c r="G223" s="98" t="str">
        <f t="shared" si="95"/>
        <v>-0.0000262780558092993-3.39191250420447i</v>
      </c>
      <c r="H223" s="98">
        <f t="shared" si="77"/>
        <v>10.608892818703698</v>
      </c>
      <c r="I223" s="98">
        <f t="shared" si="78"/>
        <v>-90.000443885769386</v>
      </c>
      <c r="J223" s="113" t="str">
        <f t="shared" si="96"/>
        <v>-0.224959292939161+0.00562472995435253i</v>
      </c>
      <c r="K223" s="98">
        <f t="shared" si="79"/>
        <v>-12.955207019546613</v>
      </c>
      <c r="L223" s="98">
        <f t="shared" si="80"/>
        <v>178.56771351769859</v>
      </c>
      <c r="M223" s="98">
        <f t="shared" si="97"/>
        <v>0.76800000000000002</v>
      </c>
      <c r="N223" s="98">
        <f t="shared" si="98"/>
        <v>2.5000000000000001E-2</v>
      </c>
      <c r="O223" s="98" t="str">
        <f t="shared" si="99"/>
        <v>0.00177874845159321-0.0335353038279558i</v>
      </c>
      <c r="P223" s="98">
        <f t="shared" si="81"/>
        <v>-29.477754000684119</v>
      </c>
      <c r="Q223" s="98">
        <f t="shared" si="82"/>
        <v>-86.963815611735271</v>
      </c>
      <c r="R223" s="98" t="str">
        <f t="shared" si="83"/>
        <v>-0.000163477019322371+0.00581421509527531i</v>
      </c>
      <c r="S223" s="98">
        <f t="shared" si="84"/>
        <v>-44.706746139725063</v>
      </c>
      <c r="T223" s="98">
        <f t="shared" si="85"/>
        <v>91.610548633000178</v>
      </c>
      <c r="U223" s="98" t="str">
        <f>IMPRODUCT(COMPLEX(-1,0),IMDIV(COMPLEX(1,C223*Calculations!$B$195*Calculations!$B$197),IMPRODUCT(COMPLEX(0,C223*Calculations!$B$184),COMPLEX((Calculations!$B$197+Calculations!$B$199),C223*Calculations!$B$195*Calculations!$B$197*Calculations!$B$199))))</f>
        <v>-0.0010161986618504+0.0318616771389146i</v>
      </c>
      <c r="V223" s="98">
        <f t="shared" si="86"/>
        <v>-29.930211813135976</v>
      </c>
      <c r="W223" s="98">
        <f t="shared" si="87"/>
        <v>91.826776533354561</v>
      </c>
      <c r="X223" s="98" t="str">
        <f t="shared" si="88"/>
        <v>-0.000185084519053587-0.0000111170496088107i</v>
      </c>
      <c r="Y223" s="98">
        <f t="shared" si="89"/>
        <v>-74.636957952861039</v>
      </c>
      <c r="Z223" s="98">
        <f t="shared" si="90"/>
        <v>-176.56267483364525</v>
      </c>
    </row>
    <row r="224" spans="1:26">
      <c r="A224" s="82" t="s">
        <v>407</v>
      </c>
      <c r="B224" s="106">
        <f>Calculations!B189</f>
        <v>2000</v>
      </c>
      <c r="C224" s="107">
        <f t="shared" si="91"/>
        <v>12566.370614359172</v>
      </c>
      <c r="D224" s="108" t="str">
        <f t="shared" si="92"/>
        <v>0.0108088488537093-0.131932074161302i</v>
      </c>
      <c r="E224" s="107">
        <f t="shared" si="93"/>
        <v>-17.563939330563368</v>
      </c>
      <c r="F224" s="107">
        <f t="shared" ref="F224" si="100">IMARGUMENT(D224)*(180/PI())</f>
        <v>-85.316367344002757</v>
      </c>
      <c r="G224" s="107" t="str">
        <f t="shared" si="95"/>
        <v>547.348340130201-4280.6131993512i</v>
      </c>
      <c r="H224" s="107">
        <f t="shared" si="77"/>
        <v>72.700552300334763</v>
      </c>
      <c r="I224" s="107">
        <f t="shared" ref="I224" si="101">IMARGUMENT(G224)*(180/PI())</f>
        <v>-82.713312218865724</v>
      </c>
      <c r="J224" s="108" t="str">
        <f t="shared" si="96"/>
        <v>-207.502741026084-37.965110560144i</v>
      </c>
      <c r="K224" s="107">
        <f t="shared" si="79"/>
        <v>46.483476861452743</v>
      </c>
      <c r="L224" s="107">
        <f t="shared" ref="L224" si="102">IMARGUMENT(J224)*(180/PI())</f>
        <v>-169.6317291097123</v>
      </c>
      <c r="M224" s="107">
        <f t="shared" si="97"/>
        <v>0.76800000000000002</v>
      </c>
      <c r="N224" s="107">
        <f t="shared" si="98"/>
        <v>2.5000000000000001E-2</v>
      </c>
      <c r="O224" s="107" t="str">
        <f t="shared" si="99"/>
        <v>0.624420511883016-0.139603987008698i</v>
      </c>
      <c r="P224" s="107">
        <f t="shared" si="81"/>
        <v>-3.8786250588826094</v>
      </c>
      <c r="Q224" s="107">
        <f t="shared" ref="Q224" si="103">IMARGUMENT(O224)*(180/PI())</f>
        <v>-12.602575075049378</v>
      </c>
      <c r="R224" s="107" t="str">
        <f t="shared" ref="R224" si="104">IMDIV(IMPRODUCT(O224,J224,COMPLEX(M224,0)),IMSUM(COMPLEX(1,0),IMPRODUCT(G224,O224,COMPLEX(M224,0),COMPLEX(N224,0))))</f>
        <v>0.0684724684003784-1.95714660517216i</v>
      </c>
      <c r="S224" s="107">
        <f t="shared" si="84"/>
        <v>5.8377797374748921</v>
      </c>
      <c r="T224" s="107">
        <f t="shared" ref="T224" si="105">IMARGUMENT(R224)*(180/PI())</f>
        <v>-87.996274809785319</v>
      </c>
      <c r="U224" s="8" t="str">
        <f>IMPRODUCT(COMPLEX(-1,0),IMDIV(COMPLEX(1,C224*Calculations!$B$195*Calculations!$B$197),IMPRODUCT(COMPLEX(0,C224*Calculations!$B$184),COMPLEX((Calculations!$B$197+Calculations!$B$199),C224*Calculations!$B$195*Calculations!$B$197*Calculations!$B$199))))</f>
        <v>-0.955166444060245+0.390884311238777i</v>
      </c>
      <c r="V224" s="8">
        <f t="shared" si="86"/>
        <v>0.27404036196468179</v>
      </c>
      <c r="W224" s="8">
        <f t="shared" si="87"/>
        <v>157.74407035526522</v>
      </c>
      <c r="X224" s="8" t="str">
        <f t="shared" si="88"/>
        <v>0.699615298598013+1.89616557701637i</v>
      </c>
      <c r="Y224" s="8">
        <f t="shared" si="89"/>
        <v>6.1118200994395613</v>
      </c>
      <c r="Z224" s="9">
        <f t="shared" si="90"/>
        <v>69.747795545479889</v>
      </c>
    </row>
    <row r="225" spans="1:26">
      <c r="A225" t="s">
        <v>449</v>
      </c>
      <c r="B225" s="114">
        <f>Calculations!B200</f>
        <v>678.61230158996841</v>
      </c>
      <c r="C225" s="92">
        <f t="shared" si="91"/>
        <v>4263.8468426214113</v>
      </c>
      <c r="D225" s="93" t="str">
        <f t="shared" si="92"/>
        <v>0.054776698086216-0.383115483706762i</v>
      </c>
      <c r="E225" s="92">
        <f t="shared" si="93"/>
        <v>-8.2455208739403894</v>
      </c>
      <c r="F225" s="92">
        <f t="shared" ref="F225:F228" si="106">IMARGUMENT(D225)*(180/PI())</f>
        <v>-81.863168445451237</v>
      </c>
      <c r="G225" s="92" t="str">
        <f t="shared" si="95"/>
        <v>363.642792138624+1131.39312361601i</v>
      </c>
      <c r="H225" s="92">
        <f t="shared" si="77"/>
        <v>61.499228017118881</v>
      </c>
      <c r="I225" s="92">
        <f t="shared" ref="I225:I228" si="107">IMARGUMENT(G225)*(180/PI())</f>
        <v>72.181996186368863</v>
      </c>
      <c r="J225" s="93" t="str">
        <f t="shared" si="96"/>
        <v>165.484680397445-11.3857257021435i</v>
      </c>
      <c r="K225" s="92">
        <f t="shared" si="79"/>
        <v>44.395665844224624</v>
      </c>
      <c r="L225" s="92">
        <f t="shared" ref="L225:L228" si="108">IMARGUMENT(J225)*(180/PI())</f>
        <v>-3.9358784155831787</v>
      </c>
      <c r="M225" s="92">
        <f t="shared" si="97"/>
        <v>0.76800000000000002</v>
      </c>
      <c r="N225" s="92">
        <f t="shared" si="98"/>
        <v>2.5000000000000001E-2</v>
      </c>
      <c r="O225" s="92" t="str">
        <f t="shared" si="99"/>
        <v>0.625195118399657-0.350472935819303i</v>
      </c>
      <c r="P225" s="92">
        <f t="shared" si="81"/>
        <v>-2.8929025266793258</v>
      </c>
      <c r="Q225" s="92">
        <f t="shared" ref="Q225:Q228" si="109">IMARGUMENT(O225)*(180/PI())</f>
        <v>-29.274191817478982</v>
      </c>
      <c r="R225" s="92" t="str">
        <f t="shared" ref="R225:R228" si="110">IMDIV(IMPRODUCT(O225,J225,COMPLEX(M225,0)),IMSUM(COMPLEX(1,0),IMPRODUCT(G225,O225,COMPLEX(M225,0),COMPLEX(N225,0))))</f>
        <v>1.48647516079014-5.12852705776085i</v>
      </c>
      <c r="S225" s="92">
        <f t="shared" si="84"/>
        <v>14.550185154329933</v>
      </c>
      <c r="T225" s="92">
        <f t="shared" ref="T225:T228" si="111">IMARGUMENT(R225)*(180/PI())</f>
        <v>-73.836061719287159</v>
      </c>
      <c r="U225" s="1" t="str">
        <f>IMPRODUCT(COMPLEX(-1,0),IMDIV(COMPLEX(1,C225*Calculations!$B$195*Calculations!$B$197),IMPRODUCT(COMPLEX(0,C225*Calculations!$B$184),COMPLEX((Calculations!$B$197+Calculations!$B$199),C225*Calculations!$B$195*Calculations!$B$197*Calculations!$B$199))))</f>
        <v>-0.958351409978309+0.999132321041215i</v>
      </c>
      <c r="V225" s="1">
        <f t="shared" si="86"/>
        <v>2.8255478180974967</v>
      </c>
      <c r="W225" s="1">
        <f t="shared" ref="W225:W228" si="112">IMARGUMENT(U225)*(180/PI())</f>
        <v>133.80651057601798</v>
      </c>
      <c r="X225" s="1" t="str">
        <f t="shared" ref="X225:X228" si="113">IMPRODUCT(U225,R225)</f>
        <v>3.69951157650231+6.40011651448739i</v>
      </c>
      <c r="Y225" s="1">
        <f t="shared" si="89"/>
        <v>17.375732972427439</v>
      </c>
      <c r="Z225" s="6">
        <f t="shared" ref="Z225:Z228" si="114">IMARGUMENT(X225)*(180/PI())</f>
        <v>59.970448856730826</v>
      </c>
    </row>
    <row r="226" spans="1:26">
      <c r="A226" t="s">
        <v>450</v>
      </c>
      <c r="B226" s="27">
        <f>Calculations!B201</f>
        <v>31894.778174728515</v>
      </c>
      <c r="C226" s="92">
        <f t="shared" si="91"/>
        <v>200400.80160320635</v>
      </c>
      <c r="D226" s="93" t="str">
        <f t="shared" si="92"/>
        <v>0.00501460658964182-0.00828897781638271i</v>
      </c>
      <c r="E226" s="92">
        <f t="shared" si="93"/>
        <v>-40.275498393566487</v>
      </c>
      <c r="F226" s="92">
        <f t="shared" si="106"/>
        <v>-58.827200292762818</v>
      </c>
      <c r="G226" s="92" t="str">
        <f t="shared" si="95"/>
        <v>-0.0245321059297195-106.604433791348i</v>
      </c>
      <c r="H226" s="92">
        <f t="shared" si="77"/>
        <v>40.555505586663536</v>
      </c>
      <c r="I226" s="92">
        <f t="shared" si="107"/>
        <v>-90.013185062361288</v>
      </c>
      <c r="J226" s="93" t="str">
        <f t="shared" si="96"/>
        <v>-0.553046641262925+0.17504373966756i</v>
      </c>
      <c r="K226" s="92">
        <f t="shared" si="79"/>
        <v>-4.7301377219276883</v>
      </c>
      <c r="L226" s="92">
        <f t="shared" si="108"/>
        <v>162.43699897225048</v>
      </c>
      <c r="M226" s="92">
        <f t="shared" si="97"/>
        <v>0.76800000000000002</v>
      </c>
      <c r="N226" s="92">
        <f t="shared" si="98"/>
        <v>2.5000000000000001E-2</v>
      </c>
      <c r="O226" s="92" t="str">
        <f t="shared" si="99"/>
        <v>0.460931110800619-0.282534862088112i</v>
      </c>
      <c r="P226" s="92">
        <f t="shared" si="81"/>
        <v>-5.3419579407418807</v>
      </c>
      <c r="Q226" s="92">
        <f t="shared" si="109"/>
        <v>-31.506859758543161</v>
      </c>
      <c r="R226" s="92" t="str">
        <f t="shared" si="110"/>
        <v>-0.223105879704663-0.0675890156674394i</v>
      </c>
      <c r="S226" s="92">
        <f t="shared" si="84"/>
        <v>-12.648443339367157</v>
      </c>
      <c r="T226" s="92">
        <f t="shared" si="111"/>
        <v>-163.1460295753476</v>
      </c>
      <c r="U226" s="1" t="str">
        <f>IMPRODUCT(COMPLEX(-1,0),IMDIV(COMPLEX(1,C226*Calculations!$B$195*Calculations!$B$197),IMPRODUCT(COMPLEX(0,C226*Calculations!$B$184),COMPLEX((Calculations!$B$197+Calculations!$B$199),C226*Calculations!$B$195*Calculations!$B$197*Calculations!$B$199))))</f>
        <v>-0.489474850432085+0.500110791048083i</v>
      </c>
      <c r="V226" s="1">
        <f t="shared" si="86"/>
        <v>-3.1007305983503541</v>
      </c>
      <c r="W226" s="1">
        <f t="shared" si="112"/>
        <v>134.38421595924925</v>
      </c>
      <c r="X226" s="1" t="str">
        <f t="shared" si="113"/>
        <v>0.143006713190563-0.0784945346519057i</v>
      </c>
      <c r="Y226" s="1">
        <f t="shared" si="89"/>
        <v>-15.749173937717513</v>
      </c>
      <c r="Z226" s="6">
        <f t="shared" si="114"/>
        <v>-28.761813616098344</v>
      </c>
    </row>
    <row r="227" spans="1:26">
      <c r="A227" t="s">
        <v>451</v>
      </c>
      <c r="B227" s="27">
        <f>Calculations!B186</f>
        <v>176.66198683200386</v>
      </c>
      <c r="C227" s="92">
        <f t="shared" si="91"/>
        <v>1110.0000000000002</v>
      </c>
      <c r="D227" s="93" t="str">
        <f t="shared" si="92"/>
        <v>0.602999532525648-1.19800705349461i</v>
      </c>
      <c r="E227" s="92">
        <f t="shared" si="93"/>
        <v>2.5498996170334354</v>
      </c>
      <c r="F227" s="92">
        <f t="shared" si="106"/>
        <v>-63.282262805749482</v>
      </c>
      <c r="G227" s="92" t="str">
        <f t="shared" si="95"/>
        <v>249.059419515241+243.839680280628i</v>
      </c>
      <c r="H227" s="92">
        <f t="shared" si="77"/>
        <v>50.845347557120945</v>
      </c>
      <c r="I227" s="92">
        <f t="shared" si="107"/>
        <v>44.393267609056224</v>
      </c>
      <c r="J227" s="93" t="str">
        <f t="shared" si="96"/>
        <v>136.6838846662-2.08686523390585i</v>
      </c>
      <c r="K227" s="92">
        <f t="shared" si="79"/>
        <v>42.715358516247349</v>
      </c>
      <c r="L227" s="92">
        <f t="shared" si="108"/>
        <v>-0.87471380531754517</v>
      </c>
      <c r="M227" s="92">
        <f t="shared" si="97"/>
        <v>0.76800000000000002</v>
      </c>
      <c r="N227" s="92">
        <f t="shared" si="98"/>
        <v>2.5000000000000001E-2</v>
      </c>
      <c r="O227" s="92" t="str">
        <f t="shared" si="99"/>
        <v>0.625289201353194-1.31782823501562i</v>
      </c>
      <c r="P227" s="92">
        <f t="shared" si="81"/>
        <v>3.2790178850354632</v>
      </c>
      <c r="Q227" s="92">
        <f t="shared" si="109"/>
        <v>-64.616380789710831</v>
      </c>
      <c r="R227" s="92" t="str">
        <f t="shared" si="110"/>
        <v>9.73401991686838-10.4817877385998i</v>
      </c>
      <c r="S227" s="92">
        <f t="shared" si="84"/>
        <v>23.109459959555579</v>
      </c>
      <c r="T227" s="92">
        <f t="shared" si="111"/>
        <v>-47.118362878362639</v>
      </c>
      <c r="U227" s="1" t="str">
        <f>IMPRODUCT(COMPLEX(-1,0),IMDIV(COMPLEX(1,C227*Calculations!$B$195*Calculations!$B$197),IMPRODUCT(COMPLEX(0,C227*Calculations!$B$184),COMPLEX((Calculations!$B$197+Calculations!$B$199),C227*Calculations!$B$195*Calculations!$B$197*Calculations!$B$199))))</f>
        <v>-0.958739160354736+3.76647603419479i</v>
      </c>
      <c r="V227" s="1">
        <f t="shared" si="86"/>
        <v>11.791357519352113</v>
      </c>
      <c r="W227" s="1">
        <f t="shared" si="112"/>
        <v>104.28109296721485</v>
      </c>
      <c r="X227" s="1" t="str">
        <f t="shared" si="113"/>
        <v>30.1470162309783+46.7122531087813i</v>
      </c>
      <c r="Y227" s="1">
        <f t="shared" si="89"/>
        <v>34.90081747890769</v>
      </c>
      <c r="Z227" s="6">
        <f t="shared" si="114"/>
        <v>57.162730088852221</v>
      </c>
    </row>
    <row r="228" spans="1:26" ht="15" thickBot="1">
      <c r="A228" t="s">
        <v>452</v>
      </c>
      <c r="B228" s="28">
        <f>Calculations!B187</f>
        <v>27842.708720567978</v>
      </c>
      <c r="C228" s="94">
        <f t="shared" si="91"/>
        <v>174940.89834515366</v>
      </c>
      <c r="D228" s="109" t="str">
        <f t="shared" si="92"/>
        <v>0.0050217625596478-0.00949528583439228i</v>
      </c>
      <c r="E228" s="94">
        <f t="shared" si="93"/>
        <v>-39.378749146737412</v>
      </c>
      <c r="F228" s="94">
        <f t="shared" si="106"/>
        <v>-62.127023467727298</v>
      </c>
      <c r="G228" s="94" t="str">
        <f t="shared" si="95"/>
        <v>-0.0316557012225795-122.211518731383i</v>
      </c>
      <c r="H228" s="94">
        <f t="shared" si="77"/>
        <v>41.742243114214126</v>
      </c>
      <c r="I228" s="94">
        <f t="shared" si="107"/>
        <v>-90.014840974532063</v>
      </c>
      <c r="J228" s="109" t="str">
        <f t="shared" si="96"/>
        <v>-0.655918974628143+0.200046482588104i</v>
      </c>
      <c r="K228" s="94">
        <f t="shared" si="79"/>
        <v>-3.276727690549242</v>
      </c>
      <c r="L228" s="94">
        <f t="shared" si="108"/>
        <v>163.0389977643292</v>
      </c>
      <c r="M228" s="94">
        <f t="shared" si="97"/>
        <v>0.76800000000000002</v>
      </c>
      <c r="N228" s="94">
        <f t="shared" si="98"/>
        <v>2.5000000000000001E-2</v>
      </c>
      <c r="O228" s="94" t="str">
        <f t="shared" si="99"/>
        <v>0.491684626364051-0.264658230028885i</v>
      </c>
      <c r="P228" s="94">
        <f t="shared" si="81"/>
        <v>-5.06127022367831</v>
      </c>
      <c r="Q228" s="94">
        <f t="shared" si="109"/>
        <v>-28.292170308422872</v>
      </c>
      <c r="R228" s="94" t="str">
        <f t="shared" si="110"/>
        <v>-0.216627201235743-0.108350292975913i</v>
      </c>
      <c r="S228" s="94">
        <f t="shared" si="84"/>
        <v>-12.316051547352078</v>
      </c>
      <c r="T228" s="94">
        <f t="shared" si="111"/>
        <v>-153.42718553260724</v>
      </c>
      <c r="U228" s="87" t="str">
        <f>IMPRODUCT(COMPLEX(-1,0),IMDIV(COMPLEX(1,C228*Calculations!$B$195*Calculations!$B$197),IMPRODUCT(COMPLEX(0,C228*Calculations!$B$184),COMPLEX((Calculations!$B$197+Calculations!$B$199),C228*Calculations!$B$195*Calculations!$B$197*Calculations!$B$199))))</f>
        <v>-0.553999291062717+0.497406451445883i</v>
      </c>
      <c r="V228" s="87">
        <f t="shared" si="86"/>
        <v>-2.5623287647997124</v>
      </c>
      <c r="W228" s="87">
        <f t="shared" si="112"/>
        <v>138.08102259139832</v>
      </c>
      <c r="X228" s="87" t="str">
        <f t="shared" si="113"/>
        <v>0.173905450651773-0.0477257819582306i</v>
      </c>
      <c r="Y228" s="87">
        <f t="shared" si="89"/>
        <v>-14.878380312151782</v>
      </c>
      <c r="Z228" s="88">
        <f t="shared" si="114"/>
        <v>-15.346162941208895</v>
      </c>
    </row>
  </sheetData>
  <mergeCells count="47">
    <mergeCell ref="B76:C77"/>
    <mergeCell ref="D77:F77"/>
    <mergeCell ref="J77:L77"/>
    <mergeCell ref="BC166:BN166"/>
    <mergeCell ref="BO166:BZ166"/>
    <mergeCell ref="BC167:BE167"/>
    <mergeCell ref="BF167:BH167"/>
    <mergeCell ref="BI167:BK167"/>
    <mergeCell ref="BL167:BN167"/>
    <mergeCell ref="BO167:BQ167"/>
    <mergeCell ref="BR167:BT167"/>
    <mergeCell ref="BU167:BW167"/>
    <mergeCell ref="BX167:BZ167"/>
    <mergeCell ref="CD166:CO166"/>
    <mergeCell ref="CA167:CC167"/>
    <mergeCell ref="CD167:CF167"/>
    <mergeCell ref="CG167:CI167"/>
    <mergeCell ref="CJ167:CL167"/>
    <mergeCell ref="CM167:CO167"/>
    <mergeCell ref="D5:F6"/>
    <mergeCell ref="G5:I6"/>
    <mergeCell ref="J5:L6"/>
    <mergeCell ref="B5:C6"/>
    <mergeCell ref="CA166:CC166"/>
    <mergeCell ref="AB166:AD166"/>
    <mergeCell ref="B166:C167"/>
    <mergeCell ref="D167:F167"/>
    <mergeCell ref="J167:L167"/>
    <mergeCell ref="D166:F166"/>
    <mergeCell ref="G166:I166"/>
    <mergeCell ref="G167:I167"/>
    <mergeCell ref="J166:L166"/>
    <mergeCell ref="M167:N167"/>
    <mergeCell ref="O167:Q167"/>
    <mergeCell ref="AB167:AD167"/>
    <mergeCell ref="X167:Z167"/>
    <mergeCell ref="G77:I77"/>
    <mergeCell ref="M77:N77"/>
    <mergeCell ref="D76:T76"/>
    <mergeCell ref="O77:Q77"/>
    <mergeCell ref="R77:T77"/>
    <mergeCell ref="U77:W77"/>
    <mergeCell ref="R167:T167"/>
    <mergeCell ref="M166:N166"/>
    <mergeCell ref="O166:Q166"/>
    <mergeCell ref="R166:T166"/>
    <mergeCell ref="U167:W167"/>
  </mergeCells>
  <phoneticPr fontId="32"/>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
  <sheetViews>
    <sheetView zoomScale="118" zoomScaleNormal="118" workbookViewId="0">
      <selection activeCell="K19" sqref="K19"/>
    </sheetView>
  </sheetViews>
  <sheetFormatPr baseColWidth="10" defaultColWidth="8.83203125" defaultRowHeight="14"/>
  <sheetData/>
  <phoneticPr fontId="32"/>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I48"/>
  <sheetViews>
    <sheetView workbookViewId="0">
      <pane ySplit="1" topLeftCell="A2" activePane="bottomLeft" state="frozen"/>
      <selection pane="bottomLeft" activeCell="C10" sqref="C10"/>
    </sheetView>
  </sheetViews>
  <sheetFormatPr baseColWidth="10" defaultColWidth="8.83203125" defaultRowHeight="14"/>
  <cols>
    <col min="1" max="1" width="34.6640625" style="12" customWidth="1"/>
    <col min="2" max="2" width="9.1640625" style="5"/>
    <col min="3" max="3" width="12" style="1" bestFit="1" customWidth="1"/>
    <col min="4" max="4" width="9.1640625" style="6"/>
    <col min="5" max="5" width="9.1640625" style="13"/>
  </cols>
  <sheetData>
    <row r="1" spans="1:9">
      <c r="A1" s="10" t="s">
        <v>17</v>
      </c>
      <c r="B1" s="7" t="s">
        <v>18</v>
      </c>
      <c r="C1" s="8" t="s">
        <v>19</v>
      </c>
      <c r="D1" s="9" t="s">
        <v>20</v>
      </c>
      <c r="E1" s="11" t="s">
        <v>21</v>
      </c>
    </row>
    <row r="2" spans="1:9">
      <c r="A2" s="220" t="s">
        <v>91</v>
      </c>
      <c r="B2" s="197"/>
      <c r="C2" s="197"/>
      <c r="D2" s="197"/>
      <c r="E2" s="221"/>
    </row>
    <row r="3" spans="1:9">
      <c r="A3" s="12" t="s">
        <v>22</v>
      </c>
      <c r="C3" s="1">
        <f>200*(10^-9)</f>
        <v>2.0000000000000002E-7</v>
      </c>
      <c r="E3" s="13" t="s">
        <v>23</v>
      </c>
    </row>
    <row r="4" spans="1:9">
      <c r="A4" s="12" t="s">
        <v>41</v>
      </c>
      <c r="C4" s="1">
        <f>1*10^-3</f>
        <v>1E-3</v>
      </c>
      <c r="E4" s="13" t="s">
        <v>42</v>
      </c>
    </row>
    <row r="5" spans="1:9">
      <c r="A5" s="12" t="s">
        <v>43</v>
      </c>
      <c r="C5" s="1">
        <v>50</v>
      </c>
      <c r="E5" s="13" t="s">
        <v>42</v>
      </c>
    </row>
    <row r="6" spans="1:9">
      <c r="A6" s="12" t="s">
        <v>185</v>
      </c>
      <c r="C6" s="1">
        <v>0.05</v>
      </c>
      <c r="E6" s="13" t="s">
        <v>1</v>
      </c>
    </row>
    <row r="7" spans="1:9">
      <c r="A7" s="12" t="s">
        <v>46</v>
      </c>
      <c r="C7" s="1">
        <v>0.02</v>
      </c>
      <c r="E7" s="13" t="s">
        <v>42</v>
      </c>
    </row>
    <row r="8" spans="1:9">
      <c r="A8" s="12" t="s">
        <v>47</v>
      </c>
      <c r="C8" s="1">
        <v>6.25E-2</v>
      </c>
      <c r="E8" s="13" t="s">
        <v>42</v>
      </c>
    </row>
    <row r="9" spans="1:9">
      <c r="A9" s="12" t="s">
        <v>64</v>
      </c>
      <c r="C9" s="1">
        <f>100*10^3</f>
        <v>100000</v>
      </c>
      <c r="E9" s="13" t="s">
        <v>56</v>
      </c>
    </row>
    <row r="10" spans="1:9">
      <c r="A10" s="12" t="s">
        <v>45</v>
      </c>
      <c r="C10" s="1">
        <v>1.23</v>
      </c>
      <c r="E10" s="13" t="s">
        <v>1</v>
      </c>
      <c r="I10" t="s">
        <v>70</v>
      </c>
    </row>
    <row r="11" spans="1:9">
      <c r="A11" s="12" t="s">
        <v>69</v>
      </c>
      <c r="C11" s="1">
        <v>2.5</v>
      </c>
      <c r="E11" s="13" t="s">
        <v>1</v>
      </c>
    </row>
    <row r="12" spans="1:9">
      <c r="A12" s="12" t="s">
        <v>66</v>
      </c>
      <c r="C12" s="1">
        <v>1.25</v>
      </c>
      <c r="E12" s="13" t="s">
        <v>1</v>
      </c>
    </row>
    <row r="13" spans="1:9">
      <c r="A13" s="12" t="s">
        <v>180</v>
      </c>
      <c r="C13" s="1">
        <f>25*(10^-6)</f>
        <v>2.4999999999999998E-5</v>
      </c>
      <c r="E13" s="13" t="s">
        <v>4</v>
      </c>
    </row>
    <row r="14" spans="1:9">
      <c r="A14" s="12" t="s">
        <v>65</v>
      </c>
      <c r="C14" s="1">
        <v>8</v>
      </c>
      <c r="E14" s="13" t="s">
        <v>1</v>
      </c>
    </row>
    <row r="15" spans="1:9">
      <c r="A15" s="12" t="s">
        <v>48</v>
      </c>
      <c r="C15" s="1">
        <f>25*(10^-6)</f>
        <v>2.4999999999999998E-5</v>
      </c>
      <c r="E15" s="13" t="s">
        <v>4</v>
      </c>
    </row>
    <row r="16" spans="1:9">
      <c r="A16" s="12" t="s">
        <v>49</v>
      </c>
      <c r="C16" s="1">
        <v>200</v>
      </c>
      <c r="E16" s="13" t="s">
        <v>50</v>
      </c>
    </row>
    <row r="17" spans="1:5">
      <c r="A17" s="12" t="s">
        <v>53</v>
      </c>
      <c r="C17" s="1">
        <f>4*(10^9)</f>
        <v>4000000000</v>
      </c>
      <c r="E17" s="13" t="s">
        <v>51</v>
      </c>
    </row>
    <row r="18" spans="1:5">
      <c r="A18" s="12" t="s">
        <v>52</v>
      </c>
      <c r="C18" s="1">
        <v>1.1850000000000001</v>
      </c>
      <c r="E18" s="13" t="s">
        <v>1</v>
      </c>
    </row>
    <row r="19" spans="1:5">
      <c r="A19" s="12" t="s">
        <v>54</v>
      </c>
      <c r="C19" s="1">
        <f>3*10^6</f>
        <v>3000000</v>
      </c>
      <c r="E19" s="13" t="s">
        <v>56</v>
      </c>
    </row>
    <row r="20" spans="1:5">
      <c r="A20" s="12" t="s">
        <v>55</v>
      </c>
      <c r="C20" s="1">
        <f>1*10^6</f>
        <v>1000000</v>
      </c>
      <c r="E20" s="13" t="s">
        <v>56</v>
      </c>
    </row>
    <row r="21" spans="1:5">
      <c r="A21" s="12" t="s">
        <v>57</v>
      </c>
      <c r="C21" s="1">
        <f>25*(10^-6)</f>
        <v>2.4999999999999998E-5</v>
      </c>
      <c r="E21" s="13" t="s">
        <v>4</v>
      </c>
    </row>
    <row r="22" spans="1:5">
      <c r="A22" s="12" t="s">
        <v>63</v>
      </c>
      <c r="C22" s="1">
        <f>1.1*(10^-6)</f>
        <v>1.1000000000000001E-6</v>
      </c>
      <c r="E22" s="13" t="s">
        <v>4</v>
      </c>
    </row>
    <row r="23" spans="1:5">
      <c r="A23" s="12" t="s">
        <v>62</v>
      </c>
      <c r="C23" s="1">
        <f>3*10^-3</f>
        <v>3.0000000000000001E-3</v>
      </c>
      <c r="E23" s="13" t="s">
        <v>1</v>
      </c>
    </row>
    <row r="24" spans="1:5">
      <c r="A24" s="12" t="s">
        <v>58</v>
      </c>
      <c r="C24" s="1">
        <f>10*10^3</f>
        <v>10000</v>
      </c>
      <c r="E24" s="13" t="s">
        <v>56</v>
      </c>
    </row>
    <row r="25" spans="1:5">
      <c r="A25" s="12" t="s">
        <v>59</v>
      </c>
      <c r="C25" s="1">
        <f>50*10^3</f>
        <v>50000</v>
      </c>
      <c r="E25" s="13" t="s">
        <v>56</v>
      </c>
    </row>
    <row r="26" spans="1:5">
      <c r="A26" s="12" t="s">
        <v>60</v>
      </c>
      <c r="C26" s="1">
        <f>4*(10^-12)</f>
        <v>3.9999999999999999E-12</v>
      </c>
      <c r="E26" s="13" t="s">
        <v>61</v>
      </c>
    </row>
    <row r="27" spans="1:5">
      <c r="A27" s="12" t="s">
        <v>230</v>
      </c>
      <c r="C27" s="1">
        <f>16*(10^-9)</f>
        <v>1.6000000000000001E-8</v>
      </c>
      <c r="E27" s="13" t="s">
        <v>23</v>
      </c>
    </row>
    <row r="28" spans="1:5">
      <c r="A28" s="12" t="s">
        <v>68</v>
      </c>
      <c r="C28" s="1">
        <v>1.5</v>
      </c>
      <c r="E28" s="13" t="s">
        <v>1</v>
      </c>
    </row>
    <row r="29" spans="1:5">
      <c r="A29" s="12" t="s">
        <v>235</v>
      </c>
      <c r="C29" s="1">
        <f>36*(10^-9)</f>
        <v>3.6000000000000005E-8</v>
      </c>
      <c r="E29" s="13" t="s">
        <v>23</v>
      </c>
    </row>
    <row r="30" spans="1:5">
      <c r="A30" s="12" t="s">
        <v>236</v>
      </c>
      <c r="C30" s="1">
        <f>41*(10^-9)</f>
        <v>4.1000000000000003E-8</v>
      </c>
      <c r="E30" s="13" t="s">
        <v>23</v>
      </c>
    </row>
    <row r="31" spans="1:5">
      <c r="A31" s="12" t="s">
        <v>248</v>
      </c>
      <c r="C31" s="1">
        <f>15*(10^-9)</f>
        <v>1.5000000000000002E-8</v>
      </c>
      <c r="E31" s="13" t="s">
        <v>23</v>
      </c>
    </row>
    <row r="32" spans="1:5">
      <c r="A32" s="12" t="s">
        <v>249</v>
      </c>
      <c r="C32" s="1">
        <f>200*(10^-9)</f>
        <v>2.0000000000000002E-7</v>
      </c>
      <c r="E32" s="13" t="s">
        <v>23</v>
      </c>
    </row>
    <row r="33" spans="1:5">
      <c r="A33" s="12" t="s">
        <v>67</v>
      </c>
      <c r="C33" s="1">
        <f>25*(10^-6)</f>
        <v>2.4999999999999998E-5</v>
      </c>
      <c r="E33" s="13" t="s">
        <v>4</v>
      </c>
    </row>
    <row r="34" spans="1:5">
      <c r="A34" s="12" t="s">
        <v>159</v>
      </c>
      <c r="C34" s="1">
        <v>5</v>
      </c>
      <c r="E34" s="13" t="s">
        <v>1</v>
      </c>
    </row>
    <row r="36" spans="1:5">
      <c r="A36" s="12" t="s">
        <v>92</v>
      </c>
      <c r="B36" s="5">
        <v>0</v>
      </c>
      <c r="D36" s="6">
        <v>42</v>
      </c>
      <c r="E36" s="13" t="s">
        <v>1</v>
      </c>
    </row>
    <row r="37" spans="1:5">
      <c r="A37" s="12" t="s">
        <v>93</v>
      </c>
      <c r="B37" s="5">
        <v>3</v>
      </c>
      <c r="D37" s="6">
        <v>42</v>
      </c>
      <c r="E37" s="13" t="s">
        <v>1</v>
      </c>
    </row>
    <row r="38" spans="1:5">
      <c r="A38" s="12" t="s">
        <v>94</v>
      </c>
      <c r="B38" s="5">
        <v>6</v>
      </c>
      <c r="D38" s="6">
        <v>80</v>
      </c>
      <c r="E38" s="13" t="s">
        <v>1</v>
      </c>
    </row>
    <row r="39" spans="1:5">
      <c r="A39" s="12" t="s">
        <v>95</v>
      </c>
      <c r="B39" s="5">
        <v>50000</v>
      </c>
      <c r="D39" s="6">
        <v>500000</v>
      </c>
      <c r="E39" s="13" t="s">
        <v>87</v>
      </c>
    </row>
    <row r="40" spans="1:5">
      <c r="A40" s="12" t="s">
        <v>96</v>
      </c>
      <c r="B40" s="5">
        <v>15</v>
      </c>
      <c r="D40" s="6">
        <v>200</v>
      </c>
      <c r="E40" s="13" t="s">
        <v>97</v>
      </c>
    </row>
    <row r="43" spans="1:5">
      <c r="A43" s="12" t="s">
        <v>105</v>
      </c>
      <c r="C43" s="1">
        <v>14</v>
      </c>
      <c r="E43" s="13" t="s">
        <v>1</v>
      </c>
    </row>
    <row r="44" spans="1:5">
      <c r="A44" s="12" t="s">
        <v>106</v>
      </c>
      <c r="C44" s="1">
        <v>0.625</v>
      </c>
      <c r="E44" s="13" t="s">
        <v>1</v>
      </c>
    </row>
    <row r="46" spans="1:5">
      <c r="A46" s="12" t="s">
        <v>116</v>
      </c>
      <c r="C46" s="1">
        <v>2.5</v>
      </c>
      <c r="E46" s="13" t="s">
        <v>1</v>
      </c>
    </row>
    <row r="48" spans="1:5">
      <c r="A48" s="12" t="s">
        <v>187</v>
      </c>
      <c r="C48" s="1">
        <f>3.3</f>
        <v>3.3</v>
      </c>
      <c r="E48" s="13" t="s">
        <v>1</v>
      </c>
    </row>
  </sheetData>
  <autoFilter ref="A1:E33" xr:uid="{00000000-0009-0000-0000-000004000000}"/>
  <mergeCells count="1">
    <mergeCell ref="A2:E2"/>
  </mergeCells>
  <phoneticPr fontId="32"/>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G3"/>
  <sheetViews>
    <sheetView workbookViewId="0">
      <selection activeCell="C4" sqref="C4"/>
    </sheetView>
  </sheetViews>
  <sheetFormatPr baseColWidth="10" defaultColWidth="8.83203125" defaultRowHeight="14"/>
  <sheetData>
    <row r="1" spans="1:7">
      <c r="A1" t="s">
        <v>171</v>
      </c>
      <c r="C1" t="s">
        <v>221</v>
      </c>
      <c r="E1" t="s">
        <v>189</v>
      </c>
      <c r="G1" t="s">
        <v>96</v>
      </c>
    </row>
    <row r="2" spans="1:7" ht="15">
      <c r="A2" s="43" t="s">
        <v>172</v>
      </c>
      <c r="C2" t="s">
        <v>222</v>
      </c>
      <c r="E2">
        <v>1.8</v>
      </c>
      <c r="G2" t="s">
        <v>225</v>
      </c>
    </row>
    <row r="3" spans="1:7">
      <c r="A3" t="s">
        <v>173</v>
      </c>
      <c r="C3" t="s">
        <v>312</v>
      </c>
      <c r="E3">
        <v>3.3</v>
      </c>
      <c r="G3" t="s">
        <v>226</v>
      </c>
    </row>
  </sheetData>
  <phoneticPr fontId="32"/>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A4"/>
  <sheetViews>
    <sheetView workbookViewId="0">
      <selection activeCell="E4" sqref="E4"/>
    </sheetView>
  </sheetViews>
  <sheetFormatPr baseColWidth="10" defaultColWidth="8.83203125" defaultRowHeight="14"/>
  <cols>
    <col min="2" max="2" width="137.33203125" customWidth="1"/>
  </cols>
  <sheetData>
    <row r="1" spans="1:1">
      <c r="A1" t="s">
        <v>126</v>
      </c>
    </row>
    <row r="2" spans="1:1">
      <c r="A2" t="str">
        <f>"schematic_1"</f>
        <v>schematic_1</v>
      </c>
    </row>
    <row r="4" spans="1:1" ht="343.5" customHeight="1"/>
  </sheetData>
  <phoneticPr fontId="32"/>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8</vt:i4>
      </vt:variant>
      <vt:variant>
        <vt:lpstr>名前付き一覧</vt:lpstr>
      </vt:variant>
      <vt:variant>
        <vt:i4>16</vt:i4>
      </vt:variant>
    </vt:vector>
  </HeadingPairs>
  <TitlesOfParts>
    <vt:vector size="24" baseType="lpstr">
      <vt:lpstr>Design_Converter</vt:lpstr>
      <vt:lpstr>Licenses</vt:lpstr>
      <vt:lpstr>Calculations</vt:lpstr>
      <vt:lpstr>Compensation</vt:lpstr>
      <vt:lpstr>Comp_Compare</vt:lpstr>
      <vt:lpstr>Constants</vt:lpstr>
      <vt:lpstr>Lists</vt:lpstr>
      <vt:lpstr>Schematic</vt:lpstr>
      <vt:lpstr>Acs</vt:lpstr>
      <vt:lpstr>Fsw</vt:lpstr>
      <vt:lpstr>gm</vt:lpstr>
      <vt:lpstr>I_Channel</vt:lpstr>
      <vt:lpstr>I_Channel_Design</vt:lpstr>
      <vt:lpstr>I_Channel_Peak_No_Ilimit</vt:lpstr>
      <vt:lpstr>I_Channel_Peak_Select</vt:lpstr>
      <vt:lpstr>ISETA_Max</vt:lpstr>
      <vt:lpstr>np</vt:lpstr>
      <vt:lpstr>schematic_1</vt:lpstr>
      <vt:lpstr>V12_Max</vt:lpstr>
      <vt:lpstr>V12_Min</vt:lpstr>
      <vt:lpstr>V12_Nom</vt:lpstr>
      <vt:lpstr>V48_Max</vt:lpstr>
      <vt:lpstr>V48_Min</vt:lpstr>
      <vt:lpstr>V48_Nom</vt:lpstr>
    </vt:vector>
  </TitlesOfParts>
  <Company>Texas Instruments Incorporated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PPD-NPS</dc:creator>
  <cp:lastModifiedBy>菅谷 光慶(rr0170re)</cp:lastModifiedBy>
  <cp:lastPrinted>2016-05-24T23:01:03Z</cp:lastPrinted>
  <dcterms:created xsi:type="dcterms:W3CDTF">2016-01-18T23:31:01Z</dcterms:created>
  <dcterms:modified xsi:type="dcterms:W3CDTF">2025-06-05T10:21:06Z</dcterms:modified>
</cp:coreProperties>
</file>
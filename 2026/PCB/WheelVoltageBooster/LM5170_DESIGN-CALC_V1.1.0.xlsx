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C:\Users\kamiokannde\Documents\GitHub\Ri-one\ssl-Circuit\2026\PCB\WheelVoltageBooster\"/>
    </mc:Choice>
  </mc:AlternateContent>
  <xr:revisionPtr revIDLastSave="0" documentId="13_ncr:1_{2CC109D7-A397-4FC6-A91A-FF5F331EB36B}" xr6:coauthVersionLast="47" xr6:coauthVersionMax="47" xr10:uidLastSave="{00000000-0000-0000-0000-000000000000}"/>
  <workbookProtection workbookAlgorithmName="SHA-512" workbookHashValue="FTbea0zNh/M4QFFIjkWMzUxKnz4OFezzA9/BRwWSIIMWDYlyn+LFccWDum1tXS3mgTwJKFr3ZBSW6d5DYWBVMg==" workbookSaltValue="UMfWwVJIqsWZTSD9g7ReYQ==" workbookSpinCount="100000" lockStructure="1"/>
  <bookViews>
    <workbookView xWindow="-25710" yWindow="-1320" windowWidth="25820" windowHeight="13900" xr2:uid="{00000000-000D-0000-FFFF-FFFF00000000}"/>
  </bookViews>
  <sheets>
    <sheet name="Design_Converter" sheetId="1" r:id="rId1"/>
    <sheet name="Licenses" sheetId="10" r:id="rId2"/>
    <sheet name="Calculations" sheetId="2" state="hidden" r:id="rId3"/>
    <sheet name="Compensation" sheetId="6" state="hidden" r:id="rId4"/>
    <sheet name="Comp_Compare" sheetId="8" state="hidden" r:id="rId5"/>
    <sheet name="Constants" sheetId="4" state="hidden" r:id="rId6"/>
    <sheet name="Lists" sheetId="7" state="hidden" r:id="rId7"/>
    <sheet name="Schematic" sheetId="5" state="hidden" r:id="rId8"/>
  </sheets>
  <externalReferences>
    <externalReference r:id="rId9"/>
  </externalReferences>
  <definedNames>
    <definedName name="_xlnm._FilterDatabase" localSheetId="5" hidden="1">Constants!$A$1:$E$33</definedName>
    <definedName name="Acs" localSheetId="1">[1]Constants!$C$5</definedName>
    <definedName name="Acs">Constants!$C$5</definedName>
    <definedName name="Fsw" localSheetId="1">[1]Calculations!$B$15</definedName>
    <definedName name="Fsw">Calculations!$B$15</definedName>
    <definedName name="gm" localSheetId="1">[1]Constants!$C$4</definedName>
    <definedName name="gm">Constants!$C$4</definedName>
    <definedName name="I_Channel" localSheetId="1">[1]Calculations!$B$32</definedName>
    <definedName name="I_Channel">Calculations!$B$29</definedName>
    <definedName name="I_Channel_Design" localSheetId="1">[1]Calculations!$B$25</definedName>
    <definedName name="I_Channel_Design">Calculations!$B$25</definedName>
    <definedName name="I_Channel_Peak_No_Ilimit" localSheetId="1">[1]Calculations!$B$75</definedName>
    <definedName name="I_Channel_Peak_No_Ilimit">Calculations!$B$65</definedName>
    <definedName name="I_Channel_Peak_Select" localSheetId="1">[1]Calculations!$B$77</definedName>
    <definedName name="I_Channel_Peak_Select">Calculations!$B$67</definedName>
    <definedName name="I_Channel_Select" localSheetId="1">[1]Compensation!#REF!</definedName>
    <definedName name="I_Channel_Select">Compensation!#REF!</definedName>
    <definedName name="I12_Select" localSheetId="1">[1]Design_Converter!#REF!</definedName>
    <definedName name="I12_Select">Design_Converter!#REF!</definedName>
    <definedName name="I48_Select" localSheetId="1">[1]Design_Converter!#REF!</definedName>
    <definedName name="I48_Select">Design_Converter!#REF!</definedName>
    <definedName name="IL_Comp_Ccomp" localSheetId="1">[1]Calculations!$B$156*(10^(-9))</definedName>
    <definedName name="IL_Comp_Ccomp">Calculations!$B$146*(10^(-9))</definedName>
    <definedName name="IL_Comp_Chf" localSheetId="1">[1]Calculations!$B$158*(10^-9)</definedName>
    <definedName name="IL_Comp_Chf">Calculations!$B$148*(10^-9)</definedName>
    <definedName name="IL_Comp_Rcomp" localSheetId="1">[1]Calculations!$B$154*1000</definedName>
    <definedName name="IL_Comp_Rcomp">Calculations!$B$144*1000</definedName>
    <definedName name="ISETA_Max">Constants!$C$46</definedName>
    <definedName name="Lm" localSheetId="1">[1]Calculations!$B$43*(10^-6)</definedName>
    <definedName name="Lm">Calculations!$B$38*(10^-6)</definedName>
    <definedName name="Lm_DCR" localSheetId="1">[1]Design_Converter!$B$39/(1000)</definedName>
    <definedName name="Lm_DCR">Design_Converter!$B$38/(1000)</definedName>
    <definedName name="np" localSheetId="1">[1]Calculations!$B$24</definedName>
    <definedName name="np">Calculations!$B$24</definedName>
    <definedName name="np_select" localSheetId="1">[1]Compensation!#REF!</definedName>
    <definedName name="np_select">Compensation!#REF!</definedName>
    <definedName name="Ramp_C" localSheetId="1">[1]Design_Converter!#REF!*(10^(-9))</definedName>
    <definedName name="Ramp_C">Design_Converter!$B$62*(10^(-9))</definedName>
    <definedName name="Ramp_R" localSheetId="1">[1]Design_Converter!#REF!*1000</definedName>
    <definedName name="Ramp_R">Design_Converter!$B$64*1000</definedName>
    <definedName name="Rcs" localSheetId="1">[1]Calculations!$B$31/1000</definedName>
    <definedName name="Rcs">Calculations!$B$28/1000</definedName>
    <definedName name="Schematic" localSheetId="1">INDIRECT(#REF!)</definedName>
    <definedName name="Schematic">INDIRECT(Schematic!$A$2)</definedName>
    <definedName name="schematic_1" localSheetId="1">#REF!</definedName>
    <definedName name="schematic_1">Schematic!$B$4</definedName>
    <definedName name="V12_Max" localSheetId="1">[1]Calculations!$B$13</definedName>
    <definedName name="V12_Max">Calculations!$B$13</definedName>
    <definedName name="V12_Min" localSheetId="1">[1]Calculations!$B$11</definedName>
    <definedName name="V12_Min">Calculations!$B$11</definedName>
    <definedName name="V12_Nom" localSheetId="1">[1]Calculations!$B$12</definedName>
    <definedName name="V12_Nom">Calculations!$B$12</definedName>
    <definedName name="V12_Select" localSheetId="1">[1]Compensation!#REF!</definedName>
    <definedName name="V12_Select">Compensation!#REF!</definedName>
    <definedName name="V12_Vripple" localSheetId="1">[1]Design_Converter!#REF!</definedName>
    <definedName name="V12_Vripple">Design_Converter!#REF!</definedName>
    <definedName name="V48_Max" localSheetId="1">[1]Calculations!$B$9</definedName>
    <definedName name="V48_Max">Calculations!$B$9</definedName>
    <definedName name="V48_Min" localSheetId="1">[1]Calculations!$B$7</definedName>
    <definedName name="V48_Min">Calculations!$B$7</definedName>
    <definedName name="V48_Nom" localSheetId="1">[1]Calculations!$B$8</definedName>
    <definedName name="V48_Nom">Calculations!$B$8</definedName>
    <definedName name="V48_Select" localSheetId="1">[1]Compensation!#REF!</definedName>
    <definedName name="V48_Select">Compensation!#REF!</definedName>
    <definedName name="V48_Vripple" localSheetId="1">[1]Design_Converter!#REF!</definedName>
    <definedName name="V48_Vripple">Design_Converter!#REF!</definedName>
    <definedName name="VCS_Max">50*(10^-3)</definedName>
    <definedName name="Vo_CompII_Boost_Ccomp" localSheetId="1">[1]Compensation!#REF!*(10^(-9))</definedName>
    <definedName name="Vo_CompII_Boost_Ccomp">Compensation!#REF!*(10^(-9))</definedName>
    <definedName name="Vo_CompII_Boost_Chf" localSheetId="1">[1]Compensation!#REF!*(10^(-9))</definedName>
    <definedName name="Vo_CompII_Boost_Chf">Compensation!#REF!*(10^(-9))</definedName>
    <definedName name="Vo_CompII_Boost_Rcomp" localSheetId="1">[1]Compensation!#REF!*1000</definedName>
    <definedName name="Vo_CompII_Boost_Rcomp">Compensation!#REF!*1000</definedName>
    <definedName name="Vo_CompII_Boost_Rfb_Bottom" localSheetId="1">[1]Compensation!#REF!*1000</definedName>
    <definedName name="Vo_CompII_Boost_Rfb_Bottom">Compensation!#REF!*1000</definedName>
    <definedName name="Vo_CompII_Boost_Rfb_Top" localSheetId="1">[1]Compensation!#REF!*1000</definedName>
    <definedName name="Vo_CompII_Boost_Rfb_Top">Compensation!#REF!*1000</definedName>
    <definedName name="Vo_CompII_Buck_Ccomp" localSheetId="1">[1]Compensation!#REF!*(10^(-9))</definedName>
    <definedName name="Vo_CompII_Buck_Ccomp">Compensation!#REF!*(10^(-9))</definedName>
    <definedName name="Vo_CompII_Buck_Chf" localSheetId="1">[1]Compensation!#REF!*(10^(-9))</definedName>
    <definedName name="Vo_CompII_Buck_Chf">Compensation!#REF!*(10^(-9))</definedName>
    <definedName name="Vo_CompII_Buck_Rcomp" localSheetId="1">[1]Compensation!#REF!*1000</definedName>
    <definedName name="Vo_CompII_Buck_Rcomp">Compensation!#REF!*1000</definedName>
    <definedName name="Vo_CompII_Buck_Rfb_Bottom" localSheetId="1">[1]Compensation!#REF!*1000</definedName>
    <definedName name="Vo_CompII_Buck_Rfb_Bottom">Compensation!#REF!*1000</definedName>
    <definedName name="Vo_CompII_Buck_Rfb_Top" localSheetId="1">[1]Compensation!#REF!*1000</definedName>
    <definedName name="Vo_CompII_Buck_Rfb_Top">Compensation!#REF!*1000</definedName>
    <definedName name="Zo_Boost_Cout" localSheetId="1">[1]Design_Converter!$B$56*(10^(-6))</definedName>
    <definedName name="Zo_Boost_Cout">Design_Converter!$B$56*(10^(-6))</definedName>
    <definedName name="Zo_Boost_Resr" localSheetId="1">[1]Design_Converter!$B$57/1000</definedName>
    <definedName name="Zo_Boost_Resr">Design_Converter!$B$57/1000</definedName>
    <definedName name="Zo_Buck_Cout" localSheetId="1">[1]Design_Converter!$B$53/(10^6)</definedName>
    <definedName name="Zo_Buck_Cout">Design_Converter!$B$53/(10^6)</definedName>
    <definedName name="Zo_Buck_Resr" localSheetId="1">[1]Design_Converter!$B$54/1000</definedName>
    <definedName name="Zo_Buck_Resr">Design_Converter!$B$54/1000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B189" i="2" l="1"/>
  <c r="B197" i="2"/>
  <c r="B175" i="2" l="1"/>
  <c r="B173" i="2"/>
  <c r="B171" i="2"/>
  <c r="B165" i="2"/>
  <c r="B134" i="6" s="1"/>
  <c r="C134" i="6" s="1"/>
  <c r="B163" i="2"/>
  <c r="B160" i="2"/>
  <c r="B158" i="2"/>
  <c r="B157" i="2"/>
  <c r="B199" i="2"/>
  <c r="B195" i="2"/>
  <c r="B181" i="2"/>
  <c r="B182" i="2"/>
  <c r="B184" i="2"/>
  <c r="U134" i="6" l="1"/>
  <c r="V134" i="6" s="1"/>
  <c r="B176" i="2"/>
  <c r="B177" i="2"/>
  <c r="B201" i="2"/>
  <c r="B224" i="6"/>
  <c r="C224" i="6" s="1"/>
  <c r="B165" i="1" l="1"/>
  <c r="B136" i="6"/>
  <c r="C136" i="6" s="1"/>
  <c r="U136" i="6" s="1"/>
  <c r="B164" i="1"/>
  <c r="B135" i="6"/>
  <c r="C135" i="6" s="1"/>
  <c r="U135" i="6" s="1"/>
  <c r="B184" i="1"/>
  <c r="B226" i="6"/>
  <c r="C226" i="6" s="1"/>
  <c r="W134" i="6"/>
  <c r="C79" i="6"/>
  <c r="U79" i="6" s="1"/>
  <c r="W79" i="6" s="1"/>
  <c r="C80" i="6"/>
  <c r="U80" i="6" s="1"/>
  <c r="V80" i="6" s="1"/>
  <c r="C81" i="6"/>
  <c r="U81" i="6" s="1"/>
  <c r="V81" i="6" s="1"/>
  <c r="C82" i="6"/>
  <c r="U82" i="6" s="1"/>
  <c r="W82" i="6" s="1"/>
  <c r="C83" i="6"/>
  <c r="U83" i="6" s="1"/>
  <c r="W83" i="6" s="1"/>
  <c r="C84" i="6"/>
  <c r="U84" i="6" s="1"/>
  <c r="V84" i="6" s="1"/>
  <c r="C85" i="6"/>
  <c r="U85" i="6" s="1"/>
  <c r="V85" i="6" s="1"/>
  <c r="C86" i="6"/>
  <c r="U86" i="6" s="1"/>
  <c r="W86" i="6" s="1"/>
  <c r="C87" i="6"/>
  <c r="U87" i="6" s="1"/>
  <c r="V87" i="6" s="1"/>
  <c r="C88" i="6"/>
  <c r="U88" i="6" s="1"/>
  <c r="W88" i="6" s="1"/>
  <c r="C89" i="6"/>
  <c r="U89" i="6" s="1"/>
  <c r="W89" i="6" s="1"/>
  <c r="C90" i="6"/>
  <c r="U90" i="6" s="1"/>
  <c r="V90" i="6" s="1"/>
  <c r="C91" i="6"/>
  <c r="U91" i="6" s="1"/>
  <c r="W91" i="6" s="1"/>
  <c r="C92" i="6"/>
  <c r="U92" i="6" s="1"/>
  <c r="W92" i="6" s="1"/>
  <c r="C93" i="6"/>
  <c r="U93" i="6" s="1"/>
  <c r="W93" i="6" s="1"/>
  <c r="C94" i="6"/>
  <c r="U94" i="6" s="1"/>
  <c r="V94" i="6" s="1"/>
  <c r="C95" i="6"/>
  <c r="U95" i="6" s="1"/>
  <c r="V95" i="6" s="1"/>
  <c r="C96" i="6"/>
  <c r="U96" i="6" s="1"/>
  <c r="V96" i="6" s="1"/>
  <c r="C97" i="6"/>
  <c r="U97" i="6" s="1"/>
  <c r="W97" i="6" s="1"/>
  <c r="C98" i="6"/>
  <c r="U98" i="6" s="1"/>
  <c r="V98" i="6" s="1"/>
  <c r="C99" i="6"/>
  <c r="U99" i="6" s="1"/>
  <c r="W99" i="6" s="1"/>
  <c r="C100" i="6"/>
  <c r="U100" i="6" s="1"/>
  <c r="V100" i="6" s="1"/>
  <c r="C101" i="6"/>
  <c r="U101" i="6" s="1"/>
  <c r="W101" i="6" s="1"/>
  <c r="C102" i="6"/>
  <c r="U102" i="6" s="1"/>
  <c r="V102" i="6" s="1"/>
  <c r="C103" i="6"/>
  <c r="U103" i="6" s="1"/>
  <c r="W103" i="6" s="1"/>
  <c r="C104" i="6"/>
  <c r="U104" i="6" s="1"/>
  <c r="V104" i="6" s="1"/>
  <c r="C105" i="6"/>
  <c r="U105" i="6" s="1"/>
  <c r="W105" i="6" s="1"/>
  <c r="C106" i="6"/>
  <c r="U106" i="6" s="1"/>
  <c r="V106" i="6" s="1"/>
  <c r="C107" i="6"/>
  <c r="U107" i="6" s="1"/>
  <c r="V107" i="6" s="1"/>
  <c r="C108" i="6"/>
  <c r="U108" i="6" s="1"/>
  <c r="V108" i="6" s="1"/>
  <c r="C109" i="6"/>
  <c r="U109" i="6" s="1"/>
  <c r="W109" i="6" s="1"/>
  <c r="C110" i="6"/>
  <c r="U110" i="6" s="1"/>
  <c r="V110" i="6" s="1"/>
  <c r="C111" i="6"/>
  <c r="U111" i="6" s="1"/>
  <c r="V111" i="6" s="1"/>
  <c r="C112" i="6"/>
  <c r="U112" i="6" s="1"/>
  <c r="V112" i="6" s="1"/>
  <c r="C113" i="6"/>
  <c r="U113" i="6" s="1"/>
  <c r="W113" i="6" s="1"/>
  <c r="C114" i="6"/>
  <c r="U114" i="6" s="1"/>
  <c r="V114" i="6" s="1"/>
  <c r="C115" i="6"/>
  <c r="U115" i="6" s="1"/>
  <c r="V115" i="6" s="1"/>
  <c r="C116" i="6"/>
  <c r="U116" i="6" s="1"/>
  <c r="V116" i="6" s="1"/>
  <c r="C117" i="6"/>
  <c r="U117" i="6" s="1"/>
  <c r="W117" i="6" s="1"/>
  <c r="C118" i="6"/>
  <c r="U118" i="6" s="1"/>
  <c r="V118" i="6" s="1"/>
  <c r="C119" i="6"/>
  <c r="U119" i="6" s="1"/>
  <c r="W119" i="6" s="1"/>
  <c r="C120" i="6"/>
  <c r="U120" i="6" s="1"/>
  <c r="V120" i="6" s="1"/>
  <c r="C121" i="6"/>
  <c r="U121" i="6" s="1"/>
  <c r="W121" i="6" s="1"/>
  <c r="C122" i="6"/>
  <c r="U122" i="6" s="1"/>
  <c r="V122" i="6" s="1"/>
  <c r="C123" i="6"/>
  <c r="U123" i="6" s="1"/>
  <c r="W123" i="6" s="1"/>
  <c r="C124" i="6"/>
  <c r="U124" i="6" s="1"/>
  <c r="V124" i="6" s="1"/>
  <c r="C125" i="6"/>
  <c r="U125" i="6" s="1"/>
  <c r="W125" i="6" s="1"/>
  <c r="C126" i="6"/>
  <c r="U126" i="6" s="1"/>
  <c r="V126" i="6" s="1"/>
  <c r="C127" i="6"/>
  <c r="U127" i="6" s="1"/>
  <c r="V127" i="6" s="1"/>
  <c r="C128" i="6"/>
  <c r="U128" i="6" s="1"/>
  <c r="V128" i="6" s="1"/>
  <c r="C129" i="6"/>
  <c r="U129" i="6" s="1"/>
  <c r="W129" i="6" s="1"/>
  <c r="C130" i="6"/>
  <c r="U130" i="6" s="1"/>
  <c r="V130" i="6" s="1"/>
  <c r="C131" i="6"/>
  <c r="U131" i="6" s="1"/>
  <c r="V131" i="6" s="1"/>
  <c r="C132" i="6"/>
  <c r="U132" i="6" s="1"/>
  <c r="W132" i="6" s="1"/>
  <c r="C133" i="6"/>
  <c r="U133" i="6" s="1"/>
  <c r="W133" i="6" s="1"/>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B66" i="2"/>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B148" i="2"/>
  <c r="B146" i="2"/>
  <c r="B144" i="2"/>
  <c r="B140" i="2"/>
  <c r="B164" i="2" s="1"/>
  <c r="B156" i="1" s="1"/>
  <c r="B135" i="2"/>
  <c r="C31" i="4"/>
  <c r="C32" i="4"/>
  <c r="B107" i="2"/>
  <c r="B105" i="2"/>
  <c r="B104" i="2"/>
  <c r="B130" i="2"/>
  <c r="C30" i="4"/>
  <c r="C29" i="4"/>
  <c r="C27" i="4"/>
  <c r="B128" i="2"/>
  <c r="B127" i="2"/>
  <c r="W116" i="6" l="1"/>
  <c r="W84" i="6"/>
  <c r="W108" i="6"/>
  <c r="W107" i="6"/>
  <c r="W100" i="6"/>
  <c r="V121" i="6"/>
  <c r="V91" i="6"/>
  <c r="W122" i="6"/>
  <c r="W104" i="6"/>
  <c r="W130" i="6"/>
  <c r="V129" i="6"/>
  <c r="V132" i="6"/>
  <c r="W124" i="6"/>
  <c r="W94" i="6"/>
  <c r="W131" i="6"/>
  <c r="W87" i="6"/>
  <c r="V79" i="6"/>
  <c r="V82" i="6"/>
  <c r="W120" i="6"/>
  <c r="V97" i="6"/>
  <c r="W115" i="6"/>
  <c r="V103" i="6"/>
  <c r="W127" i="6"/>
  <c r="V99" i="6"/>
  <c r="W81" i="6"/>
  <c r="V123" i="6"/>
  <c r="V93" i="6"/>
  <c r="V125" i="6"/>
  <c r="V117" i="6"/>
  <c r="V119" i="6"/>
  <c r="W106" i="6"/>
  <c r="W98" i="6"/>
  <c r="V113" i="6"/>
  <c r="V92" i="6"/>
  <c r="V83" i="6"/>
  <c r="V89" i="6"/>
  <c r="W114" i="6"/>
  <c r="V109" i="6"/>
  <c r="W118" i="6"/>
  <c r="W110" i="6"/>
  <c r="W102" i="6"/>
  <c r="W128" i="6"/>
  <c r="W90" i="6"/>
  <c r="W95" i="6"/>
  <c r="V133" i="6"/>
  <c r="V105" i="6"/>
  <c r="V88" i="6"/>
  <c r="W112" i="6"/>
  <c r="V86" i="6"/>
  <c r="W126" i="6"/>
  <c r="W85" i="6"/>
  <c r="W80" i="6"/>
  <c r="V101" i="6"/>
  <c r="W111" i="6"/>
  <c r="W96" i="6"/>
  <c r="V136" i="6"/>
  <c r="W136" i="6"/>
  <c r="W135" i="6"/>
  <c r="V135" i="6"/>
  <c r="B150" i="2"/>
  <c r="B149" i="2"/>
  <c r="D128" i="2"/>
  <c r="B121" i="2"/>
  <c r="B75" i="2"/>
  <c r="B69" i="2"/>
  <c r="C22" i="4"/>
  <c r="B144" i="1" l="1"/>
  <c r="AA10" i="6"/>
  <c r="AB10" i="6" s="1"/>
  <c r="B145" i="1"/>
  <c r="AA11" i="6"/>
  <c r="AB11" i="6" s="1"/>
  <c r="C48" i="4"/>
  <c r="B117" i="2"/>
  <c r="B115" i="2"/>
  <c r="B85" i="2"/>
  <c r="B122" i="2" l="1"/>
  <c r="B118" i="1" s="1"/>
  <c r="B120" i="2"/>
  <c r="B115" i="1" s="1"/>
  <c r="D115" i="2"/>
  <c r="C13" i="4"/>
  <c r="B103" i="2"/>
  <c r="B101" i="2"/>
  <c r="B100" i="2"/>
  <c r="B99" i="2"/>
  <c r="B109" i="2" l="1"/>
  <c r="B103" i="1" s="1"/>
  <c r="B108" i="2"/>
  <c r="B102" i="1" s="1"/>
  <c r="B106" i="2"/>
  <c r="B100" i="1" s="1"/>
  <c r="B111" i="2"/>
  <c r="B105" i="1" s="1"/>
  <c r="B102" i="2"/>
  <c r="B96" i="1" s="1"/>
  <c r="B95" i="2"/>
  <c r="B93" i="2"/>
  <c r="B94" i="2" s="1"/>
  <c r="B91" i="2"/>
  <c r="B92" i="2" s="1"/>
  <c r="C20" i="4"/>
  <c r="C19" i="4"/>
  <c r="B89" i="2"/>
  <c r="B90" i="2" l="1"/>
  <c r="B81" i="1" s="1"/>
  <c r="B110" i="2"/>
  <c r="B104" i="1" s="1"/>
  <c r="B86" i="1"/>
  <c r="B83" i="1"/>
  <c r="B96" i="2"/>
  <c r="B88" i="1" s="1"/>
  <c r="B38" i="2"/>
  <c r="B36" i="2"/>
  <c r="B28" i="2"/>
  <c r="B24" i="2"/>
  <c r="B22" i="2"/>
  <c r="B15" i="2"/>
  <c r="B76" i="2" l="1"/>
  <c r="N134" i="6"/>
  <c r="N227" i="6"/>
  <c r="N136" i="6"/>
  <c r="N226" i="6"/>
  <c r="N137" i="6"/>
  <c r="N135" i="6"/>
  <c r="N228" i="6"/>
  <c r="N225" i="6"/>
  <c r="B193" i="2"/>
  <c r="B169" i="2"/>
  <c r="N172" i="6"/>
  <c r="N180" i="6"/>
  <c r="N188" i="6"/>
  <c r="N196" i="6"/>
  <c r="N204" i="6"/>
  <c r="N212" i="6"/>
  <c r="N220" i="6"/>
  <c r="N81" i="6"/>
  <c r="N85" i="6"/>
  <c r="N89" i="6"/>
  <c r="N93" i="6"/>
  <c r="N97" i="6"/>
  <c r="N101" i="6"/>
  <c r="N105" i="6"/>
  <c r="N109" i="6"/>
  <c r="N113" i="6"/>
  <c r="N117" i="6"/>
  <c r="N121" i="6"/>
  <c r="N125" i="6"/>
  <c r="N129" i="6"/>
  <c r="N133" i="6"/>
  <c r="N173" i="6"/>
  <c r="N181" i="6"/>
  <c r="N189" i="6"/>
  <c r="N197" i="6"/>
  <c r="N205" i="6"/>
  <c r="N213" i="6"/>
  <c r="N221" i="6"/>
  <c r="N79" i="6"/>
  <c r="N174" i="6"/>
  <c r="N182" i="6"/>
  <c r="N190" i="6"/>
  <c r="N198" i="6"/>
  <c r="N206" i="6"/>
  <c r="N214" i="6"/>
  <c r="N222" i="6"/>
  <c r="N176" i="6"/>
  <c r="N184" i="6"/>
  <c r="N192" i="6"/>
  <c r="N200" i="6"/>
  <c r="N208" i="6"/>
  <c r="N216" i="6"/>
  <c r="N169" i="6"/>
  <c r="N83" i="6"/>
  <c r="N87" i="6"/>
  <c r="N91" i="6"/>
  <c r="N95" i="6"/>
  <c r="N99" i="6"/>
  <c r="N103" i="6"/>
  <c r="N107" i="6"/>
  <c r="N111" i="6"/>
  <c r="N115" i="6"/>
  <c r="N119" i="6"/>
  <c r="N123" i="6"/>
  <c r="N127" i="6"/>
  <c r="N131" i="6"/>
  <c r="N177" i="6"/>
  <c r="N185" i="6"/>
  <c r="N193" i="6"/>
  <c r="N201" i="6"/>
  <c r="N209" i="6"/>
  <c r="N217" i="6"/>
  <c r="N170" i="6"/>
  <c r="N178" i="6"/>
  <c r="N186" i="6"/>
  <c r="N194" i="6"/>
  <c r="N202" i="6"/>
  <c r="N210" i="6"/>
  <c r="N218" i="6"/>
  <c r="N80" i="6"/>
  <c r="N90" i="6"/>
  <c r="N106" i="6"/>
  <c r="N122" i="6"/>
  <c r="N175" i="6"/>
  <c r="N207" i="6"/>
  <c r="N92" i="6"/>
  <c r="N108" i="6"/>
  <c r="N124" i="6"/>
  <c r="N179" i="6"/>
  <c r="N211" i="6"/>
  <c r="N224" i="6"/>
  <c r="N94" i="6"/>
  <c r="N110" i="6"/>
  <c r="N126" i="6"/>
  <c r="N183" i="6"/>
  <c r="N215" i="6"/>
  <c r="N96" i="6"/>
  <c r="N112" i="6"/>
  <c r="N128" i="6"/>
  <c r="N187" i="6"/>
  <c r="N219" i="6"/>
  <c r="N82" i="6"/>
  <c r="N98" i="6"/>
  <c r="N114" i="6"/>
  <c r="N130" i="6"/>
  <c r="N191" i="6"/>
  <c r="N223" i="6"/>
  <c r="N84" i="6"/>
  <c r="N100" i="6"/>
  <c r="N116" i="6"/>
  <c r="N132" i="6"/>
  <c r="N195" i="6"/>
  <c r="N86" i="6"/>
  <c r="N102" i="6"/>
  <c r="N118" i="6"/>
  <c r="N199" i="6"/>
  <c r="N88" i="6"/>
  <c r="N104" i="6"/>
  <c r="N120" i="6"/>
  <c r="N171" i="6"/>
  <c r="N203" i="6"/>
  <c r="B70" i="2"/>
  <c r="B48" i="1" s="1"/>
  <c r="B137" i="2"/>
  <c r="AA9" i="6" s="1"/>
  <c r="AB9" i="6" s="1"/>
  <c r="B139" i="2"/>
  <c r="B136" i="1" s="1"/>
  <c r="B136" i="2"/>
  <c r="B142" i="2"/>
  <c r="B29" i="2"/>
  <c r="B12" i="2"/>
  <c r="B13" i="2"/>
  <c r="B11" i="2"/>
  <c r="B8" i="2"/>
  <c r="M228" i="6" s="1"/>
  <c r="B9" i="2"/>
  <c r="M137" i="6" s="1"/>
  <c r="B7" i="2"/>
  <c r="A2" i="5"/>
  <c r="B79" i="2" l="1"/>
  <c r="M135" i="6"/>
  <c r="M227" i="6"/>
  <c r="M225" i="6"/>
  <c r="M226" i="6"/>
  <c r="M136" i="6"/>
  <c r="B159" i="2"/>
  <c r="B154" i="1" s="1"/>
  <c r="M89" i="6"/>
  <c r="M134" i="6"/>
  <c r="M223" i="6"/>
  <c r="B183" i="2"/>
  <c r="B173" i="1" s="1"/>
  <c r="M189" i="6"/>
  <c r="M172" i="6"/>
  <c r="M184" i="6"/>
  <c r="M202" i="6"/>
  <c r="M193" i="6"/>
  <c r="M215" i="6"/>
  <c r="M190" i="6"/>
  <c r="M111" i="6"/>
  <c r="M118" i="6"/>
  <c r="M86" i="6"/>
  <c r="M113" i="6"/>
  <c r="M200" i="6"/>
  <c r="M219" i="6"/>
  <c r="M96" i="6"/>
  <c r="M194" i="6"/>
  <c r="M185" i="6"/>
  <c r="M107" i="6"/>
  <c r="M199" i="6"/>
  <c r="M114" i="6"/>
  <c r="M82" i="6"/>
  <c r="M182" i="6"/>
  <c r="M181" i="6"/>
  <c r="M109" i="6"/>
  <c r="B18" i="2"/>
  <c r="B52" i="2"/>
  <c r="M212" i="6"/>
  <c r="M196" i="6"/>
  <c r="M211" i="6"/>
  <c r="M124" i="6"/>
  <c r="M92" i="6"/>
  <c r="M186" i="6"/>
  <c r="M177" i="6"/>
  <c r="M103" i="6"/>
  <c r="M191" i="6"/>
  <c r="M110" i="6"/>
  <c r="M224" i="6"/>
  <c r="M174" i="6"/>
  <c r="M173" i="6"/>
  <c r="M105" i="6"/>
  <c r="B58" i="2"/>
  <c r="M180" i="6"/>
  <c r="M169" i="6"/>
  <c r="M203" i="6"/>
  <c r="M120" i="6"/>
  <c r="M88" i="6"/>
  <c r="M178" i="6"/>
  <c r="M131" i="6"/>
  <c r="M99" i="6"/>
  <c r="M183" i="6"/>
  <c r="M106" i="6"/>
  <c r="M207" i="6"/>
  <c r="M133" i="6"/>
  <c r="M101" i="6"/>
  <c r="M100" i="6"/>
  <c r="M81" i="6"/>
  <c r="B56" i="2"/>
  <c r="B57" i="2" s="1"/>
  <c r="B53" i="2"/>
  <c r="B54" i="2" s="1"/>
  <c r="B50" i="2"/>
  <c r="B51" i="2" s="1"/>
  <c r="M128" i="6"/>
  <c r="B55" i="2"/>
  <c r="B43" i="2"/>
  <c r="B46" i="2"/>
  <c r="B49" i="2"/>
  <c r="M192" i="6"/>
  <c r="M116" i="6"/>
  <c r="M170" i="6"/>
  <c r="M95" i="6"/>
  <c r="M102" i="6"/>
  <c r="M221" i="6"/>
  <c r="M129" i="6"/>
  <c r="M176" i="6"/>
  <c r="M220" i="6"/>
  <c r="M187" i="6"/>
  <c r="M112" i="6"/>
  <c r="M80" i="6"/>
  <c r="M217" i="6"/>
  <c r="M123" i="6"/>
  <c r="M91" i="6"/>
  <c r="M130" i="6"/>
  <c r="M98" i="6"/>
  <c r="M214" i="6"/>
  <c r="M213" i="6"/>
  <c r="M125" i="6"/>
  <c r="M93" i="6"/>
  <c r="M79" i="6"/>
  <c r="M188" i="6"/>
  <c r="M179" i="6"/>
  <c r="M108" i="6"/>
  <c r="M218" i="6"/>
  <c r="M209" i="6"/>
  <c r="M119" i="6"/>
  <c r="M87" i="6"/>
  <c r="M126" i="6"/>
  <c r="M94" i="6"/>
  <c r="M206" i="6"/>
  <c r="M205" i="6"/>
  <c r="M121" i="6"/>
  <c r="O99" i="2"/>
  <c r="O83" i="2"/>
  <c r="O68" i="2"/>
  <c r="B47" i="2"/>
  <c r="O67" i="2"/>
  <c r="O105" i="2"/>
  <c r="O81" i="2"/>
  <c r="O69" i="2"/>
  <c r="O98" i="2"/>
  <c r="O74" i="2"/>
  <c r="O89" i="2"/>
  <c r="O66" i="2"/>
  <c r="O104" i="2"/>
  <c r="O80" i="2"/>
  <c r="O107" i="2"/>
  <c r="O75" i="2"/>
  <c r="O90" i="2"/>
  <c r="O88" i="2"/>
  <c r="O65" i="2"/>
  <c r="O111" i="2"/>
  <c r="O103" i="2"/>
  <c r="O95" i="2"/>
  <c r="O87" i="2"/>
  <c r="O79" i="2"/>
  <c r="O72" i="2"/>
  <c r="O64" i="2"/>
  <c r="O110" i="2"/>
  <c r="O102" i="2"/>
  <c r="O94" i="2"/>
  <c r="O86" i="2"/>
  <c r="O78" i="2"/>
  <c r="O71" i="2"/>
  <c r="O63" i="2"/>
  <c r="O109" i="2"/>
  <c r="O101" i="2"/>
  <c r="O93" i="2"/>
  <c r="O85" i="2"/>
  <c r="O77" i="2"/>
  <c r="O70" i="2"/>
  <c r="O62" i="2"/>
  <c r="O108" i="2"/>
  <c r="O100" i="2"/>
  <c r="O92" i="2"/>
  <c r="O84" i="2"/>
  <c r="O76" i="2"/>
  <c r="B64" i="2"/>
  <c r="B123" i="2" s="1"/>
  <c r="B117" i="1" s="1"/>
  <c r="O91" i="2"/>
  <c r="O106" i="2"/>
  <c r="O82" i="2"/>
  <c r="O97" i="2"/>
  <c r="O73" i="2"/>
  <c r="O96" i="2"/>
  <c r="B80" i="2"/>
  <c r="M132" i="6"/>
  <c r="M208" i="6"/>
  <c r="M195" i="6"/>
  <c r="M84" i="6"/>
  <c r="M127" i="6"/>
  <c r="M175" i="6"/>
  <c r="M222" i="6"/>
  <c r="M97" i="6"/>
  <c r="M204" i="6"/>
  <c r="M216" i="6"/>
  <c r="M171" i="6"/>
  <c r="M104" i="6"/>
  <c r="M210" i="6"/>
  <c r="M201" i="6"/>
  <c r="M115" i="6"/>
  <c r="M83" i="6"/>
  <c r="M122" i="6"/>
  <c r="M90" i="6"/>
  <c r="M198" i="6"/>
  <c r="M197" i="6"/>
  <c r="M117" i="6"/>
  <c r="M85" i="6"/>
  <c r="B31" i="2"/>
  <c r="B30" i="1" s="1"/>
  <c r="D21" i="6"/>
  <c r="D45" i="6"/>
  <c r="D14" i="6"/>
  <c r="D22" i="6"/>
  <c r="D30" i="6"/>
  <c r="D38" i="6"/>
  <c r="D46" i="6"/>
  <c r="D54" i="6"/>
  <c r="D62" i="6"/>
  <c r="D25" i="6"/>
  <c r="D10" i="6"/>
  <c r="D34" i="6"/>
  <c r="D50" i="6"/>
  <c r="D58" i="6"/>
  <c r="D11" i="6"/>
  <c r="D15" i="6"/>
  <c r="D19" i="6"/>
  <c r="D23" i="6"/>
  <c r="D27" i="6"/>
  <c r="D31" i="6"/>
  <c r="D35" i="6"/>
  <c r="D39" i="6"/>
  <c r="D43" i="6"/>
  <c r="D47" i="6"/>
  <c r="D51" i="6"/>
  <c r="D55" i="6"/>
  <c r="D59" i="6"/>
  <c r="B138" i="2"/>
  <c r="D13" i="6"/>
  <c r="D29" i="6"/>
  <c r="D42" i="6"/>
  <c r="D53" i="6"/>
  <c r="D61" i="6"/>
  <c r="D8" i="6"/>
  <c r="D12" i="6"/>
  <c r="D16" i="6"/>
  <c r="D20" i="6"/>
  <c r="D24" i="6"/>
  <c r="D28" i="6"/>
  <c r="D32" i="6"/>
  <c r="D36" i="6"/>
  <c r="D40" i="6"/>
  <c r="D44" i="6"/>
  <c r="D48" i="6"/>
  <c r="D52" i="6"/>
  <c r="D56" i="6"/>
  <c r="D60" i="6"/>
  <c r="D9" i="6"/>
  <c r="D17" i="6"/>
  <c r="D33" i="6"/>
  <c r="D41" i="6"/>
  <c r="D49" i="6"/>
  <c r="D57" i="6"/>
  <c r="D18" i="6"/>
  <c r="D26" i="6"/>
  <c r="D37" i="6"/>
  <c r="B135" i="1"/>
  <c r="B141" i="2"/>
  <c r="B30" i="2"/>
  <c r="B32" i="2" s="1"/>
  <c r="B23" i="2"/>
  <c r="B83" i="2"/>
  <c r="C33" i="4"/>
  <c r="B86" i="2" s="1"/>
  <c r="B75" i="1" s="1"/>
  <c r="B84" i="2" l="1"/>
  <c r="B73" i="1" s="1"/>
  <c r="F13" i="6"/>
  <c r="E13" i="6"/>
  <c r="E41" i="6"/>
  <c r="F41" i="6"/>
  <c r="E48" i="6"/>
  <c r="F48" i="6"/>
  <c r="E16" i="6"/>
  <c r="F16" i="6"/>
  <c r="E31" i="6"/>
  <c r="F31" i="6"/>
  <c r="E34" i="6"/>
  <c r="F34" i="6"/>
  <c r="E22" i="6"/>
  <c r="F22" i="6"/>
  <c r="E33" i="6"/>
  <c r="F33" i="6"/>
  <c r="E44" i="6"/>
  <c r="F44" i="6"/>
  <c r="E12" i="6"/>
  <c r="F12" i="6"/>
  <c r="E59" i="6"/>
  <c r="F59" i="6"/>
  <c r="E27" i="6"/>
  <c r="F27" i="6"/>
  <c r="E10" i="6"/>
  <c r="F10" i="6"/>
  <c r="E14" i="6"/>
  <c r="F14" i="6"/>
  <c r="E52" i="6"/>
  <c r="F52" i="6"/>
  <c r="E50" i="6"/>
  <c r="F50" i="6"/>
  <c r="F8" i="6"/>
  <c r="E8" i="6"/>
  <c r="E25" i="6"/>
  <c r="F25" i="6"/>
  <c r="E9" i="6"/>
  <c r="F9" i="6"/>
  <c r="F51" i="6"/>
  <c r="E51" i="6"/>
  <c r="F21" i="6"/>
  <c r="E21" i="6"/>
  <c r="E26" i="6"/>
  <c r="F26" i="6"/>
  <c r="E32" i="6"/>
  <c r="F32" i="6"/>
  <c r="F53" i="6"/>
  <c r="E53" i="6"/>
  <c r="E47" i="6"/>
  <c r="F47" i="6"/>
  <c r="F15" i="6"/>
  <c r="E15" i="6"/>
  <c r="E54" i="6"/>
  <c r="F54" i="6"/>
  <c r="E49" i="6"/>
  <c r="F49" i="6"/>
  <c r="F35" i="6"/>
  <c r="E35" i="6"/>
  <c r="E40" i="6"/>
  <c r="F40" i="6"/>
  <c r="E23" i="6"/>
  <c r="F23" i="6"/>
  <c r="E36" i="6"/>
  <c r="F36" i="6"/>
  <c r="F19" i="6"/>
  <c r="E19" i="6"/>
  <c r="E18" i="6"/>
  <c r="F18" i="6"/>
  <c r="E60" i="6"/>
  <c r="F60" i="6"/>
  <c r="E28" i="6"/>
  <c r="F28" i="6"/>
  <c r="E42" i="6"/>
  <c r="F42" i="6"/>
  <c r="E43" i="6"/>
  <c r="F43" i="6"/>
  <c r="F11" i="6"/>
  <c r="E11" i="6"/>
  <c r="E46" i="6"/>
  <c r="F46" i="6"/>
  <c r="E20" i="6"/>
  <c r="F20" i="6"/>
  <c r="E30" i="6"/>
  <c r="F30" i="6"/>
  <c r="E17" i="6"/>
  <c r="F17" i="6"/>
  <c r="F55" i="6"/>
  <c r="E55" i="6"/>
  <c r="F45" i="6"/>
  <c r="E45" i="6"/>
  <c r="F37" i="6"/>
  <c r="E37" i="6"/>
  <c r="F61" i="6"/>
  <c r="E61" i="6"/>
  <c r="E62" i="6"/>
  <c r="F62" i="6"/>
  <c r="E57" i="6"/>
  <c r="F57" i="6"/>
  <c r="E56" i="6"/>
  <c r="F56" i="6"/>
  <c r="E24" i="6"/>
  <c r="F24" i="6"/>
  <c r="F29" i="6"/>
  <c r="E29" i="6"/>
  <c r="E39" i="6"/>
  <c r="F39" i="6"/>
  <c r="E58" i="6"/>
  <c r="F58" i="6"/>
  <c r="E38" i="6"/>
  <c r="F38" i="6"/>
  <c r="B63" i="1" l="1"/>
  <c r="B78" i="2"/>
  <c r="B17" i="2"/>
  <c r="D15" i="2"/>
  <c r="B48" i="2"/>
  <c r="B41" i="2"/>
  <c r="B42" i="2" s="1"/>
  <c r="B44" i="2"/>
  <c r="B45" i="2" s="1"/>
  <c r="B39"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62" i="2"/>
  <c r="AD61" i="2"/>
  <c r="B29" i="1"/>
  <c r="AN84" i="2" l="1"/>
  <c r="AM84" i="2"/>
  <c r="AO84" i="2" s="1"/>
  <c r="AP84" i="2" s="1"/>
  <c r="AM107" i="2"/>
  <c r="AO107" i="2" s="1"/>
  <c r="AP107" i="2" s="1"/>
  <c r="AN107" i="2"/>
  <c r="AM99" i="2"/>
  <c r="AO99" i="2" s="1"/>
  <c r="AP99" i="2" s="1"/>
  <c r="AN99" i="2"/>
  <c r="AN91" i="2"/>
  <c r="AM91" i="2"/>
  <c r="AO91" i="2" s="1"/>
  <c r="AP91" i="2" s="1"/>
  <c r="AN83" i="2"/>
  <c r="AM83" i="2"/>
  <c r="AO83" i="2" s="1"/>
  <c r="AP83" i="2" s="1"/>
  <c r="AN75" i="2"/>
  <c r="AM75" i="2"/>
  <c r="AO75" i="2" s="1"/>
  <c r="AP75" i="2" s="1"/>
  <c r="AM67" i="2"/>
  <c r="AO67" i="2" s="1"/>
  <c r="AP67" i="2" s="1"/>
  <c r="AN67" i="2"/>
  <c r="AN93" i="2"/>
  <c r="AM93" i="2"/>
  <c r="AO93" i="2" s="1"/>
  <c r="AP93" i="2" s="1"/>
  <c r="AN69" i="2"/>
  <c r="AM69" i="2"/>
  <c r="AO69" i="2" s="1"/>
  <c r="AP69" i="2" s="1"/>
  <c r="AM90" i="2"/>
  <c r="AO90" i="2" s="1"/>
  <c r="AP90" i="2" s="1"/>
  <c r="AN90" i="2"/>
  <c r="AN66" i="2"/>
  <c r="AM66" i="2"/>
  <c r="AO66" i="2" s="1"/>
  <c r="AP66" i="2" s="1"/>
  <c r="AM61" i="2"/>
  <c r="AO61" i="2" s="1"/>
  <c r="AP61" i="2" s="1"/>
  <c r="AN61" i="2"/>
  <c r="AM89" i="2"/>
  <c r="AO89" i="2" s="1"/>
  <c r="AP89" i="2" s="1"/>
  <c r="AN89" i="2"/>
  <c r="AN65" i="2"/>
  <c r="AM65" i="2"/>
  <c r="AO65" i="2" s="1"/>
  <c r="AP65" i="2" s="1"/>
  <c r="AM96" i="2"/>
  <c r="AO96" i="2" s="1"/>
  <c r="AP96" i="2" s="1"/>
  <c r="AN96" i="2"/>
  <c r="AN101" i="2"/>
  <c r="AM101" i="2"/>
  <c r="AO101" i="2" s="1"/>
  <c r="AP101" i="2" s="1"/>
  <c r="AN77" i="2"/>
  <c r="AM77" i="2"/>
  <c r="AO77" i="2" s="1"/>
  <c r="AP77" i="2" s="1"/>
  <c r="AM108" i="2"/>
  <c r="AO108" i="2" s="1"/>
  <c r="AP108" i="2" s="1"/>
  <c r="AN108" i="2"/>
  <c r="AM92" i="2"/>
  <c r="AO92" i="2" s="1"/>
  <c r="AP92" i="2" s="1"/>
  <c r="AN92" i="2"/>
  <c r="AM76" i="2"/>
  <c r="AO76" i="2" s="1"/>
  <c r="AP76" i="2" s="1"/>
  <c r="AN76" i="2"/>
  <c r="AN106" i="2"/>
  <c r="AM106" i="2"/>
  <c r="AO106" i="2" s="1"/>
  <c r="AP106" i="2" s="1"/>
  <c r="AM82" i="2"/>
  <c r="AO82" i="2" s="1"/>
  <c r="AP82" i="2" s="1"/>
  <c r="AN82" i="2"/>
  <c r="AN74" i="2"/>
  <c r="AM74" i="2"/>
  <c r="AO74" i="2" s="1"/>
  <c r="AP74" i="2" s="1"/>
  <c r="AM97" i="2"/>
  <c r="AO97" i="2" s="1"/>
  <c r="AP97" i="2" s="1"/>
  <c r="AN97" i="2"/>
  <c r="AN73" i="2"/>
  <c r="AM73" i="2"/>
  <c r="AO73" i="2" s="1"/>
  <c r="AP73" i="2" s="1"/>
  <c r="AN88" i="2"/>
  <c r="AM88" i="2"/>
  <c r="AO88" i="2" s="1"/>
  <c r="AP88" i="2" s="1"/>
  <c r="AM111" i="2"/>
  <c r="AO111" i="2" s="1"/>
  <c r="AP111" i="2" s="1"/>
  <c r="AN111" i="2"/>
  <c r="AN103" i="2"/>
  <c r="AM103" i="2"/>
  <c r="AO103" i="2" s="1"/>
  <c r="AP103" i="2" s="1"/>
  <c r="AM95" i="2"/>
  <c r="AO95" i="2" s="1"/>
  <c r="AP95" i="2" s="1"/>
  <c r="AN95" i="2"/>
  <c r="AN87" i="2"/>
  <c r="AM87" i="2"/>
  <c r="AO87" i="2" s="1"/>
  <c r="AP87" i="2" s="1"/>
  <c r="AM79" i="2"/>
  <c r="AO79" i="2" s="1"/>
  <c r="AP79" i="2" s="1"/>
  <c r="AN79" i="2"/>
  <c r="AM71" i="2"/>
  <c r="AO71" i="2" s="1"/>
  <c r="AP71" i="2" s="1"/>
  <c r="AN71" i="2"/>
  <c r="AN63" i="2"/>
  <c r="AM63" i="2"/>
  <c r="AO63" i="2" s="1"/>
  <c r="AP63" i="2" s="1"/>
  <c r="AN109" i="2"/>
  <c r="AM109" i="2"/>
  <c r="AO109" i="2" s="1"/>
  <c r="AP109" i="2" s="1"/>
  <c r="AM85" i="2"/>
  <c r="AO85" i="2" s="1"/>
  <c r="AP85" i="2" s="1"/>
  <c r="AN85" i="2"/>
  <c r="AM100" i="2"/>
  <c r="AO100" i="2" s="1"/>
  <c r="AP100" i="2" s="1"/>
  <c r="AN100" i="2"/>
  <c r="AM68" i="2"/>
  <c r="AO68" i="2" s="1"/>
  <c r="AP68" i="2" s="1"/>
  <c r="AN68" i="2"/>
  <c r="AN98" i="2"/>
  <c r="AM98" i="2"/>
  <c r="AO98" i="2" s="1"/>
  <c r="AP98" i="2" s="1"/>
  <c r="AN105" i="2"/>
  <c r="AM105" i="2"/>
  <c r="AO105" i="2" s="1"/>
  <c r="AP105" i="2" s="1"/>
  <c r="AM81" i="2"/>
  <c r="AO81" i="2" s="1"/>
  <c r="AP81" i="2" s="1"/>
  <c r="AN81" i="2"/>
  <c r="AN62" i="2"/>
  <c r="AM62" i="2"/>
  <c r="AO62" i="2" s="1"/>
  <c r="AP62" i="2" s="1"/>
  <c r="AM104" i="2"/>
  <c r="AO104" i="2" s="1"/>
  <c r="AP104" i="2" s="1"/>
  <c r="AN104" i="2"/>
  <c r="AN80" i="2"/>
  <c r="AM80" i="2"/>
  <c r="AO80" i="2" s="1"/>
  <c r="AP80" i="2" s="1"/>
  <c r="AN72" i="2"/>
  <c r="AM72" i="2"/>
  <c r="AO72" i="2" s="1"/>
  <c r="AP72" i="2" s="1"/>
  <c r="AM64" i="2"/>
  <c r="AO64" i="2" s="1"/>
  <c r="AP64" i="2" s="1"/>
  <c r="AN64" i="2"/>
  <c r="AN110" i="2"/>
  <c r="AM110" i="2"/>
  <c r="AO110" i="2" s="1"/>
  <c r="AP110" i="2" s="1"/>
  <c r="AN102" i="2"/>
  <c r="AM102" i="2"/>
  <c r="AO102" i="2" s="1"/>
  <c r="AP102" i="2" s="1"/>
  <c r="AN94" i="2"/>
  <c r="AM94" i="2"/>
  <c r="AO94" i="2" s="1"/>
  <c r="AP94" i="2" s="1"/>
  <c r="AN86" i="2"/>
  <c r="AM86" i="2"/>
  <c r="AO86" i="2" s="1"/>
  <c r="AP86" i="2" s="1"/>
  <c r="AN78" i="2"/>
  <c r="AM78" i="2"/>
  <c r="AO78" i="2" s="1"/>
  <c r="AP78" i="2" s="1"/>
  <c r="AN70" i="2"/>
  <c r="AM70" i="2"/>
  <c r="AO70" i="2" s="1"/>
  <c r="AP70" i="2" s="1"/>
  <c r="D80" i="2"/>
  <c r="B67" i="1"/>
  <c r="D78" i="2"/>
  <c r="B65" i="1"/>
  <c r="D79" i="2"/>
  <c r="B66" i="1"/>
  <c r="C9" i="4" l="1"/>
  <c r="C23" i="4"/>
  <c r="C26" i="4"/>
  <c r="C15" i="4"/>
  <c r="C25" i="4"/>
  <c r="C24" i="4"/>
  <c r="C21" i="4"/>
  <c r="B116" i="2" l="1"/>
  <c r="B111" i="1" s="1"/>
  <c r="B118" i="2"/>
  <c r="B119" i="2"/>
  <c r="B114" i="1" s="1"/>
  <c r="B132" i="2"/>
  <c r="B128" i="1" s="1"/>
  <c r="B131" i="2"/>
  <c r="B127" i="1" s="1"/>
  <c r="B129" i="2"/>
  <c r="B125" i="1" s="1"/>
  <c r="C17" i="4"/>
  <c r="B16" i="2" s="1"/>
  <c r="B22" i="1" s="1"/>
  <c r="B113" i="1" l="1"/>
  <c r="D118" i="2"/>
  <c r="C4" i="4"/>
  <c r="O226" i="6" l="1"/>
  <c r="O219" i="6"/>
  <c r="O210" i="6"/>
  <c r="O201" i="6"/>
  <c r="O190" i="6"/>
  <c r="O204" i="6"/>
  <c r="O173" i="6"/>
  <c r="O89" i="6"/>
  <c r="O97" i="6"/>
  <c r="O124" i="6"/>
  <c r="O115" i="6"/>
  <c r="O104" i="6"/>
  <c r="O95" i="6"/>
  <c r="O94" i="6"/>
  <c r="O85" i="6"/>
  <c r="O128" i="6"/>
  <c r="O205" i="6"/>
  <c r="O110" i="6"/>
  <c r="O209" i="6"/>
  <c r="O113" i="6"/>
  <c r="O102" i="6"/>
  <c r="O224" i="6"/>
  <c r="O211" i="6"/>
  <c r="O202" i="6"/>
  <c r="O193" i="6"/>
  <c r="O174" i="6"/>
  <c r="O196" i="6"/>
  <c r="O122" i="6"/>
  <c r="O213" i="6"/>
  <c r="O81" i="6"/>
  <c r="O116" i="6"/>
  <c r="O107" i="6"/>
  <c r="O96" i="6"/>
  <c r="O87" i="6"/>
  <c r="O86" i="6"/>
  <c r="O109" i="6"/>
  <c r="O217" i="6"/>
  <c r="O131" i="6"/>
  <c r="O212" i="6"/>
  <c r="O112" i="6"/>
  <c r="O184" i="6"/>
  <c r="O203" i="6"/>
  <c r="O194" i="6"/>
  <c r="O185" i="6"/>
  <c r="O214" i="6"/>
  <c r="O188" i="6"/>
  <c r="O114" i="6"/>
  <c r="O197" i="6"/>
  <c r="O223" i="6"/>
  <c r="O108" i="6"/>
  <c r="O99" i="6"/>
  <c r="O88" i="6"/>
  <c r="O79" i="6"/>
  <c r="O133" i="6"/>
  <c r="O200" i="6"/>
  <c r="O175" i="6"/>
  <c r="O221" i="6"/>
  <c r="O199" i="6"/>
  <c r="O119" i="6"/>
  <c r="O136" i="6"/>
  <c r="O171" i="6"/>
  <c r="O220" i="6"/>
  <c r="O129" i="6"/>
  <c r="O111" i="6"/>
  <c r="O123" i="6"/>
  <c r="O134" i="6"/>
  <c r="O216" i="6"/>
  <c r="O195" i="6"/>
  <c r="O186" i="6"/>
  <c r="O177" i="6"/>
  <c r="O198" i="6"/>
  <c r="O180" i="6"/>
  <c r="O98" i="6"/>
  <c r="O181" i="6"/>
  <c r="O215" i="6"/>
  <c r="O100" i="6"/>
  <c r="O91" i="6"/>
  <c r="O80" i="6"/>
  <c r="O125" i="6"/>
  <c r="O179" i="6"/>
  <c r="O183" i="6"/>
  <c r="O82" i="6"/>
  <c r="O84" i="6"/>
  <c r="O118" i="6"/>
  <c r="O192" i="6"/>
  <c r="O222" i="6"/>
  <c r="O121" i="6"/>
  <c r="O120" i="6"/>
  <c r="O101" i="6"/>
  <c r="O105" i="6"/>
  <c r="O93" i="6"/>
  <c r="O208" i="6"/>
  <c r="O187" i="6"/>
  <c r="O178" i="6"/>
  <c r="O169" i="6"/>
  <c r="O182" i="6"/>
  <c r="O172" i="6"/>
  <c r="O90" i="6"/>
  <c r="O130" i="6"/>
  <c r="O207" i="6"/>
  <c r="O92" i="6"/>
  <c r="O83" i="6"/>
  <c r="O127" i="6"/>
  <c r="O126" i="6"/>
  <c r="O117" i="6"/>
  <c r="O170" i="6"/>
  <c r="O106" i="6"/>
  <c r="O191" i="6"/>
  <c r="O135" i="6"/>
  <c r="O176" i="6"/>
  <c r="O218" i="6"/>
  <c r="O206" i="6"/>
  <c r="O189" i="6"/>
  <c r="O132" i="6"/>
  <c r="O103" i="6"/>
  <c r="G15" i="6"/>
  <c r="G41" i="6"/>
  <c r="G24" i="6"/>
  <c r="G50" i="6"/>
  <c r="G47" i="6"/>
  <c r="G48" i="6"/>
  <c r="G58" i="6"/>
  <c r="G36" i="6"/>
  <c r="G25" i="6"/>
  <c r="G9" i="6"/>
  <c r="G14" i="6"/>
  <c r="G44" i="6"/>
  <c r="G52" i="6"/>
  <c r="G62" i="6"/>
  <c r="G61" i="6"/>
  <c r="G43" i="6"/>
  <c r="G56" i="6"/>
  <c r="G21" i="6"/>
  <c r="G17" i="6"/>
  <c r="G12" i="6"/>
  <c r="G29" i="6"/>
  <c r="G46" i="6"/>
  <c r="G19" i="6"/>
  <c r="G51" i="6"/>
  <c r="G38" i="6"/>
  <c r="G23" i="6"/>
  <c r="G42" i="6"/>
  <c r="G26" i="6"/>
  <c r="G16" i="6"/>
  <c r="G57" i="6"/>
  <c r="G34" i="6"/>
  <c r="G11" i="6"/>
  <c r="G27" i="6"/>
  <c r="G35" i="6"/>
  <c r="G40" i="6"/>
  <c r="G20" i="6"/>
  <c r="G10" i="6"/>
  <c r="G53" i="6"/>
  <c r="G18" i="6"/>
  <c r="G13" i="6"/>
  <c r="G31" i="6"/>
  <c r="G22" i="6"/>
  <c r="G32" i="6"/>
  <c r="G45" i="6"/>
  <c r="G55" i="6"/>
  <c r="G28" i="6"/>
  <c r="G59" i="6"/>
  <c r="G8" i="6"/>
  <c r="G33" i="6"/>
  <c r="G49" i="6"/>
  <c r="G30" i="6"/>
  <c r="G37" i="6"/>
  <c r="G39" i="6"/>
  <c r="G54" i="6"/>
  <c r="G60" i="6"/>
  <c r="AC10" i="6"/>
  <c r="AD10" i="6" s="1"/>
  <c r="AC11" i="6"/>
  <c r="AD11" i="6" s="1"/>
  <c r="AC9" i="6"/>
  <c r="AD9" i="6" s="1"/>
  <c r="B143" i="2"/>
  <c r="O61" i="2"/>
  <c r="I16" i="6" l="1"/>
  <c r="H16" i="6"/>
  <c r="J16" i="6"/>
  <c r="Q120" i="6"/>
  <c r="P120" i="6"/>
  <c r="P128" i="6"/>
  <c r="Q128" i="6"/>
  <c r="I20" i="6"/>
  <c r="H20" i="6"/>
  <c r="J20" i="6"/>
  <c r="H12" i="6"/>
  <c r="I12" i="6"/>
  <c r="J12" i="6"/>
  <c r="H44" i="6"/>
  <c r="I44" i="6"/>
  <c r="J44" i="6"/>
  <c r="H50" i="6"/>
  <c r="I50" i="6"/>
  <c r="J50" i="6"/>
  <c r="Q218" i="6"/>
  <c r="P218" i="6"/>
  <c r="P127" i="6"/>
  <c r="Q127" i="6"/>
  <c r="P169" i="6"/>
  <c r="Q169" i="6"/>
  <c r="P121" i="6"/>
  <c r="Q121" i="6"/>
  <c r="Q125" i="6"/>
  <c r="P125" i="6"/>
  <c r="Q198" i="6"/>
  <c r="P198" i="6"/>
  <c r="Q129" i="6"/>
  <c r="P129" i="6"/>
  <c r="P200" i="6"/>
  <c r="Q200" i="6"/>
  <c r="P114" i="6"/>
  <c r="Q114" i="6"/>
  <c r="P212" i="6"/>
  <c r="Q212" i="6"/>
  <c r="Q116" i="6"/>
  <c r="P116" i="6"/>
  <c r="P211" i="6"/>
  <c r="Q211" i="6"/>
  <c r="P85" i="6"/>
  <c r="Q85" i="6"/>
  <c r="P173" i="6"/>
  <c r="Q173" i="6"/>
  <c r="H55" i="6"/>
  <c r="I55" i="6"/>
  <c r="J55" i="6"/>
  <c r="P126" i="6"/>
  <c r="Q126" i="6"/>
  <c r="P175" i="6"/>
  <c r="Q175" i="6"/>
  <c r="P202" i="6"/>
  <c r="Q202" i="6"/>
  <c r="H45" i="6"/>
  <c r="I45" i="6"/>
  <c r="J45" i="6"/>
  <c r="I26" i="6"/>
  <c r="H26" i="6"/>
  <c r="J26" i="6"/>
  <c r="B138" i="1"/>
  <c r="B145" i="2"/>
  <c r="I30" i="6"/>
  <c r="H30" i="6"/>
  <c r="J30" i="6"/>
  <c r="H32" i="6"/>
  <c r="I32" i="6"/>
  <c r="J32" i="6"/>
  <c r="I40" i="6"/>
  <c r="H40" i="6"/>
  <c r="J40" i="6"/>
  <c r="H42" i="6"/>
  <c r="I42" i="6"/>
  <c r="J42" i="6"/>
  <c r="I17" i="6"/>
  <c r="H17" i="6"/>
  <c r="J17" i="6"/>
  <c r="H14" i="6"/>
  <c r="I14" i="6"/>
  <c r="J14" i="6"/>
  <c r="H24" i="6"/>
  <c r="I24" i="6"/>
  <c r="J24" i="6"/>
  <c r="P176" i="6"/>
  <c r="Q176" i="6"/>
  <c r="Q83" i="6"/>
  <c r="P83" i="6"/>
  <c r="P178" i="6"/>
  <c r="Q178" i="6"/>
  <c r="Q222" i="6"/>
  <c r="P222" i="6"/>
  <c r="P80" i="6"/>
  <c r="Q80" i="6"/>
  <c r="P177" i="6"/>
  <c r="Q177" i="6"/>
  <c r="P220" i="6"/>
  <c r="Q220" i="6"/>
  <c r="P133" i="6"/>
  <c r="Q133" i="6"/>
  <c r="P188" i="6"/>
  <c r="Q188" i="6"/>
  <c r="Q131" i="6"/>
  <c r="P131" i="6"/>
  <c r="P81" i="6"/>
  <c r="Q81" i="6"/>
  <c r="Q224" i="6"/>
  <c r="P224" i="6"/>
  <c r="P94" i="6"/>
  <c r="Q94" i="6"/>
  <c r="Q204" i="6"/>
  <c r="P204" i="6"/>
  <c r="H39" i="6"/>
  <c r="I39" i="6"/>
  <c r="J39" i="6"/>
  <c r="P206" i="6"/>
  <c r="Q206" i="6"/>
  <c r="Q111" i="6"/>
  <c r="P111" i="6"/>
  <c r="Q89" i="6"/>
  <c r="P89" i="6"/>
  <c r="I49" i="6"/>
  <c r="H49" i="6"/>
  <c r="J49" i="6"/>
  <c r="H23" i="6"/>
  <c r="I23" i="6"/>
  <c r="J23" i="6"/>
  <c r="I21" i="6"/>
  <c r="H21" i="6"/>
  <c r="J21" i="6"/>
  <c r="H9" i="6"/>
  <c r="I9" i="6"/>
  <c r="J9" i="6"/>
  <c r="I41" i="6"/>
  <c r="H41" i="6"/>
  <c r="J41" i="6"/>
  <c r="Q135" i="6"/>
  <c r="P135" i="6"/>
  <c r="Q92" i="6"/>
  <c r="P92" i="6"/>
  <c r="P187" i="6"/>
  <c r="Q187" i="6"/>
  <c r="Q192" i="6"/>
  <c r="P192" i="6"/>
  <c r="P91" i="6"/>
  <c r="Q91" i="6"/>
  <c r="Q186" i="6"/>
  <c r="P186" i="6"/>
  <c r="Q171" i="6"/>
  <c r="P171" i="6"/>
  <c r="P79" i="6"/>
  <c r="Q79" i="6"/>
  <c r="Q214" i="6"/>
  <c r="P214" i="6"/>
  <c r="Q217" i="6"/>
  <c r="P217" i="6"/>
  <c r="P213" i="6"/>
  <c r="Q213" i="6"/>
  <c r="Q102" i="6"/>
  <c r="P102" i="6"/>
  <c r="Q95" i="6"/>
  <c r="P95" i="6"/>
  <c r="P190" i="6"/>
  <c r="Q190" i="6"/>
  <c r="H29" i="6"/>
  <c r="I29" i="6"/>
  <c r="J29" i="6"/>
  <c r="P180" i="6"/>
  <c r="Q180" i="6"/>
  <c r="Q107" i="6"/>
  <c r="P107" i="6"/>
  <c r="H33" i="6"/>
  <c r="I33" i="6"/>
  <c r="J33" i="6"/>
  <c r="I31" i="6"/>
  <c r="H31" i="6"/>
  <c r="J31" i="6"/>
  <c r="I27" i="6"/>
  <c r="H27" i="6"/>
  <c r="J27" i="6"/>
  <c r="J38" i="6"/>
  <c r="H38" i="6"/>
  <c r="I38" i="6"/>
  <c r="H56" i="6"/>
  <c r="I56" i="6"/>
  <c r="J56" i="6"/>
  <c r="I25" i="6"/>
  <c r="H25" i="6"/>
  <c r="J25" i="6"/>
  <c r="I15" i="6"/>
  <c r="H15" i="6"/>
  <c r="J15" i="6"/>
  <c r="P191" i="6"/>
  <c r="Q191" i="6"/>
  <c r="P207" i="6"/>
  <c r="Q207" i="6"/>
  <c r="P208" i="6"/>
  <c r="Q208" i="6"/>
  <c r="P118" i="6"/>
  <c r="Q118" i="6"/>
  <c r="P100" i="6"/>
  <c r="Q100" i="6"/>
  <c r="Q195" i="6"/>
  <c r="P195" i="6"/>
  <c r="P136" i="6"/>
  <c r="Q136" i="6"/>
  <c r="P88" i="6"/>
  <c r="Q88" i="6"/>
  <c r="P185" i="6"/>
  <c r="Q185" i="6"/>
  <c r="P109" i="6"/>
  <c r="Q109" i="6"/>
  <c r="Q122" i="6"/>
  <c r="P122" i="6"/>
  <c r="P113" i="6"/>
  <c r="Q113" i="6"/>
  <c r="P104" i="6"/>
  <c r="Q104" i="6"/>
  <c r="P201" i="6"/>
  <c r="Q201" i="6"/>
  <c r="I47" i="6"/>
  <c r="H47" i="6"/>
  <c r="J47" i="6"/>
  <c r="Q179" i="6"/>
  <c r="P179" i="6"/>
  <c r="P112" i="6"/>
  <c r="Q112" i="6"/>
  <c r="I8" i="6"/>
  <c r="H8" i="6"/>
  <c r="J8" i="6"/>
  <c r="H13" i="6"/>
  <c r="I13" i="6"/>
  <c r="J13" i="6"/>
  <c r="I11" i="6"/>
  <c r="H11" i="6"/>
  <c r="J11" i="6"/>
  <c r="H51" i="6"/>
  <c r="I51" i="6"/>
  <c r="J51" i="6"/>
  <c r="H43" i="6"/>
  <c r="I43" i="6"/>
  <c r="J43" i="6"/>
  <c r="H36" i="6"/>
  <c r="I36" i="6"/>
  <c r="J36" i="6"/>
  <c r="P103" i="6"/>
  <c r="Q103" i="6"/>
  <c r="P106" i="6"/>
  <c r="Q106" i="6"/>
  <c r="Q130" i="6"/>
  <c r="P130" i="6"/>
  <c r="P93" i="6"/>
  <c r="Q93" i="6"/>
  <c r="P84" i="6"/>
  <c r="Q84" i="6"/>
  <c r="P215" i="6"/>
  <c r="Q215" i="6"/>
  <c r="P216" i="6"/>
  <c r="Q216" i="6"/>
  <c r="P119" i="6"/>
  <c r="Q119" i="6"/>
  <c r="Q99" i="6"/>
  <c r="P99" i="6"/>
  <c r="Q194" i="6"/>
  <c r="P194" i="6"/>
  <c r="P86" i="6"/>
  <c r="Q86" i="6"/>
  <c r="P196" i="6"/>
  <c r="Q196" i="6"/>
  <c r="P209" i="6"/>
  <c r="Q209" i="6"/>
  <c r="P115" i="6"/>
  <c r="Q115" i="6"/>
  <c r="P210" i="6"/>
  <c r="Q210" i="6"/>
  <c r="I52" i="6"/>
  <c r="H52" i="6"/>
  <c r="J52" i="6"/>
  <c r="H35" i="6"/>
  <c r="I35" i="6"/>
  <c r="J35" i="6"/>
  <c r="I60" i="6"/>
  <c r="H60" i="6"/>
  <c r="J60" i="6"/>
  <c r="I59" i="6"/>
  <c r="H59" i="6"/>
  <c r="J59" i="6"/>
  <c r="H18" i="6"/>
  <c r="I18" i="6"/>
  <c r="J18" i="6"/>
  <c r="I34" i="6"/>
  <c r="H34" i="6"/>
  <c r="J34" i="6"/>
  <c r="H19" i="6"/>
  <c r="I19" i="6"/>
  <c r="J19" i="6"/>
  <c r="I61" i="6"/>
  <c r="H61" i="6"/>
  <c r="J61" i="6"/>
  <c r="I58" i="6"/>
  <c r="H58" i="6"/>
  <c r="J58" i="6"/>
  <c r="Q132" i="6"/>
  <c r="P132" i="6"/>
  <c r="Q170" i="6"/>
  <c r="P170" i="6"/>
  <c r="Q90" i="6"/>
  <c r="P90" i="6"/>
  <c r="P105" i="6"/>
  <c r="Q105" i="6"/>
  <c r="Q82" i="6"/>
  <c r="P82" i="6"/>
  <c r="P181" i="6"/>
  <c r="Q181" i="6"/>
  <c r="Q134" i="6"/>
  <c r="P134" i="6"/>
  <c r="Q199" i="6"/>
  <c r="P199" i="6"/>
  <c r="P108" i="6"/>
  <c r="Q108" i="6"/>
  <c r="Q203" i="6"/>
  <c r="P203" i="6"/>
  <c r="P87" i="6"/>
  <c r="Q87" i="6"/>
  <c r="P174" i="6"/>
  <c r="Q174" i="6"/>
  <c r="P110" i="6"/>
  <c r="Q110" i="6"/>
  <c r="P124" i="6"/>
  <c r="Q124" i="6"/>
  <c r="P219" i="6"/>
  <c r="Q219" i="6"/>
  <c r="H10" i="6"/>
  <c r="I10" i="6"/>
  <c r="J10" i="6"/>
  <c r="P182" i="6"/>
  <c r="Q182" i="6"/>
  <c r="P197" i="6"/>
  <c r="Q197" i="6"/>
  <c r="I37" i="6"/>
  <c r="H37" i="6"/>
  <c r="J37" i="6"/>
  <c r="I22" i="6"/>
  <c r="H22" i="6"/>
  <c r="J22" i="6"/>
  <c r="H54" i="6"/>
  <c r="I54" i="6"/>
  <c r="J54" i="6"/>
  <c r="H28" i="6"/>
  <c r="I28" i="6"/>
  <c r="J28" i="6"/>
  <c r="H53" i="6"/>
  <c r="I53" i="6"/>
  <c r="J53" i="6"/>
  <c r="H57" i="6"/>
  <c r="I57" i="6"/>
  <c r="J57" i="6"/>
  <c r="H46" i="6"/>
  <c r="I46" i="6"/>
  <c r="J46" i="6"/>
  <c r="H62" i="6"/>
  <c r="I62" i="6"/>
  <c r="J62" i="6"/>
  <c r="I48" i="6"/>
  <c r="H48" i="6"/>
  <c r="J48" i="6"/>
  <c r="P189" i="6"/>
  <c r="Q189" i="6"/>
  <c r="Q117" i="6"/>
  <c r="P117" i="6"/>
  <c r="Q172" i="6"/>
  <c r="P172" i="6"/>
  <c r="Q101" i="6"/>
  <c r="P101" i="6"/>
  <c r="Q183" i="6"/>
  <c r="P183" i="6"/>
  <c r="P98" i="6"/>
  <c r="Q98" i="6"/>
  <c r="P123" i="6"/>
  <c r="Q123" i="6"/>
  <c r="P221" i="6"/>
  <c r="Q221" i="6"/>
  <c r="P223" i="6"/>
  <c r="Q223" i="6"/>
  <c r="P184" i="6"/>
  <c r="Q184" i="6"/>
  <c r="Q96" i="6"/>
  <c r="P96" i="6"/>
  <c r="Q193" i="6"/>
  <c r="P193" i="6"/>
  <c r="Q205" i="6"/>
  <c r="P205" i="6"/>
  <c r="P97" i="6"/>
  <c r="Q97" i="6"/>
  <c r="Q226" i="6"/>
  <c r="P226" i="6"/>
  <c r="C3" i="4"/>
  <c r="L28" i="6" l="1"/>
  <c r="K28" i="6"/>
  <c r="K51" i="6"/>
  <c r="L51" i="6"/>
  <c r="K57" i="6"/>
  <c r="L57" i="6"/>
  <c r="L34" i="6"/>
  <c r="K34" i="6"/>
  <c r="K36" i="6"/>
  <c r="L36" i="6"/>
  <c r="K25" i="6"/>
  <c r="L25" i="6"/>
  <c r="K38" i="6"/>
  <c r="L38" i="6"/>
  <c r="K9" i="6"/>
  <c r="L9" i="6"/>
  <c r="K32" i="6"/>
  <c r="L32" i="6"/>
  <c r="K26" i="6"/>
  <c r="L26" i="6"/>
  <c r="K47" i="6"/>
  <c r="L47" i="6"/>
  <c r="L54" i="6"/>
  <c r="K54" i="6"/>
  <c r="K60" i="6"/>
  <c r="L60" i="6"/>
  <c r="L11" i="6"/>
  <c r="K11" i="6"/>
  <c r="L27" i="6"/>
  <c r="K27" i="6"/>
  <c r="L49" i="6"/>
  <c r="K49" i="6"/>
  <c r="L24" i="6"/>
  <c r="K24" i="6"/>
  <c r="L12" i="6"/>
  <c r="K12" i="6"/>
  <c r="K59" i="6"/>
  <c r="L59" i="6"/>
  <c r="L29" i="6"/>
  <c r="K29" i="6"/>
  <c r="K44" i="6"/>
  <c r="L44" i="6"/>
  <c r="K58" i="6"/>
  <c r="L58" i="6"/>
  <c r="L62" i="6"/>
  <c r="K62" i="6"/>
  <c r="K61" i="6"/>
  <c r="L61" i="6"/>
  <c r="K39" i="6"/>
  <c r="L39" i="6"/>
  <c r="L42" i="6"/>
  <c r="K42" i="6"/>
  <c r="L10" i="6"/>
  <c r="K10" i="6"/>
  <c r="B147" i="2"/>
  <c r="B142" i="1" s="1"/>
  <c r="B140" i="1"/>
  <c r="K48" i="6"/>
  <c r="L48" i="6"/>
  <c r="K8" i="6"/>
  <c r="L8" i="6"/>
  <c r="K53" i="6"/>
  <c r="L53" i="6"/>
  <c r="L18" i="6"/>
  <c r="K18" i="6"/>
  <c r="K43" i="6"/>
  <c r="L43" i="6"/>
  <c r="L56" i="6"/>
  <c r="K56" i="6"/>
  <c r="K21" i="6"/>
  <c r="L21" i="6"/>
  <c r="K30" i="6"/>
  <c r="L30" i="6"/>
  <c r="K45" i="6"/>
  <c r="L45" i="6"/>
  <c r="K50" i="6"/>
  <c r="L50" i="6"/>
  <c r="K16" i="6"/>
  <c r="L16" i="6"/>
  <c r="K23" i="6"/>
  <c r="L23" i="6"/>
  <c r="K37" i="6"/>
  <c r="L37" i="6"/>
  <c r="K33" i="6"/>
  <c r="L33" i="6"/>
  <c r="K17" i="6"/>
  <c r="L17" i="6"/>
  <c r="L22" i="6"/>
  <c r="K22" i="6"/>
  <c r="L35" i="6"/>
  <c r="K35" i="6"/>
  <c r="L13" i="6"/>
  <c r="K13" i="6"/>
  <c r="K31" i="6"/>
  <c r="L31" i="6"/>
  <c r="K14" i="6"/>
  <c r="L14" i="6"/>
  <c r="L55" i="6"/>
  <c r="K55" i="6"/>
  <c r="L20" i="6"/>
  <c r="K20" i="6"/>
  <c r="L52" i="6"/>
  <c r="K52" i="6"/>
  <c r="K46" i="6"/>
  <c r="L46" i="6"/>
  <c r="K19" i="6"/>
  <c r="L19" i="6"/>
  <c r="L15" i="6"/>
  <c r="K15" i="6"/>
  <c r="L41" i="6"/>
  <c r="K41" i="6"/>
  <c r="K40" i="6"/>
  <c r="L40" i="6"/>
  <c r="D18" i="2"/>
  <c r="D17"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AJ52" i="2" l="1"/>
  <c r="AL52" i="2" s="1"/>
  <c r="AM52" i="2" s="1"/>
  <c r="AK52" i="2"/>
  <c r="Y52" i="2"/>
  <c r="X52" i="2"/>
  <c r="Z52" i="2" s="1"/>
  <c r="AA52" i="2" s="1"/>
  <c r="AJ44" i="2"/>
  <c r="AL44" i="2" s="1"/>
  <c r="AM44" i="2" s="1"/>
  <c r="AK44" i="2"/>
  <c r="X44" i="2"/>
  <c r="Z44" i="2" s="1"/>
  <c r="AA44" i="2" s="1"/>
  <c r="Y44" i="2"/>
  <c r="AJ36" i="2"/>
  <c r="AL36" i="2" s="1"/>
  <c r="AM36" i="2" s="1"/>
  <c r="AK36" i="2"/>
  <c r="Y36" i="2"/>
  <c r="X36" i="2"/>
  <c r="Z36" i="2" s="1"/>
  <c r="AA36" i="2" s="1"/>
  <c r="AJ28" i="2"/>
  <c r="AL28" i="2" s="1"/>
  <c r="AM28" i="2" s="1"/>
  <c r="AK28" i="2"/>
  <c r="Y28" i="2"/>
  <c r="X28" i="2"/>
  <c r="Z28" i="2" s="1"/>
  <c r="AA28" i="2" s="1"/>
  <c r="AJ20" i="2"/>
  <c r="AL20" i="2" s="1"/>
  <c r="AM20" i="2" s="1"/>
  <c r="AK20" i="2"/>
  <c r="Y20" i="2"/>
  <c r="X20" i="2"/>
  <c r="Z20" i="2" s="1"/>
  <c r="AA20" i="2" s="1"/>
  <c r="AK12" i="2"/>
  <c r="X12" i="2"/>
  <c r="Y12" i="2"/>
  <c r="AJ12" i="2"/>
  <c r="AL12" i="2" s="1"/>
  <c r="AK51" i="2"/>
  <c r="AJ51" i="2"/>
  <c r="AL51" i="2" s="1"/>
  <c r="AM51" i="2" s="1"/>
  <c r="X51" i="2"/>
  <c r="Z51" i="2" s="1"/>
  <c r="AA51" i="2" s="1"/>
  <c r="Y51" i="2"/>
  <c r="AJ43" i="2"/>
  <c r="AL43" i="2" s="1"/>
  <c r="AM43" i="2" s="1"/>
  <c r="Y43" i="2"/>
  <c r="AK43" i="2"/>
  <c r="X43" i="2"/>
  <c r="Z43" i="2" s="1"/>
  <c r="AA43" i="2" s="1"/>
  <c r="Y35" i="2"/>
  <c r="AK35" i="2"/>
  <c r="AJ35" i="2"/>
  <c r="AL35" i="2" s="1"/>
  <c r="AM35" i="2" s="1"/>
  <c r="X35" i="2"/>
  <c r="Z35" i="2" s="1"/>
  <c r="AA35" i="2" s="1"/>
  <c r="AK27" i="2"/>
  <c r="Y27" i="2"/>
  <c r="X27" i="2"/>
  <c r="Z27" i="2" s="1"/>
  <c r="AA27" i="2" s="1"/>
  <c r="AJ27" i="2"/>
  <c r="AL27" i="2" s="1"/>
  <c r="AM27" i="2" s="1"/>
  <c r="Y19" i="2"/>
  <c r="X19" i="2"/>
  <c r="Z19" i="2" s="1"/>
  <c r="AA19" i="2" s="1"/>
  <c r="AJ19" i="2"/>
  <c r="AL19" i="2" s="1"/>
  <c r="AM19" i="2" s="1"/>
  <c r="AK19" i="2"/>
  <c r="Y11" i="2"/>
  <c r="AJ11" i="2"/>
  <c r="AL11" i="2" s="1"/>
  <c r="AK11" i="2"/>
  <c r="X11" i="2"/>
  <c r="Y50" i="2"/>
  <c r="X50" i="2"/>
  <c r="Z50" i="2" s="1"/>
  <c r="AA50" i="2" s="1"/>
  <c r="AJ50" i="2"/>
  <c r="AL50" i="2" s="1"/>
  <c r="AM50" i="2" s="1"/>
  <c r="AK50" i="2"/>
  <c r="AK42" i="2"/>
  <c r="Y42" i="2"/>
  <c r="X42" i="2"/>
  <c r="Z42" i="2" s="1"/>
  <c r="AA42" i="2" s="1"/>
  <c r="AJ42" i="2"/>
  <c r="AL42" i="2" s="1"/>
  <c r="AM42" i="2" s="1"/>
  <c r="X34" i="2"/>
  <c r="Z34" i="2" s="1"/>
  <c r="AA34" i="2" s="1"/>
  <c r="AK34" i="2"/>
  <c r="AJ34" i="2"/>
  <c r="AL34" i="2" s="1"/>
  <c r="AM34" i="2" s="1"/>
  <c r="Y34" i="2"/>
  <c r="X26" i="2"/>
  <c r="Z26" i="2" s="1"/>
  <c r="AA26" i="2" s="1"/>
  <c r="AK26" i="2"/>
  <c r="AJ26" i="2"/>
  <c r="AL26" i="2" s="1"/>
  <c r="AM26" i="2" s="1"/>
  <c r="Y26" i="2"/>
  <c r="X18" i="2"/>
  <c r="Z18" i="2" s="1"/>
  <c r="AA18" i="2" s="1"/>
  <c r="AJ18" i="2"/>
  <c r="AL18" i="2" s="1"/>
  <c r="AK18" i="2"/>
  <c r="Y18" i="2"/>
  <c r="AJ10" i="2"/>
  <c r="AL10" i="2" s="1"/>
  <c r="Y10" i="2"/>
  <c r="AK10" i="2"/>
  <c r="X10" i="2"/>
  <c r="X49" i="2"/>
  <c r="Z49" i="2" s="1"/>
  <c r="AA49" i="2" s="1"/>
  <c r="AJ49" i="2"/>
  <c r="AL49" i="2" s="1"/>
  <c r="AM49" i="2" s="1"/>
  <c r="AK49" i="2"/>
  <c r="Y49" i="2"/>
  <c r="AJ41" i="2"/>
  <c r="AL41" i="2" s="1"/>
  <c r="AM41" i="2" s="1"/>
  <c r="AK41" i="2"/>
  <c r="Y41" i="2"/>
  <c r="X41" i="2"/>
  <c r="Z41" i="2" s="1"/>
  <c r="AA41" i="2" s="1"/>
  <c r="Y33" i="2"/>
  <c r="AJ33" i="2"/>
  <c r="AL33" i="2" s="1"/>
  <c r="AM33" i="2" s="1"/>
  <c r="X33" i="2"/>
  <c r="Z33" i="2" s="1"/>
  <c r="AA33" i="2" s="1"/>
  <c r="AK33" i="2"/>
  <c r="Y25" i="2"/>
  <c r="AJ25" i="2"/>
  <c r="AL25" i="2" s="1"/>
  <c r="AM25" i="2" s="1"/>
  <c r="X25" i="2"/>
  <c r="Z25" i="2" s="1"/>
  <c r="AA25" i="2" s="1"/>
  <c r="AK25" i="2"/>
  <c r="AJ17" i="2"/>
  <c r="AL17" i="2" s="1"/>
  <c r="AK17" i="2"/>
  <c r="Y17" i="2"/>
  <c r="X17" i="2"/>
  <c r="AJ9" i="2"/>
  <c r="AL9" i="2" s="1"/>
  <c r="Y9" i="2"/>
  <c r="AK9" i="2"/>
  <c r="X9" i="2"/>
  <c r="AJ56" i="2"/>
  <c r="AL56" i="2" s="1"/>
  <c r="AM56" i="2" s="1"/>
  <c r="AK56" i="2"/>
  <c r="Y56" i="2"/>
  <c r="X56" i="2"/>
  <c r="Z56" i="2" s="1"/>
  <c r="AA56" i="2" s="1"/>
  <c r="AJ48" i="2"/>
  <c r="AL48" i="2" s="1"/>
  <c r="AM48" i="2" s="1"/>
  <c r="AK48" i="2"/>
  <c r="Y48" i="2"/>
  <c r="X48" i="2"/>
  <c r="Z48" i="2" s="1"/>
  <c r="AA48" i="2" s="1"/>
  <c r="AJ40" i="2"/>
  <c r="AL40" i="2" s="1"/>
  <c r="AM40" i="2" s="1"/>
  <c r="X40" i="2"/>
  <c r="Z40" i="2" s="1"/>
  <c r="AA40" i="2" s="1"/>
  <c r="AK40" i="2"/>
  <c r="Y40" i="2"/>
  <c r="AJ32" i="2"/>
  <c r="AL32" i="2" s="1"/>
  <c r="AM32" i="2" s="1"/>
  <c r="AK32" i="2"/>
  <c r="X32" i="2"/>
  <c r="Z32" i="2" s="1"/>
  <c r="AA32" i="2" s="1"/>
  <c r="Y32" i="2"/>
  <c r="AJ24" i="2"/>
  <c r="AL24" i="2" s="1"/>
  <c r="AM24" i="2" s="1"/>
  <c r="AK24" i="2"/>
  <c r="X24" i="2"/>
  <c r="Z24" i="2" s="1"/>
  <c r="AA24" i="2" s="1"/>
  <c r="Y24" i="2"/>
  <c r="AK16" i="2"/>
  <c r="Y16" i="2"/>
  <c r="X16" i="2"/>
  <c r="AJ16" i="2"/>
  <c r="AL16" i="2" s="1"/>
  <c r="Y8" i="2"/>
  <c r="X8" i="2"/>
  <c r="AJ8" i="2"/>
  <c r="AL8" i="2" s="1"/>
  <c r="AK8" i="2"/>
  <c r="AJ55" i="2"/>
  <c r="AL55" i="2" s="1"/>
  <c r="AM55" i="2" s="1"/>
  <c r="Y55" i="2"/>
  <c r="X55" i="2"/>
  <c r="Z55" i="2" s="1"/>
  <c r="AA55" i="2" s="1"/>
  <c r="AK55" i="2"/>
  <c r="AK47" i="2"/>
  <c r="AJ47" i="2"/>
  <c r="AL47" i="2" s="1"/>
  <c r="AM47" i="2" s="1"/>
  <c r="Y47" i="2"/>
  <c r="X47" i="2"/>
  <c r="Z47" i="2" s="1"/>
  <c r="AA47" i="2" s="1"/>
  <c r="AK39" i="2"/>
  <c r="AJ39" i="2"/>
  <c r="AL39" i="2" s="1"/>
  <c r="AM39" i="2" s="1"/>
  <c r="Y39" i="2"/>
  <c r="X39" i="2"/>
  <c r="Z39" i="2" s="1"/>
  <c r="AA39" i="2" s="1"/>
  <c r="AJ31" i="2"/>
  <c r="AL31" i="2" s="1"/>
  <c r="AM31" i="2" s="1"/>
  <c r="AK31" i="2"/>
  <c r="X31" i="2"/>
  <c r="Z31" i="2" s="1"/>
  <c r="AA31" i="2" s="1"/>
  <c r="Y31" i="2"/>
  <c r="Y23" i="2"/>
  <c r="AJ23" i="2"/>
  <c r="AL23" i="2" s="1"/>
  <c r="AM23" i="2" s="1"/>
  <c r="X23" i="2"/>
  <c r="Z23" i="2" s="1"/>
  <c r="AA23" i="2" s="1"/>
  <c r="AK23" i="2"/>
  <c r="AJ15" i="2"/>
  <c r="AL15" i="2" s="1"/>
  <c r="AK15" i="2"/>
  <c r="Y15" i="2"/>
  <c r="X15" i="2"/>
  <c r="AJ7" i="2"/>
  <c r="AL7" i="2" s="1"/>
  <c r="AK7" i="2"/>
  <c r="Y7" i="2"/>
  <c r="X7" i="2"/>
  <c r="AK54" i="2"/>
  <c r="Y54" i="2"/>
  <c r="AJ54" i="2"/>
  <c r="AL54" i="2" s="1"/>
  <c r="AM54" i="2" s="1"/>
  <c r="X54" i="2"/>
  <c r="Z54" i="2" s="1"/>
  <c r="AA54" i="2" s="1"/>
  <c r="Y46" i="2"/>
  <c r="X46" i="2"/>
  <c r="Z46" i="2" s="1"/>
  <c r="AA46" i="2" s="1"/>
  <c r="AK46" i="2"/>
  <c r="AJ46" i="2"/>
  <c r="AL46" i="2" s="1"/>
  <c r="AM46" i="2" s="1"/>
  <c r="X38" i="2"/>
  <c r="Z38" i="2" s="1"/>
  <c r="AA38" i="2" s="1"/>
  <c r="Y38" i="2"/>
  <c r="AJ38" i="2"/>
  <c r="AL38" i="2" s="1"/>
  <c r="AM38" i="2" s="1"/>
  <c r="AK38" i="2"/>
  <c r="X30" i="2"/>
  <c r="Z30" i="2" s="1"/>
  <c r="AA30" i="2" s="1"/>
  <c r="AK30" i="2"/>
  <c r="AJ30" i="2"/>
  <c r="AL30" i="2" s="1"/>
  <c r="AM30" i="2" s="1"/>
  <c r="Y30" i="2"/>
  <c r="X22" i="2"/>
  <c r="Z22" i="2" s="1"/>
  <c r="AA22" i="2" s="1"/>
  <c r="AK22" i="2"/>
  <c r="AJ22" i="2"/>
  <c r="AL22" i="2" s="1"/>
  <c r="AM22" i="2" s="1"/>
  <c r="Y22" i="2"/>
  <c r="Y14" i="2"/>
  <c r="X14" i="2"/>
  <c r="AJ14" i="2"/>
  <c r="AL14" i="2" s="1"/>
  <c r="AK14" i="2"/>
  <c r="X53" i="2"/>
  <c r="Z53" i="2" s="1"/>
  <c r="AA53" i="2" s="1"/>
  <c r="AJ53" i="2"/>
  <c r="AL53" i="2" s="1"/>
  <c r="AM53" i="2" s="1"/>
  <c r="AK53" i="2"/>
  <c r="Y53" i="2"/>
  <c r="X45" i="2"/>
  <c r="Z45" i="2" s="1"/>
  <c r="AA45" i="2" s="1"/>
  <c r="AJ45" i="2"/>
  <c r="AL45" i="2" s="1"/>
  <c r="AM45" i="2" s="1"/>
  <c r="AK45" i="2"/>
  <c r="Y45" i="2"/>
  <c r="Y37" i="2"/>
  <c r="X37" i="2"/>
  <c r="Z37" i="2" s="1"/>
  <c r="AA37" i="2" s="1"/>
  <c r="AJ37" i="2"/>
  <c r="AL37" i="2" s="1"/>
  <c r="AM37" i="2" s="1"/>
  <c r="AK37" i="2"/>
  <c r="Y29" i="2"/>
  <c r="AJ29" i="2"/>
  <c r="AL29" i="2" s="1"/>
  <c r="AM29" i="2" s="1"/>
  <c r="X29" i="2"/>
  <c r="Z29" i="2" s="1"/>
  <c r="AA29" i="2" s="1"/>
  <c r="AK29" i="2"/>
  <c r="Y21" i="2"/>
  <c r="AJ21" i="2"/>
  <c r="AL21" i="2" s="1"/>
  <c r="AM21" i="2" s="1"/>
  <c r="X21" i="2"/>
  <c r="Z21" i="2" s="1"/>
  <c r="AA21" i="2" s="1"/>
  <c r="AK21" i="2"/>
  <c r="AK13" i="2"/>
  <c r="AJ13" i="2"/>
  <c r="AL13" i="2" s="1"/>
  <c r="Y13" i="2"/>
  <c r="X13" i="2"/>
  <c r="P50" i="2"/>
  <c r="R50" i="2" s="1"/>
  <c r="S50" i="2" s="1"/>
  <c r="Q50" i="2"/>
  <c r="AB50" i="2"/>
  <c r="AD50" i="2" s="1"/>
  <c r="AE50" i="2" s="1"/>
  <c r="AC50" i="2"/>
  <c r="T50" i="2"/>
  <c r="V50" i="2" s="1"/>
  <c r="W50" i="2" s="1"/>
  <c r="U50" i="2"/>
  <c r="AF50" i="2"/>
  <c r="AH50" i="2" s="1"/>
  <c r="AI50" i="2" s="1"/>
  <c r="AG50" i="2"/>
  <c r="U42" i="2"/>
  <c r="AG42" i="2"/>
  <c r="AB42" i="2"/>
  <c r="AD42" i="2" s="1"/>
  <c r="AE42" i="2" s="1"/>
  <c r="T42" i="2"/>
  <c r="V42" i="2" s="1"/>
  <c r="W42" i="2" s="1"/>
  <c r="Q42" i="2"/>
  <c r="AF42" i="2"/>
  <c r="AH42" i="2" s="1"/>
  <c r="AI42" i="2" s="1"/>
  <c r="P42" i="2"/>
  <c r="R42" i="2" s="1"/>
  <c r="S42" i="2" s="1"/>
  <c r="AC42" i="2"/>
  <c r="Q34" i="2"/>
  <c r="AF34" i="2"/>
  <c r="AH34" i="2" s="1"/>
  <c r="AI34" i="2" s="1"/>
  <c r="T34" i="2"/>
  <c r="V34" i="2" s="1"/>
  <c r="W34" i="2" s="1"/>
  <c r="AG34" i="2"/>
  <c r="AB34" i="2"/>
  <c r="AD34" i="2" s="1"/>
  <c r="AE34" i="2" s="1"/>
  <c r="U34" i="2"/>
  <c r="AC34" i="2"/>
  <c r="P34" i="2"/>
  <c r="R34" i="2" s="1"/>
  <c r="S34" i="2" s="1"/>
  <c r="AB26" i="2"/>
  <c r="AD26" i="2" s="1"/>
  <c r="AE26" i="2" s="1"/>
  <c r="P26" i="2"/>
  <c r="R26" i="2" s="1"/>
  <c r="S26" i="2" s="1"/>
  <c r="AC26" i="2"/>
  <c r="Q26" i="2"/>
  <c r="AF26" i="2"/>
  <c r="AH26" i="2" s="1"/>
  <c r="AI26" i="2" s="1"/>
  <c r="AG26" i="2"/>
  <c r="U26" i="2"/>
  <c r="T26" i="2"/>
  <c r="V26" i="2" s="1"/>
  <c r="W26" i="2" s="1"/>
  <c r="AC18" i="2"/>
  <c r="P18" i="2"/>
  <c r="R18" i="2" s="1"/>
  <c r="S18" i="2" s="1"/>
  <c r="Q18" i="2"/>
  <c r="AF18" i="2"/>
  <c r="AH18" i="2" s="1"/>
  <c r="AI18" i="2" s="1"/>
  <c r="AG18" i="2"/>
  <c r="U18" i="2"/>
  <c r="AB18" i="2"/>
  <c r="AD18" i="2" s="1"/>
  <c r="AE18" i="2" s="1"/>
  <c r="T18" i="2"/>
  <c r="V18" i="2" s="1"/>
  <c r="W18" i="2" s="1"/>
  <c r="AB10" i="2"/>
  <c r="AD10" i="2" s="1"/>
  <c r="AE10" i="2" s="1"/>
  <c r="P10" i="2"/>
  <c r="R10" i="2" s="1"/>
  <c r="AC10" i="2"/>
  <c r="U10" i="2"/>
  <c r="Q10" i="2"/>
  <c r="T10" i="2"/>
  <c r="V10" i="2" s="1"/>
  <c r="AG10" i="2"/>
  <c r="AF10" i="2"/>
  <c r="AH10" i="2" s="1"/>
  <c r="AG49" i="2"/>
  <c r="AC49" i="2"/>
  <c r="T49" i="2"/>
  <c r="V49" i="2" s="1"/>
  <c r="W49" i="2" s="1"/>
  <c r="U49" i="2"/>
  <c r="AF49" i="2"/>
  <c r="AH49" i="2" s="1"/>
  <c r="AI49" i="2" s="1"/>
  <c r="Q49" i="2"/>
  <c r="AB49" i="2"/>
  <c r="AD49" i="2" s="1"/>
  <c r="AE49" i="2" s="1"/>
  <c r="P49" i="2"/>
  <c r="R49" i="2" s="1"/>
  <c r="S49" i="2" s="1"/>
  <c r="U41" i="2"/>
  <c r="AF41" i="2"/>
  <c r="AH41" i="2" s="1"/>
  <c r="AI41" i="2" s="1"/>
  <c r="Q41" i="2"/>
  <c r="AG41" i="2"/>
  <c r="T41" i="2"/>
  <c r="V41" i="2" s="1"/>
  <c r="W41" i="2" s="1"/>
  <c r="AB41" i="2"/>
  <c r="AD41" i="2" s="1"/>
  <c r="AE41" i="2" s="1"/>
  <c r="P41" i="2"/>
  <c r="R41" i="2" s="1"/>
  <c r="S41" i="2" s="1"/>
  <c r="AC41" i="2"/>
  <c r="P33" i="2"/>
  <c r="R33" i="2" s="1"/>
  <c r="S33" i="2" s="1"/>
  <c r="Q33" i="2"/>
  <c r="AB33" i="2"/>
  <c r="AD33" i="2" s="1"/>
  <c r="AE33" i="2" s="1"/>
  <c r="AC33" i="2"/>
  <c r="T33" i="2"/>
  <c r="V33" i="2" s="1"/>
  <c r="W33" i="2" s="1"/>
  <c r="U33" i="2"/>
  <c r="AF33" i="2"/>
  <c r="AH33" i="2" s="1"/>
  <c r="AI33" i="2" s="1"/>
  <c r="AG33" i="2"/>
  <c r="P25" i="2"/>
  <c r="R25" i="2" s="1"/>
  <c r="S25" i="2" s="1"/>
  <c r="T25" i="2"/>
  <c r="V25" i="2" s="1"/>
  <c r="W25" i="2" s="1"/>
  <c r="AG25" i="2"/>
  <c r="AB25" i="2"/>
  <c r="AD25" i="2" s="1"/>
  <c r="AE25" i="2" s="1"/>
  <c r="AC25" i="2"/>
  <c r="AF25" i="2"/>
  <c r="AH25" i="2" s="1"/>
  <c r="AI25" i="2" s="1"/>
  <c r="U25" i="2"/>
  <c r="Q25" i="2"/>
  <c r="AB17" i="2"/>
  <c r="AD17" i="2" s="1"/>
  <c r="AE17" i="2" s="1"/>
  <c r="P17" i="2"/>
  <c r="R17" i="2" s="1"/>
  <c r="S17" i="2" s="1"/>
  <c r="AC17" i="2"/>
  <c r="AF17" i="2"/>
  <c r="AH17" i="2" s="1"/>
  <c r="AI17" i="2" s="1"/>
  <c r="AG17" i="2"/>
  <c r="U17" i="2"/>
  <c r="T17" i="2"/>
  <c r="V17" i="2" s="1"/>
  <c r="W17" i="2" s="1"/>
  <c r="Q17" i="2"/>
  <c r="P9" i="2"/>
  <c r="R9" i="2" s="1"/>
  <c r="AB9" i="2"/>
  <c r="AD9" i="2" s="1"/>
  <c r="AE9" i="2" s="1"/>
  <c r="U9" i="2"/>
  <c r="AG9" i="2"/>
  <c r="Q9" i="2"/>
  <c r="T9" i="2"/>
  <c r="V9" i="2" s="1"/>
  <c r="AF9" i="2"/>
  <c r="AH9" i="2" s="1"/>
  <c r="AC9" i="2"/>
  <c r="T56" i="2"/>
  <c r="V56" i="2" s="1"/>
  <c r="W56" i="2" s="1"/>
  <c r="AC56" i="2"/>
  <c r="AB56" i="2"/>
  <c r="AD56" i="2" s="1"/>
  <c r="AE56" i="2" s="1"/>
  <c r="U56" i="2"/>
  <c r="AF56" i="2"/>
  <c r="AH56" i="2" s="1"/>
  <c r="AI56" i="2" s="1"/>
  <c r="P56" i="2"/>
  <c r="R56" i="2" s="1"/>
  <c r="S56" i="2" s="1"/>
  <c r="Q56" i="2"/>
  <c r="AG56" i="2"/>
  <c r="AG48" i="2"/>
  <c r="T48" i="2"/>
  <c r="V48" i="2" s="1"/>
  <c r="W48" i="2" s="1"/>
  <c r="AC48" i="2"/>
  <c r="AF48" i="2"/>
  <c r="AH48" i="2" s="1"/>
  <c r="AI48" i="2" s="1"/>
  <c r="U48" i="2"/>
  <c r="Q48" i="2"/>
  <c r="AB48" i="2"/>
  <c r="AD48" i="2" s="1"/>
  <c r="AE48" i="2" s="1"/>
  <c r="P48" i="2"/>
  <c r="R48" i="2" s="1"/>
  <c r="S48" i="2" s="1"/>
  <c r="AG40" i="2"/>
  <c r="Q40" i="2"/>
  <c r="AB40" i="2"/>
  <c r="AD40" i="2" s="1"/>
  <c r="AE40" i="2" s="1"/>
  <c r="AF40" i="2"/>
  <c r="AH40" i="2" s="1"/>
  <c r="AI40" i="2" s="1"/>
  <c r="AC40" i="2"/>
  <c r="P40" i="2"/>
  <c r="R40" i="2" s="1"/>
  <c r="S40" i="2" s="1"/>
  <c r="U40" i="2"/>
  <c r="T40" i="2"/>
  <c r="V40" i="2" s="1"/>
  <c r="W40" i="2" s="1"/>
  <c r="P32" i="2"/>
  <c r="R32" i="2" s="1"/>
  <c r="S32" i="2" s="1"/>
  <c r="AB32" i="2"/>
  <c r="AD32" i="2" s="1"/>
  <c r="AE32" i="2" s="1"/>
  <c r="AC32" i="2"/>
  <c r="Q32" i="2"/>
  <c r="AF32" i="2"/>
  <c r="AH32" i="2" s="1"/>
  <c r="AI32" i="2" s="1"/>
  <c r="T32" i="2"/>
  <c r="V32" i="2" s="1"/>
  <c r="W32" i="2" s="1"/>
  <c r="U32" i="2"/>
  <c r="AG32" i="2"/>
  <c r="AB24" i="2"/>
  <c r="AD24" i="2" s="1"/>
  <c r="AE24" i="2" s="1"/>
  <c r="U24" i="2"/>
  <c r="AC24" i="2"/>
  <c r="AF24" i="2"/>
  <c r="AH24" i="2" s="1"/>
  <c r="AI24" i="2" s="1"/>
  <c r="AG24" i="2"/>
  <c r="T24" i="2"/>
  <c r="V24" i="2" s="1"/>
  <c r="W24" i="2" s="1"/>
  <c r="P24" i="2"/>
  <c r="R24" i="2" s="1"/>
  <c r="S24" i="2" s="1"/>
  <c r="Q24" i="2"/>
  <c r="T16" i="2"/>
  <c r="V16" i="2" s="1"/>
  <c r="AF16" i="2"/>
  <c r="AH16" i="2" s="1"/>
  <c r="AB16" i="2"/>
  <c r="AD16" i="2" s="1"/>
  <c r="AE16" i="2" s="1"/>
  <c r="AC16" i="2"/>
  <c r="AG16" i="2"/>
  <c r="Q16" i="2"/>
  <c r="U16" i="2"/>
  <c r="P16" i="2"/>
  <c r="R16" i="2" s="1"/>
  <c r="S16" i="2" s="1"/>
  <c r="Q8" i="2"/>
  <c r="U8" i="2"/>
  <c r="AG8" i="2"/>
  <c r="P8" i="2"/>
  <c r="R8" i="2" s="1"/>
  <c r="T8" i="2"/>
  <c r="V8" i="2" s="1"/>
  <c r="AF8" i="2"/>
  <c r="AC8" i="2"/>
  <c r="AB8" i="2"/>
  <c r="AD8" i="2" s="1"/>
  <c r="Q55" i="2"/>
  <c r="U55" i="2"/>
  <c r="AF55" i="2"/>
  <c r="AH55" i="2" s="1"/>
  <c r="AI55" i="2" s="1"/>
  <c r="AG55" i="2"/>
  <c r="AC55" i="2"/>
  <c r="T55" i="2"/>
  <c r="V55" i="2" s="1"/>
  <c r="W55" i="2" s="1"/>
  <c r="P55" i="2"/>
  <c r="R55" i="2" s="1"/>
  <c r="S55" i="2" s="1"/>
  <c r="AB55" i="2"/>
  <c r="AD55" i="2" s="1"/>
  <c r="AE55" i="2" s="1"/>
  <c r="T47" i="2"/>
  <c r="V47" i="2" s="1"/>
  <c r="W47" i="2" s="1"/>
  <c r="AC47" i="2"/>
  <c r="Q47" i="2"/>
  <c r="AF47" i="2"/>
  <c r="AH47" i="2" s="1"/>
  <c r="AI47" i="2" s="1"/>
  <c r="U47" i="2"/>
  <c r="AG47" i="2"/>
  <c r="P47" i="2"/>
  <c r="R47" i="2" s="1"/>
  <c r="S47" i="2" s="1"/>
  <c r="AB47" i="2"/>
  <c r="AD47" i="2" s="1"/>
  <c r="AE47" i="2" s="1"/>
  <c r="T39" i="2"/>
  <c r="V39" i="2" s="1"/>
  <c r="W39" i="2" s="1"/>
  <c r="AC39" i="2"/>
  <c r="U39" i="2"/>
  <c r="AF39" i="2"/>
  <c r="AH39" i="2" s="1"/>
  <c r="AI39" i="2" s="1"/>
  <c r="AG39" i="2"/>
  <c r="Q39" i="2"/>
  <c r="P39" i="2"/>
  <c r="R39" i="2" s="1"/>
  <c r="S39" i="2" s="1"/>
  <c r="AB39" i="2"/>
  <c r="AD39" i="2" s="1"/>
  <c r="AE39" i="2" s="1"/>
  <c r="P31" i="2"/>
  <c r="R31" i="2" s="1"/>
  <c r="S31" i="2" s="1"/>
  <c r="AB31" i="2"/>
  <c r="AD31" i="2" s="1"/>
  <c r="AE31" i="2" s="1"/>
  <c r="U31" i="2"/>
  <c r="AG31" i="2"/>
  <c r="Q31" i="2"/>
  <c r="T31" i="2"/>
  <c r="V31" i="2" s="1"/>
  <c r="W31" i="2" s="1"/>
  <c r="AF31" i="2"/>
  <c r="AH31" i="2" s="1"/>
  <c r="AI31" i="2" s="1"/>
  <c r="AC31" i="2"/>
  <c r="T23" i="2"/>
  <c r="V23" i="2" s="1"/>
  <c r="W23" i="2" s="1"/>
  <c r="AG23" i="2"/>
  <c r="U23" i="2"/>
  <c r="Q23" i="2"/>
  <c r="AC23" i="2"/>
  <c r="AF23" i="2"/>
  <c r="AH23" i="2" s="1"/>
  <c r="AI23" i="2" s="1"/>
  <c r="AB23" i="2"/>
  <c r="AD23" i="2" s="1"/>
  <c r="AE23" i="2" s="1"/>
  <c r="P23" i="2"/>
  <c r="R23" i="2" s="1"/>
  <c r="S23" i="2" s="1"/>
  <c r="T15" i="2"/>
  <c r="V15" i="2" s="1"/>
  <c r="AG15" i="2"/>
  <c r="U15" i="2"/>
  <c r="Q15" i="2"/>
  <c r="AC15" i="2"/>
  <c r="AF15" i="2"/>
  <c r="AH15" i="2" s="1"/>
  <c r="AB15" i="2"/>
  <c r="AD15" i="2" s="1"/>
  <c r="AE15" i="2" s="1"/>
  <c r="P15" i="2"/>
  <c r="R15" i="2" s="1"/>
  <c r="S15" i="2" s="1"/>
  <c r="AF7" i="2"/>
  <c r="P7" i="2"/>
  <c r="R7" i="2" s="1"/>
  <c r="Q7" i="2"/>
  <c r="AB7" i="2"/>
  <c r="AD7" i="2" s="1"/>
  <c r="T7" i="2"/>
  <c r="V7" i="2" s="1"/>
  <c r="U7" i="2"/>
  <c r="AG7" i="2"/>
  <c r="AC7" i="2"/>
  <c r="AF54" i="2"/>
  <c r="AH54" i="2" s="1"/>
  <c r="AI54" i="2" s="1"/>
  <c r="P54" i="2"/>
  <c r="R54" i="2" s="1"/>
  <c r="S54" i="2" s="1"/>
  <c r="Q54" i="2"/>
  <c r="U54" i="2"/>
  <c r="AG54" i="2"/>
  <c r="AC54" i="2"/>
  <c r="T54" i="2"/>
  <c r="V54" i="2" s="1"/>
  <c r="W54" i="2" s="1"/>
  <c r="AB54" i="2"/>
  <c r="AD54" i="2" s="1"/>
  <c r="AE54" i="2" s="1"/>
  <c r="Q46" i="2"/>
  <c r="AF46" i="2"/>
  <c r="AH46" i="2" s="1"/>
  <c r="AI46" i="2" s="1"/>
  <c r="T46" i="2"/>
  <c r="V46" i="2" s="1"/>
  <c r="W46" i="2" s="1"/>
  <c r="AG46" i="2"/>
  <c r="U46" i="2"/>
  <c r="P46" i="2"/>
  <c r="R46" i="2" s="1"/>
  <c r="S46" i="2" s="1"/>
  <c r="AB46" i="2"/>
  <c r="AD46" i="2" s="1"/>
  <c r="AE46" i="2" s="1"/>
  <c r="AC46" i="2"/>
  <c r="Q38" i="2"/>
  <c r="AG38" i="2"/>
  <c r="T38" i="2"/>
  <c r="V38" i="2" s="1"/>
  <c r="W38" i="2" s="1"/>
  <c r="P38" i="2"/>
  <c r="R38" i="2" s="1"/>
  <c r="S38" i="2" s="1"/>
  <c r="U38" i="2"/>
  <c r="AC38" i="2"/>
  <c r="AF38" i="2"/>
  <c r="AH38" i="2" s="1"/>
  <c r="AI38" i="2" s="1"/>
  <c r="AB38" i="2"/>
  <c r="AD38" i="2" s="1"/>
  <c r="AE38" i="2" s="1"/>
  <c r="AB30" i="2"/>
  <c r="AD30" i="2" s="1"/>
  <c r="AE30" i="2" s="1"/>
  <c r="T30" i="2"/>
  <c r="V30" i="2" s="1"/>
  <c r="W30" i="2" s="1"/>
  <c r="AF30" i="2"/>
  <c r="AH30" i="2" s="1"/>
  <c r="AI30" i="2" s="1"/>
  <c r="P30" i="2"/>
  <c r="R30" i="2" s="1"/>
  <c r="S30" i="2" s="1"/>
  <c r="Q30" i="2"/>
  <c r="U30" i="2"/>
  <c r="AC30" i="2"/>
  <c r="AG30" i="2"/>
  <c r="P22" i="2"/>
  <c r="R22" i="2" s="1"/>
  <c r="S22" i="2" s="1"/>
  <c r="Q22" i="2"/>
  <c r="AF22" i="2"/>
  <c r="AH22" i="2" s="1"/>
  <c r="AI22" i="2" s="1"/>
  <c r="AG22" i="2"/>
  <c r="AB22" i="2"/>
  <c r="AD22" i="2" s="1"/>
  <c r="AE22" i="2" s="1"/>
  <c r="T22" i="2"/>
  <c r="V22" i="2" s="1"/>
  <c r="W22" i="2" s="1"/>
  <c r="U22" i="2"/>
  <c r="AC22" i="2"/>
  <c r="P14" i="2"/>
  <c r="R14" i="2" s="1"/>
  <c r="AB14" i="2"/>
  <c r="AD14" i="2" s="1"/>
  <c r="AE14" i="2" s="1"/>
  <c r="AF14" i="2"/>
  <c r="AH14" i="2" s="1"/>
  <c r="T14" i="2"/>
  <c r="V14" i="2" s="1"/>
  <c r="AG14" i="2"/>
  <c r="U14" i="2"/>
  <c r="AC14" i="2"/>
  <c r="Q14" i="2"/>
  <c r="AB53" i="2"/>
  <c r="AD53" i="2" s="1"/>
  <c r="AE53" i="2" s="1"/>
  <c r="Q53" i="2"/>
  <c r="AC53" i="2"/>
  <c r="T53" i="2"/>
  <c r="V53" i="2" s="1"/>
  <c r="W53" i="2" s="1"/>
  <c r="P53" i="2"/>
  <c r="R53" i="2" s="1"/>
  <c r="S53" i="2" s="1"/>
  <c r="AF53" i="2"/>
  <c r="AH53" i="2" s="1"/>
  <c r="AI53" i="2" s="1"/>
  <c r="AG53" i="2"/>
  <c r="U53" i="2"/>
  <c r="AF45" i="2"/>
  <c r="AH45" i="2" s="1"/>
  <c r="AI45" i="2" s="1"/>
  <c r="AB45" i="2"/>
  <c r="AD45" i="2" s="1"/>
  <c r="AE45" i="2" s="1"/>
  <c r="T45" i="2"/>
  <c r="V45" i="2" s="1"/>
  <c r="W45" i="2" s="1"/>
  <c r="AG45" i="2"/>
  <c r="U45" i="2"/>
  <c r="P45" i="2"/>
  <c r="R45" i="2" s="1"/>
  <c r="S45" i="2" s="1"/>
  <c r="Q45" i="2"/>
  <c r="AC45" i="2"/>
  <c r="AF37" i="2"/>
  <c r="AH37" i="2" s="1"/>
  <c r="AI37" i="2" s="1"/>
  <c r="P37" i="2"/>
  <c r="R37" i="2" s="1"/>
  <c r="S37" i="2" s="1"/>
  <c r="Q37" i="2"/>
  <c r="AB37" i="2"/>
  <c r="AD37" i="2" s="1"/>
  <c r="AE37" i="2" s="1"/>
  <c r="T37" i="2"/>
  <c r="V37" i="2" s="1"/>
  <c r="W37" i="2" s="1"/>
  <c r="U37" i="2"/>
  <c r="AG37" i="2"/>
  <c r="AC37" i="2"/>
  <c r="T29" i="2"/>
  <c r="V29" i="2" s="1"/>
  <c r="W29" i="2" s="1"/>
  <c r="AF29" i="2"/>
  <c r="AH29" i="2" s="1"/>
  <c r="AI29" i="2" s="1"/>
  <c r="U29" i="2"/>
  <c r="P29" i="2"/>
  <c r="R29" i="2" s="1"/>
  <c r="S29" i="2" s="1"/>
  <c r="Q29" i="2"/>
  <c r="AC29" i="2"/>
  <c r="AG29" i="2"/>
  <c r="AB29" i="2"/>
  <c r="AD29" i="2" s="1"/>
  <c r="AE29" i="2" s="1"/>
  <c r="AB21" i="2"/>
  <c r="AD21" i="2" s="1"/>
  <c r="AE21" i="2" s="1"/>
  <c r="AC21" i="2"/>
  <c r="P21" i="2"/>
  <c r="R21" i="2" s="1"/>
  <c r="S21" i="2" s="1"/>
  <c r="Q21" i="2"/>
  <c r="T21" i="2"/>
  <c r="V21" i="2" s="1"/>
  <c r="W21" i="2" s="1"/>
  <c r="U21" i="2"/>
  <c r="AG21" i="2"/>
  <c r="AF21" i="2"/>
  <c r="AH21" i="2" s="1"/>
  <c r="AI21" i="2" s="1"/>
  <c r="AC13" i="2"/>
  <c r="Q13" i="2"/>
  <c r="T13" i="2"/>
  <c r="V13" i="2" s="1"/>
  <c r="AF13" i="2"/>
  <c r="AH13" i="2" s="1"/>
  <c r="U13" i="2"/>
  <c r="AG13" i="2"/>
  <c r="AB13" i="2"/>
  <c r="AD13" i="2" s="1"/>
  <c r="AE13" i="2" s="1"/>
  <c r="P13" i="2"/>
  <c r="R13" i="2" s="1"/>
  <c r="P52" i="2"/>
  <c r="R52" i="2" s="1"/>
  <c r="S52" i="2" s="1"/>
  <c r="T52" i="2"/>
  <c r="V52" i="2" s="1"/>
  <c r="W52" i="2" s="1"/>
  <c r="U52" i="2"/>
  <c r="AF52" i="2"/>
  <c r="AH52" i="2" s="1"/>
  <c r="AI52" i="2" s="1"/>
  <c r="AG52" i="2"/>
  <c r="AB52" i="2"/>
  <c r="AD52" i="2" s="1"/>
  <c r="AE52" i="2" s="1"/>
  <c r="AC52" i="2"/>
  <c r="Q52" i="2"/>
  <c r="AB44" i="2"/>
  <c r="AD44" i="2" s="1"/>
  <c r="AE44" i="2" s="1"/>
  <c r="P44" i="2"/>
  <c r="R44" i="2" s="1"/>
  <c r="S44" i="2" s="1"/>
  <c r="AG44" i="2"/>
  <c r="AC44" i="2"/>
  <c r="Q44" i="2"/>
  <c r="AF44" i="2"/>
  <c r="AH44" i="2" s="1"/>
  <c r="AI44" i="2" s="1"/>
  <c r="T44" i="2"/>
  <c r="V44" i="2" s="1"/>
  <c r="W44" i="2" s="1"/>
  <c r="U44" i="2"/>
  <c r="AB36" i="2"/>
  <c r="AD36" i="2" s="1"/>
  <c r="AE36" i="2" s="1"/>
  <c r="AC36" i="2"/>
  <c r="T36" i="2"/>
  <c r="V36" i="2" s="1"/>
  <c r="W36" i="2" s="1"/>
  <c r="U36" i="2"/>
  <c r="AF36" i="2"/>
  <c r="AH36" i="2" s="1"/>
  <c r="AI36" i="2" s="1"/>
  <c r="P36" i="2"/>
  <c r="R36" i="2" s="1"/>
  <c r="S36" i="2" s="1"/>
  <c r="Q36" i="2"/>
  <c r="AG36" i="2"/>
  <c r="AF28" i="2"/>
  <c r="AH28" i="2" s="1"/>
  <c r="AI28" i="2" s="1"/>
  <c r="Q28" i="2"/>
  <c r="AG28" i="2"/>
  <c r="T28" i="2"/>
  <c r="V28" i="2" s="1"/>
  <c r="W28" i="2" s="1"/>
  <c r="AB28" i="2"/>
  <c r="AD28" i="2" s="1"/>
  <c r="AE28" i="2" s="1"/>
  <c r="P28" i="2"/>
  <c r="R28" i="2" s="1"/>
  <c r="S28" i="2" s="1"/>
  <c r="AC28" i="2"/>
  <c r="U28" i="2"/>
  <c r="T20" i="2"/>
  <c r="V20" i="2" s="1"/>
  <c r="W20" i="2" s="1"/>
  <c r="AF20" i="2"/>
  <c r="AH20" i="2" s="1"/>
  <c r="AI20" i="2" s="1"/>
  <c r="P20" i="2"/>
  <c r="R20" i="2" s="1"/>
  <c r="S20" i="2" s="1"/>
  <c r="U20" i="2"/>
  <c r="Q20" i="2"/>
  <c r="AG20" i="2"/>
  <c r="AB20" i="2"/>
  <c r="AD20" i="2" s="1"/>
  <c r="AE20" i="2" s="1"/>
  <c r="AC20" i="2"/>
  <c r="T12" i="2"/>
  <c r="V12" i="2" s="1"/>
  <c r="P12" i="2"/>
  <c r="R12" i="2" s="1"/>
  <c r="AB12" i="2"/>
  <c r="AD12" i="2" s="1"/>
  <c r="AE12" i="2" s="1"/>
  <c r="Q12" i="2"/>
  <c r="AC12" i="2"/>
  <c r="AF12" i="2"/>
  <c r="AH12" i="2" s="1"/>
  <c r="U12" i="2"/>
  <c r="AG12" i="2"/>
  <c r="U51" i="2"/>
  <c r="P51" i="2"/>
  <c r="R51" i="2" s="1"/>
  <c r="S51" i="2" s="1"/>
  <c r="T51" i="2"/>
  <c r="V51" i="2" s="1"/>
  <c r="W51" i="2" s="1"/>
  <c r="AF51" i="2"/>
  <c r="AH51" i="2" s="1"/>
  <c r="AI51" i="2" s="1"/>
  <c r="AG51" i="2"/>
  <c r="AB51" i="2"/>
  <c r="AD51" i="2" s="1"/>
  <c r="AE51" i="2" s="1"/>
  <c r="Q51" i="2"/>
  <c r="AC51" i="2"/>
  <c r="P43" i="2"/>
  <c r="R43" i="2" s="1"/>
  <c r="S43" i="2" s="1"/>
  <c r="AC43" i="2"/>
  <c r="Q43" i="2"/>
  <c r="AB43" i="2"/>
  <c r="AD43" i="2" s="1"/>
  <c r="AE43" i="2" s="1"/>
  <c r="U43" i="2"/>
  <c r="T43" i="2"/>
  <c r="V43" i="2" s="1"/>
  <c r="W43" i="2" s="1"/>
  <c r="AG43" i="2"/>
  <c r="AF43" i="2"/>
  <c r="AH43" i="2" s="1"/>
  <c r="AI43" i="2" s="1"/>
  <c r="T35" i="2"/>
  <c r="V35" i="2" s="1"/>
  <c r="W35" i="2" s="1"/>
  <c r="AF35" i="2"/>
  <c r="AH35" i="2" s="1"/>
  <c r="AI35" i="2" s="1"/>
  <c r="U35" i="2"/>
  <c r="AG35" i="2"/>
  <c r="Q35" i="2"/>
  <c r="AC35" i="2"/>
  <c r="AB35" i="2"/>
  <c r="AD35" i="2" s="1"/>
  <c r="AE35" i="2" s="1"/>
  <c r="P35" i="2"/>
  <c r="R35" i="2" s="1"/>
  <c r="S35" i="2" s="1"/>
  <c r="AG27" i="2"/>
  <c r="Q27" i="2"/>
  <c r="AC27" i="2"/>
  <c r="T27" i="2"/>
  <c r="V27" i="2" s="1"/>
  <c r="W27" i="2" s="1"/>
  <c r="AF27" i="2"/>
  <c r="AH27" i="2" s="1"/>
  <c r="AI27" i="2" s="1"/>
  <c r="P27" i="2"/>
  <c r="R27" i="2" s="1"/>
  <c r="S27" i="2" s="1"/>
  <c r="AB27" i="2"/>
  <c r="AD27" i="2" s="1"/>
  <c r="AE27" i="2" s="1"/>
  <c r="U27" i="2"/>
  <c r="AF19" i="2"/>
  <c r="AH19" i="2" s="1"/>
  <c r="AI19" i="2" s="1"/>
  <c r="T19" i="2"/>
  <c r="V19" i="2" s="1"/>
  <c r="W19" i="2" s="1"/>
  <c r="AG19" i="2"/>
  <c r="U19" i="2"/>
  <c r="P19" i="2"/>
  <c r="R19" i="2" s="1"/>
  <c r="S19" i="2" s="1"/>
  <c r="AB19" i="2"/>
  <c r="AD19" i="2" s="1"/>
  <c r="AE19" i="2" s="1"/>
  <c r="Q19" i="2"/>
  <c r="AC19" i="2"/>
  <c r="U11" i="2"/>
  <c r="AG11" i="2"/>
  <c r="P11" i="2"/>
  <c r="R11" i="2" s="1"/>
  <c r="AB11" i="2"/>
  <c r="AD11" i="2" s="1"/>
  <c r="AE11" i="2" s="1"/>
  <c r="Q11" i="2"/>
  <c r="AC11" i="2"/>
  <c r="T11" i="2"/>
  <c r="V11" i="2" s="1"/>
  <c r="AF11" i="2"/>
  <c r="AH11" i="2" s="1"/>
  <c r="O6" i="2"/>
  <c r="Z15" i="2" l="1"/>
  <c r="AA15" i="2" s="1"/>
  <c r="AM15" i="2"/>
  <c r="AM17" i="2"/>
  <c r="W12" i="2"/>
  <c r="AM7" i="2"/>
  <c r="Z8" i="2"/>
  <c r="AA8" i="2" s="1"/>
  <c r="W16" i="2"/>
  <c r="S12" i="2"/>
  <c r="Z9" i="2"/>
  <c r="AA9" i="2" s="1"/>
  <c r="AM8" i="2"/>
  <c r="AM14" i="2"/>
  <c r="AM18" i="2"/>
  <c r="W8" i="2"/>
  <c r="AM13" i="2"/>
  <c r="AM10" i="2"/>
  <c r="Z11" i="2"/>
  <c r="AA11" i="2" s="1"/>
  <c r="Z13" i="2"/>
  <c r="AA13" i="2" s="1"/>
  <c r="Y6" i="2"/>
  <c r="X6" i="2"/>
  <c r="AK6" i="2"/>
  <c r="AJ6" i="2"/>
  <c r="AI12" i="2"/>
  <c r="AI15" i="2"/>
  <c r="AI9" i="2"/>
  <c r="Z14" i="2"/>
  <c r="AA14" i="2" s="1"/>
  <c r="AM9" i="2"/>
  <c r="AM11" i="2"/>
  <c r="AM12" i="2"/>
  <c r="Z16" i="2"/>
  <c r="AA16" i="2" s="1"/>
  <c r="Z12" i="2"/>
  <c r="AA12" i="2" s="1"/>
  <c r="AE7" i="2"/>
  <c r="AH8" i="2"/>
  <c r="AI8" i="2" s="1"/>
  <c r="Z7" i="2"/>
  <c r="AA7" i="2" s="1"/>
  <c r="AM16" i="2"/>
  <c r="Z17" i="2"/>
  <c r="AA17" i="2" s="1"/>
  <c r="Z10" i="2"/>
  <c r="AA10" i="2" s="1"/>
  <c r="AH7" i="2"/>
  <c r="AI7" i="2" s="1"/>
  <c r="W7" i="2"/>
  <c r="S14" i="2"/>
  <c r="W15" i="2"/>
  <c r="S7" i="2"/>
  <c r="S8" i="2"/>
  <c r="S9" i="2"/>
  <c r="S10" i="2"/>
  <c r="W14" i="2"/>
  <c r="W11" i="2"/>
  <c r="AI13" i="2"/>
  <c r="S13" i="2"/>
  <c r="AI14" i="2"/>
  <c r="AE8" i="2"/>
  <c r="AI16" i="2"/>
  <c r="S11" i="2"/>
  <c r="AI11" i="2"/>
  <c r="W10" i="2"/>
  <c r="AI10" i="2"/>
  <c r="U6" i="2"/>
  <c r="AC6" i="2"/>
  <c r="Q6" i="2"/>
  <c r="AB6" i="2"/>
  <c r="P6" i="2"/>
  <c r="R6" i="2" s="1"/>
  <c r="T6" i="2"/>
  <c r="W9" i="2"/>
  <c r="W13" i="2"/>
  <c r="AF6" i="2"/>
  <c r="AH6" i="2" s="1"/>
  <c r="AG6" i="2"/>
  <c r="AL6" i="2" l="1"/>
  <c r="AM6" i="2" s="1"/>
  <c r="Z6" i="2"/>
  <c r="AA6" i="2" s="1"/>
  <c r="AD6" i="2"/>
  <c r="AE6" i="2" s="1"/>
  <c r="V6" i="2"/>
  <c r="W6" i="2" s="1"/>
  <c r="S6" i="2"/>
  <c r="AI6" i="2"/>
  <c r="B25" i="2" l="1"/>
  <c r="D134" i="6" l="1"/>
  <c r="F134" i="6" s="1"/>
  <c r="D136" i="6"/>
  <c r="D226" i="6"/>
  <c r="G226" i="6" s="1"/>
  <c r="D135" i="6"/>
  <c r="D182" i="6"/>
  <c r="G182" i="6" s="1"/>
  <c r="D202" i="6"/>
  <c r="G202" i="6" s="1"/>
  <c r="D174" i="6"/>
  <c r="G174" i="6" s="1"/>
  <c r="D218" i="6"/>
  <c r="G218" i="6" s="1"/>
  <c r="D215" i="6"/>
  <c r="G215" i="6" s="1"/>
  <c r="D193" i="6"/>
  <c r="D199" i="6"/>
  <c r="G199" i="6" s="1"/>
  <c r="D169" i="6"/>
  <c r="G169" i="6" s="1"/>
  <c r="D114" i="6"/>
  <c r="D102" i="6"/>
  <c r="D106" i="6"/>
  <c r="D94" i="6"/>
  <c r="D98" i="6"/>
  <c r="D90" i="6"/>
  <c r="D103" i="6"/>
  <c r="D185" i="6"/>
  <c r="G185" i="6" s="1"/>
  <c r="D192" i="6"/>
  <c r="G192" i="6" s="1"/>
  <c r="D105" i="6"/>
  <c r="D92" i="6"/>
  <c r="B185" i="2"/>
  <c r="D187" i="6"/>
  <c r="D206" i="6"/>
  <c r="G206" i="6" s="1"/>
  <c r="D208" i="6"/>
  <c r="D184" i="6"/>
  <c r="G184" i="6" s="1"/>
  <c r="D221" i="6"/>
  <c r="G221" i="6" s="1"/>
  <c r="D170" i="6"/>
  <c r="G170" i="6" s="1"/>
  <c r="D219" i="6"/>
  <c r="D194" i="6"/>
  <c r="D220" i="6"/>
  <c r="G220" i="6" s="1"/>
  <c r="D207" i="6"/>
  <c r="G207" i="6" s="1"/>
  <c r="D177" i="6"/>
  <c r="G177" i="6" s="1"/>
  <c r="D189" i="6"/>
  <c r="G189" i="6" s="1"/>
  <c r="D173" i="6"/>
  <c r="G173" i="6" s="1"/>
  <c r="D129" i="6"/>
  <c r="D117" i="6"/>
  <c r="D120" i="6"/>
  <c r="D116" i="6"/>
  <c r="D113" i="6"/>
  <c r="D131" i="6"/>
  <c r="D118" i="6"/>
  <c r="D224" i="6"/>
  <c r="G224" i="6" s="1"/>
  <c r="D209" i="6"/>
  <c r="G209" i="6" s="1"/>
  <c r="D104" i="6"/>
  <c r="D133" i="6"/>
  <c r="D216" i="6"/>
  <c r="G216" i="6" s="1"/>
  <c r="D186" i="6"/>
  <c r="G186" i="6" s="1"/>
  <c r="D203" i="6"/>
  <c r="G203" i="6" s="1"/>
  <c r="D211" i="6"/>
  <c r="G211" i="6" s="1"/>
  <c r="D204" i="6"/>
  <c r="G204" i="6" s="1"/>
  <c r="D176" i="6"/>
  <c r="G176" i="6" s="1"/>
  <c r="D223" i="6"/>
  <c r="G223" i="6" s="1"/>
  <c r="D132" i="6"/>
  <c r="D85" i="6"/>
  <c r="D88" i="6"/>
  <c r="D84" i="6"/>
  <c r="D124" i="6"/>
  <c r="D128" i="6"/>
  <c r="D86" i="6"/>
  <c r="B37" i="2"/>
  <c r="B36" i="1" s="1"/>
  <c r="D222" i="6"/>
  <c r="D188" i="6"/>
  <c r="D183" i="6"/>
  <c r="B161" i="2"/>
  <c r="B162" i="2" s="1"/>
  <c r="D100" i="6"/>
  <c r="D99" i="6"/>
  <c r="D122" i="6"/>
  <c r="D178" i="6"/>
  <c r="G178" i="6" s="1"/>
  <c r="D217" i="6"/>
  <c r="G217" i="6" s="1"/>
  <c r="D175" i="6"/>
  <c r="G175" i="6" s="1"/>
  <c r="D171" i="6"/>
  <c r="D190" i="6"/>
  <c r="D179" i="6"/>
  <c r="G179" i="6" s="1"/>
  <c r="D200" i="6"/>
  <c r="D213" i="6"/>
  <c r="D191" i="6"/>
  <c r="D181" i="6"/>
  <c r="G181" i="6" s="1"/>
  <c r="D201" i="6"/>
  <c r="D119" i="6"/>
  <c r="D91" i="6"/>
  <c r="D79" i="6"/>
  <c r="D125" i="6"/>
  <c r="D109" i="6"/>
  <c r="D123" i="6"/>
  <c r="D127" i="6"/>
  <c r="D214" i="6"/>
  <c r="G214" i="6" s="1"/>
  <c r="D210" i="6"/>
  <c r="G210" i="6" s="1"/>
  <c r="D198" i="6"/>
  <c r="G198" i="6" s="1"/>
  <c r="D197" i="6"/>
  <c r="G197" i="6" s="1"/>
  <c r="D87" i="6"/>
  <c r="D121" i="6"/>
  <c r="D126" i="6"/>
  <c r="D93" i="6"/>
  <c r="D89" i="6"/>
  <c r="D96" i="6"/>
  <c r="D97" i="6"/>
  <c r="D108" i="6"/>
  <c r="D112" i="6"/>
  <c r="D82" i="6"/>
  <c r="D195" i="6"/>
  <c r="D95" i="6"/>
  <c r="D107" i="6"/>
  <c r="D180" i="6"/>
  <c r="D172" i="6"/>
  <c r="G172" i="6" s="1"/>
  <c r="D212" i="6"/>
  <c r="G212" i="6" s="1"/>
  <c r="D80" i="6"/>
  <c r="D81" i="6"/>
  <c r="D196" i="6"/>
  <c r="D205" i="6"/>
  <c r="G205" i="6" s="1"/>
  <c r="D115" i="6"/>
  <c r="D83" i="6"/>
  <c r="D111" i="6"/>
  <c r="D110" i="6"/>
  <c r="B186" i="2"/>
  <c r="B227" i="6" s="1"/>
  <c r="C227" i="6" s="1"/>
  <c r="D130" i="6"/>
  <c r="D101" i="6"/>
  <c r="B27" i="2"/>
  <c r="B27" i="1" s="1"/>
  <c r="B26" i="2"/>
  <c r="B65" i="2"/>
  <c r="AI90" i="2"/>
  <c r="AK90" i="2" s="1"/>
  <c r="AL90" i="2" s="1"/>
  <c r="AE109" i="2"/>
  <c r="AG109" i="2" s="1"/>
  <c r="AH109" i="2" s="1"/>
  <c r="AE105" i="2"/>
  <c r="AG105" i="2" s="1"/>
  <c r="AJ109" i="2"/>
  <c r="AE63" i="2"/>
  <c r="AG63" i="2" s="1"/>
  <c r="AH63" i="2" s="1"/>
  <c r="AE94" i="2"/>
  <c r="AG94" i="2" s="1"/>
  <c r="AH94" i="2" s="1"/>
  <c r="AF75" i="2"/>
  <c r="AI77" i="2"/>
  <c r="AK77" i="2" s="1"/>
  <c r="AL77" i="2" s="1"/>
  <c r="AF67" i="2"/>
  <c r="X102" i="2"/>
  <c r="Z102" i="2" s="1"/>
  <c r="AA102" i="2" s="1"/>
  <c r="AJ72" i="2"/>
  <c r="AI73" i="2"/>
  <c r="AK73" i="2" s="1"/>
  <c r="AL73" i="2" s="1"/>
  <c r="AE99" i="2"/>
  <c r="AG99" i="2" s="1"/>
  <c r="AH99" i="2" s="1"/>
  <c r="AJ103" i="2"/>
  <c r="Y79" i="2"/>
  <c r="U97" i="2"/>
  <c r="Y106" i="2"/>
  <c r="AI108" i="2"/>
  <c r="AK108" i="2" s="1"/>
  <c r="AL108" i="2" s="1"/>
  <c r="AE78" i="2"/>
  <c r="AG78" i="2" s="1"/>
  <c r="AH78" i="2" s="1"/>
  <c r="AI105" i="2"/>
  <c r="AK105" i="2" s="1"/>
  <c r="AL105" i="2" s="1"/>
  <c r="Q111" i="2"/>
  <c r="U87" i="2"/>
  <c r="P106" i="2"/>
  <c r="R106" i="2" s="1"/>
  <c r="S106" i="2" s="1"/>
  <c r="AF91" i="2"/>
  <c r="AI109" i="2"/>
  <c r="AK109" i="2" s="1"/>
  <c r="AE71" i="2"/>
  <c r="AG71" i="2" s="1"/>
  <c r="AH71" i="2" s="1"/>
  <c r="Q93" i="2"/>
  <c r="Y67" i="2"/>
  <c r="AJ62" i="2"/>
  <c r="AJ85" i="2"/>
  <c r="AE88" i="2"/>
  <c r="AG88" i="2" s="1"/>
  <c r="AE106" i="2"/>
  <c r="AG106" i="2" s="1"/>
  <c r="AH106" i="2" s="1"/>
  <c r="P76" i="2"/>
  <c r="R76" i="2" s="1"/>
  <c r="S76" i="2" s="1"/>
  <c r="P87" i="2"/>
  <c r="R87" i="2" s="1"/>
  <c r="S87" i="2" s="1"/>
  <c r="P63" i="2"/>
  <c r="R63" i="2" s="1"/>
  <c r="S63" i="2" s="1"/>
  <c r="T93" i="2"/>
  <c r="V93" i="2" s="1"/>
  <c r="W93" i="2" s="1"/>
  <c r="AJ81" i="2"/>
  <c r="AE70" i="2"/>
  <c r="X111" i="2"/>
  <c r="Z111" i="2" s="1"/>
  <c r="AA111" i="2" s="1"/>
  <c r="Y98" i="2"/>
  <c r="Q63" i="2"/>
  <c r="T82" i="2"/>
  <c r="V82" i="2" s="1"/>
  <c r="W82" i="2" s="1"/>
  <c r="AF82" i="2"/>
  <c r="AI97" i="2"/>
  <c r="AK97" i="2" s="1"/>
  <c r="AL97" i="2" s="1"/>
  <c r="AF73" i="2"/>
  <c r="AJ94" i="2"/>
  <c r="AJ106" i="2"/>
  <c r="AI96" i="2"/>
  <c r="AK96" i="2" s="1"/>
  <c r="AL96" i="2" s="1"/>
  <c r="AE111" i="2"/>
  <c r="AG111" i="2" s="1"/>
  <c r="AH111" i="2" s="1"/>
  <c r="AF111" i="2"/>
  <c r="AE96" i="2"/>
  <c r="AG96" i="2" s="1"/>
  <c r="U106" i="2"/>
  <c r="AF105" i="2"/>
  <c r="AE68" i="2"/>
  <c r="AG68" i="2" s="1"/>
  <c r="AH68" i="2" s="1"/>
  <c r="AE108" i="2"/>
  <c r="AG108" i="2" s="1"/>
  <c r="AH108" i="2" s="1"/>
  <c r="AI103" i="2"/>
  <c r="AK103" i="2" s="1"/>
  <c r="AL103" i="2" s="1"/>
  <c r="AF83" i="2"/>
  <c r="X76" i="2"/>
  <c r="Z76" i="2" s="1"/>
  <c r="AA76" i="2" s="1"/>
  <c r="Y62" i="2"/>
  <c r="AE101" i="2"/>
  <c r="AG101" i="2" s="1"/>
  <c r="AH101" i="2" s="1"/>
  <c r="P75" i="2"/>
  <c r="Q109" i="2"/>
  <c r="Q97" i="2"/>
  <c r="AE104" i="2"/>
  <c r="AG104" i="2" s="1"/>
  <c r="AH104" i="2" s="1"/>
  <c r="Q92" i="2"/>
  <c r="AJ96" i="2"/>
  <c r="AF71" i="2"/>
  <c r="AJ102" i="2"/>
  <c r="Q67" i="2"/>
  <c r="Y70" i="2"/>
  <c r="X81" i="2"/>
  <c r="Z81" i="2" s="1"/>
  <c r="AA81" i="2" s="1"/>
  <c r="AE69" i="2"/>
  <c r="AG69" i="2" s="1"/>
  <c r="AH69" i="2" s="1"/>
  <c r="AF107" i="2"/>
  <c r="Y63" i="2"/>
  <c r="Q65" i="2"/>
  <c r="AI74" i="2"/>
  <c r="AK74" i="2" s="1"/>
  <c r="AJ101" i="2"/>
  <c r="AJ107" i="2"/>
  <c r="AI81" i="2"/>
  <c r="AK81" i="2" s="1"/>
  <c r="AL81" i="2" s="1"/>
  <c r="AF99" i="2"/>
  <c r="X64" i="2"/>
  <c r="Z64" i="2" s="1"/>
  <c r="AA64" i="2" s="1"/>
  <c r="AE81" i="2"/>
  <c r="AG81" i="2" s="1"/>
  <c r="AE100" i="2"/>
  <c r="T71" i="2"/>
  <c r="V71" i="2" s="1"/>
  <c r="W71" i="2" s="1"/>
  <c r="Y99" i="2"/>
  <c r="P82" i="2"/>
  <c r="R82" i="2" s="1"/>
  <c r="S82" i="2" s="1"/>
  <c r="Q85" i="2"/>
  <c r="P65" i="2"/>
  <c r="R65" i="2" s="1"/>
  <c r="S65" i="2" s="1"/>
  <c r="Y88" i="2"/>
  <c r="Y91" i="2"/>
  <c r="T75" i="2"/>
  <c r="V75" i="2" s="1"/>
  <c r="W75" i="2" s="1"/>
  <c r="AI100" i="2"/>
  <c r="AK100" i="2" s="1"/>
  <c r="AL100" i="2" s="1"/>
  <c r="P100" i="2"/>
  <c r="R100" i="2" s="1"/>
  <c r="S100" i="2" s="1"/>
  <c r="AI76" i="2"/>
  <c r="AK76" i="2" s="1"/>
  <c r="AL76" i="2" s="1"/>
  <c r="AI65" i="2"/>
  <c r="AK65" i="2" s="1"/>
  <c r="AL65" i="2" s="1"/>
  <c r="X90" i="2"/>
  <c r="Z90" i="2" s="1"/>
  <c r="AA90" i="2" s="1"/>
  <c r="T106" i="2"/>
  <c r="V106" i="2" s="1"/>
  <c r="W106" i="2" s="1"/>
  <c r="Q80" i="2"/>
  <c r="AI80" i="2"/>
  <c r="AK80" i="2" s="1"/>
  <c r="AL80" i="2" s="1"/>
  <c r="X92" i="2"/>
  <c r="Z92" i="2" s="1"/>
  <c r="AA92" i="2" s="1"/>
  <c r="Y111" i="2"/>
  <c r="P94" i="2"/>
  <c r="R94" i="2" s="1"/>
  <c r="S94" i="2" s="1"/>
  <c r="Q83" i="2"/>
  <c r="AF110" i="2"/>
  <c r="AE87" i="2"/>
  <c r="AG87" i="2" s="1"/>
  <c r="AH87" i="2" s="1"/>
  <c r="AI94" i="2"/>
  <c r="AK94" i="2" s="1"/>
  <c r="AJ88" i="2"/>
  <c r="AI79" i="2"/>
  <c r="AK79" i="2" s="1"/>
  <c r="AL79" i="2" s="1"/>
  <c r="P64" i="2"/>
  <c r="R64" i="2" s="1"/>
  <c r="S64" i="2" s="1"/>
  <c r="AJ95" i="2"/>
  <c r="AF66" i="2"/>
  <c r="AE85" i="2"/>
  <c r="AG85" i="2" s="1"/>
  <c r="AH85" i="2" s="1"/>
  <c r="AE82" i="2"/>
  <c r="AG82" i="2" s="1"/>
  <c r="X91" i="2"/>
  <c r="Z91" i="2" s="1"/>
  <c r="AA91" i="2" s="1"/>
  <c r="X77" i="2"/>
  <c r="Z77" i="2" s="1"/>
  <c r="AA77" i="2" s="1"/>
  <c r="U79" i="2"/>
  <c r="U75" i="2"/>
  <c r="P103" i="2"/>
  <c r="R103" i="2" s="1"/>
  <c r="S103" i="2" s="1"/>
  <c r="X68" i="2"/>
  <c r="Z68" i="2" s="1"/>
  <c r="AA68" i="2" s="1"/>
  <c r="AF86" i="2"/>
  <c r="P102" i="2"/>
  <c r="R102" i="2" s="1"/>
  <c r="S102" i="2" s="1"/>
  <c r="T68" i="2"/>
  <c r="V68" i="2" s="1"/>
  <c r="W68" i="2" s="1"/>
  <c r="Y83" i="2"/>
  <c r="AI83" i="2"/>
  <c r="AK83" i="2" s="1"/>
  <c r="AL83" i="2" s="1"/>
  <c r="AI69" i="2"/>
  <c r="AK69" i="2" s="1"/>
  <c r="AL69" i="2" s="1"/>
  <c r="AF61" i="2"/>
  <c r="AE83" i="2"/>
  <c r="AG83" i="2" s="1"/>
  <c r="AH83" i="2" s="1"/>
  <c r="Q72" i="2"/>
  <c r="AF108" i="2"/>
  <c r="X78" i="2"/>
  <c r="Z78" i="2" s="1"/>
  <c r="AA78" i="2" s="1"/>
  <c r="P83" i="2"/>
  <c r="R83" i="2" s="1"/>
  <c r="S83" i="2" s="1"/>
  <c r="X98" i="2"/>
  <c r="Z98" i="2" s="1"/>
  <c r="AA98" i="2" s="1"/>
  <c r="T86" i="2"/>
  <c r="V86" i="2" s="1"/>
  <c r="W86" i="2" s="1"/>
  <c r="AE67" i="2"/>
  <c r="AG67" i="2" s="1"/>
  <c r="AH67" i="2" s="1"/>
  <c r="T78" i="2"/>
  <c r="V78" i="2" s="1"/>
  <c r="W78" i="2" s="1"/>
  <c r="Q100" i="2"/>
  <c r="Y84" i="2"/>
  <c r="Y82" i="2"/>
  <c r="AE80" i="2"/>
  <c r="AG80" i="2" s="1"/>
  <c r="AH80" i="2" s="1"/>
  <c r="AE79" i="2"/>
  <c r="AG79" i="2" s="1"/>
  <c r="AH79" i="2" s="1"/>
  <c r="AF96" i="2"/>
  <c r="AI93" i="2"/>
  <c r="AK93" i="2" s="1"/>
  <c r="AL93" i="2" s="1"/>
  <c r="X95" i="2"/>
  <c r="AF101" i="2"/>
  <c r="AF94" i="2"/>
  <c r="P89" i="2"/>
  <c r="R89" i="2" s="1"/>
  <c r="S89" i="2" s="1"/>
  <c r="Y77" i="2"/>
  <c r="P67" i="2"/>
  <c r="R67" i="2" s="1"/>
  <c r="S67" i="2" s="1"/>
  <c r="P105" i="2"/>
  <c r="R105" i="2" s="1"/>
  <c r="S105" i="2" s="1"/>
  <c r="AJ70" i="2"/>
  <c r="AF88" i="2"/>
  <c r="X100" i="2"/>
  <c r="Z100" i="2" s="1"/>
  <c r="AA100" i="2" s="1"/>
  <c r="AJ74" i="2"/>
  <c r="X99" i="2"/>
  <c r="Z99" i="2" s="1"/>
  <c r="AA99" i="2" s="1"/>
  <c r="AJ83" i="2"/>
  <c r="AI106" i="2"/>
  <c r="AK106" i="2" s="1"/>
  <c r="AL106" i="2" s="1"/>
  <c r="U74" i="2"/>
  <c r="U103" i="2"/>
  <c r="U101" i="2"/>
  <c r="P95" i="2"/>
  <c r="R95" i="2" s="1"/>
  <c r="S95" i="2" s="1"/>
  <c r="P96" i="2"/>
  <c r="R96" i="2" s="1"/>
  <c r="S96" i="2" s="1"/>
  <c r="Q75" i="2"/>
  <c r="AJ61" i="2"/>
  <c r="Y94" i="2"/>
  <c r="Q87" i="2"/>
  <c r="AJ73" i="2"/>
  <c r="AJ97" i="2"/>
  <c r="Y100" i="2"/>
  <c r="T95" i="2"/>
  <c r="V95" i="2" s="1"/>
  <c r="AJ89" i="2"/>
  <c r="U110" i="2"/>
  <c r="X85" i="2"/>
  <c r="Z85" i="2" s="1"/>
  <c r="AA85" i="2" s="1"/>
  <c r="P72" i="2"/>
  <c r="R72" i="2" s="1"/>
  <c r="S72" i="2" s="1"/>
  <c r="AE72" i="2"/>
  <c r="AI70" i="2"/>
  <c r="AK70" i="2" s="1"/>
  <c r="AL70" i="2" s="1"/>
  <c r="AJ99" i="2"/>
  <c r="AF85" i="2"/>
  <c r="T63" i="2"/>
  <c r="V63" i="2" s="1"/>
  <c r="W63" i="2" s="1"/>
  <c r="AF95" i="2"/>
  <c r="Y102" i="2"/>
  <c r="P97" i="2"/>
  <c r="R97" i="2" s="1"/>
  <c r="S97" i="2" s="1"/>
  <c r="Q86" i="2"/>
  <c r="U62" i="2"/>
  <c r="AJ78" i="2"/>
  <c r="U67" i="2"/>
  <c r="AI82" i="2"/>
  <c r="AK82" i="2" s="1"/>
  <c r="AL82" i="2" s="1"/>
  <c r="AJ86" i="2"/>
  <c r="AJ105" i="2"/>
  <c r="AJ84" i="2"/>
  <c r="X94" i="2"/>
  <c r="Z94" i="2" s="1"/>
  <c r="AA94" i="2" s="1"/>
  <c r="X96" i="2"/>
  <c r="Z96" i="2" s="1"/>
  <c r="AA96" i="2" s="1"/>
  <c r="Q99" i="2"/>
  <c r="X82" i="2"/>
  <c r="Z82" i="2" s="1"/>
  <c r="AA82" i="2" s="1"/>
  <c r="T99" i="2"/>
  <c r="V99" i="2" s="1"/>
  <c r="W99" i="2" s="1"/>
  <c r="AF93" i="2"/>
  <c r="AI102" i="2"/>
  <c r="AK102" i="2" s="1"/>
  <c r="AL102" i="2" s="1"/>
  <c r="T73" i="2"/>
  <c r="V73" i="2" s="1"/>
  <c r="W73" i="2" s="1"/>
  <c r="T66" i="2"/>
  <c r="V66" i="2" s="1"/>
  <c r="W66" i="2" s="1"/>
  <c r="AI67" i="2"/>
  <c r="AK67" i="2" s="1"/>
  <c r="AL67" i="2" s="1"/>
  <c r="X72" i="2"/>
  <c r="Q61" i="2"/>
  <c r="Y76" i="2"/>
  <c r="U108" i="2"/>
  <c r="X86" i="2"/>
  <c r="Z86" i="2" s="1"/>
  <c r="AA86" i="2" s="1"/>
  <c r="AI104" i="2"/>
  <c r="AE65" i="2"/>
  <c r="AG65" i="2" s="1"/>
  <c r="AH65" i="2" s="1"/>
  <c r="AJ63" i="2"/>
  <c r="Q102" i="2"/>
  <c r="X80" i="2"/>
  <c r="Z80" i="2" s="1"/>
  <c r="AA80" i="2" s="1"/>
  <c r="Y71" i="2"/>
  <c r="AE76" i="2"/>
  <c r="AG76" i="2" s="1"/>
  <c r="AH76" i="2" s="1"/>
  <c r="AJ80" i="2"/>
  <c r="AF106" i="2"/>
  <c r="AJ82" i="2"/>
  <c r="T72" i="2"/>
  <c r="V72" i="2" s="1"/>
  <c r="W72" i="2" s="1"/>
  <c r="AI107" i="2"/>
  <c r="AK107" i="2" s="1"/>
  <c r="AL107" i="2" s="1"/>
  <c r="AJ108" i="2"/>
  <c r="P85" i="2"/>
  <c r="R85" i="2" s="1"/>
  <c r="S85" i="2" s="1"/>
  <c r="Y64" i="2"/>
  <c r="AJ79" i="2"/>
  <c r="T62" i="2"/>
  <c r="V62" i="2" s="1"/>
  <c r="W62" i="2" s="1"/>
  <c r="U93" i="2"/>
  <c r="AF65" i="2"/>
  <c r="U99" i="2"/>
  <c r="Y90" i="2"/>
  <c r="T67" i="2"/>
  <c r="V67" i="2" s="1"/>
  <c r="W67" i="2" s="1"/>
  <c r="U96" i="2"/>
  <c r="Q106" i="2"/>
  <c r="U76" i="2"/>
  <c r="AE75" i="2"/>
  <c r="AG75" i="2" s="1"/>
  <c r="AH75" i="2" s="1"/>
  <c r="P92" i="2"/>
  <c r="R92" i="2" s="1"/>
  <c r="S92" i="2" s="1"/>
  <c r="T102" i="2"/>
  <c r="V102" i="2" s="1"/>
  <c r="W102" i="2" s="1"/>
  <c r="AI78" i="2"/>
  <c r="AK78" i="2" s="1"/>
  <c r="AL78" i="2" s="1"/>
  <c r="U70" i="2"/>
  <c r="AI62" i="2"/>
  <c r="AK62" i="2" s="1"/>
  <c r="AL62" i="2" s="1"/>
  <c r="AI84" i="2"/>
  <c r="AK84" i="2" s="1"/>
  <c r="AL84" i="2" s="1"/>
  <c r="AJ71" i="2"/>
  <c r="X110" i="2"/>
  <c r="Z110" i="2" s="1"/>
  <c r="AA110" i="2" s="1"/>
  <c r="Q78" i="2"/>
  <c r="X69" i="2"/>
  <c r="Z69" i="2" s="1"/>
  <c r="AA69" i="2" s="1"/>
  <c r="Q88" i="2"/>
  <c r="AJ64" i="2"/>
  <c r="U80" i="2"/>
  <c r="T84" i="2"/>
  <c r="V84" i="2" s="1"/>
  <c r="W84" i="2" s="1"/>
  <c r="AE103" i="2"/>
  <c r="AG103" i="2" s="1"/>
  <c r="AH103" i="2" s="1"/>
  <c r="AJ77" i="2"/>
  <c r="Y81" i="2"/>
  <c r="U90" i="2"/>
  <c r="U94" i="2"/>
  <c r="X105" i="2"/>
  <c r="Z105" i="2" s="1"/>
  <c r="AA105" i="2" s="1"/>
  <c r="T89" i="2"/>
  <c r="V89" i="2" s="1"/>
  <c r="W89" i="2" s="1"/>
  <c r="T111" i="2"/>
  <c r="V111" i="2" s="1"/>
  <c r="W111" i="2" s="1"/>
  <c r="AE97" i="2"/>
  <c r="AG97" i="2" s="1"/>
  <c r="AH97" i="2" s="1"/>
  <c r="Y110" i="2"/>
  <c r="U92" i="2"/>
  <c r="Q108" i="2"/>
  <c r="P98" i="2"/>
  <c r="R98" i="2" s="1"/>
  <c r="S98" i="2" s="1"/>
  <c r="U61" i="2"/>
  <c r="X62" i="2"/>
  <c r="T104" i="2"/>
  <c r="V104" i="2" s="1"/>
  <c r="W104" i="2" s="1"/>
  <c r="T88" i="2"/>
  <c r="V88" i="2" s="1"/>
  <c r="W88" i="2" s="1"/>
  <c r="P78" i="2"/>
  <c r="R78" i="2" s="1"/>
  <c r="S78" i="2" s="1"/>
  <c r="T109" i="2"/>
  <c r="V109" i="2" s="1"/>
  <c r="W109" i="2" s="1"/>
  <c r="X66" i="2"/>
  <c r="Z66" i="2" s="1"/>
  <c r="AA66" i="2" s="1"/>
  <c r="AF64" i="2"/>
  <c r="X109" i="2"/>
  <c r="Z109" i="2" s="1"/>
  <c r="AA109" i="2" s="1"/>
  <c r="Y101" i="2"/>
  <c r="Y97" i="2"/>
  <c r="U71" i="2"/>
  <c r="P90" i="2"/>
  <c r="R90" i="2" s="1"/>
  <c r="S90" i="2" s="1"/>
  <c r="P81" i="2"/>
  <c r="R81" i="2" s="1"/>
  <c r="S81" i="2" s="1"/>
  <c r="Y108" i="2"/>
  <c r="T94" i="2"/>
  <c r="V94" i="2" s="1"/>
  <c r="W94" i="2" s="1"/>
  <c r="P70" i="2"/>
  <c r="R70" i="2" s="1"/>
  <c r="S70" i="2" s="1"/>
  <c r="AE90" i="2"/>
  <c r="AG90" i="2" s="1"/>
  <c r="AH90" i="2" s="1"/>
  <c r="AI99" i="2"/>
  <c r="AK99" i="2" s="1"/>
  <c r="AL99" i="2" s="1"/>
  <c r="AE64" i="2"/>
  <c r="AG64" i="2" s="1"/>
  <c r="AH64" i="2" s="1"/>
  <c r="AF80" i="2"/>
  <c r="AI91" i="2"/>
  <c r="AK91" i="2" s="1"/>
  <c r="AL91" i="2" s="1"/>
  <c r="X65" i="2"/>
  <c r="Z65" i="2" s="1"/>
  <c r="AA65" i="2" s="1"/>
  <c r="AI75" i="2"/>
  <c r="AK75" i="2" s="1"/>
  <c r="AL75" i="2" s="1"/>
  <c r="Y61" i="2"/>
  <c r="AF70" i="2"/>
  <c r="P77" i="2"/>
  <c r="R77" i="2" s="1"/>
  <c r="S77" i="2" s="1"/>
  <c r="T91" i="2"/>
  <c r="V91" i="2" s="1"/>
  <c r="W91" i="2" s="1"/>
  <c r="AJ69" i="2"/>
  <c r="X61" i="2"/>
  <c r="Z61" i="2" s="1"/>
  <c r="AA61" i="2" s="1"/>
  <c r="U91" i="2"/>
  <c r="T97" i="2"/>
  <c r="V97" i="2" s="1"/>
  <c r="W97" i="2" s="1"/>
  <c r="X63" i="2"/>
  <c r="Z63" i="2" s="1"/>
  <c r="AA63" i="2" s="1"/>
  <c r="AE95" i="2"/>
  <c r="AG95" i="2" s="1"/>
  <c r="AH95" i="2" s="1"/>
  <c r="X103" i="2"/>
  <c r="Z103" i="2" s="1"/>
  <c r="AA103" i="2" s="1"/>
  <c r="T81" i="2"/>
  <c r="V81" i="2" s="1"/>
  <c r="W81" i="2" s="1"/>
  <c r="T107" i="2"/>
  <c r="V107" i="2" s="1"/>
  <c r="W107" i="2" s="1"/>
  <c r="AI85" i="2"/>
  <c r="AK85" i="2" s="1"/>
  <c r="AL85" i="2" s="1"/>
  <c r="Q101" i="2"/>
  <c r="Q107" i="2"/>
  <c r="Y78" i="2"/>
  <c r="U78" i="2"/>
  <c r="X83" i="2"/>
  <c r="Z83" i="2" s="1"/>
  <c r="AA83" i="2" s="1"/>
  <c r="Y103" i="2"/>
  <c r="AE89" i="2"/>
  <c r="AG89" i="2" s="1"/>
  <c r="AH89" i="2" s="1"/>
  <c r="P86" i="2"/>
  <c r="R86" i="2" s="1"/>
  <c r="S86" i="2" s="1"/>
  <c r="Y85" i="2"/>
  <c r="Q64" i="2"/>
  <c r="AJ87" i="2"/>
  <c r="AI87" i="2"/>
  <c r="AK87" i="2" s="1"/>
  <c r="AL87" i="2" s="1"/>
  <c r="AE74" i="2"/>
  <c r="AG74" i="2" s="1"/>
  <c r="AH74" i="2" s="1"/>
  <c r="X88" i="2"/>
  <c r="Z88" i="2" s="1"/>
  <c r="AA88" i="2" s="1"/>
  <c r="AF72" i="2"/>
  <c r="AF90" i="2"/>
  <c r="AF79" i="2"/>
  <c r="AF100" i="2"/>
  <c r="AJ110" i="2"/>
  <c r="Q71" i="2"/>
  <c r="AE62" i="2"/>
  <c r="AG62" i="2" s="1"/>
  <c r="AH62" i="2" s="1"/>
  <c r="Y72" i="2"/>
  <c r="AE92" i="2"/>
  <c r="AG92" i="2" s="1"/>
  <c r="AH92" i="2" s="1"/>
  <c r="P101" i="2"/>
  <c r="R101" i="2" s="1"/>
  <c r="S101" i="2" s="1"/>
  <c r="X106" i="2"/>
  <c r="Z106" i="2" s="1"/>
  <c r="AA106" i="2" s="1"/>
  <c r="U66" i="2"/>
  <c r="Q90" i="2"/>
  <c r="AI64" i="2"/>
  <c r="AK64" i="2" s="1"/>
  <c r="AL64" i="2" s="1"/>
  <c r="Q68" i="2"/>
  <c r="T100" i="2"/>
  <c r="V100" i="2" s="1"/>
  <c r="W100" i="2" s="1"/>
  <c r="AF104" i="2"/>
  <c r="U88" i="2"/>
  <c r="T105" i="2"/>
  <c r="V105" i="2" s="1"/>
  <c r="W105" i="2" s="1"/>
  <c r="Y69" i="2"/>
  <c r="AI101" i="2"/>
  <c r="AK101" i="2" s="1"/>
  <c r="AL101" i="2" s="1"/>
  <c r="P88" i="2"/>
  <c r="R88" i="2" s="1"/>
  <c r="S88" i="2" s="1"/>
  <c r="X97" i="2"/>
  <c r="Z97" i="2" s="1"/>
  <c r="AA97" i="2" s="1"/>
  <c r="U63" i="2"/>
  <c r="Y96" i="2"/>
  <c r="U104" i="2"/>
  <c r="Q89" i="2"/>
  <c r="Y74" i="2"/>
  <c r="AI110" i="2"/>
  <c r="AK110" i="2" s="1"/>
  <c r="AL110" i="2" s="1"/>
  <c r="AE91" i="2"/>
  <c r="AG91" i="2" s="1"/>
  <c r="AH91" i="2" s="1"/>
  <c r="AJ68" i="2"/>
  <c r="U65" i="2"/>
  <c r="Q104" i="2"/>
  <c r="AF77" i="2"/>
  <c r="AI63" i="2"/>
  <c r="AK63" i="2" s="1"/>
  <c r="AL63" i="2" s="1"/>
  <c r="AF68" i="2"/>
  <c r="T69" i="2"/>
  <c r="V69" i="2" s="1"/>
  <c r="W69" i="2" s="1"/>
  <c r="U81" i="2"/>
  <c r="T96" i="2"/>
  <c r="V96" i="2" s="1"/>
  <c r="W96" i="2" s="1"/>
  <c r="Q62" i="2"/>
  <c r="T98" i="2"/>
  <c r="V98" i="2" s="1"/>
  <c r="W98" i="2" s="1"/>
  <c r="P71" i="2"/>
  <c r="R71" i="2" s="1"/>
  <c r="S71" i="2" s="1"/>
  <c r="U111" i="2"/>
  <c r="AE107" i="2"/>
  <c r="AG107" i="2" s="1"/>
  <c r="AH107" i="2" s="1"/>
  <c r="T103" i="2"/>
  <c r="V103" i="2" s="1"/>
  <c r="W103" i="2" s="1"/>
  <c r="P68" i="2"/>
  <c r="R68" i="2" s="1"/>
  <c r="S68" i="2" s="1"/>
  <c r="AI86" i="2"/>
  <c r="AK86" i="2" s="1"/>
  <c r="AL86" i="2" s="1"/>
  <c r="T76" i="2"/>
  <c r="V76" i="2" s="1"/>
  <c r="W76" i="2" s="1"/>
  <c r="X101" i="2"/>
  <c r="Z101" i="2" s="1"/>
  <c r="AA101" i="2" s="1"/>
  <c r="Y93" i="2"/>
  <c r="X75" i="2"/>
  <c r="Z75" i="2" s="1"/>
  <c r="AA75" i="2" s="1"/>
  <c r="AJ111" i="2"/>
  <c r="T80" i="2"/>
  <c r="V80" i="2" s="1"/>
  <c r="W80" i="2" s="1"/>
  <c r="U68" i="2"/>
  <c r="U84" i="2"/>
  <c r="AI71" i="2"/>
  <c r="AK71" i="2" s="1"/>
  <c r="AL71" i="2" s="1"/>
  <c r="AI66" i="2"/>
  <c r="AK66" i="2" s="1"/>
  <c r="AL66" i="2" s="1"/>
  <c r="AF97" i="2"/>
  <c r="X79" i="2"/>
  <c r="Z79" i="2" s="1"/>
  <c r="AA79" i="2" s="1"/>
  <c r="AE66" i="2"/>
  <c r="AG66" i="2" s="1"/>
  <c r="AH66" i="2" s="1"/>
  <c r="X108" i="2"/>
  <c r="Z108" i="2" s="1"/>
  <c r="Y66" i="2"/>
  <c r="AI95" i="2"/>
  <c r="AK95" i="2" s="1"/>
  <c r="AL95" i="2" s="1"/>
  <c r="T79" i="2"/>
  <c r="V79" i="2" s="1"/>
  <c r="W79" i="2" s="1"/>
  <c r="AE86" i="2"/>
  <c r="AG86" i="2" s="1"/>
  <c r="AH86" i="2" s="1"/>
  <c r="AI98" i="2"/>
  <c r="AK98" i="2" s="1"/>
  <c r="AL98" i="2" s="1"/>
  <c r="P69" i="2"/>
  <c r="R69" i="2" s="1"/>
  <c r="S69" i="2" s="1"/>
  <c r="Q69" i="2"/>
  <c r="AF62" i="2"/>
  <c r="P66" i="2"/>
  <c r="R66" i="2" s="1"/>
  <c r="S66" i="2" s="1"/>
  <c r="U89" i="2"/>
  <c r="U109" i="2"/>
  <c r="X70" i="2"/>
  <c r="Z70" i="2" s="1"/>
  <c r="AA70" i="2" s="1"/>
  <c r="Q84" i="2"/>
  <c r="T77" i="2"/>
  <c r="V77" i="2" s="1"/>
  <c r="P111" i="2"/>
  <c r="R111" i="2" s="1"/>
  <c r="S111" i="2" s="1"/>
  <c r="AI61" i="2"/>
  <c r="AK61" i="2" s="1"/>
  <c r="AL61" i="2" s="1"/>
  <c r="AJ104" i="2"/>
  <c r="Y104" i="2"/>
  <c r="Q105" i="2"/>
  <c r="T108" i="2"/>
  <c r="V108" i="2" s="1"/>
  <c r="W108" i="2" s="1"/>
  <c r="Y65" i="2"/>
  <c r="Q70" i="2"/>
  <c r="AF102" i="2"/>
  <c r="Y105" i="2"/>
  <c r="AJ67" i="2"/>
  <c r="Q73" i="2"/>
  <c r="U95" i="2"/>
  <c r="AE98" i="2"/>
  <c r="AG98" i="2" s="1"/>
  <c r="AH98" i="2" s="1"/>
  <c r="U82" i="2"/>
  <c r="AJ75" i="2"/>
  <c r="AJ65" i="2"/>
  <c r="P62" i="2"/>
  <c r="R62" i="2" s="1"/>
  <c r="S62" i="2" s="1"/>
  <c r="AE102" i="2"/>
  <c r="AG102" i="2" s="1"/>
  <c r="AH102" i="2" s="1"/>
  <c r="P74" i="2"/>
  <c r="R74" i="2" s="1"/>
  <c r="S74" i="2" s="1"/>
  <c r="AI72" i="2"/>
  <c r="AK72" i="2" s="1"/>
  <c r="AL72" i="2" s="1"/>
  <c r="P110" i="2"/>
  <c r="R110" i="2" s="1"/>
  <c r="S110" i="2" s="1"/>
  <c r="Q96" i="2"/>
  <c r="Y95" i="2"/>
  <c r="X93" i="2"/>
  <c r="Z93" i="2" s="1"/>
  <c r="AA93" i="2" s="1"/>
  <c r="T110" i="2"/>
  <c r="V110" i="2" s="1"/>
  <c r="W110" i="2" s="1"/>
  <c r="T65" i="2"/>
  <c r="V65" i="2" s="1"/>
  <c r="W65" i="2" s="1"/>
  <c r="T90" i="2"/>
  <c r="V90" i="2" s="1"/>
  <c r="W90" i="2" s="1"/>
  <c r="Q98" i="2"/>
  <c r="AJ92" i="2"/>
  <c r="X71" i="2"/>
  <c r="Z71" i="2" s="1"/>
  <c r="AA71" i="2" s="1"/>
  <c r="P109" i="2"/>
  <c r="R109" i="2" s="1"/>
  <c r="S109" i="2" s="1"/>
  <c r="AF84" i="2"/>
  <c r="P79" i="2"/>
  <c r="R79" i="2" s="1"/>
  <c r="S79" i="2" s="1"/>
  <c r="AI89" i="2"/>
  <c r="AK89" i="2" s="1"/>
  <c r="AL89" i="2" s="1"/>
  <c r="P84" i="2"/>
  <c r="R84" i="2" s="1"/>
  <c r="S84" i="2" s="1"/>
  <c r="X107" i="2"/>
  <c r="Z107" i="2" s="1"/>
  <c r="AA107" i="2" s="1"/>
  <c r="U83" i="2"/>
  <c r="P93" i="2"/>
  <c r="R93" i="2" s="1"/>
  <c r="S93" i="2" s="1"/>
  <c r="P61" i="2"/>
  <c r="R61" i="2" s="1"/>
  <c r="S61" i="2" s="1"/>
  <c r="AJ98" i="2"/>
  <c r="U73" i="2"/>
  <c r="AF74" i="2"/>
  <c r="T83" i="2"/>
  <c r="V83" i="2" s="1"/>
  <c r="W83" i="2" s="1"/>
  <c r="AF98" i="2"/>
  <c r="P73" i="2"/>
  <c r="R73" i="2" s="1"/>
  <c r="S73" i="2" s="1"/>
  <c r="Y86" i="2"/>
  <c r="U64" i="2"/>
  <c r="AF63" i="2"/>
  <c r="Y80" i="2"/>
  <c r="T101" i="2"/>
  <c r="V101" i="2" s="1"/>
  <c r="W101" i="2" s="1"/>
  <c r="AJ90" i="2"/>
  <c r="U98" i="2"/>
  <c r="U69" i="2"/>
  <c r="AF81" i="2"/>
  <c r="T87" i="2"/>
  <c r="V87" i="2" s="1"/>
  <c r="W87" i="2" s="1"/>
  <c r="T85" i="2"/>
  <c r="V85" i="2" s="1"/>
  <c r="W85" i="2" s="1"/>
  <c r="AF76" i="2"/>
  <c r="Q81" i="2"/>
  <c r="U100" i="2"/>
  <c r="Y73" i="2"/>
  <c r="T64" i="2"/>
  <c r="V64" i="2" s="1"/>
  <c r="W64" i="2" s="1"/>
  <c r="Q103" i="2"/>
  <c r="X87" i="2"/>
  <c r="Z87" i="2" s="1"/>
  <c r="AA87" i="2" s="1"/>
  <c r="AF89" i="2"/>
  <c r="X84" i="2"/>
  <c r="Z84" i="2" s="1"/>
  <c r="AA84" i="2" s="1"/>
  <c r="U107" i="2"/>
  <c r="P91" i="2"/>
  <c r="R91" i="2" s="1"/>
  <c r="S91" i="2" s="1"/>
  <c r="P80" i="2"/>
  <c r="R80" i="2" s="1"/>
  <c r="AI68" i="2"/>
  <c r="AK68" i="2" s="1"/>
  <c r="AL68" i="2" s="1"/>
  <c r="AJ66" i="2"/>
  <c r="Y109" i="2"/>
  <c r="AE110" i="2"/>
  <c r="AG110" i="2" s="1"/>
  <c r="AH110" i="2" s="1"/>
  <c r="AF69" i="2"/>
  <c r="P107" i="2"/>
  <c r="AF103" i="2"/>
  <c r="AJ100" i="2"/>
  <c r="Q94" i="2"/>
  <c r="U77" i="2"/>
  <c r="AF87" i="2"/>
  <c r="Q110" i="2"/>
  <c r="U102" i="2"/>
  <c r="Q82" i="2"/>
  <c r="Q77" i="2"/>
  <c r="Y68" i="2"/>
  <c r="AE73" i="2"/>
  <c r="AG73" i="2" s="1"/>
  <c r="AH73" i="2" s="1"/>
  <c r="X73" i="2"/>
  <c r="Z73" i="2" s="1"/>
  <c r="AA73" i="2" s="1"/>
  <c r="T70" i="2"/>
  <c r="V70" i="2" s="1"/>
  <c r="W70" i="2" s="1"/>
  <c r="AE77" i="2"/>
  <c r="AG77" i="2" s="1"/>
  <c r="AH77" i="2" s="1"/>
  <c r="Q95" i="2"/>
  <c r="AE84" i="2"/>
  <c r="AG84" i="2" s="1"/>
  <c r="AH84" i="2" s="1"/>
  <c r="T74" i="2"/>
  <c r="V74" i="2" s="1"/>
  <c r="W74" i="2" s="1"/>
  <c r="Y87" i="2"/>
  <c r="P99" i="2"/>
  <c r="R99" i="2" s="1"/>
  <c r="S99" i="2" s="1"/>
  <c r="T61" i="2"/>
  <c r="V61" i="2" s="1"/>
  <c r="W61" i="2" s="1"/>
  <c r="Y92" i="2"/>
  <c r="Y89" i="2"/>
  <c r="AJ91" i="2"/>
  <c r="Y75" i="2"/>
  <c r="P108" i="2"/>
  <c r="R108" i="2" s="1"/>
  <c r="S108" i="2" s="1"/>
  <c r="U86" i="2"/>
  <c r="X89" i="2"/>
  <c r="Z89" i="2" s="1"/>
  <c r="AA89" i="2" s="1"/>
  <c r="AJ93" i="2"/>
  <c r="AF109" i="2"/>
  <c r="AE93" i="2"/>
  <c r="AG93" i="2" s="1"/>
  <c r="AH93" i="2" s="1"/>
  <c r="AE61" i="2"/>
  <c r="AG61" i="2" s="1"/>
  <c r="AH61" i="2" s="1"/>
  <c r="Q79" i="2"/>
  <c r="U85" i="2"/>
  <c r="Y107" i="2"/>
  <c r="AI111" i="2"/>
  <c r="AK111" i="2" s="1"/>
  <c r="AL111" i="2" s="1"/>
  <c r="U105" i="2"/>
  <c r="Q66" i="2"/>
  <c r="U72" i="2"/>
  <c r="AJ76" i="2"/>
  <c r="T92" i="2"/>
  <c r="V92" i="2" s="1"/>
  <c r="W92" i="2" s="1"/>
  <c r="AF92" i="2"/>
  <c r="P104" i="2"/>
  <c r="R104" i="2" s="1"/>
  <c r="S104" i="2" s="1"/>
  <c r="Q74" i="2"/>
  <c r="Q91" i="2"/>
  <c r="X74" i="2"/>
  <c r="Z74" i="2" s="1"/>
  <c r="AA74" i="2" s="1"/>
  <c r="AI88" i="2"/>
  <c r="AK88" i="2" s="1"/>
  <c r="AL88" i="2" s="1"/>
  <c r="X67" i="2"/>
  <c r="Z67" i="2" s="1"/>
  <c r="AA67" i="2" s="1"/>
  <c r="AF78" i="2"/>
  <c r="AI92" i="2"/>
  <c r="AK92" i="2" s="1"/>
  <c r="AL92" i="2" s="1"/>
  <c r="X104" i="2"/>
  <c r="Z104" i="2" s="1"/>
  <c r="AA104" i="2" s="1"/>
  <c r="Q76" i="2"/>
  <c r="J134" i="6" l="1"/>
  <c r="K134" i="6" s="1"/>
  <c r="E134" i="6"/>
  <c r="I226" i="6"/>
  <c r="H226" i="6"/>
  <c r="B168" i="2"/>
  <c r="B137" i="6"/>
  <c r="C137" i="6" s="1"/>
  <c r="G134" i="6"/>
  <c r="E135" i="6"/>
  <c r="F135" i="6"/>
  <c r="J135" i="6"/>
  <c r="G135" i="6"/>
  <c r="E226" i="6"/>
  <c r="F226" i="6"/>
  <c r="J226" i="6"/>
  <c r="E136" i="6"/>
  <c r="F136" i="6"/>
  <c r="J136" i="6"/>
  <c r="G136" i="6"/>
  <c r="O227" i="6"/>
  <c r="D227" i="6"/>
  <c r="B187" i="2"/>
  <c r="B192" i="2"/>
  <c r="H210" i="6"/>
  <c r="I210" i="6"/>
  <c r="I204" i="6"/>
  <c r="H204" i="6"/>
  <c r="I214" i="6"/>
  <c r="H214" i="6"/>
  <c r="I203" i="6"/>
  <c r="H203" i="6"/>
  <c r="H170" i="6"/>
  <c r="I170" i="6"/>
  <c r="H212" i="6"/>
  <c r="I212" i="6"/>
  <c r="I223" i="6"/>
  <c r="H223" i="6"/>
  <c r="H181" i="6"/>
  <c r="I181" i="6"/>
  <c r="H217" i="6"/>
  <c r="I217" i="6"/>
  <c r="H207" i="6"/>
  <c r="I207" i="6"/>
  <c r="E93" i="6"/>
  <c r="F93" i="6"/>
  <c r="J93" i="6"/>
  <c r="G93" i="6"/>
  <c r="I176" i="6"/>
  <c r="H176" i="6"/>
  <c r="H177" i="6"/>
  <c r="I177" i="6"/>
  <c r="J196" i="6"/>
  <c r="E196" i="6"/>
  <c r="F196" i="6"/>
  <c r="J195" i="6"/>
  <c r="E195" i="6"/>
  <c r="F195" i="6"/>
  <c r="E96" i="6"/>
  <c r="F96" i="6"/>
  <c r="G96" i="6"/>
  <c r="J96" i="6"/>
  <c r="I221" i="6"/>
  <c r="H221" i="6"/>
  <c r="I211" i="6"/>
  <c r="H211" i="6"/>
  <c r="E125" i="6"/>
  <c r="F125" i="6"/>
  <c r="J125" i="6"/>
  <c r="G125" i="6"/>
  <c r="J201" i="6"/>
  <c r="E201" i="6"/>
  <c r="F201" i="6"/>
  <c r="J190" i="6"/>
  <c r="E190" i="6"/>
  <c r="F190" i="6"/>
  <c r="E122" i="6"/>
  <c r="F122" i="6"/>
  <c r="G122" i="6"/>
  <c r="J122" i="6"/>
  <c r="J222" i="6"/>
  <c r="E222" i="6"/>
  <c r="F222" i="6"/>
  <c r="E132" i="6"/>
  <c r="F132" i="6"/>
  <c r="J132" i="6"/>
  <c r="G132" i="6"/>
  <c r="I186" i="6"/>
  <c r="H186" i="6"/>
  <c r="J216" i="6"/>
  <c r="E216" i="6"/>
  <c r="F216" i="6"/>
  <c r="E131" i="6"/>
  <c r="F131" i="6"/>
  <c r="G131" i="6"/>
  <c r="J131" i="6"/>
  <c r="G196" i="6"/>
  <c r="J208" i="6"/>
  <c r="E208" i="6"/>
  <c r="F208" i="6"/>
  <c r="J192" i="6"/>
  <c r="F192" i="6"/>
  <c r="E192" i="6"/>
  <c r="F114" i="6"/>
  <c r="E114" i="6"/>
  <c r="G114" i="6"/>
  <c r="J114" i="6"/>
  <c r="J193" i="6"/>
  <c r="E193" i="6"/>
  <c r="F193" i="6"/>
  <c r="F110" i="6"/>
  <c r="E110" i="6"/>
  <c r="J110" i="6"/>
  <c r="G110" i="6"/>
  <c r="E81" i="6"/>
  <c r="F81" i="6"/>
  <c r="G81" i="6"/>
  <c r="J81" i="6"/>
  <c r="E82" i="6"/>
  <c r="F82" i="6"/>
  <c r="J82" i="6"/>
  <c r="G82" i="6"/>
  <c r="F89" i="6"/>
  <c r="E89" i="6"/>
  <c r="J89" i="6"/>
  <c r="G89" i="6"/>
  <c r="I185" i="6"/>
  <c r="H185" i="6"/>
  <c r="J198" i="6"/>
  <c r="E198" i="6"/>
  <c r="F198" i="6"/>
  <c r="G79" i="6"/>
  <c r="J79" i="6"/>
  <c r="F79" i="6"/>
  <c r="E79" i="6"/>
  <c r="J171" i="6"/>
  <c r="F171" i="6"/>
  <c r="E171" i="6"/>
  <c r="F99" i="6"/>
  <c r="E99" i="6"/>
  <c r="G99" i="6"/>
  <c r="J99" i="6"/>
  <c r="E133" i="6"/>
  <c r="F133" i="6"/>
  <c r="G133" i="6"/>
  <c r="J133" i="6"/>
  <c r="F113" i="6"/>
  <c r="E113" i="6"/>
  <c r="J113" i="6"/>
  <c r="G113" i="6"/>
  <c r="J220" i="6"/>
  <c r="F220" i="6"/>
  <c r="E220" i="6"/>
  <c r="J206" i="6"/>
  <c r="F206" i="6"/>
  <c r="E206" i="6"/>
  <c r="J185" i="6"/>
  <c r="E185" i="6"/>
  <c r="F185" i="6"/>
  <c r="J215" i="6"/>
  <c r="E215" i="6"/>
  <c r="F215" i="6"/>
  <c r="F112" i="6"/>
  <c r="E112" i="6"/>
  <c r="J112" i="6"/>
  <c r="G112" i="6"/>
  <c r="F91" i="6"/>
  <c r="E91" i="6"/>
  <c r="J91" i="6"/>
  <c r="G91" i="6"/>
  <c r="I182" i="6"/>
  <c r="H182" i="6"/>
  <c r="F116" i="6"/>
  <c r="E116" i="6"/>
  <c r="G116" i="6"/>
  <c r="J116" i="6"/>
  <c r="I199" i="6"/>
  <c r="H199" i="6"/>
  <c r="H179" i="6"/>
  <c r="I179" i="6"/>
  <c r="E126" i="6"/>
  <c r="F126" i="6"/>
  <c r="J126" i="6"/>
  <c r="G126" i="6"/>
  <c r="F119" i="6"/>
  <c r="E119" i="6"/>
  <c r="G119" i="6"/>
  <c r="J119" i="6"/>
  <c r="J191" i="6"/>
  <c r="F191" i="6"/>
  <c r="E191" i="6"/>
  <c r="E128" i="6"/>
  <c r="F128" i="6"/>
  <c r="J128" i="6"/>
  <c r="G128" i="6"/>
  <c r="J204" i="6"/>
  <c r="E204" i="6"/>
  <c r="F204" i="6"/>
  <c r="E120" i="6"/>
  <c r="F120" i="6"/>
  <c r="J120" i="6"/>
  <c r="G120" i="6"/>
  <c r="F90" i="6"/>
  <c r="E90" i="6"/>
  <c r="G90" i="6"/>
  <c r="J90" i="6"/>
  <c r="I197" i="6"/>
  <c r="H197" i="6"/>
  <c r="H215" i="6"/>
  <c r="I215" i="6"/>
  <c r="J213" i="6"/>
  <c r="E213" i="6"/>
  <c r="F213" i="6"/>
  <c r="E124" i="6"/>
  <c r="F124" i="6"/>
  <c r="J124" i="6"/>
  <c r="G124" i="6"/>
  <c r="J211" i="6"/>
  <c r="F211" i="6"/>
  <c r="E211" i="6"/>
  <c r="J173" i="6"/>
  <c r="F173" i="6"/>
  <c r="E173" i="6"/>
  <c r="E92" i="6"/>
  <c r="F92" i="6"/>
  <c r="G92" i="6"/>
  <c r="J92" i="6"/>
  <c r="J218" i="6"/>
  <c r="E218" i="6"/>
  <c r="F218" i="6"/>
  <c r="F130" i="6"/>
  <c r="E130" i="6"/>
  <c r="J130" i="6"/>
  <c r="G130" i="6"/>
  <c r="F83" i="6"/>
  <c r="E83" i="6"/>
  <c r="G83" i="6"/>
  <c r="J83" i="6"/>
  <c r="J180" i="6"/>
  <c r="F180" i="6"/>
  <c r="E180" i="6"/>
  <c r="E108" i="6"/>
  <c r="F108" i="6"/>
  <c r="J108" i="6"/>
  <c r="G108" i="6"/>
  <c r="E87" i="6"/>
  <c r="F87" i="6"/>
  <c r="G87" i="6"/>
  <c r="J87" i="6"/>
  <c r="G222" i="6"/>
  <c r="E127" i="6"/>
  <c r="F127" i="6"/>
  <c r="J127" i="6"/>
  <c r="G127" i="6"/>
  <c r="G213" i="6"/>
  <c r="J200" i="6"/>
  <c r="E200" i="6"/>
  <c r="F200" i="6"/>
  <c r="J175" i="6"/>
  <c r="F175" i="6"/>
  <c r="E175" i="6"/>
  <c r="G190" i="6"/>
  <c r="E84" i="6"/>
  <c r="F84" i="6"/>
  <c r="J84" i="6"/>
  <c r="G84" i="6"/>
  <c r="J203" i="6"/>
  <c r="E203" i="6"/>
  <c r="F203" i="6"/>
  <c r="I202" i="6"/>
  <c r="H202" i="6"/>
  <c r="E129" i="6"/>
  <c r="F129" i="6"/>
  <c r="G129" i="6"/>
  <c r="J129" i="6"/>
  <c r="J189" i="6"/>
  <c r="E189" i="6"/>
  <c r="F189" i="6"/>
  <c r="H169" i="6"/>
  <c r="I169" i="6"/>
  <c r="E105" i="6"/>
  <c r="F105" i="6"/>
  <c r="J105" i="6"/>
  <c r="G105" i="6"/>
  <c r="F94" i="6"/>
  <c r="E94" i="6"/>
  <c r="J94" i="6"/>
  <c r="G94" i="6"/>
  <c r="J169" i="6"/>
  <c r="E169" i="6"/>
  <c r="F169" i="6"/>
  <c r="J174" i="6"/>
  <c r="E174" i="6"/>
  <c r="F174" i="6"/>
  <c r="H175" i="6"/>
  <c r="I175" i="6"/>
  <c r="J210" i="6"/>
  <c r="F210" i="6"/>
  <c r="E210" i="6"/>
  <c r="E86" i="6"/>
  <c r="F86" i="6"/>
  <c r="J86" i="6"/>
  <c r="G86" i="6"/>
  <c r="E104" i="6"/>
  <c r="F104" i="6"/>
  <c r="G104" i="6"/>
  <c r="J104" i="6"/>
  <c r="J194" i="6"/>
  <c r="F194" i="6"/>
  <c r="E194" i="6"/>
  <c r="H220" i="6"/>
  <c r="I220" i="6"/>
  <c r="J212" i="6"/>
  <c r="E212" i="6"/>
  <c r="F212" i="6"/>
  <c r="H224" i="6"/>
  <c r="I224" i="6"/>
  <c r="H216" i="6"/>
  <c r="I216" i="6"/>
  <c r="I198" i="6"/>
  <c r="H198" i="6"/>
  <c r="E101" i="6"/>
  <c r="F101" i="6"/>
  <c r="J101" i="6"/>
  <c r="G101" i="6"/>
  <c r="J172" i="6"/>
  <c r="F172" i="6"/>
  <c r="E172" i="6"/>
  <c r="E121" i="6"/>
  <c r="F121" i="6"/>
  <c r="G121" i="6"/>
  <c r="J121" i="6"/>
  <c r="J214" i="6"/>
  <c r="F214" i="6"/>
  <c r="E214" i="6"/>
  <c r="I192" i="6"/>
  <c r="H192" i="6"/>
  <c r="J209" i="6"/>
  <c r="E209" i="6"/>
  <c r="F209" i="6"/>
  <c r="J170" i="6"/>
  <c r="F170" i="6"/>
  <c r="E170" i="6"/>
  <c r="G208" i="6"/>
  <c r="F115" i="6"/>
  <c r="E115" i="6"/>
  <c r="G115" i="6"/>
  <c r="J115" i="6"/>
  <c r="E107" i="6"/>
  <c r="F107" i="6"/>
  <c r="J107" i="6"/>
  <c r="G107" i="6"/>
  <c r="F97" i="6"/>
  <c r="E97" i="6"/>
  <c r="J97" i="6"/>
  <c r="G97" i="6"/>
  <c r="I184" i="6"/>
  <c r="H184" i="6"/>
  <c r="J197" i="6"/>
  <c r="E197" i="6"/>
  <c r="F197" i="6"/>
  <c r="F123" i="6"/>
  <c r="E123" i="6"/>
  <c r="G123" i="6"/>
  <c r="J123" i="6"/>
  <c r="G195" i="6"/>
  <c r="J217" i="6"/>
  <c r="E217" i="6"/>
  <c r="F217" i="6"/>
  <c r="J183" i="6"/>
  <c r="F183" i="6"/>
  <c r="E183" i="6"/>
  <c r="F88" i="6"/>
  <c r="E88" i="6"/>
  <c r="J88" i="6"/>
  <c r="G88" i="6"/>
  <c r="J176" i="6"/>
  <c r="F176" i="6"/>
  <c r="E176" i="6"/>
  <c r="J186" i="6"/>
  <c r="F186" i="6"/>
  <c r="E186" i="6"/>
  <c r="E224" i="6"/>
  <c r="F224" i="6"/>
  <c r="J224" i="6"/>
  <c r="G191" i="6"/>
  <c r="J177" i="6"/>
  <c r="E177" i="6"/>
  <c r="F177" i="6"/>
  <c r="J221" i="6"/>
  <c r="F221" i="6"/>
  <c r="E221" i="6"/>
  <c r="G193" i="6"/>
  <c r="E106" i="6"/>
  <c r="F106" i="6"/>
  <c r="G106" i="6"/>
  <c r="J106" i="6"/>
  <c r="J199" i="6"/>
  <c r="F199" i="6"/>
  <c r="E199" i="6"/>
  <c r="J202" i="6"/>
  <c r="F202" i="6"/>
  <c r="E202" i="6"/>
  <c r="E80" i="6"/>
  <c r="F80" i="6"/>
  <c r="J80" i="6"/>
  <c r="G80" i="6"/>
  <c r="J181" i="6"/>
  <c r="E181" i="6"/>
  <c r="F181" i="6"/>
  <c r="E100" i="6"/>
  <c r="F100" i="6"/>
  <c r="J100" i="6"/>
  <c r="G100" i="6"/>
  <c r="I218" i="6"/>
  <c r="H218" i="6"/>
  <c r="J187" i="6"/>
  <c r="F187" i="6"/>
  <c r="E187" i="6"/>
  <c r="F103" i="6"/>
  <c r="E103" i="6"/>
  <c r="J103" i="6"/>
  <c r="G103" i="6"/>
  <c r="H209" i="6"/>
  <c r="I209" i="6"/>
  <c r="H172" i="6"/>
  <c r="I172" i="6"/>
  <c r="I189" i="6"/>
  <c r="H189" i="6"/>
  <c r="H173" i="6"/>
  <c r="I173" i="6"/>
  <c r="J219" i="6"/>
  <c r="F219" i="6"/>
  <c r="E219" i="6"/>
  <c r="G219" i="6"/>
  <c r="F111" i="6"/>
  <c r="E111" i="6"/>
  <c r="J111" i="6"/>
  <c r="G111" i="6"/>
  <c r="I206" i="6"/>
  <c r="H206" i="6"/>
  <c r="I205" i="6"/>
  <c r="H205" i="6"/>
  <c r="J223" i="6"/>
  <c r="E223" i="6"/>
  <c r="F223" i="6"/>
  <c r="F117" i="6"/>
  <c r="E117" i="6"/>
  <c r="G117" i="6"/>
  <c r="J117" i="6"/>
  <c r="F98" i="6"/>
  <c r="E98" i="6"/>
  <c r="J98" i="6"/>
  <c r="G98" i="6"/>
  <c r="G194" i="6"/>
  <c r="J205" i="6"/>
  <c r="E205" i="6"/>
  <c r="F205" i="6"/>
  <c r="F95" i="6"/>
  <c r="E95" i="6"/>
  <c r="G95" i="6"/>
  <c r="J95" i="6"/>
  <c r="G187" i="6"/>
  <c r="G180" i="6"/>
  <c r="I178" i="6"/>
  <c r="H178" i="6"/>
  <c r="E109" i="6"/>
  <c r="F109" i="6"/>
  <c r="G109" i="6"/>
  <c r="J109" i="6"/>
  <c r="G200" i="6"/>
  <c r="J179" i="6"/>
  <c r="E179" i="6"/>
  <c r="F179" i="6"/>
  <c r="J178" i="6"/>
  <c r="E178" i="6"/>
  <c r="F178" i="6"/>
  <c r="J188" i="6"/>
  <c r="E188" i="6"/>
  <c r="F188" i="6"/>
  <c r="E85" i="6"/>
  <c r="F85" i="6"/>
  <c r="J85" i="6"/>
  <c r="G85" i="6"/>
  <c r="I174" i="6"/>
  <c r="H174" i="6"/>
  <c r="G201" i="6"/>
  <c r="F118" i="6"/>
  <c r="E118" i="6"/>
  <c r="J118" i="6"/>
  <c r="G118" i="6"/>
  <c r="G183" i="6"/>
  <c r="J207" i="6"/>
  <c r="F207" i="6"/>
  <c r="E207" i="6"/>
  <c r="J184" i="6"/>
  <c r="F184" i="6"/>
  <c r="E184" i="6"/>
  <c r="G171" i="6"/>
  <c r="F102" i="6"/>
  <c r="E102" i="6"/>
  <c r="J102" i="6"/>
  <c r="G102" i="6"/>
  <c r="G188" i="6"/>
  <c r="J182" i="6"/>
  <c r="F182" i="6"/>
  <c r="E182" i="6"/>
  <c r="B39" i="1"/>
  <c r="B67" i="2"/>
  <c r="B45" i="1" s="1"/>
  <c r="D70" i="2"/>
  <c r="AH82" i="2"/>
  <c r="AH105" i="2"/>
  <c r="AL109" i="2"/>
  <c r="AH81" i="2"/>
  <c r="AK104" i="2"/>
  <c r="AL104" i="2" s="1"/>
  <c r="W95" i="2"/>
  <c r="Z95" i="2"/>
  <c r="AA95" i="2" s="1"/>
  <c r="AH88" i="2"/>
  <c r="AL94" i="2"/>
  <c r="AG100" i="2"/>
  <c r="AH100" i="2" s="1"/>
  <c r="Z62" i="2"/>
  <c r="AA62" i="2" s="1"/>
  <c r="AL74" i="2"/>
  <c r="AH96" i="2"/>
  <c r="AG72" i="2"/>
  <c r="AH72" i="2" s="1"/>
  <c r="W77" i="2"/>
  <c r="AA108" i="2"/>
  <c r="Z72" i="2"/>
  <c r="AA72" i="2" s="1"/>
  <c r="R75" i="2"/>
  <c r="S75" i="2" s="1"/>
  <c r="S80" i="2"/>
  <c r="AG70" i="2"/>
  <c r="AH70" i="2" s="1"/>
  <c r="R107" i="2"/>
  <c r="S107" i="2" s="1"/>
  <c r="R134" i="6" l="1"/>
  <c r="X134" i="6" s="1"/>
  <c r="Z134" i="6" s="1"/>
  <c r="L134" i="6"/>
  <c r="I136" i="6"/>
  <c r="H136" i="6"/>
  <c r="K136" i="6"/>
  <c r="L136" i="6"/>
  <c r="R136" i="6"/>
  <c r="E227" i="6"/>
  <c r="F227" i="6"/>
  <c r="G227" i="6"/>
  <c r="L135" i="6"/>
  <c r="K135" i="6"/>
  <c r="R135" i="6"/>
  <c r="H134" i="6"/>
  <c r="I134" i="6"/>
  <c r="Q227" i="6"/>
  <c r="P227" i="6"/>
  <c r="L226" i="6"/>
  <c r="K226" i="6"/>
  <c r="R226" i="6"/>
  <c r="D137" i="6"/>
  <c r="U137" i="6"/>
  <c r="O137" i="6"/>
  <c r="B188" i="2"/>
  <c r="B175" i="1" s="1"/>
  <c r="B228" i="6"/>
  <c r="C228" i="6" s="1"/>
  <c r="J227" i="6"/>
  <c r="I135" i="6"/>
  <c r="H135" i="6"/>
  <c r="I171" i="6"/>
  <c r="H171" i="6"/>
  <c r="H219" i="6"/>
  <c r="I219" i="6"/>
  <c r="I115" i="6"/>
  <c r="H115" i="6"/>
  <c r="L104" i="6"/>
  <c r="K104" i="6"/>
  <c r="R104" i="6"/>
  <c r="X104" i="6" s="1"/>
  <c r="K218" i="6"/>
  <c r="L218" i="6"/>
  <c r="R218" i="6"/>
  <c r="H112" i="6"/>
  <c r="I112" i="6"/>
  <c r="I89" i="6"/>
  <c r="H89" i="6"/>
  <c r="I125" i="6"/>
  <c r="H125" i="6"/>
  <c r="R209" i="6"/>
  <c r="K209" i="6"/>
  <c r="L209" i="6"/>
  <c r="I104" i="6"/>
  <c r="H104" i="6"/>
  <c r="L129" i="6"/>
  <c r="K129" i="6"/>
  <c r="R129" i="6"/>
  <c r="X129" i="6" s="1"/>
  <c r="K204" i="6"/>
  <c r="L204" i="6"/>
  <c r="R204" i="6"/>
  <c r="R207" i="6"/>
  <c r="K207" i="6"/>
  <c r="L207" i="6"/>
  <c r="H109" i="6"/>
  <c r="I109" i="6"/>
  <c r="H95" i="6"/>
  <c r="I95" i="6"/>
  <c r="L98" i="6"/>
  <c r="K98" i="6"/>
  <c r="R98" i="6"/>
  <c r="X98" i="6" s="1"/>
  <c r="K100" i="6"/>
  <c r="L100" i="6"/>
  <c r="R100" i="6"/>
  <c r="X100" i="6" s="1"/>
  <c r="L106" i="6"/>
  <c r="K106" i="6"/>
  <c r="R106" i="6"/>
  <c r="X106" i="6" s="1"/>
  <c r="K123" i="6"/>
  <c r="L123" i="6"/>
  <c r="R123" i="6"/>
  <c r="X123" i="6" s="1"/>
  <c r="K170" i="6"/>
  <c r="L170" i="6"/>
  <c r="R170" i="6"/>
  <c r="L214" i="6"/>
  <c r="K214" i="6"/>
  <c r="R214" i="6"/>
  <c r="I101" i="6"/>
  <c r="H101" i="6"/>
  <c r="I190" i="6"/>
  <c r="H190" i="6"/>
  <c r="I127" i="6"/>
  <c r="H127" i="6"/>
  <c r="K83" i="6"/>
  <c r="L83" i="6"/>
  <c r="R83" i="6"/>
  <c r="X83" i="6" s="1"/>
  <c r="L126" i="6"/>
  <c r="K126" i="6"/>
  <c r="R126" i="6"/>
  <c r="X126" i="6" s="1"/>
  <c r="L116" i="6"/>
  <c r="K116" i="6"/>
  <c r="R116" i="6"/>
  <c r="X116" i="6" s="1"/>
  <c r="K215" i="6"/>
  <c r="L215" i="6"/>
  <c r="L171" i="6"/>
  <c r="K171" i="6"/>
  <c r="R171" i="6"/>
  <c r="L131" i="6"/>
  <c r="K131" i="6"/>
  <c r="R131" i="6"/>
  <c r="X131" i="6" s="1"/>
  <c r="K122" i="6"/>
  <c r="L122" i="6"/>
  <c r="R122" i="6"/>
  <c r="X122" i="6" s="1"/>
  <c r="K195" i="6"/>
  <c r="L195" i="6"/>
  <c r="R195" i="6"/>
  <c r="I93" i="6"/>
  <c r="H93" i="6"/>
  <c r="H183" i="6"/>
  <c r="I183" i="6"/>
  <c r="H85" i="6"/>
  <c r="I85" i="6"/>
  <c r="R223" i="6"/>
  <c r="K223" i="6"/>
  <c r="L223" i="6"/>
  <c r="I106" i="6"/>
  <c r="H106" i="6"/>
  <c r="K186" i="6"/>
  <c r="L186" i="6"/>
  <c r="R186" i="6"/>
  <c r="I123" i="6"/>
  <c r="H123" i="6"/>
  <c r="I97" i="6"/>
  <c r="H97" i="6"/>
  <c r="K115" i="6"/>
  <c r="L115" i="6"/>
  <c r="R115" i="6"/>
  <c r="X115" i="6" s="1"/>
  <c r="L121" i="6"/>
  <c r="K121" i="6"/>
  <c r="R121" i="6"/>
  <c r="X121" i="6" s="1"/>
  <c r="K101" i="6"/>
  <c r="L101" i="6"/>
  <c r="R101" i="6"/>
  <c r="X101" i="6" s="1"/>
  <c r="K194" i="6"/>
  <c r="L194" i="6"/>
  <c r="R194" i="6"/>
  <c r="L127" i="6"/>
  <c r="K127" i="6"/>
  <c r="R127" i="6"/>
  <c r="X127" i="6" s="1"/>
  <c r="I108" i="6"/>
  <c r="H108" i="6"/>
  <c r="I83" i="6"/>
  <c r="H83" i="6"/>
  <c r="R173" i="6"/>
  <c r="K173" i="6"/>
  <c r="L173" i="6"/>
  <c r="L90" i="6"/>
  <c r="K90" i="6"/>
  <c r="R90" i="6"/>
  <c r="X90" i="6" s="1"/>
  <c r="I116" i="6"/>
  <c r="H116" i="6"/>
  <c r="K220" i="6"/>
  <c r="L220" i="6"/>
  <c r="R220" i="6"/>
  <c r="I131" i="6"/>
  <c r="H131" i="6"/>
  <c r="H132" i="6"/>
  <c r="I132" i="6"/>
  <c r="I122" i="6"/>
  <c r="H122" i="6"/>
  <c r="L201" i="6"/>
  <c r="K201" i="6"/>
  <c r="L93" i="6"/>
  <c r="K93" i="6"/>
  <c r="R93" i="6"/>
  <c r="X93" i="6" s="1"/>
  <c r="K177" i="6"/>
  <c r="L177" i="6"/>
  <c r="R177" i="6"/>
  <c r="L189" i="6"/>
  <c r="K189" i="6"/>
  <c r="R189" i="6"/>
  <c r="H90" i="6"/>
  <c r="I90" i="6"/>
  <c r="K99" i="6"/>
  <c r="L99" i="6"/>
  <c r="R99" i="6"/>
  <c r="X99" i="6" s="1"/>
  <c r="L96" i="6"/>
  <c r="K96" i="6"/>
  <c r="R96" i="6"/>
  <c r="X96" i="6" s="1"/>
  <c r="I191" i="6"/>
  <c r="H191" i="6"/>
  <c r="L175" i="6"/>
  <c r="K175" i="6"/>
  <c r="K92" i="6"/>
  <c r="L92" i="6"/>
  <c r="R92" i="6"/>
  <c r="X92" i="6" s="1"/>
  <c r="L119" i="6"/>
  <c r="K119" i="6"/>
  <c r="R119" i="6"/>
  <c r="X119" i="6" s="1"/>
  <c r="K113" i="6"/>
  <c r="L113" i="6"/>
  <c r="R113" i="6"/>
  <c r="X113" i="6" s="1"/>
  <c r="L182" i="6"/>
  <c r="K182" i="6"/>
  <c r="R182" i="6"/>
  <c r="K202" i="6"/>
  <c r="L202" i="6"/>
  <c r="R202" i="6"/>
  <c r="R176" i="6"/>
  <c r="L176" i="6"/>
  <c r="K176" i="6"/>
  <c r="I129" i="6"/>
  <c r="H129" i="6"/>
  <c r="H84" i="6"/>
  <c r="I84" i="6"/>
  <c r="I130" i="6"/>
  <c r="H130" i="6"/>
  <c r="R193" i="6"/>
  <c r="K193" i="6"/>
  <c r="L193" i="6"/>
  <c r="I188" i="6"/>
  <c r="H188" i="6"/>
  <c r="K184" i="6"/>
  <c r="L184" i="6"/>
  <c r="R184" i="6"/>
  <c r="K179" i="6"/>
  <c r="L179" i="6"/>
  <c r="R179" i="6"/>
  <c r="H180" i="6"/>
  <c r="I180" i="6"/>
  <c r="K205" i="6"/>
  <c r="L205" i="6"/>
  <c r="R205" i="6"/>
  <c r="K219" i="6"/>
  <c r="L219" i="6"/>
  <c r="R219" i="6"/>
  <c r="K181" i="6"/>
  <c r="L181" i="6"/>
  <c r="R181" i="6"/>
  <c r="H88" i="6"/>
  <c r="I88" i="6"/>
  <c r="I107" i="6"/>
  <c r="H107" i="6"/>
  <c r="H208" i="6"/>
  <c r="I208" i="6"/>
  <c r="R169" i="6"/>
  <c r="K169" i="6"/>
  <c r="L169" i="6"/>
  <c r="L84" i="6"/>
  <c r="K84" i="6"/>
  <c r="R84" i="6"/>
  <c r="X84" i="6" s="1"/>
  <c r="K87" i="6"/>
  <c r="L87" i="6"/>
  <c r="R87" i="6"/>
  <c r="X87" i="6" s="1"/>
  <c r="L130" i="6"/>
  <c r="K130" i="6"/>
  <c r="R130" i="6"/>
  <c r="X130" i="6" s="1"/>
  <c r="I124" i="6"/>
  <c r="H124" i="6"/>
  <c r="H120" i="6"/>
  <c r="I120" i="6"/>
  <c r="L128" i="6"/>
  <c r="K128" i="6"/>
  <c r="R128" i="6"/>
  <c r="X128" i="6" s="1"/>
  <c r="L114" i="6"/>
  <c r="K114" i="6"/>
  <c r="R114" i="6"/>
  <c r="X114" i="6" s="1"/>
  <c r="H118" i="6"/>
  <c r="I118" i="6"/>
  <c r="K85" i="6"/>
  <c r="L85" i="6"/>
  <c r="R85" i="6"/>
  <c r="X85" i="6" s="1"/>
  <c r="L97" i="6"/>
  <c r="K97" i="6"/>
  <c r="R97" i="6"/>
  <c r="X97" i="6" s="1"/>
  <c r="H121" i="6"/>
  <c r="I121" i="6"/>
  <c r="R191" i="6"/>
  <c r="K191" i="6"/>
  <c r="L191" i="6"/>
  <c r="K81" i="6"/>
  <c r="L81" i="6"/>
  <c r="R81" i="6"/>
  <c r="X81" i="6" s="1"/>
  <c r="K183" i="6"/>
  <c r="L183" i="6"/>
  <c r="R183" i="6"/>
  <c r="K105" i="6"/>
  <c r="L105" i="6"/>
  <c r="R105" i="6"/>
  <c r="X105" i="6" s="1"/>
  <c r="L213" i="6"/>
  <c r="K213" i="6"/>
  <c r="R213" i="6"/>
  <c r="K112" i="6"/>
  <c r="L112" i="6"/>
  <c r="R112" i="6"/>
  <c r="X112" i="6" s="1"/>
  <c r="K79" i="6"/>
  <c r="L79" i="6"/>
  <c r="R79" i="6"/>
  <c r="X79" i="6" s="1"/>
  <c r="L89" i="6"/>
  <c r="K89" i="6"/>
  <c r="R89" i="6"/>
  <c r="X89" i="6" s="1"/>
  <c r="I81" i="6"/>
  <c r="H81" i="6"/>
  <c r="R196" i="6"/>
  <c r="L196" i="6"/>
  <c r="K196" i="6"/>
  <c r="K187" i="6"/>
  <c r="L187" i="6"/>
  <c r="R187" i="6"/>
  <c r="I193" i="6"/>
  <c r="H193" i="6"/>
  <c r="K212" i="6"/>
  <c r="L212" i="6"/>
  <c r="R212" i="6"/>
  <c r="I222" i="6"/>
  <c r="H222" i="6"/>
  <c r="H92" i="6"/>
  <c r="I92" i="6"/>
  <c r="I119" i="6"/>
  <c r="H119" i="6"/>
  <c r="R201" i="6"/>
  <c r="I201" i="6"/>
  <c r="H201" i="6"/>
  <c r="H200" i="6"/>
  <c r="I200" i="6"/>
  <c r="I187" i="6"/>
  <c r="H187" i="6"/>
  <c r="H194" i="6"/>
  <c r="I194" i="6"/>
  <c r="I111" i="6"/>
  <c r="H111" i="6"/>
  <c r="H103" i="6"/>
  <c r="I103" i="6"/>
  <c r="H80" i="6"/>
  <c r="I80" i="6"/>
  <c r="L88" i="6"/>
  <c r="K88" i="6"/>
  <c r="R88" i="6"/>
  <c r="X88" i="6" s="1"/>
  <c r="K217" i="6"/>
  <c r="L217" i="6"/>
  <c r="R217" i="6"/>
  <c r="R197" i="6"/>
  <c r="K197" i="6"/>
  <c r="L197" i="6"/>
  <c r="K107" i="6"/>
  <c r="L107" i="6"/>
  <c r="R107" i="6"/>
  <c r="X107" i="6" s="1"/>
  <c r="H86" i="6"/>
  <c r="I86" i="6"/>
  <c r="H94" i="6"/>
  <c r="I94" i="6"/>
  <c r="K200" i="6"/>
  <c r="L200" i="6"/>
  <c r="R200" i="6"/>
  <c r="I87" i="6"/>
  <c r="H87" i="6"/>
  <c r="L124" i="6"/>
  <c r="K124" i="6"/>
  <c r="R124" i="6"/>
  <c r="X124" i="6" s="1"/>
  <c r="R215" i="6"/>
  <c r="L120" i="6"/>
  <c r="K120" i="6"/>
  <c r="R120" i="6"/>
  <c r="X120" i="6" s="1"/>
  <c r="I91" i="6"/>
  <c r="H91" i="6"/>
  <c r="L206" i="6"/>
  <c r="K206" i="6"/>
  <c r="R206" i="6"/>
  <c r="K133" i="6"/>
  <c r="L133" i="6"/>
  <c r="R133" i="6"/>
  <c r="X133" i="6" s="1"/>
  <c r="H82" i="6"/>
  <c r="I82" i="6"/>
  <c r="H110" i="6"/>
  <c r="I110" i="6"/>
  <c r="H114" i="6"/>
  <c r="I114" i="6"/>
  <c r="R208" i="6"/>
  <c r="L208" i="6"/>
  <c r="K208" i="6"/>
  <c r="L216" i="6"/>
  <c r="K216" i="6"/>
  <c r="R216" i="6"/>
  <c r="L190" i="6"/>
  <c r="K190" i="6"/>
  <c r="R190" i="6"/>
  <c r="L178" i="6"/>
  <c r="K178" i="6"/>
  <c r="R178" i="6"/>
  <c r="L174" i="6"/>
  <c r="K174" i="6"/>
  <c r="R174" i="6"/>
  <c r="I105" i="6"/>
  <c r="H105" i="6"/>
  <c r="L108" i="6"/>
  <c r="K108" i="6"/>
  <c r="R108" i="6"/>
  <c r="X108" i="6" s="1"/>
  <c r="I113" i="6"/>
  <c r="H113" i="6"/>
  <c r="L132" i="6"/>
  <c r="K132" i="6"/>
  <c r="R132" i="6"/>
  <c r="X132" i="6" s="1"/>
  <c r="L118" i="6"/>
  <c r="K118" i="6"/>
  <c r="R118" i="6"/>
  <c r="X118" i="6" s="1"/>
  <c r="K117" i="6"/>
  <c r="L117" i="6"/>
  <c r="R117" i="6"/>
  <c r="X117" i="6" s="1"/>
  <c r="K203" i="6"/>
  <c r="L203" i="6"/>
  <c r="R203" i="6"/>
  <c r="R185" i="6"/>
  <c r="K185" i="6"/>
  <c r="L185" i="6"/>
  <c r="I99" i="6"/>
  <c r="H99" i="6"/>
  <c r="K192" i="6"/>
  <c r="L192" i="6"/>
  <c r="R192" i="6"/>
  <c r="K125" i="6"/>
  <c r="L125" i="6"/>
  <c r="R125" i="6"/>
  <c r="X125" i="6" s="1"/>
  <c r="I96" i="6"/>
  <c r="H96" i="6"/>
  <c r="I117" i="6"/>
  <c r="H117" i="6"/>
  <c r="K224" i="6"/>
  <c r="L224" i="6"/>
  <c r="R224" i="6"/>
  <c r="L210" i="6"/>
  <c r="K210" i="6"/>
  <c r="R210" i="6"/>
  <c r="L211" i="6"/>
  <c r="K211" i="6"/>
  <c r="R211" i="6"/>
  <c r="I128" i="6"/>
  <c r="H128" i="6"/>
  <c r="H79" i="6"/>
  <c r="I79" i="6"/>
  <c r="I102" i="6"/>
  <c r="H102" i="6"/>
  <c r="L102" i="6"/>
  <c r="K102" i="6"/>
  <c r="R102" i="6"/>
  <c r="X102" i="6" s="1"/>
  <c r="K188" i="6"/>
  <c r="L188" i="6"/>
  <c r="R188" i="6"/>
  <c r="K109" i="6"/>
  <c r="L109" i="6"/>
  <c r="R109" i="6"/>
  <c r="X109" i="6" s="1"/>
  <c r="K95" i="6"/>
  <c r="L95" i="6"/>
  <c r="R95" i="6"/>
  <c r="X95" i="6" s="1"/>
  <c r="I98" i="6"/>
  <c r="H98" i="6"/>
  <c r="K111" i="6"/>
  <c r="L111" i="6"/>
  <c r="R111" i="6"/>
  <c r="X111" i="6" s="1"/>
  <c r="K103" i="6"/>
  <c r="L103" i="6"/>
  <c r="R103" i="6"/>
  <c r="X103" i="6" s="1"/>
  <c r="I100" i="6"/>
  <c r="H100" i="6"/>
  <c r="K80" i="6"/>
  <c r="L80" i="6"/>
  <c r="R80" i="6"/>
  <c r="X80" i="6" s="1"/>
  <c r="K199" i="6"/>
  <c r="L199" i="6"/>
  <c r="K221" i="6"/>
  <c r="L221" i="6"/>
  <c r="R221" i="6"/>
  <c r="I195" i="6"/>
  <c r="H195" i="6"/>
  <c r="L172" i="6"/>
  <c r="K172" i="6"/>
  <c r="R172" i="6"/>
  <c r="L86" i="6"/>
  <c r="K86" i="6"/>
  <c r="R86" i="6"/>
  <c r="X86" i="6" s="1"/>
  <c r="R175" i="6"/>
  <c r="K94" i="6"/>
  <c r="L94" i="6"/>
  <c r="R94" i="6"/>
  <c r="X94" i="6" s="1"/>
  <c r="H213" i="6"/>
  <c r="I213" i="6"/>
  <c r="R180" i="6"/>
  <c r="K180" i="6"/>
  <c r="L180" i="6"/>
  <c r="I126" i="6"/>
  <c r="H126" i="6"/>
  <c r="R199" i="6"/>
  <c r="L91" i="6"/>
  <c r="K91" i="6"/>
  <c r="R91" i="6"/>
  <c r="X91" i="6" s="1"/>
  <c r="H133" i="6"/>
  <c r="I133" i="6"/>
  <c r="K198" i="6"/>
  <c r="L198" i="6"/>
  <c r="R198" i="6"/>
  <c r="K82" i="6"/>
  <c r="L82" i="6"/>
  <c r="R82" i="6"/>
  <c r="X82" i="6" s="1"/>
  <c r="K110" i="6"/>
  <c r="L110" i="6"/>
  <c r="R110" i="6"/>
  <c r="X110" i="6" s="1"/>
  <c r="I196" i="6"/>
  <c r="H196" i="6"/>
  <c r="K222" i="6"/>
  <c r="L222" i="6"/>
  <c r="R222" i="6"/>
  <c r="B68" i="2"/>
  <c r="B46" i="1" s="1"/>
  <c r="S134" i="6" l="1"/>
  <c r="B167" i="2" s="1"/>
  <c r="B170" i="2" s="1"/>
  <c r="B158" i="1" s="1"/>
  <c r="Y134" i="6"/>
  <c r="T134" i="6"/>
  <c r="Z121" i="6"/>
  <c r="Y121" i="6"/>
  <c r="Y120" i="6"/>
  <c r="Z120" i="6"/>
  <c r="K227" i="6"/>
  <c r="L227" i="6"/>
  <c r="Y109" i="6"/>
  <c r="Z109" i="6"/>
  <c r="Y112" i="6"/>
  <c r="Z112" i="6"/>
  <c r="Y119" i="6"/>
  <c r="Z119" i="6"/>
  <c r="Z90" i="6"/>
  <c r="Y90" i="6"/>
  <c r="Z82" i="6"/>
  <c r="Y82" i="6"/>
  <c r="Y91" i="6"/>
  <c r="Z91" i="6"/>
  <c r="Y125" i="6"/>
  <c r="Z125" i="6"/>
  <c r="Y87" i="6"/>
  <c r="Z87" i="6"/>
  <c r="Y131" i="6"/>
  <c r="Z131" i="6"/>
  <c r="Y116" i="6"/>
  <c r="Z116" i="6"/>
  <c r="Z106" i="6"/>
  <c r="Y106" i="6"/>
  <c r="V137" i="6"/>
  <c r="W137" i="6"/>
  <c r="X136" i="6"/>
  <c r="T136" i="6"/>
  <c r="S136" i="6"/>
  <c r="X135" i="6"/>
  <c r="S135" i="6"/>
  <c r="T135" i="6"/>
  <c r="Z107" i="6"/>
  <c r="Y107" i="6"/>
  <c r="Z84" i="6"/>
  <c r="Y84" i="6"/>
  <c r="Z129" i="6"/>
  <c r="Y129" i="6"/>
  <c r="Y111" i="6"/>
  <c r="Z111" i="6"/>
  <c r="Y86" i="6"/>
  <c r="Z86" i="6"/>
  <c r="Z124" i="6"/>
  <c r="Y124" i="6"/>
  <c r="Y93" i="6"/>
  <c r="Z93" i="6"/>
  <c r="Y101" i="6"/>
  <c r="Z101" i="6"/>
  <c r="Q137" i="6"/>
  <c r="P137" i="6"/>
  <c r="Y103" i="6"/>
  <c r="Z103" i="6"/>
  <c r="Y95" i="6"/>
  <c r="Z95" i="6"/>
  <c r="Y118" i="6"/>
  <c r="Z118" i="6"/>
  <c r="Z108" i="6"/>
  <c r="Y108" i="6"/>
  <c r="Z89" i="6"/>
  <c r="Y89" i="6"/>
  <c r="Y96" i="6"/>
  <c r="Z96" i="6"/>
  <c r="Y127" i="6"/>
  <c r="Z127" i="6"/>
  <c r="E137" i="6"/>
  <c r="F137" i="6"/>
  <c r="J137" i="6"/>
  <c r="Y102" i="6"/>
  <c r="Z102" i="6"/>
  <c r="Y92" i="6"/>
  <c r="Z92" i="6"/>
  <c r="Z94" i="6"/>
  <c r="Y94" i="6"/>
  <c r="Z81" i="6"/>
  <c r="Y81" i="6"/>
  <c r="Y126" i="6"/>
  <c r="Z126" i="6"/>
  <c r="Y80" i="6"/>
  <c r="Z80" i="6"/>
  <c r="Z88" i="6"/>
  <c r="Y88" i="6"/>
  <c r="Y79" i="6"/>
  <c r="Z79" i="6"/>
  <c r="Z113" i="6"/>
  <c r="Y113" i="6"/>
  <c r="Y99" i="6"/>
  <c r="Z99" i="6"/>
  <c r="Y104" i="6"/>
  <c r="Z104" i="6"/>
  <c r="O228" i="6"/>
  <c r="D228" i="6"/>
  <c r="J228" i="6" s="1"/>
  <c r="T226" i="6"/>
  <c r="S226" i="6"/>
  <c r="Z97" i="6"/>
  <c r="Y97" i="6"/>
  <c r="Z110" i="6"/>
  <c r="Y110" i="6"/>
  <c r="Z105" i="6"/>
  <c r="Y105" i="6"/>
  <c r="Y130" i="6"/>
  <c r="Z130" i="6"/>
  <c r="Y115" i="6"/>
  <c r="Z115" i="6"/>
  <c r="Z122" i="6"/>
  <c r="Y122" i="6"/>
  <c r="Y123" i="6"/>
  <c r="Z123" i="6"/>
  <c r="R227" i="6"/>
  <c r="I227" i="6"/>
  <c r="H227" i="6"/>
  <c r="Y133" i="6"/>
  <c r="Z133" i="6"/>
  <c r="Z114" i="6"/>
  <c r="Y114" i="6"/>
  <c r="Z100" i="6"/>
  <c r="Y100" i="6"/>
  <c r="Y132" i="6"/>
  <c r="Z132" i="6"/>
  <c r="Y117" i="6"/>
  <c r="Z117" i="6"/>
  <c r="Y85" i="6"/>
  <c r="Z85" i="6"/>
  <c r="Y128" i="6"/>
  <c r="Z128" i="6"/>
  <c r="Y83" i="6"/>
  <c r="Z83" i="6"/>
  <c r="Z98" i="6"/>
  <c r="Y98" i="6"/>
  <c r="G137" i="6"/>
  <c r="S205" i="6"/>
  <c r="T205" i="6"/>
  <c r="T175" i="6"/>
  <c r="S175" i="6"/>
  <c r="S215" i="6"/>
  <c r="T215" i="6"/>
  <c r="T85" i="6"/>
  <c r="S85" i="6"/>
  <c r="T83" i="6"/>
  <c r="S83" i="6"/>
  <c r="T216" i="6"/>
  <c r="S216" i="6"/>
  <c r="T93" i="6"/>
  <c r="S93" i="6"/>
  <c r="T90" i="6"/>
  <c r="S90" i="6"/>
  <c r="S101" i="6"/>
  <c r="T101" i="6"/>
  <c r="S214" i="6"/>
  <c r="T214" i="6"/>
  <c r="S207" i="6"/>
  <c r="T207" i="6"/>
  <c r="S222" i="6"/>
  <c r="T222" i="6"/>
  <c r="S82" i="6"/>
  <c r="T82" i="6"/>
  <c r="T91" i="6"/>
  <c r="S91" i="6"/>
  <c r="T180" i="6"/>
  <c r="S180" i="6"/>
  <c r="T125" i="6"/>
  <c r="S125" i="6"/>
  <c r="S197" i="6"/>
  <c r="T197" i="6"/>
  <c r="T183" i="6"/>
  <c r="S183" i="6"/>
  <c r="S191" i="6"/>
  <c r="T191" i="6"/>
  <c r="S87" i="6"/>
  <c r="T87" i="6"/>
  <c r="T169" i="6"/>
  <c r="S169" i="6"/>
  <c r="S131" i="6"/>
  <c r="T131" i="6"/>
  <c r="S116" i="6"/>
  <c r="T116" i="6"/>
  <c r="T106" i="6"/>
  <c r="S106" i="6"/>
  <c r="S204" i="6"/>
  <c r="T204" i="6"/>
  <c r="S110" i="6"/>
  <c r="T110" i="6"/>
  <c r="T201" i="6"/>
  <c r="S201" i="6"/>
  <c r="T176" i="6"/>
  <c r="S176" i="6"/>
  <c r="S123" i="6"/>
  <c r="T123" i="6"/>
  <c r="T117" i="6"/>
  <c r="S117" i="6"/>
  <c r="T128" i="6"/>
  <c r="S128" i="6"/>
  <c r="T98" i="6"/>
  <c r="S98" i="6"/>
  <c r="S188" i="6"/>
  <c r="T188" i="6"/>
  <c r="S181" i="6"/>
  <c r="T181" i="6"/>
  <c r="T103" i="6"/>
  <c r="S103" i="6"/>
  <c r="T108" i="6"/>
  <c r="S108" i="6"/>
  <c r="S89" i="6"/>
  <c r="T89" i="6"/>
  <c r="T182" i="6"/>
  <c r="S182" i="6"/>
  <c r="T96" i="6"/>
  <c r="S96" i="6"/>
  <c r="T189" i="6"/>
  <c r="S189" i="6"/>
  <c r="T127" i="6"/>
  <c r="S127" i="6"/>
  <c r="S218" i="6"/>
  <c r="T218" i="6"/>
  <c r="S172" i="6"/>
  <c r="T172" i="6"/>
  <c r="T102" i="6"/>
  <c r="S102" i="6"/>
  <c r="T185" i="6"/>
  <c r="S185" i="6"/>
  <c r="S213" i="6"/>
  <c r="T213" i="6"/>
  <c r="S219" i="6"/>
  <c r="T219" i="6"/>
  <c r="S179" i="6"/>
  <c r="T179" i="6"/>
  <c r="S92" i="6"/>
  <c r="T92" i="6"/>
  <c r="S220" i="6"/>
  <c r="T220" i="6"/>
  <c r="T121" i="6"/>
  <c r="S121" i="6"/>
  <c r="S195" i="6"/>
  <c r="T195" i="6"/>
  <c r="S170" i="6"/>
  <c r="T170" i="6"/>
  <c r="S209" i="6"/>
  <c r="T209" i="6"/>
  <c r="T130" i="6"/>
  <c r="S130" i="6"/>
  <c r="T115" i="6"/>
  <c r="S115" i="6"/>
  <c r="S210" i="6"/>
  <c r="T210" i="6"/>
  <c r="T206" i="6"/>
  <c r="S206" i="6"/>
  <c r="S202" i="6"/>
  <c r="T202" i="6"/>
  <c r="T221" i="6"/>
  <c r="S221" i="6"/>
  <c r="T112" i="6"/>
  <c r="S112" i="6"/>
  <c r="T95" i="6"/>
  <c r="S95" i="6"/>
  <c r="S118" i="6"/>
  <c r="T118" i="6"/>
  <c r="T217" i="6"/>
  <c r="S217" i="6"/>
  <c r="S199" i="6"/>
  <c r="T199" i="6"/>
  <c r="T94" i="6"/>
  <c r="S94" i="6"/>
  <c r="T211" i="6"/>
  <c r="S211" i="6"/>
  <c r="T192" i="6"/>
  <c r="S192" i="6"/>
  <c r="S203" i="6"/>
  <c r="T203" i="6"/>
  <c r="S133" i="6"/>
  <c r="T133" i="6"/>
  <c r="T120" i="6"/>
  <c r="S120" i="6"/>
  <c r="S107" i="6"/>
  <c r="T107" i="6"/>
  <c r="T81" i="6"/>
  <c r="S81" i="6"/>
  <c r="S97" i="6"/>
  <c r="T97" i="6"/>
  <c r="T114" i="6"/>
  <c r="S114" i="6"/>
  <c r="S84" i="6"/>
  <c r="T84" i="6"/>
  <c r="T223" i="6"/>
  <c r="S223" i="6"/>
  <c r="T171" i="6"/>
  <c r="S171" i="6"/>
  <c r="T126" i="6"/>
  <c r="S126" i="6"/>
  <c r="S100" i="6"/>
  <c r="T100" i="6"/>
  <c r="T129" i="6"/>
  <c r="S129" i="6"/>
  <c r="S105" i="6"/>
  <c r="T105" i="6"/>
  <c r="T184" i="6"/>
  <c r="S184" i="6"/>
  <c r="S122" i="6"/>
  <c r="T122" i="6"/>
  <c r="T174" i="6"/>
  <c r="S174" i="6"/>
  <c r="T196" i="6"/>
  <c r="S196" i="6"/>
  <c r="S86" i="6"/>
  <c r="T86" i="6"/>
  <c r="S124" i="6"/>
  <c r="T124" i="6"/>
  <c r="T119" i="6"/>
  <c r="S119" i="6"/>
  <c r="S224" i="6"/>
  <c r="B191" i="2" s="1"/>
  <c r="B194" i="2" s="1"/>
  <c r="T224" i="6"/>
  <c r="T178" i="6"/>
  <c r="S178" i="6"/>
  <c r="S187" i="6"/>
  <c r="T187" i="6"/>
  <c r="S198" i="6"/>
  <c r="T198" i="6"/>
  <c r="S80" i="6"/>
  <c r="T80" i="6"/>
  <c r="S111" i="6"/>
  <c r="T111" i="6"/>
  <c r="T109" i="6"/>
  <c r="S109" i="6"/>
  <c r="T132" i="6"/>
  <c r="S132" i="6"/>
  <c r="T190" i="6"/>
  <c r="S190" i="6"/>
  <c r="T208" i="6"/>
  <c r="S208" i="6"/>
  <c r="T200" i="6"/>
  <c r="S200" i="6"/>
  <c r="S88" i="6"/>
  <c r="T88" i="6"/>
  <c r="S212" i="6"/>
  <c r="T212" i="6"/>
  <c r="T79" i="6"/>
  <c r="S79" i="6"/>
  <c r="T193" i="6"/>
  <c r="S193" i="6"/>
  <c r="S113" i="6"/>
  <c r="T113" i="6"/>
  <c r="T99" i="6"/>
  <c r="S99" i="6"/>
  <c r="S177" i="6"/>
  <c r="T177" i="6"/>
  <c r="S173" i="6"/>
  <c r="T173" i="6"/>
  <c r="S194" i="6"/>
  <c r="T194" i="6"/>
  <c r="S186" i="6"/>
  <c r="T186" i="6"/>
  <c r="T104" i="6"/>
  <c r="S104" i="6"/>
  <c r="B174" i="2" l="1"/>
  <c r="B162" i="1" s="1"/>
  <c r="B172" i="2"/>
  <c r="B160" i="1" s="1"/>
  <c r="K228" i="6"/>
  <c r="L228" i="6"/>
  <c r="L137" i="6"/>
  <c r="K137" i="6"/>
  <c r="R137" i="6"/>
  <c r="Y136" i="6"/>
  <c r="Z136" i="6"/>
  <c r="S227" i="6"/>
  <c r="T227" i="6"/>
  <c r="Y135" i="6"/>
  <c r="Z135" i="6"/>
  <c r="E228" i="6"/>
  <c r="F228" i="6"/>
  <c r="G228" i="6"/>
  <c r="I137" i="6"/>
  <c r="H137" i="6"/>
  <c r="Q228" i="6"/>
  <c r="P228" i="6"/>
  <c r="B177" i="1"/>
  <c r="B196" i="2"/>
  <c r="B179" i="1" s="1"/>
  <c r="B198" i="2"/>
  <c r="B181" i="1" s="1"/>
  <c r="I228" i="6" l="1"/>
  <c r="H228" i="6"/>
  <c r="B200" i="2"/>
  <c r="U186" i="6"/>
  <c r="U210" i="6"/>
  <c r="U202" i="6"/>
  <c r="U178" i="6"/>
  <c r="U176" i="6"/>
  <c r="U194" i="6"/>
  <c r="U218" i="6"/>
  <c r="U170" i="6"/>
  <c r="U216" i="6"/>
  <c r="U184" i="6"/>
  <c r="U175" i="6"/>
  <c r="U223" i="6"/>
  <c r="U214" i="6"/>
  <c r="U209" i="6"/>
  <c r="U205" i="6"/>
  <c r="U171" i="6"/>
  <c r="U219" i="6"/>
  <c r="U213" i="6"/>
  <c r="U181" i="6"/>
  <c r="U215" i="6"/>
  <c r="U206" i="6"/>
  <c r="U204" i="6"/>
  <c r="U207" i="6"/>
  <c r="U201" i="6"/>
  <c r="U199" i="6"/>
  <c r="U211" i="6"/>
  <c r="U208" i="6"/>
  <c r="U198" i="6"/>
  <c r="U203" i="6"/>
  <c r="U190" i="6"/>
  <c r="U196" i="6"/>
  <c r="U195" i="6"/>
  <c r="U200" i="6"/>
  <c r="U191" i="6"/>
  <c r="U182" i="6"/>
  <c r="U193" i="6"/>
  <c r="U187" i="6"/>
  <c r="U197" i="6"/>
  <c r="U183" i="6"/>
  <c r="U177" i="6"/>
  <c r="U220" i="6"/>
  <c r="U188" i="6"/>
  <c r="U179" i="6"/>
  <c r="U224" i="6"/>
  <c r="U192" i="6"/>
  <c r="U174" i="6"/>
  <c r="U169" i="6"/>
  <c r="U217" i="6"/>
  <c r="U185" i="6"/>
  <c r="U173" i="6"/>
  <c r="U221" i="6"/>
  <c r="U189" i="6"/>
  <c r="U172" i="6"/>
  <c r="U222" i="6"/>
  <c r="U212" i="6"/>
  <c r="U180" i="6"/>
  <c r="U226" i="6"/>
  <c r="U227" i="6"/>
  <c r="U228" i="6"/>
  <c r="S137" i="6"/>
  <c r="T137" i="6"/>
  <c r="X137" i="6"/>
  <c r="R228" i="6"/>
  <c r="V221" i="6" l="1"/>
  <c r="W221" i="6"/>
  <c r="X221" i="6"/>
  <c r="V181" i="6"/>
  <c r="W181" i="6"/>
  <c r="X181" i="6"/>
  <c r="V188" i="6"/>
  <c r="W188" i="6"/>
  <c r="X188" i="6"/>
  <c r="W211" i="6"/>
  <c r="V211" i="6"/>
  <c r="X211" i="6"/>
  <c r="X172" i="6"/>
  <c r="V172" i="6"/>
  <c r="W172" i="6"/>
  <c r="V192" i="6"/>
  <c r="W192" i="6"/>
  <c r="X192" i="6"/>
  <c r="W187" i="6"/>
  <c r="V187" i="6"/>
  <c r="X187" i="6"/>
  <c r="W203" i="6"/>
  <c r="V203" i="6"/>
  <c r="X203" i="6"/>
  <c r="V206" i="6"/>
  <c r="W206" i="6"/>
  <c r="X206" i="6"/>
  <c r="V214" i="6"/>
  <c r="W214" i="6"/>
  <c r="X214" i="6"/>
  <c r="X176" i="6"/>
  <c r="V176" i="6"/>
  <c r="W176" i="6"/>
  <c r="V189" i="6"/>
  <c r="W189" i="6"/>
  <c r="X189" i="6"/>
  <c r="V224" i="6"/>
  <c r="W224" i="6"/>
  <c r="X224" i="6"/>
  <c r="V193" i="6"/>
  <c r="W193" i="6"/>
  <c r="X193" i="6"/>
  <c r="V198" i="6"/>
  <c r="X198" i="6"/>
  <c r="W198" i="6"/>
  <c r="W215" i="6"/>
  <c r="V215" i="6"/>
  <c r="X215" i="6"/>
  <c r="W223" i="6"/>
  <c r="V223" i="6"/>
  <c r="X223" i="6"/>
  <c r="V178" i="6"/>
  <c r="X178" i="6"/>
  <c r="W178" i="6"/>
  <c r="V228" i="6"/>
  <c r="W228" i="6"/>
  <c r="X228" i="6"/>
  <c r="V202" i="6"/>
  <c r="W202" i="6"/>
  <c r="X202" i="6"/>
  <c r="V213" i="6"/>
  <c r="W213" i="6"/>
  <c r="X213" i="6"/>
  <c r="W226" i="6"/>
  <c r="V226" i="6"/>
  <c r="X226" i="6"/>
  <c r="V185" i="6"/>
  <c r="W185" i="6"/>
  <c r="X185" i="6"/>
  <c r="V220" i="6"/>
  <c r="W220" i="6"/>
  <c r="X220" i="6"/>
  <c r="V200" i="6"/>
  <c r="W200" i="6"/>
  <c r="X200" i="6"/>
  <c r="W199" i="6"/>
  <c r="V199" i="6"/>
  <c r="X199" i="6"/>
  <c r="W219" i="6"/>
  <c r="V219" i="6"/>
  <c r="X219" i="6"/>
  <c r="V216" i="6"/>
  <c r="W216" i="6"/>
  <c r="X216" i="6"/>
  <c r="V186" i="6"/>
  <c r="X186" i="6"/>
  <c r="W186" i="6"/>
  <c r="V182" i="6"/>
  <c r="X182" i="6"/>
  <c r="W182" i="6"/>
  <c r="W227" i="6"/>
  <c r="V227" i="6"/>
  <c r="X227" i="6"/>
  <c r="V210" i="6"/>
  <c r="W210" i="6"/>
  <c r="X210" i="6"/>
  <c r="V217" i="6"/>
  <c r="W217" i="6"/>
  <c r="X217" i="6"/>
  <c r="V177" i="6"/>
  <c r="X177" i="6"/>
  <c r="W177" i="6"/>
  <c r="W195" i="6"/>
  <c r="V195" i="6"/>
  <c r="X195" i="6"/>
  <c r="V201" i="6"/>
  <c r="W201" i="6"/>
  <c r="X201" i="6"/>
  <c r="W171" i="6"/>
  <c r="V171" i="6"/>
  <c r="X171" i="6"/>
  <c r="V170" i="6"/>
  <c r="X170" i="6"/>
  <c r="W170" i="6"/>
  <c r="B183" i="1"/>
  <c r="B225" i="6"/>
  <c r="C225" i="6" s="1"/>
  <c r="W179" i="6"/>
  <c r="V179" i="6"/>
  <c r="X179" i="6"/>
  <c r="V173" i="6"/>
  <c r="X173" i="6"/>
  <c r="W173" i="6"/>
  <c r="V184" i="6"/>
  <c r="W184" i="6"/>
  <c r="X184" i="6"/>
  <c r="V212" i="6"/>
  <c r="W212" i="6"/>
  <c r="X212" i="6"/>
  <c r="W183" i="6"/>
  <c r="V183" i="6"/>
  <c r="X183" i="6"/>
  <c r="V196" i="6"/>
  <c r="W196" i="6"/>
  <c r="X196" i="6"/>
  <c r="W207" i="6"/>
  <c r="V207" i="6"/>
  <c r="X207" i="6"/>
  <c r="V205" i="6"/>
  <c r="W205" i="6"/>
  <c r="X205" i="6"/>
  <c r="V218" i="6"/>
  <c r="W218" i="6"/>
  <c r="X218" i="6"/>
  <c r="V208" i="6"/>
  <c r="W208" i="6"/>
  <c r="X208" i="6"/>
  <c r="W175" i="6"/>
  <c r="V175" i="6"/>
  <c r="X175" i="6"/>
  <c r="W191" i="6"/>
  <c r="V191" i="6"/>
  <c r="X191" i="6"/>
  <c r="V180" i="6"/>
  <c r="W180" i="6"/>
  <c r="X180" i="6"/>
  <c r="T228" i="6"/>
  <c r="S228" i="6"/>
  <c r="X169" i="6"/>
  <c r="W169" i="6"/>
  <c r="V169" i="6"/>
  <c r="Y137" i="6"/>
  <c r="Z137" i="6"/>
  <c r="V222" i="6"/>
  <c r="W222" i="6"/>
  <c r="X222" i="6"/>
  <c r="V174" i="6"/>
  <c r="W174" i="6"/>
  <c r="X174" i="6"/>
  <c r="V197" i="6"/>
  <c r="W197" i="6"/>
  <c r="X197" i="6"/>
  <c r="V190" i="6"/>
  <c r="X190" i="6"/>
  <c r="W190" i="6"/>
  <c r="V204" i="6"/>
  <c r="W204" i="6"/>
  <c r="X204" i="6"/>
  <c r="V209" i="6"/>
  <c r="W209" i="6"/>
  <c r="X209" i="6"/>
  <c r="V194" i="6"/>
  <c r="W194" i="6"/>
  <c r="X194" i="6"/>
  <c r="Z181" i="6" l="1"/>
  <c r="Y181" i="6"/>
  <c r="Y175" i="6"/>
  <c r="Z175" i="6"/>
  <c r="Y185" i="6"/>
  <c r="Z185" i="6"/>
  <c r="Z174" i="6"/>
  <c r="Y174" i="6"/>
  <c r="Y191" i="6"/>
  <c r="Z191" i="6"/>
  <c r="Y212" i="6"/>
  <c r="Z212" i="6"/>
  <c r="Z210" i="6"/>
  <c r="Y210" i="6"/>
  <c r="Y220" i="6"/>
  <c r="Z220" i="6"/>
  <c r="Y215" i="6"/>
  <c r="Z215" i="6"/>
  <c r="Y203" i="6"/>
  <c r="Z203" i="6"/>
  <c r="Y194" i="6"/>
  <c r="Z194" i="6"/>
  <c r="Z218" i="6"/>
  <c r="Y218" i="6"/>
  <c r="Y179" i="6"/>
  <c r="Z179" i="6"/>
  <c r="Z171" i="6"/>
  <c r="Y171" i="6"/>
  <c r="Z213" i="6"/>
  <c r="Y213" i="6"/>
  <c r="Y224" i="6"/>
  <c r="Z224" i="6"/>
  <c r="Y176" i="6"/>
  <c r="Z176" i="6"/>
  <c r="Z186" i="6"/>
  <c r="Y186" i="6"/>
  <c r="Y184" i="6"/>
  <c r="Z184" i="6"/>
  <c r="Z187" i="6"/>
  <c r="Y187" i="6"/>
  <c r="Y172" i="6"/>
  <c r="Z172" i="6"/>
  <c r="Y209" i="6"/>
  <c r="Z209" i="6"/>
  <c r="Z205" i="6"/>
  <c r="Y205" i="6"/>
  <c r="U225" i="6"/>
  <c r="O225" i="6"/>
  <c r="D225" i="6"/>
  <c r="J225" i="6" s="1"/>
  <c r="Y201" i="6"/>
  <c r="Z201" i="6"/>
  <c r="Y216" i="6"/>
  <c r="Z216" i="6"/>
  <c r="Z202" i="6"/>
  <c r="Y202" i="6"/>
  <c r="Z198" i="6"/>
  <c r="Y198" i="6"/>
  <c r="Z189" i="6"/>
  <c r="Y189" i="6"/>
  <c r="Y211" i="6"/>
  <c r="Z211" i="6"/>
  <c r="Y196" i="6"/>
  <c r="Z196" i="6"/>
  <c r="Y222" i="6"/>
  <c r="Z222" i="6"/>
  <c r="Y227" i="6"/>
  <c r="Z227" i="6"/>
  <c r="Y183" i="6"/>
  <c r="Z183" i="6"/>
  <c r="Y217" i="6"/>
  <c r="Z217" i="6"/>
  <c r="Y200" i="6"/>
  <c r="Z200" i="6"/>
  <c r="Z223" i="6"/>
  <c r="Y223" i="6"/>
  <c r="Z206" i="6"/>
  <c r="Y206" i="6"/>
  <c r="Z221" i="6"/>
  <c r="Y221" i="6"/>
  <c r="Z169" i="6"/>
  <c r="Y169" i="6"/>
  <c r="Z190" i="6"/>
  <c r="Y190" i="6"/>
  <c r="Z197" i="6"/>
  <c r="Y197" i="6"/>
  <c r="Y208" i="6"/>
  <c r="Z208" i="6"/>
  <c r="Y226" i="6"/>
  <c r="Z226" i="6"/>
  <c r="Y193" i="6"/>
  <c r="Z193" i="6"/>
  <c r="Y192" i="6"/>
  <c r="Z192" i="6"/>
  <c r="Z199" i="6"/>
  <c r="Y199" i="6"/>
  <c r="Y214" i="6"/>
  <c r="Z214" i="6"/>
  <c r="Y177" i="6"/>
  <c r="Z177" i="6"/>
  <c r="Z178" i="6"/>
  <c r="Y178" i="6"/>
  <c r="Y180" i="6"/>
  <c r="Z180" i="6"/>
  <c r="Y204" i="6"/>
  <c r="Z204" i="6"/>
  <c r="Y207" i="6"/>
  <c r="Z207" i="6"/>
  <c r="Y173" i="6"/>
  <c r="Z173" i="6"/>
  <c r="Z170" i="6"/>
  <c r="Y170" i="6"/>
  <c r="Y195" i="6"/>
  <c r="Z195" i="6"/>
  <c r="Z182" i="6"/>
  <c r="Y182" i="6"/>
  <c r="Z219" i="6"/>
  <c r="Y219" i="6"/>
  <c r="Y228" i="6"/>
  <c r="Z228" i="6"/>
  <c r="Y188" i="6"/>
  <c r="Z188" i="6"/>
  <c r="K225" i="6" l="1"/>
  <c r="L225" i="6"/>
  <c r="V225" i="6"/>
  <c r="W225" i="6"/>
  <c r="E225" i="6"/>
  <c r="F225" i="6"/>
  <c r="G225" i="6"/>
  <c r="R225" i="6" s="1"/>
  <c r="Q225" i="6"/>
  <c r="P225" i="6"/>
  <c r="I225" i="6" l="1"/>
  <c r="H225" i="6"/>
  <c r="S225" i="6"/>
  <c r="T225" i="6"/>
  <c r="X225" i="6"/>
  <c r="Y225" i="6" l="1"/>
  <c r="Z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PPD-NPS</author>
  </authors>
  <commentList>
    <comment ref="G5" authorId="0" shapeId="0" xr:uid="{00000000-0006-0000-0000-000001000000}">
      <text>
        <r>
          <rPr>
            <b/>
            <sz val="9"/>
            <color rgb="FF000000"/>
            <rFont val="Tahoma"/>
            <family val="2"/>
          </rPr>
          <t xml:space="preserve">Welcome to the LM5170 Quickstart Design Tool
</t>
        </r>
        <r>
          <rPr>
            <b/>
            <sz val="9"/>
            <color rgb="FF000000"/>
            <rFont val="Tahoma"/>
            <family val="2"/>
          </rPr>
          <t xml:space="preserve">
</t>
        </r>
        <r>
          <rPr>
            <sz val="9"/>
            <color rgb="FF000000"/>
            <rFont val="Tahoma"/>
            <family val="2"/>
          </rPr>
          <t>This stand-alone tool facilitates and assists the power supply engineer with design of a DC/DC bi-directional buck/boost converter based on the LM5170 controller.</t>
        </r>
        <r>
          <rPr>
            <b/>
            <sz val="9"/>
            <color rgb="FF000000"/>
            <rFont val="Tahoma"/>
            <family val="2"/>
          </rPr>
          <t xml:space="preserve">
</t>
        </r>
        <r>
          <rPr>
            <b/>
            <sz val="9"/>
            <color rgb="FF000000"/>
            <rFont val="Tahoma"/>
            <family val="2"/>
          </rPr>
          <t xml:space="preserve">
</t>
        </r>
        <r>
          <rPr>
            <b/>
            <sz val="9"/>
            <color rgb="FF000000"/>
            <rFont val="Tahoma"/>
            <family val="2"/>
          </rPr>
          <t xml:space="preserve">U.S. English notation is used throughout.
</t>
        </r>
        <r>
          <rPr>
            <b/>
            <sz val="9"/>
            <color rgb="FF000000"/>
            <rFont val="Tahoma"/>
            <family val="2"/>
          </rPr>
          <t xml:space="preserve">
</t>
        </r>
        <r>
          <rPr>
            <b/>
            <sz val="9"/>
            <color rgb="FF000000"/>
            <rFont val="Tahoma"/>
            <family val="2"/>
          </rPr>
          <t xml:space="preserve">http://www.ti.com/widevin/
</t>
        </r>
        <r>
          <rPr>
            <b/>
            <sz val="9"/>
            <color rgb="FF000000"/>
            <rFont val="Tahoma"/>
            <family val="2"/>
          </rPr>
          <t xml:space="preserve">
</t>
        </r>
        <r>
          <rPr>
            <b/>
            <sz val="9"/>
            <color rgb="FF000000"/>
            <rFont val="Tahoma"/>
            <family val="2"/>
          </rPr>
          <t>Rev 1.0, Texas Instruments, Inc.</t>
        </r>
        <r>
          <rPr>
            <sz val="9"/>
            <color rgb="FF000000"/>
            <rFont val="Tahoma"/>
            <family val="2"/>
          </rPr>
          <t xml:space="preserve">
</t>
        </r>
      </text>
    </comment>
    <comment ref="B11" authorId="0" shapeId="0" xr:uid="{00000000-0006-0000-0000-000003000000}">
      <text>
        <r>
          <rPr>
            <b/>
            <sz val="9"/>
            <color rgb="FF000000"/>
            <rFont val="Tahoma"/>
            <family val="2"/>
          </rPr>
          <t>HV Port Minimum Voltage:</t>
        </r>
        <r>
          <rPr>
            <sz val="9"/>
            <color rgb="FF000000"/>
            <rFont val="Tahoma"/>
            <family val="2"/>
          </rPr>
          <t xml:space="preserve">
</t>
        </r>
        <r>
          <rPr>
            <sz val="9"/>
            <color rgb="FF000000"/>
            <rFont val="Tahoma"/>
            <family val="2"/>
          </rPr>
          <t xml:space="preserve">
</t>
        </r>
        <r>
          <rPr>
            <sz val="9"/>
            <color rgb="FF000000"/>
            <rFont val="Tahoma"/>
            <family val="2"/>
          </rPr>
          <t xml:space="preserve">Datasheet Operating </t>
        </r>
        <r>
          <rPr>
            <b/>
            <sz val="9"/>
            <color rgb="FF000000"/>
            <rFont val="Tahoma"/>
            <family val="2"/>
          </rPr>
          <t>Minimum: 6V</t>
        </r>
      </text>
    </comment>
    <comment ref="B12" authorId="0" shapeId="0" xr:uid="{00000000-0006-0000-0000-000004000000}">
      <text>
        <r>
          <rPr>
            <b/>
            <sz val="9"/>
            <color rgb="FF000000"/>
            <rFont val="Tahoma"/>
            <family val="2"/>
          </rPr>
          <t xml:space="preserve">HV Port Nominal Voltage:
</t>
        </r>
        <r>
          <rPr>
            <b/>
            <sz val="9"/>
            <color rgb="FF000000"/>
            <rFont val="Tahoma"/>
            <family val="2"/>
          </rPr>
          <t xml:space="preserve">
</t>
        </r>
        <r>
          <rPr>
            <sz val="9"/>
            <color rgb="FF000000"/>
            <rFont val="Tahoma"/>
            <family val="2"/>
          </rPr>
          <t xml:space="preserve">This is the nominal INPUT voltage in BUCK MODE. 
</t>
        </r>
        <r>
          <rPr>
            <sz val="9"/>
            <color rgb="FF000000"/>
            <rFont val="Tahoma"/>
            <family val="2"/>
          </rPr>
          <t xml:space="preserve">
</t>
        </r>
        <r>
          <rPr>
            <sz val="9"/>
            <color rgb="FF000000"/>
            <rFont val="Tahoma"/>
            <family val="2"/>
          </rPr>
          <t>It is also the set output voltage in BOOST MODE.</t>
        </r>
      </text>
    </comment>
    <comment ref="B13" authorId="0" shapeId="0" xr:uid="{00000000-0006-0000-0000-000005000000}">
      <text>
        <r>
          <rPr>
            <b/>
            <sz val="9"/>
            <color rgb="FF000000"/>
            <rFont val="Tahoma"/>
            <family val="2"/>
          </rPr>
          <t xml:space="preserve">HV Port Maximum Voltage:
</t>
        </r>
        <r>
          <rPr>
            <sz val="9"/>
            <color rgb="FF000000"/>
            <rFont val="Tahoma"/>
            <family val="2"/>
          </rPr>
          <t xml:space="preserve">Enter the expected Maximum voltage at the HV-Port
</t>
        </r>
        <r>
          <rPr>
            <sz val="9"/>
            <color rgb="FF000000"/>
            <rFont val="Tahoma"/>
            <family val="2"/>
          </rPr>
          <t xml:space="preserve">
</t>
        </r>
        <r>
          <rPr>
            <sz val="9"/>
            <color rgb="FF000000"/>
            <rFont val="Tahoma"/>
            <family val="2"/>
          </rPr>
          <t xml:space="preserve">Datasheet Operating </t>
        </r>
        <r>
          <rPr>
            <b/>
            <u/>
            <sz val="9"/>
            <color rgb="FF000000"/>
            <rFont val="Tahoma"/>
            <family val="2"/>
          </rPr>
          <t>Maximum</t>
        </r>
        <r>
          <rPr>
            <sz val="9"/>
            <color rgb="FF000000"/>
            <rFont val="Tahoma"/>
            <family val="2"/>
          </rPr>
          <t xml:space="preserve">: 85V
</t>
        </r>
        <r>
          <rPr>
            <sz val="9"/>
            <color rgb="FF000000"/>
            <rFont val="Tahoma"/>
            <family val="2"/>
          </rPr>
          <t xml:space="preserve">
</t>
        </r>
        <r>
          <rPr>
            <sz val="9"/>
            <color rgb="FF000000"/>
            <rFont val="Tahoma"/>
            <family val="2"/>
          </rPr>
          <t xml:space="preserve">(Do not go below the Datasheet Operating Minimum Voltages)
</t>
        </r>
      </text>
    </comment>
    <comment ref="B16" authorId="0" shapeId="0" xr:uid="{00000000-0006-0000-0000-000006000000}">
      <text>
        <r>
          <rPr>
            <b/>
            <sz val="9"/>
            <color rgb="FF000000"/>
            <rFont val="Tahoma"/>
            <family val="2"/>
          </rPr>
          <t>LV Port Minimum Voltage:</t>
        </r>
        <r>
          <rPr>
            <sz val="9"/>
            <color rgb="FF000000"/>
            <rFont val="Tahoma"/>
            <family val="2"/>
          </rPr>
          <t xml:space="preserve">
</t>
        </r>
        <r>
          <rPr>
            <sz val="9"/>
            <color rgb="FF000000"/>
            <rFont val="Tahoma"/>
            <family val="2"/>
          </rPr>
          <t xml:space="preserve">Enter the expected minimum voltage at the LV-Port
</t>
        </r>
        <r>
          <rPr>
            <sz val="9"/>
            <color rgb="FF000000"/>
            <rFont val="Tahoma"/>
            <family val="2"/>
          </rPr>
          <t xml:space="preserve">
</t>
        </r>
        <r>
          <rPr>
            <sz val="9"/>
            <color rgb="FF000000"/>
            <rFont val="Tahoma"/>
            <family val="2"/>
          </rPr>
          <t xml:space="preserve">Datasheet Operating </t>
        </r>
        <r>
          <rPr>
            <b/>
            <u/>
            <sz val="9"/>
            <color rgb="FF000000"/>
            <rFont val="Tahoma"/>
            <family val="2"/>
          </rPr>
          <t>Minimum</t>
        </r>
        <r>
          <rPr>
            <b/>
            <sz val="9"/>
            <color rgb="FF000000"/>
            <rFont val="Tahoma"/>
            <family val="2"/>
          </rPr>
          <t xml:space="preserve"> (BOOST MODE): 3V</t>
        </r>
        <r>
          <rPr>
            <sz val="9"/>
            <color rgb="FF000000"/>
            <rFont val="Tahoma"/>
            <family val="2"/>
          </rPr>
          <t xml:space="preserve">
</t>
        </r>
        <r>
          <rPr>
            <sz val="9"/>
            <color rgb="FF000000"/>
            <rFont val="Tahoma"/>
            <family val="2"/>
          </rPr>
          <t xml:space="preserve">Datasheet Operating </t>
        </r>
        <r>
          <rPr>
            <b/>
            <u/>
            <sz val="9"/>
            <color rgb="FF000000"/>
            <rFont val="Tahoma"/>
            <family val="2"/>
          </rPr>
          <t>Minimum</t>
        </r>
        <r>
          <rPr>
            <b/>
            <sz val="9"/>
            <color rgb="FF000000"/>
            <rFont val="Tahoma"/>
            <family val="2"/>
          </rPr>
          <t xml:space="preserve"> (BUCK MODE): 0V</t>
        </r>
        <r>
          <rPr>
            <sz val="9"/>
            <color rgb="FF000000"/>
            <rFont val="Tahoma"/>
            <family val="2"/>
          </rPr>
          <t xml:space="preserve">
</t>
        </r>
        <r>
          <rPr>
            <sz val="9"/>
            <color rgb="FF000000"/>
            <rFont val="Tahoma"/>
            <family val="2"/>
          </rPr>
          <t xml:space="preserve">
</t>
        </r>
        <r>
          <rPr>
            <sz val="9"/>
            <color rgb="FF000000"/>
            <rFont val="Tahoma"/>
            <family val="2"/>
          </rPr>
          <t>(Do not go below the Datasheet Operating Minimum Voltages)</t>
        </r>
      </text>
    </comment>
    <comment ref="B17" authorId="0" shapeId="0" xr:uid="{00000000-0006-0000-0000-000007000000}">
      <text>
        <r>
          <rPr>
            <b/>
            <sz val="9"/>
            <color rgb="FF000000"/>
            <rFont val="Tahoma"/>
            <family val="2"/>
          </rPr>
          <t xml:space="preserve">LV Port Nominal Voltage:
</t>
        </r>
        <r>
          <rPr>
            <sz val="9"/>
            <color rgb="FF000000"/>
            <rFont val="Tahoma"/>
            <family val="2"/>
          </rPr>
          <t xml:space="preserve">
</t>
        </r>
        <r>
          <rPr>
            <sz val="9"/>
            <color rgb="FF000000"/>
            <rFont val="Tahoma"/>
            <family val="2"/>
          </rPr>
          <t xml:space="preserve">This is the nominal input voltage in BOOST MODE. 
</t>
        </r>
        <r>
          <rPr>
            <sz val="9"/>
            <color rgb="FF000000"/>
            <rFont val="Tahoma"/>
            <family val="2"/>
          </rPr>
          <t xml:space="preserve">
</t>
        </r>
        <r>
          <rPr>
            <sz val="9"/>
            <color rgb="FF000000"/>
            <rFont val="Tahoma"/>
            <family val="2"/>
          </rPr>
          <t>It is also the set output voltage in BUCK MODE.</t>
        </r>
      </text>
    </comment>
    <comment ref="B18" authorId="0" shapeId="0" xr:uid="{00000000-0006-0000-0000-000008000000}">
      <text>
        <r>
          <rPr>
            <b/>
            <sz val="9"/>
            <color rgb="FF000000"/>
            <rFont val="Tahoma"/>
            <family val="2"/>
          </rPr>
          <t xml:space="preserve">LV Port Maximum Voltage:
</t>
        </r>
        <r>
          <rPr>
            <sz val="9"/>
            <color rgb="FF000000"/>
            <rFont val="Tahoma"/>
            <family val="2"/>
          </rPr>
          <t>Enter the expected maximum voltage at the LV-Port</t>
        </r>
        <r>
          <rPr>
            <b/>
            <sz val="9"/>
            <color rgb="FF000000"/>
            <rFont val="Tahoma"/>
            <family val="2"/>
          </rPr>
          <t xml:space="preserve">
</t>
        </r>
        <r>
          <rPr>
            <b/>
            <sz val="9"/>
            <color rgb="FF000000"/>
            <rFont val="Tahoma"/>
            <family val="2"/>
          </rPr>
          <t xml:space="preserve">
</t>
        </r>
        <r>
          <rPr>
            <sz val="9"/>
            <color rgb="FF000000"/>
            <rFont val="Tahoma"/>
            <family val="2"/>
          </rPr>
          <t xml:space="preserve">Datasheet Operating Maximum: 60V
</t>
        </r>
        <r>
          <rPr>
            <sz val="9"/>
            <color rgb="FF000000"/>
            <rFont val="Tahoma"/>
            <family val="2"/>
          </rPr>
          <t>(Do not surpass 60V)</t>
        </r>
      </text>
    </comment>
    <comment ref="B21" authorId="0" shapeId="0" xr:uid="{00000000-0006-0000-0000-000009000000}">
      <text>
        <r>
          <rPr>
            <b/>
            <sz val="9"/>
            <color rgb="FF000000"/>
            <rFont val="Tahoma"/>
            <family val="2"/>
          </rPr>
          <t xml:space="preserve">Selected Switching Frequency:
</t>
        </r>
        <r>
          <rPr>
            <sz val="9"/>
            <color rgb="FF000000"/>
            <rFont val="Tahoma"/>
            <family val="2"/>
          </rPr>
          <t>Recommended Operating</t>
        </r>
        <r>
          <rPr>
            <b/>
            <sz val="9"/>
            <color rgb="FF000000"/>
            <rFont val="Tahoma"/>
            <family val="2"/>
          </rPr>
          <t xml:space="preserve"> </t>
        </r>
        <r>
          <rPr>
            <b/>
            <u/>
            <sz val="9"/>
            <color rgb="FF000000"/>
            <rFont val="Tahoma"/>
            <family val="2"/>
          </rPr>
          <t>Minimum</t>
        </r>
        <r>
          <rPr>
            <sz val="9"/>
            <color rgb="FF000000"/>
            <rFont val="Tahoma"/>
            <family val="2"/>
          </rPr>
          <t xml:space="preserve"> Switching Frequency: </t>
        </r>
        <r>
          <rPr>
            <b/>
            <sz val="9"/>
            <color rgb="FF000000"/>
            <rFont val="Tahoma"/>
            <family val="2"/>
          </rPr>
          <t>50Khz</t>
        </r>
        <r>
          <rPr>
            <sz val="9"/>
            <color rgb="FF000000"/>
            <rFont val="Tahoma"/>
            <family val="2"/>
          </rPr>
          <t xml:space="preserve">
</t>
        </r>
        <r>
          <rPr>
            <sz val="9"/>
            <color rgb="FF000000"/>
            <rFont val="Tahoma"/>
            <family val="2"/>
          </rPr>
          <t xml:space="preserve">Recommended Operating </t>
        </r>
        <r>
          <rPr>
            <b/>
            <u/>
            <sz val="9"/>
            <color rgb="FF000000"/>
            <rFont val="Tahoma"/>
            <family val="2"/>
          </rPr>
          <t>Maximum</t>
        </r>
        <r>
          <rPr>
            <b/>
            <sz val="9"/>
            <color rgb="FF000000"/>
            <rFont val="Tahoma"/>
            <family val="2"/>
          </rPr>
          <t xml:space="preserve"> </t>
        </r>
        <r>
          <rPr>
            <sz val="9"/>
            <color rgb="FF000000"/>
            <rFont val="Tahoma"/>
            <family val="2"/>
          </rPr>
          <t xml:space="preserve">Switching Frequency: </t>
        </r>
        <r>
          <rPr>
            <b/>
            <sz val="9"/>
            <color rgb="FF000000"/>
            <rFont val="Tahoma"/>
            <family val="2"/>
          </rPr>
          <t>500kHz</t>
        </r>
        <r>
          <rPr>
            <sz val="9"/>
            <color rgb="FF000000"/>
            <rFont val="Tahoma"/>
            <family val="2"/>
          </rPr>
          <t xml:space="preserve">
</t>
        </r>
      </text>
    </comment>
    <comment ref="B22" authorId="0" shapeId="0" xr:uid="{00000000-0006-0000-0000-00000A000000}">
      <text>
        <r>
          <rPr>
            <b/>
            <sz val="9"/>
            <color rgb="FF000000"/>
            <rFont val="Tahoma"/>
            <family val="2"/>
          </rPr>
          <t>Oscillator Set Resistor (R</t>
        </r>
        <r>
          <rPr>
            <b/>
            <vertAlign val="subscript"/>
            <sz val="9"/>
            <color rgb="FF000000"/>
            <rFont val="Tahoma"/>
            <family val="2"/>
          </rPr>
          <t>OSC</t>
        </r>
        <r>
          <rPr>
            <b/>
            <sz val="9"/>
            <color rgb="FF000000"/>
            <rFont val="Tahoma"/>
            <family val="2"/>
          </rPr>
          <t xml:space="preserve">):
</t>
        </r>
        <r>
          <rPr>
            <sz val="9"/>
            <color rgb="FF000000"/>
            <rFont val="Tahoma"/>
            <family val="2"/>
          </rPr>
          <t>This value is calculated based on the "</t>
        </r>
        <r>
          <rPr>
            <b/>
            <sz val="9"/>
            <color rgb="FF000000"/>
            <rFont val="Tahoma"/>
            <family val="2"/>
          </rPr>
          <t>Selected Switching Frequency</t>
        </r>
        <r>
          <rPr>
            <sz val="9"/>
            <color rgb="FF000000"/>
            <rFont val="Tahoma"/>
            <family val="2"/>
          </rPr>
          <t>"</t>
        </r>
        <r>
          <rPr>
            <b/>
            <sz val="9"/>
            <color rgb="FF000000"/>
            <rFont val="Tahoma"/>
            <family val="2"/>
          </rPr>
          <t xml:space="preserve"> </t>
        </r>
        <r>
          <rPr>
            <sz val="9"/>
            <color rgb="FF000000"/>
            <rFont val="Tahoma"/>
            <family val="2"/>
          </rPr>
          <t xml:space="preserve">
</t>
        </r>
      </text>
    </comment>
    <comment ref="B25" authorId="0" shapeId="0" xr:uid="{00000000-0006-0000-0000-00000B000000}">
      <text>
        <r>
          <rPr>
            <b/>
            <sz val="9"/>
            <color rgb="FF000000"/>
            <rFont val="Tahoma"/>
            <family val="2"/>
          </rPr>
          <t>Total Number of Phases:</t>
        </r>
        <r>
          <rPr>
            <sz val="9"/>
            <color rgb="FF000000"/>
            <rFont val="Tahoma"/>
            <family val="2"/>
          </rPr>
          <t xml:space="preserve">
</t>
        </r>
        <r>
          <rPr>
            <sz val="9"/>
            <color rgb="FF000000"/>
            <rFont val="Tahoma"/>
            <family val="2"/>
          </rPr>
          <t xml:space="preserve">Input the total number of phases used during maximum current delivery.  
</t>
        </r>
        <r>
          <rPr>
            <sz val="9"/>
            <color rgb="FF000000"/>
            <rFont val="Tahoma"/>
            <family val="2"/>
          </rPr>
          <t xml:space="preserve">(More than two phases requires multiple LM5170's connected in parallel).
</t>
        </r>
      </text>
    </comment>
    <comment ref="B26" authorId="0" shapeId="0" xr:uid="{00000000-0006-0000-0000-00000C000000}">
      <text>
        <r>
          <rPr>
            <b/>
            <sz val="9"/>
            <color rgb="FF000000"/>
            <rFont val="Tahoma"/>
            <family val="2"/>
          </rPr>
          <t>Total Maximum LV-Port Current:</t>
        </r>
        <r>
          <rPr>
            <sz val="9"/>
            <color rgb="FF000000"/>
            <rFont val="Tahoma"/>
            <family val="2"/>
          </rPr>
          <t xml:space="preserve">
</t>
        </r>
        <r>
          <rPr>
            <sz val="9"/>
            <color rgb="FF000000"/>
            <rFont val="Tahoma"/>
            <family val="2"/>
          </rPr>
          <t xml:space="preserve">Enter the maximum desired LV-Port current.  
</t>
        </r>
        <r>
          <rPr>
            <sz val="9"/>
            <color rgb="FF000000"/>
            <rFont val="Tahoma"/>
            <family val="2"/>
          </rPr>
          <t xml:space="preserve">
</t>
        </r>
        <r>
          <rPr>
            <sz val="9"/>
            <color rgb="FF000000"/>
            <rFont val="Tahoma"/>
            <family val="2"/>
          </rPr>
          <t xml:space="preserve">This value is used to calculate the following component values:
</t>
        </r>
        <r>
          <rPr>
            <b/>
            <sz val="9"/>
            <color rgb="FF000000"/>
            <rFont val="Tahoma"/>
            <family val="2"/>
          </rPr>
          <t>Current sense resistor</t>
        </r>
        <r>
          <rPr>
            <sz val="9"/>
            <color rgb="FF000000"/>
            <rFont val="Tahoma"/>
            <family val="2"/>
          </rPr>
          <t>: R</t>
        </r>
        <r>
          <rPr>
            <vertAlign val="subscript"/>
            <sz val="9"/>
            <color rgb="FF000000"/>
            <rFont val="Tahoma"/>
            <family val="2"/>
          </rPr>
          <t>CS1/2</t>
        </r>
        <r>
          <rPr>
            <sz val="9"/>
            <color rgb="FF000000"/>
            <rFont val="Tahoma"/>
            <family val="2"/>
          </rPr>
          <t xml:space="preserve"> 
</t>
        </r>
        <r>
          <rPr>
            <b/>
            <sz val="9"/>
            <color rgb="FF000000"/>
            <rFont val="Tahoma"/>
            <family val="2"/>
          </rPr>
          <t>Power train inductor</t>
        </r>
        <r>
          <rPr>
            <sz val="9"/>
            <color rgb="FF000000"/>
            <rFont val="Tahoma"/>
            <family val="2"/>
          </rPr>
          <t>: L</t>
        </r>
        <r>
          <rPr>
            <vertAlign val="subscript"/>
            <sz val="9"/>
            <color rgb="FF000000"/>
            <rFont val="Tahoma"/>
            <family val="2"/>
          </rPr>
          <t>OUT1/2</t>
        </r>
      </text>
    </comment>
    <comment ref="B27" authorId="0" shapeId="0" xr:uid="{00000000-0006-0000-0000-00000D000000}">
      <text>
        <r>
          <rPr>
            <b/>
            <sz val="9"/>
            <color rgb="FF000000"/>
            <rFont val="Tahoma"/>
            <family val="2"/>
          </rPr>
          <t xml:space="preserve">Calculated Current Sense Resistor:
</t>
        </r>
        <r>
          <rPr>
            <sz val="9"/>
            <color rgb="FF000000"/>
            <rFont val="Tahoma"/>
            <family val="2"/>
          </rPr>
          <t>The current sense resistor value (</t>
        </r>
        <r>
          <rPr>
            <b/>
            <sz val="9"/>
            <color rgb="FF000000"/>
            <rFont val="Tahoma"/>
            <family val="2"/>
          </rPr>
          <t>R</t>
        </r>
        <r>
          <rPr>
            <b/>
            <vertAlign val="subscript"/>
            <sz val="9"/>
            <color rgb="FF000000"/>
            <rFont val="Tahoma"/>
            <family val="2"/>
          </rPr>
          <t>CS1/2</t>
        </r>
        <r>
          <rPr>
            <sz val="9"/>
            <color rgb="FF000000"/>
            <rFont val="Tahoma"/>
            <family val="2"/>
          </rPr>
          <t>) is calculated to produce 50mV at the maximum phase current (  Total LV-Port Current / Total Number of Phases  ).</t>
        </r>
      </text>
    </comment>
    <comment ref="B28" authorId="0" shapeId="0" xr:uid="{00000000-0006-0000-0000-00000E000000}">
      <text>
        <r>
          <rPr>
            <b/>
            <sz val="9"/>
            <color rgb="FF000000"/>
            <rFont val="Tahoma"/>
            <family val="2"/>
          </rPr>
          <t xml:space="preserve">Selected (Chosen) Sense Resistor:
</t>
        </r>
        <r>
          <rPr>
            <b/>
            <sz val="9"/>
            <color rgb="FF000000"/>
            <rFont val="Tahoma"/>
            <family val="2"/>
          </rPr>
          <t xml:space="preserve">
</t>
        </r>
        <r>
          <rPr>
            <sz val="9"/>
            <color rgb="FF000000"/>
            <rFont val="Tahoma"/>
            <family val="2"/>
          </rPr>
          <t xml:space="preserve">Enter your chosen sense resistor in this cell.  Use the calculated sense resistor as a guideline.
</t>
        </r>
      </text>
    </comment>
    <comment ref="B29" authorId="0" shapeId="0" xr:uid="{00000000-0006-0000-0000-00000F000000}">
      <text>
        <r>
          <rPr>
            <b/>
            <sz val="9"/>
            <color rgb="FF000000"/>
            <rFont val="Tahoma"/>
            <family val="2"/>
          </rPr>
          <t>Maximum Average Inductor Current Per Channel:</t>
        </r>
        <r>
          <rPr>
            <sz val="9"/>
            <color rgb="FF000000"/>
            <rFont val="Tahoma"/>
            <family val="2"/>
          </rPr>
          <t xml:space="preserve">
</t>
        </r>
        <r>
          <rPr>
            <sz val="9"/>
            <color rgb="FF000000"/>
            <rFont val="Tahoma"/>
            <family val="2"/>
          </rPr>
          <t xml:space="preserve">This value is calculated based on </t>
        </r>
        <r>
          <rPr>
            <b/>
            <sz val="9"/>
            <color rgb="FF000000"/>
            <rFont val="Tahoma"/>
            <family val="2"/>
          </rPr>
          <t>50mV</t>
        </r>
        <r>
          <rPr>
            <sz val="9"/>
            <color rgb="FF000000"/>
            <rFont val="Tahoma"/>
            <family val="2"/>
          </rPr>
          <t xml:space="preserve"> across the Selected (Chosen) Sense Resistor</t>
        </r>
      </text>
    </comment>
    <comment ref="B30" authorId="0" shapeId="0" xr:uid="{00000000-0006-0000-0000-000010000000}">
      <text>
        <r>
          <rPr>
            <b/>
            <sz val="9"/>
            <color rgb="FF000000"/>
            <rFont val="Tahoma"/>
            <family val="2"/>
          </rPr>
          <t xml:space="preserve">Maximum LV-Port Rail Current:
</t>
        </r>
        <r>
          <rPr>
            <sz val="9"/>
            <color rgb="FF000000"/>
            <rFont val="Tahoma"/>
            <family val="2"/>
          </rPr>
          <t xml:space="preserve">
</t>
        </r>
        <r>
          <rPr>
            <sz val="9"/>
            <color rgb="FF000000"/>
            <rFont val="Tahoma"/>
            <family val="2"/>
          </rPr>
          <t>This is the maximum current at the LV-Port.</t>
        </r>
      </text>
    </comment>
    <comment ref="B35" authorId="0" shapeId="0" xr:uid="{00000000-0006-0000-0000-000011000000}">
      <text>
        <r>
          <rPr>
            <b/>
            <sz val="9"/>
            <color rgb="FF000000"/>
            <rFont val="Tahoma"/>
            <family val="2"/>
          </rPr>
          <t xml:space="preserve">Selected Peak-to-Peak Ripple Ratio:
</t>
        </r>
        <r>
          <rPr>
            <b/>
            <sz val="9"/>
            <color rgb="FF000000"/>
            <rFont val="Tahoma"/>
            <family val="2"/>
          </rPr>
          <t xml:space="preserve">
</t>
        </r>
        <r>
          <rPr>
            <sz val="9"/>
            <color rgb="FF000000"/>
            <rFont val="Tahoma"/>
            <family val="2"/>
          </rPr>
          <t xml:space="preserve">This is the ratio of peak-to-peak inductor ripple current to the maximum average inductor current. Typically this value should be 80% or less.
</t>
        </r>
        <r>
          <rPr>
            <sz val="9"/>
            <color rgb="FF000000"/>
            <rFont val="Tahoma"/>
            <family val="2"/>
          </rPr>
          <t xml:space="preserve">
</t>
        </r>
        <r>
          <rPr>
            <sz val="9"/>
            <color rgb="FF000000"/>
            <rFont val="Tahoma"/>
            <family val="2"/>
          </rPr>
          <t>Once the Ripple Ratio has been selected it will be used to calculate the inductor value</t>
        </r>
      </text>
    </comment>
    <comment ref="B36" authorId="0" shapeId="0" xr:uid="{00000000-0006-0000-0000-000012000000}">
      <text>
        <r>
          <rPr>
            <b/>
            <sz val="9"/>
            <color rgb="FF000000"/>
            <rFont val="Tahoma"/>
            <family val="2"/>
          </rPr>
          <t xml:space="preserve">Calculated Inductor
</t>
        </r>
        <r>
          <rPr>
            <b/>
            <sz val="9"/>
            <color rgb="FF000000"/>
            <rFont val="Tahoma"/>
            <family val="2"/>
          </rPr>
          <t xml:space="preserve">
</t>
        </r>
        <r>
          <rPr>
            <sz val="9"/>
            <color rgb="FF000000"/>
            <rFont val="Tahoma"/>
            <family val="2"/>
          </rPr>
          <t>This is the suggested powertrain inductor value that is based on the peak-to-peak inductor current ripple ratio. Decreasing the ripple ratio will yield a larger inductance value</t>
        </r>
      </text>
    </comment>
    <comment ref="B37" authorId="0" shapeId="0" xr:uid="{00000000-0006-0000-0000-000013000000}">
      <text>
        <r>
          <rPr>
            <b/>
            <sz val="9"/>
            <color rgb="FF000000"/>
            <rFont val="Tahoma"/>
            <family val="2"/>
          </rPr>
          <t>Selected Inductor</t>
        </r>
        <r>
          <rPr>
            <sz val="9"/>
            <color rgb="FF000000"/>
            <rFont val="Tahoma"/>
            <family val="2"/>
          </rPr>
          <t xml:space="preserve">
</t>
        </r>
        <r>
          <rPr>
            <sz val="9"/>
            <color rgb="FF000000"/>
            <rFont val="Tahoma"/>
            <family val="2"/>
          </rPr>
          <t xml:space="preserve">
</t>
        </r>
        <r>
          <rPr>
            <sz val="9"/>
            <color rgb="FF000000"/>
            <rFont val="Tahoma"/>
            <family val="2"/>
          </rPr>
          <t>This is the selected inductance value of L</t>
        </r>
        <r>
          <rPr>
            <vertAlign val="subscript"/>
            <sz val="9"/>
            <color rgb="FF000000"/>
            <rFont val="Tahoma"/>
            <family val="2"/>
          </rPr>
          <t>M1</t>
        </r>
        <r>
          <rPr>
            <sz val="9"/>
            <color rgb="FF000000"/>
            <rFont val="Tahoma"/>
            <family val="2"/>
          </rPr>
          <t xml:space="preserve"> and L</t>
        </r>
        <r>
          <rPr>
            <vertAlign val="subscript"/>
            <sz val="9"/>
            <color rgb="FF000000"/>
            <rFont val="Tahoma"/>
            <family val="2"/>
          </rPr>
          <t xml:space="preserve">M2. </t>
        </r>
        <r>
          <rPr>
            <sz val="9"/>
            <color rgb="FF000000"/>
            <rFont val="Tahoma"/>
            <family val="2"/>
          </rPr>
          <t>The calculated inductance value should be used as a guide line to select the inductance value.</t>
        </r>
      </text>
    </comment>
    <comment ref="B38" authorId="0" shapeId="0" xr:uid="{00000000-0006-0000-0000-000014000000}">
      <text>
        <r>
          <rPr>
            <b/>
            <sz val="9"/>
            <color rgb="FF000000"/>
            <rFont val="Tahoma"/>
            <family val="2"/>
          </rPr>
          <t>Inductor DCR</t>
        </r>
        <r>
          <rPr>
            <sz val="9"/>
            <color rgb="FF000000"/>
            <rFont val="Tahoma"/>
            <family val="2"/>
          </rPr>
          <t xml:space="preserve">
</t>
        </r>
        <r>
          <rPr>
            <sz val="9"/>
            <color rgb="FF000000"/>
            <rFont val="Tahoma"/>
            <family val="2"/>
          </rPr>
          <t xml:space="preserve">
</t>
        </r>
        <r>
          <rPr>
            <sz val="9"/>
            <color rgb="FF000000"/>
            <rFont val="Tahoma"/>
            <family val="2"/>
          </rPr>
          <t>This is the DC resistance of the inductor. This can be found on the datasheet of the selected inductor. Higher values of DCR will cause the efficiency to drop relative to a inductor will smaller DCR</t>
        </r>
      </text>
    </comment>
    <comment ref="B39" authorId="0" shapeId="0" xr:uid="{00000000-0006-0000-0000-000015000000}">
      <text>
        <r>
          <rPr>
            <b/>
            <sz val="9"/>
            <color rgb="FF000000"/>
            <rFont val="Tahoma"/>
            <family val="2"/>
          </rPr>
          <t xml:space="preserve">Maximum Inductor Peak Current
</t>
        </r>
        <r>
          <rPr>
            <sz val="9"/>
            <color rgb="FF000000"/>
            <rFont val="Tahoma"/>
            <family val="2"/>
          </rPr>
          <t xml:space="preserve">
</t>
        </r>
        <r>
          <rPr>
            <sz val="9"/>
            <color rgb="FF000000"/>
            <rFont val="Tahoma"/>
            <family val="2"/>
          </rPr>
          <t>Worst case maximum peak current based on the selected inductance value, maximum LV port current specified and each phase in operation.</t>
        </r>
      </text>
    </comment>
    <comment ref="B44" authorId="0" shapeId="0" xr:uid="{00000000-0006-0000-0000-000016000000}">
      <text>
        <r>
          <rPr>
            <b/>
            <sz val="9"/>
            <color rgb="FF000000"/>
            <rFont val="Tahoma"/>
            <family val="2"/>
          </rPr>
          <t>Current Limit Margin</t>
        </r>
        <r>
          <rPr>
            <sz val="9"/>
            <color rgb="FF000000"/>
            <rFont val="Tahoma"/>
            <family val="2"/>
          </rPr>
          <t xml:space="preserve">
</t>
        </r>
        <r>
          <rPr>
            <sz val="9"/>
            <color rgb="FF000000"/>
            <rFont val="Tahoma"/>
            <family val="2"/>
          </rPr>
          <t xml:space="preserve">
</t>
        </r>
        <r>
          <rPr>
            <sz val="9"/>
            <color rgb="FF000000"/>
            <rFont val="Tahoma"/>
            <family val="2"/>
          </rPr>
          <t>The margin above the calculated peak inductor current. Normally this value should be in the 5% to 15% range.</t>
        </r>
      </text>
    </comment>
    <comment ref="B45" authorId="0" shapeId="0" xr:uid="{00000000-0006-0000-0000-000017000000}">
      <text>
        <r>
          <rPr>
            <b/>
            <sz val="9"/>
            <color rgb="FF000000"/>
            <rFont val="Tahoma"/>
            <family val="2"/>
          </rPr>
          <t xml:space="preserve">Inductor Peak Current Limit
</t>
        </r>
        <r>
          <rPr>
            <b/>
            <sz val="9"/>
            <color rgb="FF000000"/>
            <rFont val="Tahoma"/>
            <family val="2"/>
          </rPr>
          <t xml:space="preserve">
</t>
        </r>
        <r>
          <rPr>
            <sz val="9"/>
            <color rgb="FF000000"/>
            <rFont val="Tahoma"/>
            <family val="2"/>
          </rPr>
          <t>This is the peak inductor current based on the amount of margin specified. It is important to ensure that the selected inductor is rated for this amount of current. If not the margin of the peak limit should be decreased or an inductor with a larger current rating should be selected.</t>
        </r>
      </text>
    </comment>
    <comment ref="B46" authorId="0" shapeId="0" xr:uid="{00000000-0006-0000-0000-000018000000}">
      <text>
        <r>
          <rPr>
            <b/>
            <sz val="9"/>
            <color rgb="FF000000"/>
            <rFont val="Tahoma"/>
            <family val="2"/>
          </rPr>
          <t>Calculated R</t>
        </r>
        <r>
          <rPr>
            <b/>
            <vertAlign val="subscript"/>
            <sz val="9"/>
            <color rgb="FF000000"/>
            <rFont val="Tahoma"/>
            <family val="2"/>
          </rPr>
          <t>IPK</t>
        </r>
        <r>
          <rPr>
            <b/>
            <sz val="9"/>
            <color rgb="FF000000"/>
            <rFont val="Tahoma"/>
            <family val="2"/>
          </rPr>
          <t xml:space="preserve"> Value
</t>
        </r>
        <r>
          <rPr>
            <b/>
            <sz val="9"/>
            <color rgb="FF000000"/>
            <rFont val="Tahoma"/>
            <family val="2"/>
          </rPr>
          <t xml:space="preserve">
</t>
        </r>
        <r>
          <rPr>
            <sz val="9"/>
            <color rgb="FF000000"/>
            <rFont val="Tahoma"/>
            <family val="2"/>
          </rPr>
          <t>This is the calculated resistor from IPK to GND. This is based off of the datasheet equation.</t>
        </r>
      </text>
    </comment>
    <comment ref="B47" authorId="0" shapeId="0" xr:uid="{00000000-0006-0000-0000-000019000000}">
      <text>
        <r>
          <rPr>
            <b/>
            <sz val="9"/>
            <color rgb="FF000000"/>
            <rFont val="Tahoma"/>
            <family val="2"/>
          </rPr>
          <t>Selected R</t>
        </r>
        <r>
          <rPr>
            <b/>
            <vertAlign val="subscript"/>
            <sz val="9"/>
            <color rgb="FF000000"/>
            <rFont val="Tahoma"/>
            <family val="2"/>
          </rPr>
          <t>IPK</t>
        </r>
        <r>
          <rPr>
            <b/>
            <sz val="9"/>
            <color rgb="FF000000"/>
            <rFont val="Tahoma"/>
            <family val="2"/>
          </rPr>
          <t xml:space="preserve"> Value
</t>
        </r>
        <r>
          <rPr>
            <b/>
            <sz val="9"/>
            <color rgb="FF000000"/>
            <rFont val="Tahoma"/>
            <family val="2"/>
          </rPr>
          <t xml:space="preserve">
</t>
        </r>
        <r>
          <rPr>
            <sz val="9"/>
            <color rgb="FF000000"/>
            <rFont val="Tahoma"/>
            <family val="2"/>
          </rPr>
          <t>This is the selected R</t>
        </r>
        <r>
          <rPr>
            <vertAlign val="subscript"/>
            <sz val="9"/>
            <color rgb="FF000000"/>
            <rFont val="Tahoma"/>
            <family val="2"/>
          </rPr>
          <t>IPK</t>
        </r>
        <r>
          <rPr>
            <sz val="9"/>
            <color rgb="FF000000"/>
            <rFont val="Tahoma"/>
            <family val="2"/>
          </rPr>
          <t xml:space="preserve"> value. The selected value should be based off of the calculate R</t>
        </r>
        <r>
          <rPr>
            <vertAlign val="subscript"/>
            <sz val="9"/>
            <color rgb="FF000000"/>
            <rFont val="Tahoma"/>
            <family val="2"/>
          </rPr>
          <t>IPK</t>
        </r>
        <r>
          <rPr>
            <sz val="9"/>
            <color rgb="FF000000"/>
            <rFont val="Tahoma"/>
            <family val="2"/>
          </rPr>
          <t xml:space="preserve"> value.</t>
        </r>
      </text>
    </comment>
    <comment ref="B48" authorId="0" shapeId="0" xr:uid="{00000000-0006-0000-0000-00001A000000}">
      <text>
        <r>
          <rPr>
            <b/>
            <sz val="9"/>
            <color rgb="FF000000"/>
            <rFont val="Tahoma"/>
            <family val="2"/>
          </rPr>
          <t xml:space="preserve">Actual Inductor Peak Current Limit
</t>
        </r>
        <r>
          <rPr>
            <b/>
            <sz val="9"/>
            <color rgb="FF000000"/>
            <rFont val="Tahoma"/>
            <family val="2"/>
          </rPr>
          <t xml:space="preserve">
</t>
        </r>
        <r>
          <rPr>
            <sz val="9"/>
            <color rgb="FF000000"/>
            <rFont val="Tahoma"/>
            <family val="2"/>
          </rPr>
          <t>This is the actual limited peak inductor current based on the selected value of R</t>
        </r>
        <r>
          <rPr>
            <vertAlign val="subscript"/>
            <sz val="9"/>
            <color rgb="FF000000"/>
            <rFont val="Tahoma"/>
            <family val="2"/>
          </rPr>
          <t>IPK</t>
        </r>
        <r>
          <rPr>
            <sz val="9"/>
            <color rgb="FF000000"/>
            <rFont val="Tahoma"/>
            <family val="2"/>
          </rPr>
          <t xml:space="preserve"> above. Care should be taken to ensure that this value is below the rated current of the selected power train inductor (L</t>
        </r>
        <r>
          <rPr>
            <vertAlign val="subscript"/>
            <sz val="9"/>
            <color rgb="FF000000"/>
            <rFont val="Tahoma"/>
            <family val="2"/>
          </rPr>
          <t>M1</t>
        </r>
        <r>
          <rPr>
            <sz val="9"/>
            <color rgb="FF000000"/>
            <rFont val="Tahoma"/>
            <family val="2"/>
          </rPr>
          <t>,L</t>
        </r>
        <r>
          <rPr>
            <vertAlign val="subscript"/>
            <sz val="9"/>
            <color rgb="FF000000"/>
            <rFont val="Tahoma"/>
            <family val="2"/>
          </rPr>
          <t>M2</t>
        </r>
        <r>
          <rPr>
            <sz val="9"/>
            <color rgb="FF000000"/>
            <rFont val="Tahoma"/>
            <family val="2"/>
          </rPr>
          <t>)</t>
        </r>
      </text>
    </comment>
    <comment ref="B53" authorId="0" shapeId="0" xr:uid="{00000000-0006-0000-0000-00001B000000}">
      <text>
        <r>
          <rPr>
            <b/>
            <sz val="9"/>
            <color rgb="FF000000"/>
            <rFont val="Tahoma"/>
            <family val="2"/>
          </rPr>
          <t>LV Rail Output Capacitance</t>
        </r>
        <r>
          <rPr>
            <sz val="9"/>
            <color rgb="FF000000"/>
            <rFont val="Tahoma"/>
            <family val="2"/>
          </rPr>
          <t xml:space="preserve">
</t>
        </r>
        <r>
          <rPr>
            <sz val="9"/>
            <color rgb="FF000000"/>
            <rFont val="Tahoma"/>
            <family val="2"/>
          </rPr>
          <t xml:space="preserve">
</t>
        </r>
        <r>
          <rPr>
            <sz val="9"/>
            <color rgb="FF000000"/>
            <rFont val="Tahoma"/>
            <family val="2"/>
          </rPr>
          <t>This is the selected output capacitance of the LV rail. This value will have an impact when calculating the voltage loop compensation for Buck Mode Operation</t>
        </r>
      </text>
    </comment>
    <comment ref="B54" authorId="0" shapeId="0" xr:uid="{00000000-0006-0000-0000-00001C000000}">
      <text>
        <r>
          <rPr>
            <b/>
            <sz val="9"/>
            <color rgb="FF000000"/>
            <rFont val="Tahoma"/>
            <family val="2"/>
          </rPr>
          <t>LV Rail Output Capacitance ESR</t>
        </r>
        <r>
          <rPr>
            <sz val="9"/>
            <color rgb="FF000000"/>
            <rFont val="Tahoma"/>
            <family val="2"/>
          </rPr>
          <t xml:space="preserve">
</t>
        </r>
        <r>
          <rPr>
            <sz val="9"/>
            <color rgb="FF000000"/>
            <rFont val="Tahoma"/>
            <family val="2"/>
          </rPr>
          <t xml:space="preserve">
</t>
        </r>
        <r>
          <rPr>
            <sz val="9"/>
            <color rgb="FF000000"/>
            <rFont val="Tahoma"/>
            <family val="2"/>
          </rPr>
          <t xml:space="preserve">This is the resistance of the selected output capacitance for the LV rail. This value will have an impact when calculating the voltage loop compensation for Buck Mode Operation.
</t>
        </r>
      </text>
    </comment>
    <comment ref="B56" authorId="0" shapeId="0" xr:uid="{00000000-0006-0000-0000-00001D000000}">
      <text>
        <r>
          <rPr>
            <sz val="9"/>
            <color rgb="FF000000"/>
            <rFont val="Tahoma"/>
            <family val="2"/>
          </rPr>
          <t xml:space="preserve">HV Rail Output Capacitance
</t>
        </r>
        <r>
          <rPr>
            <sz val="9"/>
            <color rgb="FF000000"/>
            <rFont val="Tahoma"/>
            <family val="2"/>
          </rPr>
          <t xml:space="preserve">
</t>
        </r>
        <r>
          <rPr>
            <sz val="9"/>
            <color rgb="FF000000"/>
            <rFont val="Tahoma"/>
            <family val="2"/>
          </rPr>
          <t>This is the selected output capacitance of the HV rail. This value will have an impact when calculating the voltage loop compensation for Boost Mode Operation</t>
        </r>
      </text>
    </comment>
    <comment ref="B57" authorId="0" shapeId="0" xr:uid="{00000000-0006-0000-0000-00001E000000}">
      <text>
        <r>
          <rPr>
            <b/>
            <sz val="9"/>
            <color rgb="FF000000"/>
            <rFont val="Tahoma"/>
            <family val="2"/>
          </rPr>
          <t xml:space="preserve">HV Rail Output Capacitance ESR
</t>
        </r>
        <r>
          <rPr>
            <b/>
            <sz val="9"/>
            <color rgb="FF000000"/>
            <rFont val="Tahoma"/>
            <family val="2"/>
          </rPr>
          <t xml:space="preserve">
</t>
        </r>
        <r>
          <rPr>
            <sz val="9"/>
            <color rgb="FF000000"/>
            <rFont val="Tahoma"/>
            <family val="2"/>
          </rPr>
          <t xml:space="preserve">This is the resistance of the selected output capacitance for the HV rail. This value will have an impact when calculating the voltage loop compensation for Boost Mode Operation.
</t>
        </r>
      </text>
    </comment>
    <comment ref="B62" authorId="0" shapeId="0" xr:uid="{00000000-0006-0000-0000-00001F000000}">
      <text>
        <r>
          <rPr>
            <b/>
            <sz val="9"/>
            <color rgb="FF000000"/>
            <rFont val="Tahoma"/>
            <family val="2"/>
          </rPr>
          <t xml:space="preserve">Selected RAMP Capacitor
</t>
        </r>
        <r>
          <rPr>
            <b/>
            <sz val="9"/>
            <color rgb="FF000000"/>
            <rFont val="Tahoma"/>
            <family val="2"/>
          </rPr>
          <t xml:space="preserve">
</t>
        </r>
        <r>
          <rPr>
            <sz val="9"/>
            <color rgb="FF000000"/>
            <rFont val="Tahoma"/>
            <family val="2"/>
          </rPr>
          <t xml:space="preserve">This is the capacitor used to create the saw tooth RAMP1/RAMP2 signals. This capacitor must be selected to be discharged in less the 200ns each switching cycle. </t>
        </r>
        <r>
          <rPr>
            <b/>
            <sz val="9"/>
            <color rgb="FF000000"/>
            <rFont val="Tahoma"/>
            <family val="2"/>
          </rPr>
          <t>The maximum recommended value is 2.5nF</t>
        </r>
        <r>
          <rPr>
            <sz val="9"/>
            <color rgb="FF000000"/>
            <rFont val="Tahoma"/>
            <family val="2"/>
          </rPr>
          <t>. A low tolerance value (&lt;10%) capacitor should be selected here.</t>
        </r>
      </text>
    </comment>
    <comment ref="B63" authorId="0" shapeId="0" xr:uid="{00000000-0006-0000-0000-000020000000}">
      <text>
        <r>
          <rPr>
            <b/>
            <sz val="9"/>
            <color rgb="FF000000"/>
            <rFont val="Tahoma"/>
            <family val="2"/>
          </rPr>
          <t>Calculated RAMP1/RAMP2 Resistors</t>
        </r>
        <r>
          <rPr>
            <sz val="9"/>
            <color rgb="FF000000"/>
            <rFont val="Tahoma"/>
            <family val="2"/>
          </rPr>
          <t xml:space="preserve">
</t>
        </r>
        <r>
          <rPr>
            <sz val="9"/>
            <color rgb="FF000000"/>
            <rFont val="Tahoma"/>
            <family val="2"/>
          </rPr>
          <t xml:space="preserve">
</t>
        </r>
        <r>
          <rPr>
            <sz val="9"/>
            <color rgb="FF000000"/>
            <rFont val="Tahoma"/>
            <family val="2"/>
          </rPr>
          <t xml:space="preserve">This is the calculated value based on the datasheet equation. </t>
        </r>
      </text>
    </comment>
    <comment ref="B64" authorId="0" shapeId="0" xr:uid="{00000000-0006-0000-0000-000021000000}">
      <text>
        <r>
          <rPr>
            <b/>
            <sz val="9"/>
            <color rgb="FF000000"/>
            <rFont val="Tahoma"/>
            <family val="2"/>
          </rPr>
          <t xml:space="preserve">Selected RAMP1/RAMP2 Resistors
</t>
        </r>
        <r>
          <rPr>
            <b/>
            <sz val="9"/>
            <color rgb="FF000000"/>
            <rFont val="Tahoma"/>
            <family val="2"/>
          </rPr>
          <t xml:space="preserve">
</t>
        </r>
        <r>
          <rPr>
            <sz val="9"/>
            <color rgb="FF000000"/>
            <rFont val="Tahoma"/>
            <family val="2"/>
          </rPr>
          <t xml:space="preserve">This is the selected resistance value. The selected value should be based on the calculated value above. </t>
        </r>
      </text>
    </comment>
    <comment ref="B65" authorId="0" shapeId="0" xr:uid="{00000000-0006-0000-0000-000022000000}">
      <text>
        <r>
          <rPr>
            <b/>
            <sz val="9"/>
            <color rgb="FF000000"/>
            <rFont val="Tahoma"/>
            <family val="2"/>
          </rPr>
          <t>Peak RAMP voltage at the HV minimum</t>
        </r>
        <r>
          <rPr>
            <sz val="9"/>
            <color rgb="FF000000"/>
            <rFont val="Tahoma"/>
            <family val="2"/>
          </rPr>
          <t xml:space="preserve">
</t>
        </r>
        <r>
          <rPr>
            <sz val="9"/>
            <color rgb="FF000000"/>
            <rFont val="Tahoma"/>
            <family val="2"/>
          </rPr>
          <t xml:space="preserve">
</t>
        </r>
        <r>
          <rPr>
            <sz val="9"/>
            <color rgb="FF000000"/>
            <rFont val="Tahoma"/>
            <family val="2"/>
          </rPr>
          <t>This value should be greater than 0.625V but less than 14V. If not this cell will be marked red indicating an error. If this occurs the RAMP resistor value should be modified accordingly</t>
        </r>
      </text>
    </comment>
    <comment ref="B66" authorId="0" shapeId="0" xr:uid="{00000000-0006-0000-0000-000023000000}">
      <text>
        <r>
          <rPr>
            <b/>
            <sz val="9"/>
            <color indexed="81"/>
            <rFont val="Tahoma"/>
            <family val="2"/>
          </rPr>
          <t>Peak RAMP voltage at the HV Nominal</t>
        </r>
        <r>
          <rPr>
            <sz val="9"/>
            <color indexed="81"/>
            <rFont val="Tahoma"/>
            <family val="2"/>
          </rPr>
          <t xml:space="preserve">
This value should be greater than 0.625V but less than 14V. If not this cell will be marked red indicating an error. If this occurs the RAMP resistor value should be modified accordingly</t>
        </r>
      </text>
    </comment>
    <comment ref="B67" authorId="0" shapeId="0" xr:uid="{00000000-0006-0000-0000-000024000000}">
      <text>
        <r>
          <rPr>
            <b/>
            <sz val="9"/>
            <color indexed="81"/>
            <rFont val="Tahoma"/>
            <family val="2"/>
          </rPr>
          <t>Peak RAMP voltage at the HV Maximum</t>
        </r>
        <r>
          <rPr>
            <sz val="9"/>
            <color indexed="81"/>
            <rFont val="Tahoma"/>
            <family val="2"/>
          </rPr>
          <t xml:space="preserve">
This value should be greater than 0.625V but less than 14V. If not this cell will be marked red indicating an error. If this occurs the RAMP resistor value should be modified accordingly</t>
        </r>
      </text>
    </comment>
    <comment ref="B72" authorId="0" shapeId="0" xr:uid="{00000000-0006-0000-0000-000025000000}">
      <text>
        <r>
          <rPr>
            <b/>
            <sz val="9"/>
            <color rgb="FF000000"/>
            <rFont val="Tahoma"/>
            <family val="2"/>
          </rPr>
          <t>Selected Soft-Start Time</t>
        </r>
        <r>
          <rPr>
            <sz val="9"/>
            <color rgb="FF000000"/>
            <rFont val="Tahoma"/>
            <family val="2"/>
          </rPr>
          <t xml:space="preserve">
</t>
        </r>
        <r>
          <rPr>
            <sz val="9"/>
            <color rgb="FF000000"/>
            <rFont val="Tahoma"/>
            <family val="2"/>
          </rPr>
          <t xml:space="preserve">
</t>
        </r>
        <r>
          <rPr>
            <sz val="9"/>
            <color rgb="FF000000"/>
            <rFont val="Tahoma"/>
            <family val="2"/>
          </rPr>
          <t>This is the selected time that it will take the SS pin to charge to the threshold voltage. Increasing the value will result in a slower ramp to full load current.</t>
        </r>
      </text>
    </comment>
    <comment ref="B73" authorId="0" shapeId="0" xr:uid="{00000000-0006-0000-0000-000026000000}">
      <text>
        <r>
          <rPr>
            <b/>
            <sz val="9"/>
            <color rgb="FF000000"/>
            <rFont val="Tahoma"/>
            <family val="2"/>
          </rPr>
          <t>Selected Soft-Start Capacitor C</t>
        </r>
        <r>
          <rPr>
            <b/>
            <vertAlign val="subscript"/>
            <sz val="9"/>
            <color rgb="FF000000"/>
            <rFont val="Tahoma"/>
            <family val="2"/>
          </rPr>
          <t>SS</t>
        </r>
        <r>
          <rPr>
            <sz val="9"/>
            <color rgb="FF000000"/>
            <rFont val="Tahoma"/>
            <family val="2"/>
          </rPr>
          <t xml:space="preserve">
</t>
        </r>
        <r>
          <rPr>
            <sz val="9"/>
            <color rgb="FF000000"/>
            <rFont val="Tahoma"/>
            <family val="2"/>
          </rPr>
          <t xml:space="preserve">
</t>
        </r>
        <r>
          <rPr>
            <sz val="9"/>
            <color rgb="FF000000"/>
            <rFont val="Tahoma"/>
            <family val="2"/>
          </rPr>
          <t>This is the calculated soft-start capacitor that will result in the soft-start time specified in the selected soft-start time cell. This value is based off of the datasheet equations.</t>
        </r>
      </text>
    </comment>
    <comment ref="B74" authorId="0" shapeId="0" xr:uid="{00000000-0006-0000-0000-000027000000}">
      <text>
        <r>
          <rPr>
            <b/>
            <sz val="9"/>
            <color rgb="FF000000"/>
            <rFont val="Tahoma"/>
            <family val="2"/>
          </rPr>
          <t>Selected C</t>
        </r>
        <r>
          <rPr>
            <b/>
            <vertAlign val="subscript"/>
            <sz val="9"/>
            <color rgb="FF000000"/>
            <rFont val="Tahoma"/>
            <family val="2"/>
          </rPr>
          <t>SS</t>
        </r>
        <r>
          <rPr>
            <b/>
            <sz val="9"/>
            <color rgb="FF000000"/>
            <rFont val="Tahoma"/>
            <family val="2"/>
          </rPr>
          <t xml:space="preserve"> Capacitance
</t>
        </r>
        <r>
          <rPr>
            <b/>
            <sz val="9"/>
            <color rgb="FF000000"/>
            <rFont val="Tahoma"/>
            <family val="2"/>
          </rPr>
          <t xml:space="preserve">
</t>
        </r>
        <r>
          <rPr>
            <sz val="9"/>
            <color rgb="FF000000"/>
            <rFont val="Tahoma"/>
            <family val="2"/>
          </rPr>
          <t>This is the selected soft-start capacitance. This value should be based on the calculated C</t>
        </r>
        <r>
          <rPr>
            <vertAlign val="subscript"/>
            <sz val="9"/>
            <color rgb="FF000000"/>
            <rFont val="Tahoma"/>
            <family val="2"/>
          </rPr>
          <t xml:space="preserve">SS </t>
        </r>
        <r>
          <rPr>
            <sz val="9"/>
            <color rgb="FF000000"/>
            <rFont val="Tahoma"/>
            <family val="2"/>
          </rPr>
          <t>cell value</t>
        </r>
      </text>
    </comment>
    <comment ref="B75" authorId="0" shapeId="0" xr:uid="{00000000-0006-0000-0000-000028000000}">
      <text>
        <r>
          <rPr>
            <b/>
            <sz val="9"/>
            <color indexed="81"/>
            <rFont val="Tahoma"/>
            <family val="2"/>
          </rPr>
          <t xml:space="preserve">Actual Soft-Start Time
</t>
        </r>
        <r>
          <rPr>
            <sz val="9"/>
            <color indexed="81"/>
            <rFont val="Tahoma"/>
            <family val="2"/>
          </rPr>
          <t xml:space="preserve">
This is the soft-start time of the converter based on the value of the selected C</t>
        </r>
        <r>
          <rPr>
            <vertAlign val="subscript"/>
            <sz val="9"/>
            <color indexed="81"/>
            <rFont val="Tahoma"/>
            <family val="2"/>
          </rPr>
          <t>SS</t>
        </r>
        <r>
          <rPr>
            <sz val="9"/>
            <color indexed="81"/>
            <rFont val="Tahoma"/>
            <family val="2"/>
          </rPr>
          <t xml:space="preserve"> value</t>
        </r>
      </text>
    </comment>
    <comment ref="B80" authorId="0" shapeId="0" xr:uid="{00000000-0006-0000-0000-000029000000}">
      <text>
        <r>
          <rPr>
            <b/>
            <sz val="9"/>
            <color rgb="FF000000"/>
            <rFont val="Tahoma"/>
            <family val="2"/>
          </rPr>
          <t>HV Port Overvoltage Level</t>
        </r>
        <r>
          <rPr>
            <sz val="9"/>
            <color rgb="FF000000"/>
            <rFont val="Tahoma"/>
            <family val="2"/>
          </rPr>
          <t xml:space="preserve">
</t>
        </r>
        <r>
          <rPr>
            <sz val="9"/>
            <color rgb="FF000000"/>
            <rFont val="Tahoma"/>
            <family val="2"/>
          </rPr>
          <t xml:space="preserve">
</t>
        </r>
        <r>
          <rPr>
            <b/>
            <sz val="9"/>
            <color rgb="FF000000"/>
            <rFont val="Tahoma"/>
            <family val="2"/>
          </rPr>
          <t>Maximum Value: 85V</t>
        </r>
        <r>
          <rPr>
            <sz val="9"/>
            <color rgb="FF000000"/>
            <rFont val="Tahoma"/>
            <family val="2"/>
          </rPr>
          <t xml:space="preserve">
</t>
        </r>
        <r>
          <rPr>
            <sz val="9"/>
            <color rgb="FF000000"/>
            <rFont val="Tahoma"/>
            <family val="2"/>
          </rPr>
          <t>This is the desired overvoltage level of the HV port. This value should be lower than the recommended maximum rating of the VIN Pin.</t>
        </r>
      </text>
    </comment>
    <comment ref="B81" authorId="0" shapeId="0" xr:uid="{00000000-0006-0000-0000-00002A000000}">
      <text>
        <r>
          <rPr>
            <b/>
            <sz val="9"/>
            <color rgb="FF000000"/>
            <rFont val="Tahoma"/>
            <family val="2"/>
          </rPr>
          <t>Calculated R</t>
        </r>
        <r>
          <rPr>
            <b/>
            <vertAlign val="subscript"/>
            <sz val="9"/>
            <color rgb="FF000000"/>
            <rFont val="Tahoma"/>
            <family val="2"/>
          </rPr>
          <t>OVPA</t>
        </r>
        <r>
          <rPr>
            <sz val="9"/>
            <color rgb="FF000000"/>
            <rFont val="Tahoma"/>
            <family val="2"/>
          </rPr>
          <t xml:space="preserve">
</t>
        </r>
        <r>
          <rPr>
            <sz val="9"/>
            <color rgb="FF000000"/>
            <rFont val="Tahoma"/>
            <family val="2"/>
          </rPr>
          <t xml:space="preserve">
</t>
        </r>
        <r>
          <rPr>
            <sz val="9"/>
            <color rgb="FF000000"/>
            <rFont val="Tahoma"/>
            <family val="2"/>
          </rPr>
          <t>This is the calculated R</t>
        </r>
        <r>
          <rPr>
            <vertAlign val="subscript"/>
            <sz val="9"/>
            <color rgb="FF000000"/>
            <rFont val="Tahoma"/>
            <family val="2"/>
          </rPr>
          <t>OVPA</t>
        </r>
        <r>
          <rPr>
            <sz val="9"/>
            <color rgb="FF000000"/>
            <rFont val="Tahoma"/>
            <family val="2"/>
          </rPr>
          <t xml:space="preserve"> value based on the datasheet equation and the OVPA trigger level specified</t>
        </r>
      </text>
    </comment>
    <comment ref="B82" authorId="0" shapeId="0" xr:uid="{00000000-0006-0000-0000-00002B000000}">
      <text>
        <r>
          <rPr>
            <b/>
            <sz val="9"/>
            <color rgb="FF000000"/>
            <rFont val="Tahoma"/>
            <family val="2"/>
          </rPr>
          <t>Selected R</t>
        </r>
        <r>
          <rPr>
            <b/>
            <vertAlign val="subscript"/>
            <sz val="9"/>
            <color rgb="FF000000"/>
            <rFont val="Tahoma"/>
            <family val="2"/>
          </rPr>
          <t>OVPA</t>
        </r>
        <r>
          <rPr>
            <b/>
            <sz val="9"/>
            <color rgb="FF000000"/>
            <rFont val="Tahoma"/>
            <family val="2"/>
          </rPr>
          <t xml:space="preserve"> Resistor</t>
        </r>
        <r>
          <rPr>
            <sz val="9"/>
            <color rgb="FF000000"/>
            <rFont val="Tahoma"/>
            <family val="2"/>
          </rPr>
          <t xml:space="preserve">
</t>
        </r>
        <r>
          <rPr>
            <sz val="9"/>
            <color rgb="FF000000"/>
            <rFont val="Tahoma"/>
            <family val="2"/>
          </rPr>
          <t xml:space="preserve">
</t>
        </r>
        <r>
          <rPr>
            <sz val="9"/>
            <color rgb="FF000000"/>
            <rFont val="Tahoma"/>
            <family val="2"/>
          </rPr>
          <t>This value should be based on the calculated R</t>
        </r>
        <r>
          <rPr>
            <vertAlign val="subscript"/>
            <sz val="9"/>
            <color rgb="FF000000"/>
            <rFont val="Tahoma"/>
            <family val="2"/>
          </rPr>
          <t>OVPA</t>
        </r>
        <r>
          <rPr>
            <sz val="9"/>
            <color rgb="FF000000"/>
            <rFont val="Tahoma"/>
            <family val="2"/>
          </rPr>
          <t xml:space="preserve"> value</t>
        </r>
      </text>
    </comment>
    <comment ref="B83" authorId="0" shapeId="0" xr:uid="{00000000-0006-0000-0000-00002C000000}">
      <text>
        <r>
          <rPr>
            <b/>
            <sz val="9"/>
            <color rgb="FF000000"/>
            <rFont val="Tahoma"/>
            <family val="2"/>
          </rPr>
          <t xml:space="preserve">Actual HV OVP Level
</t>
        </r>
        <r>
          <rPr>
            <b/>
            <sz val="9"/>
            <color rgb="FF000000"/>
            <rFont val="Tahoma"/>
            <family val="2"/>
          </rPr>
          <t xml:space="preserve">
</t>
        </r>
        <r>
          <rPr>
            <sz val="9"/>
            <color rgb="FF000000"/>
            <rFont val="Tahoma"/>
            <family val="2"/>
          </rPr>
          <t>This the level that OVPA will trigger at. This is based on the resistor value (R</t>
        </r>
        <r>
          <rPr>
            <vertAlign val="subscript"/>
            <sz val="9"/>
            <color rgb="FF000000"/>
            <rFont val="Tahoma"/>
            <family val="2"/>
          </rPr>
          <t>OVPA</t>
        </r>
        <r>
          <rPr>
            <sz val="9"/>
            <color rgb="FF000000"/>
            <rFont val="Tahoma"/>
            <family val="2"/>
          </rPr>
          <t xml:space="preserve">) selected above. </t>
        </r>
        <r>
          <rPr>
            <b/>
            <sz val="9"/>
            <color rgb="FF000000"/>
            <rFont val="Tahoma"/>
            <family val="2"/>
          </rPr>
          <t>This value should be less than 85V</t>
        </r>
      </text>
    </comment>
    <comment ref="B85" authorId="0" shapeId="0" xr:uid="{00000000-0006-0000-0000-00002D000000}">
      <text>
        <r>
          <rPr>
            <b/>
            <sz val="9"/>
            <color rgb="FF000000"/>
            <rFont val="Tahoma"/>
            <family val="2"/>
          </rPr>
          <t xml:space="preserve">LV Port Overvoltage Level
</t>
        </r>
        <r>
          <rPr>
            <b/>
            <sz val="9"/>
            <color rgb="FF000000"/>
            <rFont val="Tahoma"/>
            <family val="2"/>
          </rPr>
          <t xml:space="preserve">
</t>
        </r>
        <r>
          <rPr>
            <b/>
            <sz val="9"/>
            <color rgb="FF000000"/>
            <rFont val="Tahoma"/>
            <family val="2"/>
          </rPr>
          <t xml:space="preserve">Maximum Value: 60V
</t>
        </r>
        <r>
          <rPr>
            <sz val="9"/>
            <color rgb="FF000000"/>
            <rFont val="Tahoma"/>
            <family val="2"/>
          </rPr>
          <t xml:space="preserve">This is the desired overvoltage level of the LV port. This value should be lower than the recommended maximum rating of the LV port. In a majority of applications this value should be lower than the minimum HV rail voltage.
</t>
        </r>
      </text>
    </comment>
    <comment ref="B86" authorId="0" shapeId="0" xr:uid="{00000000-0006-0000-0000-00002E000000}">
      <text>
        <r>
          <rPr>
            <b/>
            <sz val="9"/>
            <color indexed="81"/>
            <rFont val="Tahoma"/>
            <family val="2"/>
          </rPr>
          <t>Calculated R</t>
        </r>
        <r>
          <rPr>
            <b/>
            <vertAlign val="subscript"/>
            <sz val="9"/>
            <color indexed="81"/>
            <rFont val="Tahoma"/>
            <family val="2"/>
          </rPr>
          <t>OVPB</t>
        </r>
        <r>
          <rPr>
            <b/>
            <sz val="9"/>
            <color indexed="81"/>
            <rFont val="Tahoma"/>
            <family val="2"/>
          </rPr>
          <t xml:space="preserve">
</t>
        </r>
        <r>
          <rPr>
            <sz val="9"/>
            <color indexed="81"/>
            <rFont val="Tahoma"/>
            <family val="2"/>
          </rPr>
          <t>This is the calculated R</t>
        </r>
        <r>
          <rPr>
            <vertAlign val="subscript"/>
            <sz val="9"/>
            <color indexed="81"/>
            <rFont val="Tahoma"/>
            <family val="2"/>
          </rPr>
          <t>OVPB</t>
        </r>
        <r>
          <rPr>
            <sz val="9"/>
            <color indexed="81"/>
            <rFont val="Tahoma"/>
            <family val="2"/>
          </rPr>
          <t xml:space="preserve"> value based on the datasheet equation and the OVPB trigger level specified</t>
        </r>
      </text>
    </comment>
    <comment ref="B87" authorId="0" shapeId="0" xr:uid="{00000000-0006-0000-0000-00002F000000}">
      <text>
        <r>
          <rPr>
            <b/>
            <sz val="9"/>
            <color rgb="FF000000"/>
            <rFont val="Tahoma"/>
            <family val="2"/>
          </rPr>
          <t>Selected R</t>
        </r>
        <r>
          <rPr>
            <b/>
            <vertAlign val="subscript"/>
            <sz val="9"/>
            <color rgb="FF000000"/>
            <rFont val="Tahoma"/>
            <family val="2"/>
          </rPr>
          <t>OVPB</t>
        </r>
        <r>
          <rPr>
            <b/>
            <sz val="9"/>
            <color rgb="FF000000"/>
            <rFont val="Tahoma"/>
            <family val="2"/>
          </rPr>
          <t xml:space="preserve"> Resistor
</t>
        </r>
        <r>
          <rPr>
            <b/>
            <sz val="9"/>
            <color rgb="FF000000"/>
            <rFont val="Tahoma"/>
            <family val="2"/>
          </rPr>
          <t xml:space="preserve">
</t>
        </r>
        <r>
          <rPr>
            <sz val="9"/>
            <color rgb="FF000000"/>
            <rFont val="Tahoma"/>
            <family val="2"/>
          </rPr>
          <t>This value should be based on the calculated R</t>
        </r>
        <r>
          <rPr>
            <vertAlign val="subscript"/>
            <sz val="9"/>
            <color rgb="FF000000"/>
            <rFont val="Tahoma"/>
            <family val="2"/>
          </rPr>
          <t>OVPB</t>
        </r>
        <r>
          <rPr>
            <sz val="9"/>
            <color rgb="FF000000"/>
            <rFont val="Tahoma"/>
            <family val="2"/>
          </rPr>
          <t xml:space="preserve"> value
</t>
        </r>
      </text>
    </comment>
    <comment ref="B88" authorId="0" shapeId="0" xr:uid="{00000000-0006-0000-0000-000030000000}">
      <text>
        <r>
          <rPr>
            <b/>
            <sz val="9"/>
            <color indexed="81"/>
            <rFont val="Tahoma"/>
            <family val="2"/>
          </rPr>
          <t xml:space="preserve">Actual LV OVP Level
</t>
        </r>
        <r>
          <rPr>
            <sz val="9"/>
            <color indexed="81"/>
            <rFont val="Tahoma"/>
            <family val="2"/>
          </rPr>
          <t>This the level that OVPB will trigger at. This is based on the resistor value (R</t>
        </r>
        <r>
          <rPr>
            <vertAlign val="subscript"/>
            <sz val="9"/>
            <color indexed="81"/>
            <rFont val="Tahoma"/>
            <family val="2"/>
          </rPr>
          <t>OVPB</t>
        </r>
        <r>
          <rPr>
            <sz val="9"/>
            <color indexed="81"/>
            <rFont val="Tahoma"/>
            <family val="2"/>
          </rPr>
          <t xml:space="preserve">) selected above. This value should be less than 60V
</t>
        </r>
      </text>
    </comment>
    <comment ref="B93" authorId="0" shapeId="0" xr:uid="{00000000-0006-0000-0000-000031000000}">
      <text>
        <r>
          <rPr>
            <b/>
            <sz val="9"/>
            <color rgb="FF000000"/>
            <rFont val="Tahoma"/>
            <family val="2"/>
          </rPr>
          <t xml:space="preserve">ULVO Control Type Selection:
</t>
        </r>
        <r>
          <rPr>
            <b/>
            <sz val="9"/>
            <color rgb="FF000000"/>
            <rFont val="Tahoma"/>
            <family val="2"/>
          </rPr>
          <t xml:space="preserve">
</t>
        </r>
        <r>
          <rPr>
            <sz val="9"/>
            <color rgb="FF000000"/>
            <rFont val="Tahoma"/>
            <family val="2"/>
          </rPr>
          <t xml:space="preserve">The UVLO signal can be configured in a number of ways. Below are two common configurations
</t>
        </r>
        <r>
          <rPr>
            <sz val="9"/>
            <color rgb="FF000000"/>
            <rFont val="Tahoma"/>
            <family val="2"/>
          </rPr>
          <t xml:space="preserve">
</t>
        </r>
        <r>
          <rPr>
            <sz val="9"/>
            <color rgb="FF000000"/>
            <rFont val="Tahoma"/>
            <family val="2"/>
          </rPr>
          <t xml:space="preserve">1. </t>
        </r>
        <r>
          <rPr>
            <u/>
            <sz val="9"/>
            <color rgb="FF000000"/>
            <rFont val="Tahoma"/>
            <family val="2"/>
          </rPr>
          <t>UVLO signal controlled by microcontroller (</t>
        </r>
        <r>
          <rPr>
            <u/>
            <sz val="9"/>
            <color rgb="FF000000"/>
            <rFont val="Calibri"/>
            <family val="2"/>
          </rPr>
          <t>μ</t>
        </r>
        <r>
          <rPr>
            <u/>
            <sz val="9"/>
            <color rgb="FF000000"/>
            <rFont val="Tahoma"/>
            <family val="2"/>
          </rPr>
          <t>C)</t>
        </r>
        <r>
          <rPr>
            <sz val="9"/>
            <color rgb="FF000000"/>
            <rFont val="Tahoma"/>
            <family val="2"/>
          </rPr>
          <t xml:space="preserve">
</t>
        </r>
        <r>
          <rPr>
            <sz val="9"/>
            <color rgb="FF000000"/>
            <rFont val="Tahoma"/>
            <family val="2"/>
          </rPr>
          <t xml:space="preserve">
</t>
        </r>
        <r>
          <rPr>
            <sz val="9"/>
            <color rgb="FF000000"/>
            <rFont val="Tahoma"/>
            <family val="2"/>
          </rPr>
          <t xml:space="preserve">In this configuration the UVLO signal is used as a master enable for the device. To ensure that the  LM5170 will respond correctly the  logic level high voltage should be greater than 2.5V. If selected the cells below will be shaded grey to indicate that the calculations are not needed.
</t>
        </r>
        <r>
          <rPr>
            <sz val="9"/>
            <color rgb="FF000000"/>
            <rFont val="Tahoma"/>
            <family val="2"/>
          </rPr>
          <t xml:space="preserve">
</t>
        </r>
        <r>
          <rPr>
            <sz val="9"/>
            <color rgb="FF000000"/>
            <rFont val="Tahoma"/>
            <family val="2"/>
          </rPr>
          <t>2.</t>
        </r>
        <r>
          <rPr>
            <u/>
            <sz val="9"/>
            <color rgb="FF000000"/>
            <rFont val="Tahoma"/>
            <family val="2"/>
          </rPr>
          <t xml:space="preserve"> UVLO Resistor Divider (Resistor Divider)</t>
        </r>
        <r>
          <rPr>
            <sz val="9"/>
            <color rgb="FF000000"/>
            <rFont val="Tahoma"/>
            <family val="2"/>
          </rPr>
          <t xml:space="preserve">
</t>
        </r>
        <r>
          <rPr>
            <sz val="9"/>
            <color rgb="FF000000"/>
            <rFont val="Tahoma"/>
            <family val="2"/>
          </rPr>
          <t xml:space="preserve">
</t>
        </r>
        <r>
          <rPr>
            <sz val="9"/>
            <color rgb="FF000000"/>
            <rFont val="Tahoma"/>
            <family val="2"/>
          </rPr>
          <t>In this configuration a Resistor divider is used to set enable or disable the LM5170. When the UVLO pin is above 2.5V the LM5170 will be in power delivery mode. If the voltage on the UVLO pin is between 1.25V and 2.5V the LM5170 will be in standby mode. If the UVLO pin voltage is below 1.25V the LM5170 will be in shutdown mode and will draw a small amount of power.</t>
        </r>
      </text>
    </comment>
    <comment ref="B94" authorId="0" shapeId="0" xr:uid="{00000000-0006-0000-0000-000032000000}">
      <text>
        <r>
          <rPr>
            <b/>
            <sz val="9"/>
            <color rgb="FF000000"/>
            <rFont val="Tahoma"/>
            <family val="2"/>
          </rPr>
          <t xml:space="preserve">UVLO Release Voltage
</t>
        </r>
        <r>
          <rPr>
            <b/>
            <sz val="9"/>
            <color rgb="FF000000"/>
            <rFont val="Tahoma"/>
            <family val="2"/>
          </rPr>
          <t xml:space="preserve">
</t>
        </r>
        <r>
          <rPr>
            <sz val="9"/>
            <color rgb="FF000000"/>
            <rFont val="Tahoma"/>
            <family val="2"/>
          </rPr>
          <t>This is the input voltage at which the LM5170 will start delivering current. This voltage rail is typically from the HV-PORT, LV-PORT of the VCC rail.</t>
        </r>
      </text>
    </comment>
    <comment ref="B95" authorId="0" shapeId="0" xr:uid="{00000000-0006-0000-0000-000033000000}">
      <text>
        <r>
          <rPr>
            <b/>
            <sz val="9"/>
            <color rgb="FF000000"/>
            <rFont val="Tahoma"/>
            <family val="2"/>
          </rPr>
          <t>Selected R</t>
        </r>
        <r>
          <rPr>
            <b/>
            <vertAlign val="subscript"/>
            <sz val="9"/>
            <color rgb="FF000000"/>
            <rFont val="Tahoma"/>
            <family val="2"/>
          </rPr>
          <t xml:space="preserve">UVLO2
</t>
        </r>
        <r>
          <rPr>
            <b/>
            <vertAlign val="subscript"/>
            <sz val="9"/>
            <color rgb="FF000000"/>
            <rFont val="Tahoma"/>
            <family val="2"/>
          </rPr>
          <t xml:space="preserve">
</t>
        </r>
        <r>
          <rPr>
            <sz val="9"/>
            <color rgb="FF000000"/>
            <rFont val="Tahoma"/>
            <family val="2"/>
          </rPr>
          <t xml:space="preserve">This is the selected bottom resistor of the UVLO resistor divider. The larger this value the less current will flow in the divider making the UVLO signal more susceptible to noise. </t>
        </r>
      </text>
    </comment>
    <comment ref="B96" authorId="0" shapeId="0" xr:uid="{00000000-0006-0000-0000-000034000000}">
      <text>
        <r>
          <rPr>
            <b/>
            <sz val="9"/>
            <color rgb="FF000000"/>
            <rFont val="Tahoma"/>
            <family val="2"/>
          </rPr>
          <t>Calculated R</t>
        </r>
        <r>
          <rPr>
            <b/>
            <vertAlign val="subscript"/>
            <sz val="9"/>
            <color rgb="FF000000"/>
            <rFont val="Tahoma"/>
            <family val="2"/>
          </rPr>
          <t xml:space="preserve">UVLO1
</t>
        </r>
        <r>
          <rPr>
            <b/>
            <vertAlign val="subscript"/>
            <sz val="9"/>
            <color rgb="FF000000"/>
            <rFont val="Tahoma"/>
            <family val="2"/>
          </rPr>
          <t xml:space="preserve">
</t>
        </r>
        <r>
          <rPr>
            <sz val="9"/>
            <color rgb="FF000000"/>
            <rFont val="Tahoma"/>
            <family val="2"/>
          </rPr>
          <t>This is the calculated top resistor of the UVLO resistor divider based on the datasheet equation</t>
        </r>
      </text>
    </comment>
    <comment ref="B97" authorId="0" shapeId="0" xr:uid="{00000000-0006-0000-0000-000035000000}">
      <text>
        <r>
          <rPr>
            <b/>
            <sz val="9"/>
            <color rgb="FF000000"/>
            <rFont val="Tahoma"/>
            <family val="2"/>
          </rPr>
          <t>Selected R</t>
        </r>
        <r>
          <rPr>
            <b/>
            <vertAlign val="subscript"/>
            <sz val="9"/>
            <color rgb="FF000000"/>
            <rFont val="Tahoma"/>
            <family val="2"/>
          </rPr>
          <t>UVLO1</t>
        </r>
        <r>
          <rPr>
            <b/>
            <sz val="9"/>
            <color rgb="FF000000"/>
            <rFont val="Tahoma"/>
            <family val="2"/>
          </rPr>
          <t xml:space="preserve">
</t>
        </r>
        <r>
          <rPr>
            <sz val="9"/>
            <color rgb="FF000000"/>
            <rFont val="Tahoma"/>
            <family val="2"/>
          </rPr>
          <t xml:space="preserve">
</t>
        </r>
        <r>
          <rPr>
            <sz val="9"/>
            <color rgb="FF000000"/>
            <rFont val="Tahoma"/>
            <family val="2"/>
          </rPr>
          <t>This is the selected value of R</t>
        </r>
        <r>
          <rPr>
            <vertAlign val="subscript"/>
            <sz val="9"/>
            <color rgb="FF000000"/>
            <rFont val="Tahoma"/>
            <family val="2"/>
          </rPr>
          <t>UVLO1</t>
        </r>
        <r>
          <rPr>
            <sz val="9"/>
            <color rgb="FF000000"/>
            <rFont val="Tahoma"/>
            <family val="2"/>
          </rPr>
          <t xml:space="preserve">. The selected value should be based on the calculated value above
</t>
        </r>
      </text>
    </comment>
    <comment ref="B98" authorId="0" shapeId="0" xr:uid="{00000000-0006-0000-0000-000036000000}">
      <text>
        <r>
          <rPr>
            <b/>
            <sz val="9"/>
            <color indexed="81"/>
            <rFont val="Tahoma"/>
            <family val="2"/>
          </rPr>
          <t xml:space="preserve">UVLO Hysteresis
</t>
        </r>
        <r>
          <rPr>
            <sz val="9"/>
            <color indexed="81"/>
            <rFont val="Tahoma"/>
            <family val="2"/>
          </rPr>
          <t>If a different amount of hysteresis is needed on the UVLO signal a resistor (R</t>
        </r>
        <r>
          <rPr>
            <vertAlign val="subscript"/>
            <sz val="9"/>
            <color indexed="81"/>
            <rFont val="Tahoma"/>
            <family val="2"/>
          </rPr>
          <t>UVLO3</t>
        </r>
        <r>
          <rPr>
            <sz val="9"/>
            <color indexed="81"/>
            <rFont val="Tahoma"/>
            <family val="2"/>
          </rPr>
          <t xml:space="preserve">) maybe added to adjust this accordingly. The two following options will help to calculate the correct UVLO resistor values.
</t>
        </r>
        <r>
          <rPr>
            <u/>
            <sz val="9"/>
            <color indexed="81"/>
            <rFont val="Tahoma"/>
            <family val="2"/>
          </rPr>
          <t xml:space="preserve">1. Additional </t>
        </r>
        <r>
          <rPr>
            <sz val="9"/>
            <color indexed="81"/>
            <rFont val="Tahoma"/>
            <family val="2"/>
          </rPr>
          <t xml:space="preserve">
This allows for a greater level of hysteresis to be implemented for the UVLO signal. Selecting this option will calculated the needed value for R</t>
        </r>
        <r>
          <rPr>
            <vertAlign val="subscript"/>
            <sz val="9"/>
            <color indexed="81"/>
            <rFont val="Tahoma"/>
            <family val="2"/>
          </rPr>
          <t>UVLO3</t>
        </r>
        <r>
          <rPr>
            <sz val="9"/>
            <color indexed="81"/>
            <rFont val="Tahoma"/>
            <family val="2"/>
          </rPr>
          <t xml:space="preserve"> 
</t>
        </r>
        <r>
          <rPr>
            <u/>
            <sz val="9"/>
            <color indexed="81"/>
            <rFont val="Tahoma"/>
            <family val="2"/>
          </rPr>
          <t>2. Normal</t>
        </r>
        <r>
          <rPr>
            <sz val="9"/>
            <color indexed="81"/>
            <rFont val="Tahoma"/>
            <family val="2"/>
          </rPr>
          <t xml:space="preserve">
This is the most common use case for the UVLO signal. The hysteresis will be set by the 25uA internal current source and the R</t>
        </r>
        <r>
          <rPr>
            <vertAlign val="subscript"/>
            <sz val="9"/>
            <color indexed="81"/>
            <rFont val="Tahoma"/>
            <family val="2"/>
          </rPr>
          <t>UVLO1</t>
        </r>
        <r>
          <rPr>
            <sz val="9"/>
            <color indexed="81"/>
            <rFont val="Tahoma"/>
            <family val="2"/>
          </rPr>
          <t xml:space="preserve"> resistor</t>
        </r>
      </text>
    </comment>
    <comment ref="B99" authorId="0" shapeId="0" xr:uid="{00000000-0006-0000-0000-000037000000}">
      <text>
        <r>
          <rPr>
            <b/>
            <sz val="9"/>
            <color indexed="81"/>
            <rFont val="Tahoma"/>
            <family val="2"/>
          </rPr>
          <t>Selected Amount of Hysteresis</t>
        </r>
        <r>
          <rPr>
            <sz val="9"/>
            <color indexed="81"/>
            <rFont val="Tahoma"/>
            <family val="2"/>
          </rPr>
          <t xml:space="preserve">
The amount of hysteresis that RUVLO3 will be calculated to provide. If the "Normal" option on the "UVLO Hysteresis Type" box is selected this box is void.</t>
        </r>
      </text>
    </comment>
    <comment ref="B100" authorId="0" shapeId="0" xr:uid="{00000000-0006-0000-0000-000038000000}">
      <text>
        <r>
          <rPr>
            <b/>
            <sz val="9"/>
            <color rgb="FF000000"/>
            <rFont val="Tahoma"/>
            <family val="2"/>
          </rPr>
          <t>Calculated R</t>
        </r>
        <r>
          <rPr>
            <b/>
            <vertAlign val="subscript"/>
            <sz val="9"/>
            <color rgb="FF000000"/>
            <rFont val="Tahoma"/>
            <family val="2"/>
          </rPr>
          <t>UVLO3</t>
        </r>
        <r>
          <rPr>
            <b/>
            <sz val="9"/>
            <color rgb="FF000000"/>
            <rFont val="Tahoma"/>
            <family val="2"/>
          </rPr>
          <t xml:space="preserve"> Value</t>
        </r>
        <r>
          <rPr>
            <sz val="9"/>
            <color rgb="FF000000"/>
            <rFont val="Tahoma"/>
            <family val="2"/>
          </rPr>
          <t xml:space="preserve">
</t>
        </r>
        <r>
          <rPr>
            <sz val="9"/>
            <color rgb="FF000000"/>
            <rFont val="Tahoma"/>
            <family val="2"/>
          </rPr>
          <t xml:space="preserve">
</t>
        </r>
        <r>
          <rPr>
            <sz val="9"/>
            <color rgb="FF000000"/>
            <rFont val="Tahoma"/>
            <family val="2"/>
          </rPr>
          <t>The calculated value based on amount of selected UVLO hysteresis. The calculated value is based on the datasheet equation. If the "Normal" option on the "UVLO Hysteresis Type" box is selected this box is void.</t>
        </r>
      </text>
    </comment>
    <comment ref="B101" authorId="0" shapeId="0" xr:uid="{00000000-0006-0000-0000-000039000000}">
      <text>
        <r>
          <rPr>
            <b/>
            <sz val="9"/>
            <color rgb="FF000000"/>
            <rFont val="Tahoma"/>
            <family val="2"/>
          </rPr>
          <t>Selected R</t>
        </r>
        <r>
          <rPr>
            <b/>
            <vertAlign val="subscript"/>
            <sz val="9"/>
            <color rgb="FF000000"/>
            <rFont val="Tahoma"/>
            <family val="2"/>
          </rPr>
          <t>UVLO3</t>
        </r>
        <r>
          <rPr>
            <b/>
            <sz val="9"/>
            <color rgb="FF000000"/>
            <rFont val="Tahoma"/>
            <family val="2"/>
          </rPr>
          <t xml:space="preserve"> Value
</t>
        </r>
        <r>
          <rPr>
            <b/>
            <sz val="9"/>
            <color rgb="FF000000"/>
            <rFont val="Tahoma"/>
            <family val="2"/>
          </rPr>
          <t xml:space="preserve">
</t>
        </r>
        <r>
          <rPr>
            <sz val="9"/>
            <color rgb="FF000000"/>
            <rFont val="Tahoma"/>
            <family val="2"/>
          </rPr>
          <t>The selected value should be based on the calculated value above. If the "Normal" option on the "UVLO Hysteresis Type" box is selected this box is void.</t>
        </r>
      </text>
    </comment>
    <comment ref="B102" authorId="0" shapeId="0" xr:uid="{00000000-0006-0000-0000-00003A000000}">
      <text>
        <r>
          <rPr>
            <b/>
            <sz val="9"/>
            <color indexed="81"/>
            <rFont val="Tahoma"/>
            <family val="2"/>
          </rPr>
          <t xml:space="preserve">UVLO Hysteresis
</t>
        </r>
        <r>
          <rPr>
            <sz val="9"/>
            <color indexed="81"/>
            <rFont val="Tahoma"/>
            <family val="2"/>
          </rPr>
          <t xml:space="preserve">
This is the amount of hysteresis that will be on the UVLO signal. This value is dependent on the selection of the "UVLO Hysteresis Type" cell.
</t>
        </r>
      </text>
    </comment>
    <comment ref="B103" authorId="0" shapeId="0" xr:uid="{00000000-0006-0000-0000-00003B000000}">
      <text>
        <r>
          <rPr>
            <b/>
            <sz val="9"/>
            <color rgb="FF000000"/>
            <rFont val="Tahoma"/>
            <family val="2"/>
          </rPr>
          <t xml:space="preserve">UVLO Release Rising Edge
</t>
        </r>
        <r>
          <rPr>
            <b/>
            <sz val="9"/>
            <color rgb="FF000000"/>
            <rFont val="Tahoma"/>
            <family val="2"/>
          </rPr>
          <t xml:space="preserve">
</t>
        </r>
        <r>
          <rPr>
            <sz val="9"/>
            <color rgb="FF000000"/>
            <rFont val="Tahoma"/>
            <family val="2"/>
          </rPr>
          <t>This is the UVLO input rail voltage at which the Undervoltage event is cleared. If the input rail voltage is greater than this value the LM5170 is able to deliver current.</t>
        </r>
      </text>
    </comment>
    <comment ref="B104" authorId="0" shapeId="0" xr:uid="{00000000-0006-0000-0000-00003C000000}">
      <text>
        <r>
          <rPr>
            <b/>
            <sz val="9"/>
            <color rgb="FF000000"/>
            <rFont val="Tahoma"/>
            <family val="2"/>
          </rPr>
          <t xml:space="preserve">UVLO Latch Falling Edge
</t>
        </r>
        <r>
          <rPr>
            <sz val="9"/>
            <color rgb="FF000000"/>
            <rFont val="Tahoma"/>
            <family val="2"/>
          </rPr>
          <t xml:space="preserve">
</t>
        </r>
        <r>
          <rPr>
            <sz val="9"/>
            <color rgb="FF000000"/>
            <rFont val="Tahoma"/>
            <family val="2"/>
          </rPr>
          <t>This is the UVLO input rail voltage at which an Undervoltage event occurs. If the input rail voltage is less than this value the LM5170 is in standby mode.</t>
        </r>
      </text>
    </comment>
    <comment ref="B105" authorId="0" shapeId="0" xr:uid="{00000000-0006-0000-0000-00003D000000}">
      <text>
        <r>
          <rPr>
            <b/>
            <sz val="9"/>
            <color rgb="FF000000"/>
            <rFont val="Tahoma"/>
            <family val="2"/>
          </rPr>
          <t xml:space="preserve">UVLO Shutdown Voltage
</t>
        </r>
        <r>
          <rPr>
            <b/>
            <sz val="9"/>
            <color rgb="FF000000"/>
            <rFont val="Tahoma"/>
            <family val="2"/>
          </rPr>
          <t xml:space="preserve">
</t>
        </r>
        <r>
          <rPr>
            <sz val="9"/>
            <color rgb="FF000000"/>
            <rFont val="Tahoma"/>
            <family val="2"/>
          </rPr>
          <t>This is the UVLO input rail voltage at which the LM5170 will enter shutdown mode.</t>
        </r>
        <r>
          <rPr>
            <b/>
            <sz val="9"/>
            <color rgb="FF000000"/>
            <rFont val="Tahoma"/>
            <family val="2"/>
          </rPr>
          <t xml:space="preserve"> </t>
        </r>
      </text>
    </comment>
    <comment ref="B110" authorId="0" shapeId="0" xr:uid="{00000000-0006-0000-0000-00003E000000}">
      <text>
        <r>
          <rPr>
            <b/>
            <sz val="9"/>
            <color rgb="FF000000"/>
            <rFont val="Tahoma"/>
            <family val="2"/>
          </rPr>
          <t>IOUT Voltage at VCS = 50mV</t>
        </r>
        <r>
          <rPr>
            <sz val="9"/>
            <color rgb="FF000000"/>
            <rFont val="Tahoma"/>
            <family val="2"/>
          </rPr>
          <t xml:space="preserve">
</t>
        </r>
        <r>
          <rPr>
            <sz val="9"/>
            <color rgb="FF000000"/>
            <rFont val="Tahoma"/>
            <family val="2"/>
          </rPr>
          <t xml:space="preserve">
</t>
        </r>
        <r>
          <rPr>
            <sz val="9"/>
            <color rgb="FF000000"/>
            <rFont val="Tahoma"/>
            <family val="2"/>
          </rPr>
          <t xml:space="preserve">The maximum voltage that the IOUTx pin will see at full load current. This is assuming that each channel (IOUT1, IOUT2,…) has an output that is not tied together. It is recommended to keep the IOUTx pin </t>
        </r>
        <r>
          <rPr>
            <u/>
            <sz val="9"/>
            <color rgb="FF000000"/>
            <rFont val="Tahoma"/>
            <family val="2"/>
          </rPr>
          <t xml:space="preserve">voltage below 5V </t>
        </r>
        <r>
          <rPr>
            <sz val="9"/>
            <color rgb="FF000000"/>
            <rFont val="Tahoma"/>
            <family val="2"/>
          </rPr>
          <t>for accurate current measurements.</t>
        </r>
      </text>
    </comment>
    <comment ref="B111" authorId="0" shapeId="0" xr:uid="{00000000-0006-0000-0000-00003F000000}">
      <text>
        <r>
          <rPr>
            <b/>
            <sz val="9"/>
            <color rgb="FF000000"/>
            <rFont val="Tahoma"/>
            <family val="2"/>
          </rPr>
          <t>Calculated R</t>
        </r>
        <r>
          <rPr>
            <b/>
            <vertAlign val="subscript"/>
            <sz val="9"/>
            <color rgb="FF000000"/>
            <rFont val="Tahoma"/>
            <family val="2"/>
          </rPr>
          <t xml:space="preserve">IOUT </t>
        </r>
        <r>
          <rPr>
            <b/>
            <sz val="9"/>
            <color rgb="FF000000"/>
            <rFont val="Tahoma"/>
            <family val="2"/>
          </rPr>
          <t>Values</t>
        </r>
        <r>
          <rPr>
            <sz val="9"/>
            <color rgb="FF000000"/>
            <rFont val="Tahoma"/>
            <family val="2"/>
          </rPr>
          <t xml:space="preserve">
</t>
        </r>
        <r>
          <rPr>
            <sz val="9"/>
            <color rgb="FF000000"/>
            <rFont val="Tahoma"/>
            <family val="2"/>
          </rPr>
          <t xml:space="preserve">
</t>
        </r>
        <r>
          <rPr>
            <sz val="9"/>
            <color rgb="FF000000"/>
            <rFont val="Tahoma"/>
            <family val="2"/>
          </rPr>
          <t>These values are assuming that no IOUT signal is tied together. The calculated value of the resistor will give the specified maximum V</t>
        </r>
        <r>
          <rPr>
            <vertAlign val="subscript"/>
            <sz val="9"/>
            <color rgb="FF000000"/>
            <rFont val="Tahoma"/>
            <family val="2"/>
          </rPr>
          <t>IOUT</t>
        </r>
        <r>
          <rPr>
            <sz val="9"/>
            <color rgb="FF000000"/>
            <rFont val="Tahoma"/>
            <family val="2"/>
          </rPr>
          <t xml:space="preserve"> based on the datasheet equation.</t>
        </r>
      </text>
    </comment>
    <comment ref="B112" authorId="0" shapeId="0" xr:uid="{00000000-0006-0000-0000-000040000000}">
      <text>
        <r>
          <rPr>
            <b/>
            <sz val="9"/>
            <color rgb="FF000000"/>
            <rFont val="Tahoma"/>
            <family val="2"/>
          </rPr>
          <t>Selected RIOUT Value</t>
        </r>
        <r>
          <rPr>
            <sz val="9"/>
            <color rgb="FF000000"/>
            <rFont val="Tahoma"/>
            <family val="2"/>
          </rPr>
          <t xml:space="preserve">
</t>
        </r>
        <r>
          <rPr>
            <sz val="9"/>
            <color rgb="FF000000"/>
            <rFont val="Tahoma"/>
            <family val="2"/>
          </rPr>
          <t xml:space="preserve">
</t>
        </r>
        <r>
          <rPr>
            <sz val="9"/>
            <color rgb="FF000000"/>
            <rFont val="Tahoma"/>
            <family val="2"/>
          </rPr>
          <t>The selected value should be based on the calculated value for the RIOUT resistors</t>
        </r>
      </text>
    </comment>
    <comment ref="B113" authorId="0" shapeId="0" xr:uid="{00000000-0006-0000-0000-000041000000}">
      <text>
        <r>
          <rPr>
            <b/>
            <sz val="9"/>
            <color rgb="FF000000"/>
            <rFont val="Tahoma"/>
            <family val="2"/>
          </rPr>
          <t>V</t>
        </r>
        <r>
          <rPr>
            <b/>
            <vertAlign val="subscript"/>
            <sz val="9"/>
            <color rgb="FF000000"/>
            <rFont val="Tahoma"/>
            <family val="2"/>
          </rPr>
          <t>IOUT</t>
        </r>
        <r>
          <rPr>
            <b/>
            <sz val="9"/>
            <color rgb="FF000000"/>
            <rFont val="Tahoma"/>
            <family val="2"/>
          </rPr>
          <t xml:space="preserve"> at full load</t>
        </r>
        <r>
          <rPr>
            <sz val="9"/>
            <color rgb="FF000000"/>
            <rFont val="Tahoma"/>
            <family val="2"/>
          </rPr>
          <t xml:space="preserve">
</t>
        </r>
        <r>
          <rPr>
            <sz val="9"/>
            <color rgb="FF000000"/>
            <rFont val="Tahoma"/>
            <family val="2"/>
          </rPr>
          <t xml:space="preserve">
</t>
        </r>
        <r>
          <rPr>
            <sz val="9"/>
            <color rgb="FF000000"/>
            <rFont val="Tahoma"/>
            <family val="2"/>
          </rPr>
          <t>This is the maximum value on the IOUT pins based on the resistor selection made.</t>
        </r>
      </text>
    </comment>
    <comment ref="B114" authorId="0" shapeId="0" xr:uid="{00000000-0006-0000-0000-000042000000}">
      <text>
        <r>
          <rPr>
            <b/>
            <sz val="9"/>
            <color rgb="FF000000"/>
            <rFont val="Tahoma"/>
            <family val="2"/>
          </rPr>
          <t>V</t>
        </r>
        <r>
          <rPr>
            <b/>
            <vertAlign val="subscript"/>
            <sz val="9"/>
            <color rgb="FF000000"/>
            <rFont val="Tahoma"/>
            <family val="2"/>
          </rPr>
          <t>IOUT</t>
        </r>
        <r>
          <rPr>
            <b/>
            <sz val="9"/>
            <color rgb="FF000000"/>
            <rFont val="Tahoma"/>
            <family val="2"/>
          </rPr>
          <t xml:space="preserve"> at no load
</t>
        </r>
        <r>
          <rPr>
            <b/>
            <sz val="9"/>
            <color rgb="FF000000"/>
            <rFont val="Tahoma"/>
            <family val="2"/>
          </rPr>
          <t xml:space="preserve">
</t>
        </r>
        <r>
          <rPr>
            <sz val="9"/>
            <color rgb="FF000000"/>
            <rFont val="Tahoma"/>
            <family val="2"/>
          </rPr>
          <t>This is the voltage on the IOUT pins at no load based on the resistor selection made. This is due to the 25uA offset current on the IOUT pins</t>
        </r>
        <r>
          <rPr>
            <b/>
            <sz val="9"/>
            <color rgb="FF000000"/>
            <rFont val="Tahoma"/>
            <family val="2"/>
          </rPr>
          <t>.</t>
        </r>
        <r>
          <rPr>
            <sz val="9"/>
            <color rgb="FF000000"/>
            <rFont val="Tahoma"/>
            <family val="2"/>
          </rPr>
          <t xml:space="preserve">
</t>
        </r>
      </text>
    </comment>
    <comment ref="B115" authorId="0" shapeId="0" xr:uid="{00000000-0006-0000-0000-000043000000}">
      <text>
        <r>
          <rPr>
            <b/>
            <sz val="9"/>
            <color rgb="FF000000"/>
            <rFont val="Tahoma"/>
            <family val="2"/>
          </rPr>
          <t xml:space="preserve">Calculated CIOUT 
</t>
        </r>
        <r>
          <rPr>
            <b/>
            <sz val="9"/>
            <color rgb="FF000000"/>
            <rFont val="Tahoma"/>
            <family val="2"/>
          </rPr>
          <t xml:space="preserve">
</t>
        </r>
        <r>
          <rPr>
            <sz val="9"/>
            <color rgb="FF000000"/>
            <rFont val="Tahoma"/>
            <family val="2"/>
          </rPr>
          <t xml:space="preserve">This is the capacitor that will filter out any noise on the IOUT pins. This value was calculated based on the recommendations of the datasheet.
</t>
        </r>
      </text>
    </comment>
    <comment ref="B116" authorId="0" shapeId="0" xr:uid="{00000000-0006-0000-0000-000044000000}">
      <text>
        <r>
          <rPr>
            <b/>
            <sz val="9"/>
            <color rgb="FF000000"/>
            <rFont val="Tahoma"/>
            <family val="2"/>
          </rPr>
          <t>Selected C</t>
        </r>
        <r>
          <rPr>
            <b/>
            <vertAlign val="subscript"/>
            <sz val="9"/>
            <color rgb="FF000000"/>
            <rFont val="Tahoma"/>
            <family val="2"/>
          </rPr>
          <t>IOUT</t>
        </r>
        <r>
          <rPr>
            <b/>
            <sz val="9"/>
            <color rgb="FF000000"/>
            <rFont val="Tahoma"/>
            <family val="2"/>
          </rPr>
          <t xml:space="preserve"> Capacitor</t>
        </r>
        <r>
          <rPr>
            <sz val="9"/>
            <color rgb="FF000000"/>
            <rFont val="Tahoma"/>
            <family val="2"/>
          </rPr>
          <t xml:space="preserve">
</t>
        </r>
        <r>
          <rPr>
            <sz val="9"/>
            <color rgb="FF000000"/>
            <rFont val="Tahoma"/>
            <family val="2"/>
          </rPr>
          <t xml:space="preserve">
</t>
        </r>
        <r>
          <rPr>
            <sz val="9"/>
            <color rgb="FF000000"/>
            <rFont val="Tahoma"/>
            <family val="2"/>
          </rPr>
          <t>This is the selected C</t>
        </r>
        <r>
          <rPr>
            <vertAlign val="subscript"/>
            <sz val="9"/>
            <color rgb="FF000000"/>
            <rFont val="Tahoma"/>
            <family val="2"/>
          </rPr>
          <t>IOUT</t>
        </r>
        <r>
          <rPr>
            <sz val="9"/>
            <color rgb="FF000000"/>
            <rFont val="Tahoma"/>
            <family val="2"/>
          </rPr>
          <t xml:space="preserve"> capacitor. The selected value should be based on the calculated value above.</t>
        </r>
      </text>
    </comment>
    <comment ref="B117" authorId="0" shapeId="0" xr:uid="{00000000-0006-0000-0000-000045000000}">
      <text>
        <r>
          <rPr>
            <b/>
            <sz val="9"/>
            <color rgb="FF000000"/>
            <rFont val="Tahoma"/>
            <family val="2"/>
          </rPr>
          <t>V</t>
        </r>
        <r>
          <rPr>
            <b/>
            <vertAlign val="subscript"/>
            <sz val="9"/>
            <color rgb="FF000000"/>
            <rFont val="Tahoma"/>
            <family val="2"/>
          </rPr>
          <t>IOUT</t>
        </r>
        <r>
          <rPr>
            <b/>
            <sz val="9"/>
            <color rgb="FF000000"/>
            <rFont val="Tahoma"/>
            <family val="2"/>
          </rPr>
          <t xml:space="preserve"> Ripple
</t>
        </r>
        <r>
          <rPr>
            <b/>
            <sz val="9"/>
            <color rgb="FF000000"/>
            <rFont val="Tahoma"/>
            <family val="2"/>
          </rPr>
          <t xml:space="preserve">
</t>
        </r>
        <r>
          <rPr>
            <sz val="9"/>
            <color rgb="FF000000"/>
            <rFont val="Tahoma"/>
            <family val="2"/>
          </rPr>
          <t>This is the amount of voltage ripple on the IOUT pin at full load. This can be decreased by increasing the C</t>
        </r>
        <r>
          <rPr>
            <vertAlign val="subscript"/>
            <sz val="9"/>
            <color rgb="FF000000"/>
            <rFont val="Tahoma"/>
            <family val="2"/>
          </rPr>
          <t>IOUT</t>
        </r>
        <r>
          <rPr>
            <sz val="9"/>
            <color rgb="FF000000"/>
            <rFont val="Tahoma"/>
            <family val="2"/>
          </rPr>
          <t xml:space="preserve"> capacitance</t>
        </r>
      </text>
    </comment>
    <comment ref="B118" authorId="0" shapeId="0" xr:uid="{00000000-0006-0000-0000-000046000000}">
      <text>
        <r>
          <rPr>
            <b/>
            <sz val="9"/>
            <color rgb="FF000000"/>
            <rFont val="Tahoma"/>
            <family val="2"/>
          </rPr>
          <t xml:space="preserve">Corner Frequency
</t>
        </r>
        <r>
          <rPr>
            <b/>
            <sz val="9"/>
            <color rgb="FF000000"/>
            <rFont val="Tahoma"/>
            <family val="2"/>
          </rPr>
          <t xml:space="preserve">
</t>
        </r>
        <r>
          <rPr>
            <sz val="9"/>
            <color rgb="FF000000"/>
            <rFont val="Tahoma"/>
            <family val="2"/>
          </rPr>
          <t>This is the corner frequency of the IOUT resistor and capacitor.</t>
        </r>
      </text>
    </comment>
    <comment ref="B123" authorId="0" shapeId="0" xr:uid="{00000000-0006-0000-0000-000047000000}">
      <text>
        <r>
          <rPr>
            <b/>
            <sz val="9"/>
            <color rgb="FF000000"/>
            <rFont val="Tahoma"/>
            <family val="2"/>
          </rPr>
          <t xml:space="preserve">Dead Time Configuration
</t>
        </r>
        <r>
          <rPr>
            <b/>
            <sz val="9"/>
            <color rgb="FF000000"/>
            <rFont val="Tahoma"/>
            <family val="2"/>
          </rPr>
          <t xml:space="preserve">
</t>
        </r>
        <r>
          <rPr>
            <sz val="9"/>
            <color rgb="FF000000"/>
            <rFont val="Tahoma"/>
            <family val="2"/>
          </rPr>
          <t>The dead time of the LM5170 can either be programmed or it can be set to adaptive. See the datasheet for more details</t>
        </r>
      </text>
    </comment>
    <comment ref="B124" authorId="0" shapeId="0" xr:uid="{00000000-0006-0000-0000-000048000000}">
      <text>
        <r>
          <rPr>
            <b/>
            <sz val="9"/>
            <color rgb="FF000000"/>
            <rFont val="Tahoma"/>
            <family val="2"/>
          </rPr>
          <t>Selected Dead Time</t>
        </r>
        <r>
          <rPr>
            <sz val="9"/>
            <color rgb="FF000000"/>
            <rFont val="Tahoma"/>
            <family val="2"/>
          </rPr>
          <t xml:space="preserve">
</t>
        </r>
        <r>
          <rPr>
            <sz val="9"/>
            <color rgb="FF000000"/>
            <rFont val="Tahoma"/>
            <family val="2"/>
          </rPr>
          <t xml:space="preserve">
</t>
        </r>
        <r>
          <rPr>
            <sz val="9"/>
            <color rgb="FF000000"/>
            <rFont val="Tahoma"/>
            <family val="2"/>
          </rPr>
          <t xml:space="preserve">This is the dead time between the LO and HO signals
</t>
        </r>
        <r>
          <rPr>
            <sz val="9"/>
            <color rgb="FF000000"/>
            <rFont val="Tahoma"/>
            <family val="2"/>
          </rPr>
          <t xml:space="preserve">
</t>
        </r>
        <r>
          <rPr>
            <sz val="9"/>
            <color rgb="FF000000"/>
            <rFont val="Tahoma"/>
            <family val="2"/>
          </rPr>
          <t xml:space="preserve">The </t>
        </r>
        <r>
          <rPr>
            <b/>
            <sz val="9"/>
            <color rgb="FF000000"/>
            <rFont val="Tahoma"/>
            <family val="2"/>
          </rPr>
          <t>minimum</t>
        </r>
        <r>
          <rPr>
            <sz val="9"/>
            <color rgb="FF000000"/>
            <rFont val="Tahoma"/>
            <family val="2"/>
          </rPr>
          <t xml:space="preserve"> value is: </t>
        </r>
        <r>
          <rPr>
            <b/>
            <sz val="9"/>
            <color rgb="FF000000"/>
            <rFont val="Tahoma"/>
            <family val="2"/>
          </rPr>
          <t>15ns</t>
        </r>
        <r>
          <rPr>
            <sz val="9"/>
            <color rgb="FF000000"/>
            <rFont val="Tahoma"/>
            <family val="2"/>
          </rPr>
          <t xml:space="preserve">
</t>
        </r>
        <r>
          <rPr>
            <sz val="9"/>
            <color rgb="FF000000"/>
            <rFont val="Tahoma"/>
            <family val="2"/>
          </rPr>
          <t xml:space="preserve">The </t>
        </r>
        <r>
          <rPr>
            <b/>
            <sz val="9"/>
            <color rgb="FF000000"/>
            <rFont val="Tahoma"/>
            <family val="2"/>
          </rPr>
          <t>maximum</t>
        </r>
        <r>
          <rPr>
            <sz val="9"/>
            <color rgb="FF000000"/>
            <rFont val="Tahoma"/>
            <family val="2"/>
          </rPr>
          <t xml:space="preserve"> values is: </t>
        </r>
        <r>
          <rPr>
            <b/>
            <sz val="9"/>
            <color rgb="FF000000"/>
            <rFont val="Tahoma"/>
            <family val="2"/>
          </rPr>
          <t>200ns</t>
        </r>
      </text>
    </comment>
    <comment ref="B125" authorId="0" shapeId="0" xr:uid="{00000000-0006-0000-0000-000049000000}">
      <text>
        <r>
          <rPr>
            <b/>
            <sz val="9"/>
            <color rgb="FF000000"/>
            <rFont val="Tahoma"/>
            <family val="2"/>
          </rPr>
          <t>Dead Time Resistor</t>
        </r>
        <r>
          <rPr>
            <sz val="9"/>
            <color rgb="FF000000"/>
            <rFont val="Tahoma"/>
            <family val="2"/>
          </rPr>
          <t xml:space="preserve">
</t>
        </r>
        <r>
          <rPr>
            <sz val="9"/>
            <color rgb="FF000000"/>
            <rFont val="Tahoma"/>
            <family val="2"/>
          </rPr>
          <t xml:space="preserve">
</t>
        </r>
        <r>
          <rPr>
            <sz val="9"/>
            <color rgb="FF000000"/>
            <rFont val="Tahoma"/>
            <family val="2"/>
          </rPr>
          <t>Calculated dead time resistor based on the above selected dead time value.</t>
        </r>
      </text>
    </comment>
    <comment ref="B126" authorId="0" shapeId="0" xr:uid="{00000000-0006-0000-0000-00004A000000}">
      <text>
        <r>
          <rPr>
            <b/>
            <sz val="9"/>
            <color rgb="FF000000"/>
            <rFont val="Tahoma"/>
            <family val="2"/>
          </rPr>
          <t>Selected Dead Time Resistor</t>
        </r>
        <r>
          <rPr>
            <sz val="9"/>
            <color rgb="FF000000"/>
            <rFont val="Tahoma"/>
            <family val="2"/>
          </rPr>
          <t xml:space="preserve">
</t>
        </r>
        <r>
          <rPr>
            <sz val="9"/>
            <color rgb="FF000000"/>
            <rFont val="Tahoma"/>
            <family val="2"/>
          </rPr>
          <t xml:space="preserve">
</t>
        </r>
        <r>
          <rPr>
            <sz val="9"/>
            <color rgb="FF000000"/>
            <rFont val="Tahoma"/>
            <family val="2"/>
          </rPr>
          <t>This is the selected dead time resistor. The selection of this value should be based on the above calculated value</t>
        </r>
      </text>
    </comment>
    <comment ref="B127" authorId="0" shapeId="0" xr:uid="{00000000-0006-0000-0000-00004B000000}">
      <text>
        <r>
          <rPr>
            <b/>
            <sz val="9"/>
            <color rgb="FF000000"/>
            <rFont val="Tahoma"/>
            <family val="2"/>
          </rPr>
          <t>LO falling to HO rising Dead Time</t>
        </r>
        <r>
          <rPr>
            <sz val="9"/>
            <color rgb="FF000000"/>
            <rFont val="Tahoma"/>
            <family val="2"/>
          </rPr>
          <t xml:space="preserve">
</t>
        </r>
        <r>
          <rPr>
            <sz val="9"/>
            <color rgb="FF000000"/>
            <rFont val="Tahoma"/>
            <family val="2"/>
          </rPr>
          <t xml:space="preserve">
</t>
        </r>
        <r>
          <rPr>
            <sz val="9"/>
            <color rgb="FF000000"/>
            <rFont val="Tahoma"/>
            <family val="2"/>
          </rPr>
          <t>This is the dead time between the LO and HO signal</t>
        </r>
      </text>
    </comment>
    <comment ref="B128" authorId="0" shapeId="0" xr:uid="{00000000-0006-0000-0000-00004C000000}">
      <text>
        <r>
          <rPr>
            <b/>
            <sz val="9"/>
            <color indexed="81"/>
            <rFont val="Tahoma"/>
            <family val="2"/>
          </rPr>
          <t xml:space="preserve">HO falling to LO rising Dead Time
</t>
        </r>
        <r>
          <rPr>
            <sz val="9"/>
            <color indexed="81"/>
            <rFont val="Tahoma"/>
            <family val="2"/>
          </rPr>
          <t xml:space="preserve">
This is the dead time between the LO and HO signal
</t>
        </r>
      </text>
    </comment>
    <comment ref="B134" authorId="0" shapeId="0" xr:uid="{00000000-0006-0000-0000-00004D000000}">
      <text>
        <r>
          <rPr>
            <b/>
            <sz val="9"/>
            <color rgb="FF000000"/>
            <rFont val="Tahoma"/>
            <family val="2"/>
          </rPr>
          <t xml:space="preserve">Path Resistance
</t>
        </r>
        <r>
          <rPr>
            <b/>
            <sz val="9"/>
            <color rgb="FF000000"/>
            <rFont val="Tahoma"/>
            <family val="2"/>
          </rPr>
          <t xml:space="preserve">
</t>
        </r>
        <r>
          <rPr>
            <sz val="9"/>
            <color rgb="FF000000"/>
            <rFont val="Tahoma"/>
            <family val="2"/>
          </rPr>
          <t>This is the entire resistance on the LV port path to the load, excluding R</t>
        </r>
        <r>
          <rPr>
            <vertAlign val="subscript"/>
            <sz val="9"/>
            <color rgb="FF000000"/>
            <rFont val="Tahoma"/>
            <family val="2"/>
          </rPr>
          <t>CS</t>
        </r>
        <r>
          <rPr>
            <sz val="9"/>
            <color rgb="FF000000"/>
            <rFont val="Tahoma"/>
            <family val="2"/>
          </rPr>
          <t>. This a reasonable estimate of this value is 50m</t>
        </r>
        <r>
          <rPr>
            <sz val="9"/>
            <color rgb="FF000000"/>
            <rFont val="Calibri"/>
            <family val="2"/>
          </rPr>
          <t>Ω</t>
        </r>
        <r>
          <rPr>
            <sz val="9"/>
            <color rgb="FF000000"/>
            <rFont val="Tahoma"/>
            <family val="2"/>
          </rPr>
          <t xml:space="preserve"> </t>
        </r>
      </text>
    </comment>
    <comment ref="B135" authorId="0" shapeId="0" xr:uid="{00000000-0006-0000-0000-00004E000000}">
      <text>
        <r>
          <rPr>
            <b/>
            <sz val="9"/>
            <color rgb="FF000000"/>
            <rFont val="Tahoma"/>
            <family val="2"/>
          </rPr>
          <t xml:space="preserve">Plant Pole (kHz)
</t>
        </r>
        <r>
          <rPr>
            <sz val="9"/>
            <color rgb="FF000000"/>
            <rFont val="Tahoma"/>
            <family val="2"/>
          </rPr>
          <t xml:space="preserve">
</t>
        </r>
        <r>
          <rPr>
            <sz val="9"/>
            <color rgb="FF000000"/>
            <rFont val="Tahoma"/>
            <family val="2"/>
          </rPr>
          <t>This is the location of the low frequency pole of the power plant. This will help to determine the placement of the compensation network zero. See the datasheet for details on how to calculate this value.</t>
        </r>
        <r>
          <rPr>
            <b/>
            <sz val="9"/>
            <color rgb="FF000000"/>
            <rFont val="Tahoma"/>
            <family val="2"/>
          </rPr>
          <t xml:space="preserve">
</t>
        </r>
      </text>
    </comment>
    <comment ref="B136" authorId="0" shapeId="0" xr:uid="{00000000-0006-0000-0000-00004F000000}">
      <text>
        <r>
          <rPr>
            <b/>
            <sz val="9"/>
            <color rgb="FF000000"/>
            <rFont val="Tahoma"/>
            <family val="2"/>
          </rPr>
          <t>Suggested Cross Over Frequency</t>
        </r>
        <r>
          <rPr>
            <sz val="9"/>
            <color rgb="FF000000"/>
            <rFont val="Tahoma"/>
            <family val="2"/>
          </rPr>
          <t xml:space="preserve">
</t>
        </r>
        <r>
          <rPr>
            <sz val="9"/>
            <color rgb="FF000000"/>
            <rFont val="Tahoma"/>
            <family val="2"/>
          </rPr>
          <t xml:space="preserve">
</t>
        </r>
        <r>
          <rPr>
            <sz val="9"/>
            <color rgb="FF000000"/>
            <rFont val="Tahoma"/>
            <family val="2"/>
          </rPr>
          <t>This is estimated to be 1/10 of the switching frequency. This should allow for easy compensation and stability when adding voltage loop control.</t>
        </r>
      </text>
    </comment>
    <comment ref="B137" authorId="0" shapeId="0" xr:uid="{00000000-0006-0000-0000-000050000000}">
      <text>
        <r>
          <rPr>
            <sz val="9"/>
            <color rgb="FF000000"/>
            <rFont val="Tahoma"/>
            <family val="2"/>
          </rPr>
          <t xml:space="preserve">Crossover Frequency
</t>
        </r>
        <r>
          <rPr>
            <sz val="9"/>
            <color rgb="FF000000"/>
            <rFont val="Tahoma"/>
            <family val="2"/>
          </rPr>
          <t xml:space="preserve">
</t>
        </r>
        <r>
          <rPr>
            <sz val="9"/>
            <color rgb="FF000000"/>
            <rFont val="Tahoma"/>
            <family val="2"/>
          </rPr>
          <t xml:space="preserve">This is the selected crossover frequency of the current loop. The compensation values will be set to this
</t>
        </r>
      </text>
    </comment>
    <comment ref="B138" authorId="0" shapeId="0" xr:uid="{00000000-0006-0000-0000-000051000000}">
      <text>
        <r>
          <rPr>
            <b/>
            <sz val="9"/>
            <color rgb="FF000000"/>
            <rFont val="Tahoma"/>
            <family val="2"/>
          </rPr>
          <t>Calculated R</t>
        </r>
        <r>
          <rPr>
            <b/>
            <vertAlign val="subscript"/>
            <sz val="9"/>
            <color rgb="FF000000"/>
            <rFont val="Tahoma"/>
            <family val="2"/>
          </rPr>
          <t>COMP</t>
        </r>
        <r>
          <rPr>
            <b/>
            <sz val="9"/>
            <color rgb="FF000000"/>
            <rFont val="Tahoma"/>
            <family val="2"/>
          </rPr>
          <t xml:space="preserve">
</t>
        </r>
        <r>
          <rPr>
            <b/>
            <sz val="9"/>
            <color rgb="FF000000"/>
            <rFont val="Tahoma"/>
            <family val="2"/>
          </rPr>
          <t xml:space="preserve">
</t>
        </r>
        <r>
          <rPr>
            <sz val="9"/>
            <color rgb="FF000000"/>
            <rFont val="Tahoma"/>
            <family val="2"/>
          </rPr>
          <t>See datasheet for details on how to calculate this value</t>
        </r>
      </text>
    </comment>
    <comment ref="B139" authorId="0" shapeId="0" xr:uid="{00000000-0006-0000-0000-000052000000}">
      <text>
        <r>
          <rPr>
            <b/>
            <sz val="9"/>
            <color rgb="FF000000"/>
            <rFont val="Tahoma"/>
            <family val="2"/>
          </rPr>
          <t>Selected R</t>
        </r>
        <r>
          <rPr>
            <b/>
            <vertAlign val="subscript"/>
            <sz val="9"/>
            <color rgb="FF000000"/>
            <rFont val="Tahoma"/>
            <family val="2"/>
          </rPr>
          <t>COMP</t>
        </r>
        <r>
          <rPr>
            <b/>
            <sz val="9"/>
            <color rgb="FF000000"/>
            <rFont val="Tahoma"/>
            <family val="2"/>
          </rPr>
          <t xml:space="preserve">
</t>
        </r>
        <r>
          <rPr>
            <b/>
            <sz val="9"/>
            <color rgb="FF000000"/>
            <rFont val="Tahoma"/>
            <family val="2"/>
          </rPr>
          <t xml:space="preserve">
</t>
        </r>
        <r>
          <rPr>
            <sz val="9"/>
            <color rgb="FF000000"/>
            <rFont val="Tahoma"/>
            <family val="2"/>
          </rPr>
          <t xml:space="preserve">This value should reflect the calculated value above. Adjusting this value will move the affect the pole and the zero location of the compensation.
</t>
        </r>
      </text>
    </comment>
    <comment ref="B140" authorId="0" shapeId="0" xr:uid="{00000000-0006-0000-0000-000053000000}">
      <text>
        <r>
          <rPr>
            <b/>
            <sz val="9"/>
            <color rgb="FF000000"/>
            <rFont val="Tahoma"/>
            <family val="2"/>
          </rPr>
          <t>Calculated C</t>
        </r>
        <r>
          <rPr>
            <b/>
            <vertAlign val="subscript"/>
            <sz val="9"/>
            <color rgb="FF000000"/>
            <rFont val="Tahoma"/>
            <family val="2"/>
          </rPr>
          <t>COMP</t>
        </r>
        <r>
          <rPr>
            <b/>
            <sz val="9"/>
            <color rgb="FF000000"/>
            <rFont val="Tahoma"/>
            <family val="2"/>
          </rPr>
          <t xml:space="preserve">
</t>
        </r>
        <r>
          <rPr>
            <b/>
            <sz val="9"/>
            <color rgb="FF000000"/>
            <rFont val="Tahoma"/>
            <family val="2"/>
          </rPr>
          <t xml:space="preserve">
</t>
        </r>
        <r>
          <rPr>
            <b/>
            <sz val="9"/>
            <color rgb="FF000000"/>
            <rFont val="Tahoma"/>
            <family val="2"/>
          </rPr>
          <t>See datasheet for details on how to calculate this value</t>
        </r>
      </text>
    </comment>
    <comment ref="B141" authorId="0" shapeId="0" xr:uid="{00000000-0006-0000-0000-000054000000}">
      <text>
        <r>
          <rPr>
            <b/>
            <sz val="9"/>
            <color rgb="FF000000"/>
            <rFont val="Tahoma"/>
            <family val="2"/>
          </rPr>
          <t>Selected C</t>
        </r>
        <r>
          <rPr>
            <b/>
            <vertAlign val="subscript"/>
            <sz val="9"/>
            <color rgb="FF000000"/>
            <rFont val="Tahoma"/>
            <family val="2"/>
          </rPr>
          <t>COMP</t>
        </r>
        <r>
          <rPr>
            <b/>
            <sz val="9"/>
            <color rgb="FF000000"/>
            <rFont val="Tahoma"/>
            <family val="2"/>
          </rPr>
          <t xml:space="preserve">
</t>
        </r>
        <r>
          <rPr>
            <sz val="9"/>
            <color rgb="FF000000"/>
            <rFont val="Tahoma"/>
            <family val="2"/>
          </rPr>
          <t xml:space="preserve">
</t>
        </r>
        <r>
          <rPr>
            <sz val="9"/>
            <color rgb="FF000000"/>
            <rFont val="Tahoma"/>
            <family val="2"/>
          </rPr>
          <t>This value should reflect the calculated value above. Adjusting this value will move the affect the zero location of the compensation.</t>
        </r>
        <r>
          <rPr>
            <b/>
            <sz val="9"/>
            <color rgb="FF000000"/>
            <rFont val="Tahoma"/>
            <family val="2"/>
          </rPr>
          <t xml:space="preserve">
</t>
        </r>
      </text>
    </comment>
    <comment ref="B142" authorId="0" shapeId="0" xr:uid="{00000000-0006-0000-0000-000055000000}">
      <text>
        <r>
          <rPr>
            <b/>
            <sz val="9"/>
            <color rgb="FF000000"/>
            <rFont val="Tahoma"/>
            <family val="2"/>
          </rPr>
          <t>Calculated CHF</t>
        </r>
        <r>
          <rPr>
            <sz val="9"/>
            <color rgb="FF000000"/>
            <rFont val="Tahoma"/>
            <family val="2"/>
          </rPr>
          <t xml:space="preserve">
</t>
        </r>
        <r>
          <rPr>
            <sz val="9"/>
            <color rgb="FF000000"/>
            <rFont val="Tahoma"/>
            <family val="2"/>
          </rPr>
          <t xml:space="preserve">
</t>
        </r>
        <r>
          <rPr>
            <sz val="9"/>
            <color rgb="FF000000"/>
            <rFont val="Tahoma"/>
            <family val="2"/>
          </rPr>
          <t xml:space="preserve">See datasheet for details on how to calculate this value
</t>
        </r>
      </text>
    </comment>
    <comment ref="B143" authorId="0" shapeId="0" xr:uid="{00000000-0006-0000-0000-000056000000}">
      <text>
        <r>
          <rPr>
            <b/>
            <sz val="9"/>
            <color rgb="FF000000"/>
            <rFont val="Tahoma"/>
            <family val="2"/>
          </rPr>
          <t>Selected C</t>
        </r>
        <r>
          <rPr>
            <b/>
            <vertAlign val="subscript"/>
            <sz val="9"/>
            <color rgb="FF000000"/>
            <rFont val="Tahoma"/>
            <family val="2"/>
          </rPr>
          <t>HF</t>
        </r>
        <r>
          <rPr>
            <b/>
            <sz val="9"/>
            <color rgb="FF000000"/>
            <rFont val="Tahoma"/>
            <family val="2"/>
          </rPr>
          <t xml:space="preserve">
</t>
        </r>
        <r>
          <rPr>
            <sz val="9"/>
            <color rgb="FF000000"/>
            <rFont val="Tahoma"/>
            <family val="2"/>
          </rPr>
          <t xml:space="preserve">
</t>
        </r>
        <r>
          <rPr>
            <sz val="9"/>
            <color rgb="FF000000"/>
            <rFont val="Tahoma"/>
            <family val="2"/>
          </rPr>
          <t xml:space="preserve">This value should reflect the calculated value above. Adjusting this value will move the affect the pole location of the compensation network.
</t>
        </r>
      </text>
    </comment>
    <comment ref="B144" authorId="0" shapeId="0" xr:uid="{00000000-0006-0000-0000-000057000000}">
      <text>
        <r>
          <rPr>
            <b/>
            <sz val="9"/>
            <color rgb="FF000000"/>
            <rFont val="Tahoma"/>
            <family val="2"/>
          </rPr>
          <t>Compensation Zero Location (F</t>
        </r>
        <r>
          <rPr>
            <b/>
            <vertAlign val="subscript"/>
            <sz val="9"/>
            <color rgb="FF000000"/>
            <rFont val="Tahoma"/>
            <family val="2"/>
          </rPr>
          <t>Zcomp</t>
        </r>
        <r>
          <rPr>
            <b/>
            <sz val="9"/>
            <color rgb="FF000000"/>
            <rFont val="Tahoma"/>
            <family val="2"/>
          </rPr>
          <t xml:space="preserve">)
</t>
        </r>
        <r>
          <rPr>
            <sz val="9"/>
            <color rgb="FF000000"/>
            <rFont val="Tahoma"/>
            <family val="2"/>
          </rPr>
          <t xml:space="preserve">
</t>
        </r>
        <r>
          <rPr>
            <sz val="9"/>
            <color rgb="FF000000"/>
            <rFont val="Tahoma"/>
            <family val="2"/>
          </rPr>
          <t>This is the location of the zero in the compensation network based upon the selection of R</t>
        </r>
        <r>
          <rPr>
            <vertAlign val="subscript"/>
            <sz val="9"/>
            <color rgb="FF000000"/>
            <rFont val="Tahoma"/>
            <family val="2"/>
          </rPr>
          <t>COMP</t>
        </r>
        <r>
          <rPr>
            <sz val="9"/>
            <color rgb="FF000000"/>
            <rFont val="Tahoma"/>
            <family val="2"/>
          </rPr>
          <t xml:space="preserve"> and C</t>
        </r>
        <r>
          <rPr>
            <vertAlign val="subscript"/>
            <sz val="9"/>
            <color rgb="FF000000"/>
            <rFont val="Tahoma"/>
            <family val="2"/>
          </rPr>
          <t>COMP</t>
        </r>
        <r>
          <rPr>
            <sz val="9"/>
            <color rgb="FF000000"/>
            <rFont val="Tahoma"/>
            <family val="2"/>
          </rPr>
          <t>. The location of the zero can be seen on the bobe plot.</t>
        </r>
      </text>
    </comment>
    <comment ref="B145" authorId="0" shapeId="0" xr:uid="{00000000-0006-0000-0000-000058000000}">
      <text>
        <r>
          <rPr>
            <b/>
            <sz val="9"/>
            <color indexed="81"/>
            <rFont val="Tahoma"/>
            <family val="2"/>
          </rPr>
          <t>Compensation Pole Location (F</t>
        </r>
        <r>
          <rPr>
            <b/>
            <vertAlign val="subscript"/>
            <sz val="9"/>
            <color indexed="81"/>
            <rFont val="Tahoma"/>
            <family val="2"/>
          </rPr>
          <t>Pcomp</t>
        </r>
        <r>
          <rPr>
            <b/>
            <sz val="9"/>
            <color indexed="81"/>
            <rFont val="Tahoma"/>
            <family val="2"/>
          </rPr>
          <t xml:space="preserve">)
</t>
        </r>
        <r>
          <rPr>
            <sz val="9"/>
            <color indexed="81"/>
            <rFont val="Tahoma"/>
            <family val="2"/>
          </rPr>
          <t>This is the location of the pole in the compensation network based upon the selection of R</t>
        </r>
        <r>
          <rPr>
            <vertAlign val="subscript"/>
            <sz val="9"/>
            <color indexed="81"/>
            <rFont val="Tahoma"/>
            <family val="2"/>
          </rPr>
          <t>COMP</t>
        </r>
        <r>
          <rPr>
            <sz val="9"/>
            <color indexed="81"/>
            <rFont val="Tahoma"/>
            <family val="2"/>
          </rPr>
          <t xml:space="preserve"> and C</t>
        </r>
        <r>
          <rPr>
            <vertAlign val="subscript"/>
            <sz val="9"/>
            <color indexed="81"/>
            <rFont val="Tahoma"/>
            <family val="2"/>
          </rPr>
          <t>HF</t>
        </r>
        <r>
          <rPr>
            <sz val="9"/>
            <color indexed="81"/>
            <rFont val="Tahoma"/>
            <family val="2"/>
          </rPr>
          <t>. The location of the pole can be seen on the bobe plot</t>
        </r>
        <r>
          <rPr>
            <b/>
            <sz val="9"/>
            <color indexed="81"/>
            <rFont val="Tahoma"/>
            <family val="2"/>
          </rPr>
          <t>.</t>
        </r>
        <r>
          <rPr>
            <sz val="9"/>
            <color indexed="81"/>
            <rFont val="Tahoma"/>
            <family val="2"/>
          </rPr>
          <t xml:space="preserve">
</t>
        </r>
      </text>
    </comment>
    <comment ref="B152" authorId="0" shapeId="0" xr:uid="{00000000-0006-0000-0000-000059000000}">
      <text>
        <r>
          <rPr>
            <b/>
            <sz val="9"/>
            <color rgb="FF000000"/>
            <rFont val="Tahoma"/>
            <family val="2"/>
          </rPr>
          <t xml:space="preserve">External Reference Voltage
</t>
        </r>
        <r>
          <rPr>
            <sz val="9"/>
            <color rgb="FF000000"/>
            <rFont val="Tahoma"/>
            <family val="2"/>
          </rPr>
          <t xml:space="preserve">
</t>
        </r>
        <r>
          <rPr>
            <sz val="9"/>
            <color rgb="FF000000"/>
            <rFont val="Tahoma"/>
            <family val="2"/>
          </rPr>
          <t xml:space="preserve">This is the external reference voltage for the voltage loop. This value will be used to calculate the feedback resistors. </t>
        </r>
      </text>
    </comment>
    <comment ref="B153" authorId="0" shapeId="0" xr:uid="{00000000-0006-0000-0000-00005A000000}">
      <text>
        <r>
          <rPr>
            <b/>
            <sz val="9"/>
            <color rgb="FF000000"/>
            <rFont val="Tahoma"/>
            <family val="2"/>
          </rPr>
          <t>Selected Bottom Resistor</t>
        </r>
        <r>
          <rPr>
            <sz val="9"/>
            <color rgb="FF000000"/>
            <rFont val="Tahoma"/>
            <family val="2"/>
          </rPr>
          <t xml:space="preserve">
</t>
        </r>
        <r>
          <rPr>
            <sz val="9"/>
            <color rgb="FF000000"/>
            <rFont val="Tahoma"/>
            <family val="2"/>
          </rPr>
          <t xml:space="preserve">
</t>
        </r>
        <r>
          <rPr>
            <sz val="9"/>
            <color rgb="FF000000"/>
            <rFont val="Tahoma"/>
            <family val="2"/>
          </rPr>
          <t>This is the selected bottom resistor of the FB resistor divider. A good starting point for this value is in the 1kΩ to 20k</t>
        </r>
        <r>
          <rPr>
            <sz val="9"/>
            <color rgb="FF000000"/>
            <rFont val="Calibri"/>
            <family val="2"/>
          </rPr>
          <t>Ω</t>
        </r>
        <r>
          <rPr>
            <sz val="9"/>
            <color rgb="FF000000"/>
            <rFont val="Tahoma"/>
            <family val="2"/>
          </rPr>
          <t xml:space="preserve"> range. The larger this value the less current will flow in the divider making the FB signal more susceptible to noise. However the current draw from the output will be smaller.</t>
        </r>
      </text>
    </comment>
    <comment ref="B154" authorId="0" shapeId="0" xr:uid="{00000000-0006-0000-0000-00005B000000}">
      <text>
        <r>
          <rPr>
            <b/>
            <sz val="9"/>
            <color rgb="FF000000"/>
            <rFont val="Tahoma"/>
            <family val="2"/>
          </rPr>
          <t>Calculated R</t>
        </r>
        <r>
          <rPr>
            <b/>
            <vertAlign val="subscript"/>
            <sz val="9"/>
            <color rgb="FF000000"/>
            <rFont val="Tahoma"/>
            <family val="2"/>
          </rPr>
          <t>FB_TOP</t>
        </r>
        <r>
          <rPr>
            <b/>
            <sz val="9"/>
            <color rgb="FF000000"/>
            <rFont val="Tahoma"/>
            <family val="2"/>
          </rPr>
          <t xml:space="preserve">
</t>
        </r>
        <r>
          <rPr>
            <b/>
            <sz val="9"/>
            <color rgb="FF000000"/>
            <rFont val="Tahoma"/>
            <family val="2"/>
          </rPr>
          <t xml:space="preserve">
</t>
        </r>
        <r>
          <rPr>
            <sz val="9"/>
            <color rgb="FF000000"/>
            <rFont val="Tahoma"/>
            <family val="2"/>
          </rPr>
          <t>This is the value calculated in order to set the feedback node at V</t>
        </r>
        <r>
          <rPr>
            <vertAlign val="subscript"/>
            <sz val="9"/>
            <color rgb="FF000000"/>
            <rFont val="Tahoma"/>
            <family val="2"/>
          </rPr>
          <t>REF</t>
        </r>
        <r>
          <rPr>
            <sz val="9"/>
            <color rgb="FF000000"/>
            <rFont val="Tahoma"/>
            <family val="2"/>
          </rPr>
          <t xml:space="preserve"> when the output voltage in buck mode is set to be the nominal value of the LV Port voltage.</t>
        </r>
      </text>
    </comment>
    <comment ref="B155" authorId="0" shapeId="0" xr:uid="{00000000-0006-0000-0000-00005C000000}">
      <text>
        <r>
          <rPr>
            <b/>
            <sz val="9"/>
            <color rgb="FF000000"/>
            <rFont val="Tahoma"/>
            <family val="2"/>
          </rPr>
          <t>Selected R</t>
        </r>
        <r>
          <rPr>
            <b/>
            <vertAlign val="subscript"/>
            <sz val="9"/>
            <color rgb="FF000000"/>
            <rFont val="Tahoma"/>
            <family val="2"/>
          </rPr>
          <t>FB_TOP</t>
        </r>
        <r>
          <rPr>
            <b/>
            <sz val="9"/>
            <color rgb="FF000000"/>
            <rFont val="Tahoma"/>
            <family val="2"/>
          </rPr>
          <t xml:space="preserve">
</t>
        </r>
        <r>
          <rPr>
            <sz val="9"/>
            <color rgb="FF000000"/>
            <rFont val="Tahoma"/>
            <family val="2"/>
          </rPr>
          <t xml:space="preserve">
</t>
        </r>
        <r>
          <rPr>
            <sz val="9"/>
            <color rgb="FF000000"/>
            <rFont val="Tahoma"/>
            <family val="2"/>
          </rPr>
          <t>The selected value should reflect the calculated value above.</t>
        </r>
      </text>
    </comment>
    <comment ref="B156" authorId="0" shapeId="0" xr:uid="{00000000-0006-0000-0000-00005D000000}">
      <text>
        <r>
          <rPr>
            <b/>
            <sz val="9"/>
            <color rgb="FF000000"/>
            <rFont val="Tahoma"/>
            <family val="2"/>
          </rPr>
          <t>Suggested Crossover Frequency</t>
        </r>
        <r>
          <rPr>
            <sz val="9"/>
            <color rgb="FF000000"/>
            <rFont val="Tahoma"/>
            <family val="2"/>
          </rPr>
          <t xml:space="preserve">
</t>
        </r>
        <r>
          <rPr>
            <sz val="9"/>
            <color rgb="FF000000"/>
            <rFont val="Tahoma"/>
            <family val="2"/>
          </rPr>
          <t xml:space="preserve">
</t>
        </r>
        <r>
          <rPr>
            <sz val="9"/>
            <color rgb="FF000000"/>
            <rFont val="Tahoma"/>
            <family val="2"/>
          </rPr>
          <t>This value is set to be around 1/10 that of the current loop cross over frequency. For best operation the voltage loop should be slower than that of the current loop.</t>
        </r>
      </text>
    </comment>
    <comment ref="B157" authorId="0" shapeId="0" xr:uid="{00000000-0006-0000-0000-00005E000000}">
      <text>
        <r>
          <rPr>
            <b/>
            <sz val="9"/>
            <color rgb="FF000000"/>
            <rFont val="Tahoma"/>
            <family val="2"/>
          </rPr>
          <t>Selected Crossover Frequency</t>
        </r>
        <r>
          <rPr>
            <sz val="9"/>
            <color rgb="FF000000"/>
            <rFont val="Tahoma"/>
            <family val="2"/>
          </rPr>
          <t xml:space="preserve">
</t>
        </r>
        <r>
          <rPr>
            <sz val="9"/>
            <color rgb="FF000000"/>
            <rFont val="Tahoma"/>
            <family val="2"/>
          </rPr>
          <t xml:space="preserve">
</t>
        </r>
        <r>
          <rPr>
            <sz val="9"/>
            <color rgb="FF000000"/>
            <rFont val="Tahoma"/>
            <family val="2"/>
          </rPr>
          <t>This is the desired crossover frequency. The voltage loop compensation values will be calculated to have a loop cross over frequency of this value.</t>
        </r>
      </text>
    </comment>
    <comment ref="B158" authorId="0" shapeId="0" xr:uid="{00000000-0006-0000-0000-00005F000000}">
      <text>
        <r>
          <rPr>
            <b/>
            <sz val="9"/>
            <color rgb="FF000000"/>
            <rFont val="Tahoma"/>
            <family val="2"/>
          </rPr>
          <t>R</t>
        </r>
        <r>
          <rPr>
            <b/>
            <vertAlign val="subscript"/>
            <sz val="9"/>
            <color rgb="FF000000"/>
            <rFont val="Tahoma"/>
            <family val="2"/>
          </rPr>
          <t>COMP</t>
        </r>
        <r>
          <rPr>
            <b/>
            <sz val="9"/>
            <color rgb="FF000000"/>
            <rFont val="Tahoma"/>
            <family val="2"/>
          </rPr>
          <t xml:space="preserve"> Calculated
</t>
        </r>
        <r>
          <rPr>
            <b/>
            <sz val="9"/>
            <color rgb="FF000000"/>
            <rFont val="Tahoma"/>
            <family val="2"/>
          </rPr>
          <t xml:space="preserve">
</t>
        </r>
        <r>
          <rPr>
            <sz val="9"/>
            <color rgb="FF000000"/>
            <rFont val="Tahoma"/>
            <family val="2"/>
          </rPr>
          <t>This is the calculated R</t>
        </r>
        <r>
          <rPr>
            <vertAlign val="subscript"/>
            <sz val="9"/>
            <color rgb="FF000000"/>
            <rFont val="Tahoma"/>
            <family val="2"/>
          </rPr>
          <t>COMP</t>
        </r>
        <r>
          <rPr>
            <sz val="9"/>
            <color rgb="FF000000"/>
            <rFont val="Tahoma"/>
            <family val="2"/>
          </rPr>
          <t xml:space="preserve"> value based on the selected crossover frequency</t>
        </r>
      </text>
    </comment>
    <comment ref="B160" authorId="0" shapeId="0" xr:uid="{00000000-0006-0000-0000-000060000000}">
      <text>
        <r>
          <rPr>
            <b/>
            <sz val="9"/>
            <color rgb="FF000000"/>
            <rFont val="Tahoma"/>
            <family val="2"/>
          </rPr>
          <t>C</t>
        </r>
        <r>
          <rPr>
            <b/>
            <vertAlign val="subscript"/>
            <sz val="9"/>
            <color rgb="FF000000"/>
            <rFont val="Tahoma"/>
            <family val="2"/>
          </rPr>
          <t>COMP</t>
        </r>
        <r>
          <rPr>
            <b/>
            <sz val="9"/>
            <color rgb="FF000000"/>
            <rFont val="Tahoma"/>
            <family val="2"/>
          </rPr>
          <t xml:space="preserve"> Calculated
</t>
        </r>
        <r>
          <rPr>
            <b/>
            <sz val="9"/>
            <color rgb="FF000000"/>
            <rFont val="Tahoma"/>
            <family val="2"/>
          </rPr>
          <t xml:space="preserve">
</t>
        </r>
        <r>
          <rPr>
            <sz val="9"/>
            <color rgb="FF000000"/>
            <rFont val="Tahoma"/>
            <family val="2"/>
          </rPr>
          <t>This is the calculated C</t>
        </r>
        <r>
          <rPr>
            <vertAlign val="subscript"/>
            <sz val="9"/>
            <color rgb="FF000000"/>
            <rFont val="Tahoma"/>
            <family val="2"/>
          </rPr>
          <t>COMP</t>
        </r>
        <r>
          <rPr>
            <sz val="9"/>
            <color rgb="FF000000"/>
            <rFont val="Tahoma"/>
            <family val="2"/>
          </rPr>
          <t xml:space="preserve"> value based on the selected crossover frequency
</t>
        </r>
      </text>
    </comment>
    <comment ref="B162" authorId="0" shapeId="0" xr:uid="{00000000-0006-0000-0000-000061000000}">
      <text>
        <r>
          <rPr>
            <b/>
            <sz val="9"/>
            <color rgb="FF000000"/>
            <rFont val="Tahoma"/>
            <family val="2"/>
          </rPr>
          <t>C</t>
        </r>
        <r>
          <rPr>
            <b/>
            <vertAlign val="subscript"/>
            <sz val="9"/>
            <color rgb="FF000000"/>
            <rFont val="Tahoma"/>
            <family val="2"/>
          </rPr>
          <t>HF</t>
        </r>
        <r>
          <rPr>
            <b/>
            <sz val="9"/>
            <color rgb="FF000000"/>
            <rFont val="Tahoma"/>
            <family val="2"/>
          </rPr>
          <t xml:space="preserve"> Calculated
</t>
        </r>
        <r>
          <rPr>
            <sz val="9"/>
            <color rgb="FF000000"/>
            <rFont val="Tahoma"/>
            <family val="2"/>
          </rPr>
          <t xml:space="preserve">
</t>
        </r>
        <r>
          <rPr>
            <sz val="9"/>
            <color rgb="FF000000"/>
            <rFont val="Tahoma"/>
            <family val="2"/>
          </rPr>
          <t>This is the calculated C</t>
        </r>
        <r>
          <rPr>
            <vertAlign val="subscript"/>
            <sz val="9"/>
            <color rgb="FF000000"/>
            <rFont val="Tahoma"/>
            <family val="2"/>
          </rPr>
          <t>HF</t>
        </r>
        <r>
          <rPr>
            <sz val="9"/>
            <color rgb="FF000000"/>
            <rFont val="Tahoma"/>
            <family val="2"/>
          </rPr>
          <t xml:space="preserve"> value based on the selected crossover frequency</t>
        </r>
      </text>
    </comment>
    <comment ref="B164" authorId="0" shapeId="0" xr:uid="{00000000-0006-0000-0000-000062000000}">
      <text>
        <r>
          <rPr>
            <b/>
            <sz val="9"/>
            <color rgb="FF000000"/>
            <rFont val="Tahoma"/>
            <family val="2"/>
          </rPr>
          <t>Compensation Zero Location (F</t>
        </r>
        <r>
          <rPr>
            <b/>
            <vertAlign val="subscript"/>
            <sz val="9"/>
            <color rgb="FF000000"/>
            <rFont val="Tahoma"/>
            <family val="2"/>
          </rPr>
          <t>Zcomp</t>
        </r>
        <r>
          <rPr>
            <b/>
            <sz val="9"/>
            <color rgb="FF000000"/>
            <rFont val="Tahoma"/>
            <family val="2"/>
          </rPr>
          <t xml:space="preserve">)
</t>
        </r>
        <r>
          <rPr>
            <sz val="9"/>
            <color rgb="FF000000"/>
            <rFont val="Tahoma"/>
            <family val="2"/>
          </rPr>
          <t xml:space="preserve">
</t>
        </r>
        <r>
          <rPr>
            <sz val="9"/>
            <color rgb="FF000000"/>
            <rFont val="Tahoma"/>
            <family val="2"/>
          </rPr>
          <t>This is the location of the zero in the compensation network based upon the selection of R</t>
        </r>
        <r>
          <rPr>
            <vertAlign val="subscript"/>
            <sz val="9"/>
            <color rgb="FF000000"/>
            <rFont val="Tahoma"/>
            <family val="2"/>
          </rPr>
          <t>COMP</t>
        </r>
        <r>
          <rPr>
            <sz val="9"/>
            <color rgb="FF000000"/>
            <rFont val="Tahoma"/>
            <family val="2"/>
          </rPr>
          <t xml:space="preserve"> and C</t>
        </r>
        <r>
          <rPr>
            <vertAlign val="subscript"/>
            <sz val="9"/>
            <color rgb="FF000000"/>
            <rFont val="Tahoma"/>
            <family val="2"/>
          </rPr>
          <t>COMP</t>
        </r>
        <r>
          <rPr>
            <sz val="9"/>
            <color rgb="FF000000"/>
            <rFont val="Tahoma"/>
            <family val="2"/>
          </rPr>
          <t>. The location of the zero can be seen on the bobe plot.</t>
        </r>
      </text>
    </comment>
    <comment ref="B165" authorId="0" shapeId="0" xr:uid="{00000000-0006-0000-0000-000063000000}">
      <text>
        <r>
          <rPr>
            <b/>
            <sz val="9"/>
            <color rgb="FF000000"/>
            <rFont val="Tahoma"/>
            <family val="2"/>
          </rPr>
          <t>Compensation Pole Location (F</t>
        </r>
        <r>
          <rPr>
            <b/>
            <vertAlign val="subscript"/>
            <sz val="9"/>
            <color rgb="FF000000"/>
            <rFont val="Tahoma"/>
            <family val="2"/>
          </rPr>
          <t>Pcomp</t>
        </r>
        <r>
          <rPr>
            <b/>
            <sz val="9"/>
            <color rgb="FF000000"/>
            <rFont val="Tahoma"/>
            <family val="2"/>
          </rPr>
          <t xml:space="preserve">)
</t>
        </r>
        <r>
          <rPr>
            <sz val="9"/>
            <color rgb="FF000000"/>
            <rFont val="Tahoma"/>
            <family val="2"/>
          </rPr>
          <t xml:space="preserve">
</t>
        </r>
        <r>
          <rPr>
            <sz val="9"/>
            <color rgb="FF000000"/>
            <rFont val="Tahoma"/>
            <family val="2"/>
          </rPr>
          <t>This is the location of the pole in the compensation network based upon the selection of R</t>
        </r>
        <r>
          <rPr>
            <vertAlign val="subscript"/>
            <sz val="9"/>
            <color rgb="FF000000"/>
            <rFont val="Tahoma"/>
            <family val="2"/>
          </rPr>
          <t>COMP</t>
        </r>
        <r>
          <rPr>
            <sz val="9"/>
            <color rgb="FF000000"/>
            <rFont val="Tahoma"/>
            <family val="2"/>
          </rPr>
          <t xml:space="preserve"> and C</t>
        </r>
        <r>
          <rPr>
            <vertAlign val="subscript"/>
            <sz val="9"/>
            <color rgb="FF000000"/>
            <rFont val="Tahoma"/>
            <family val="2"/>
          </rPr>
          <t>HF</t>
        </r>
        <r>
          <rPr>
            <sz val="9"/>
            <color rgb="FF000000"/>
            <rFont val="Tahoma"/>
            <family val="2"/>
          </rPr>
          <t>. The location of the pole can be seen on the bobe plot.</t>
        </r>
      </text>
    </comment>
    <comment ref="B171" authorId="0" shapeId="0" xr:uid="{00000000-0006-0000-0000-000064000000}">
      <text>
        <r>
          <rPr>
            <b/>
            <sz val="9"/>
            <color rgb="FF000000"/>
            <rFont val="Tahoma"/>
            <family val="2"/>
          </rPr>
          <t xml:space="preserve">External Reference Voltage
</t>
        </r>
        <r>
          <rPr>
            <sz val="9"/>
            <color rgb="FF000000"/>
            <rFont val="Tahoma"/>
            <family val="2"/>
          </rPr>
          <t xml:space="preserve">
</t>
        </r>
        <r>
          <rPr>
            <sz val="9"/>
            <color rgb="FF000000"/>
            <rFont val="Tahoma"/>
            <family val="2"/>
          </rPr>
          <t xml:space="preserve">This is the external reference voltage for the voltage loop. This value will be used to calculate the feedback resistors. 
</t>
        </r>
      </text>
    </comment>
    <comment ref="B172" authorId="0" shapeId="0" xr:uid="{00000000-0006-0000-0000-000065000000}">
      <text>
        <r>
          <rPr>
            <b/>
            <sz val="9"/>
            <color rgb="FF000000"/>
            <rFont val="Tahoma"/>
            <family val="2"/>
          </rPr>
          <t xml:space="preserve">Selected Bottom Resistor
</t>
        </r>
        <r>
          <rPr>
            <b/>
            <sz val="9"/>
            <color rgb="FF000000"/>
            <rFont val="Tahoma"/>
            <family val="2"/>
          </rPr>
          <t xml:space="preserve">
</t>
        </r>
        <r>
          <rPr>
            <sz val="9"/>
            <color rgb="FF000000"/>
            <rFont val="Tahoma"/>
            <family val="2"/>
          </rPr>
          <t>This is the selected bottom resistor of the FB resistor divider. A good starting point for this value is in the 1kΩ to 20kΩ range. The larger this value the less current will flow in the divider making the FB signal more susceptible to noise. However the current draw from the output will be smaller.</t>
        </r>
      </text>
    </comment>
    <comment ref="B173" authorId="0" shapeId="0" xr:uid="{00000000-0006-0000-0000-000066000000}">
      <text>
        <r>
          <rPr>
            <b/>
            <sz val="9"/>
            <color rgb="FF000000"/>
            <rFont val="Tahoma"/>
            <family val="2"/>
          </rPr>
          <t>Calculated R</t>
        </r>
        <r>
          <rPr>
            <b/>
            <vertAlign val="subscript"/>
            <sz val="9"/>
            <color rgb="FF000000"/>
            <rFont val="Tahoma"/>
            <family val="2"/>
          </rPr>
          <t>FB_TOP</t>
        </r>
        <r>
          <rPr>
            <b/>
            <sz val="9"/>
            <color rgb="FF000000"/>
            <rFont val="Tahoma"/>
            <family val="2"/>
          </rPr>
          <t xml:space="preserve">
</t>
        </r>
        <r>
          <rPr>
            <b/>
            <sz val="9"/>
            <color rgb="FF000000"/>
            <rFont val="Tahoma"/>
            <family val="2"/>
          </rPr>
          <t xml:space="preserve">
</t>
        </r>
        <r>
          <rPr>
            <sz val="9"/>
            <color rgb="FF000000"/>
            <rFont val="Tahoma"/>
            <family val="2"/>
          </rPr>
          <t>This is the value calculated in order to set the feedback node at V</t>
        </r>
        <r>
          <rPr>
            <vertAlign val="subscript"/>
            <sz val="9"/>
            <color rgb="FF000000"/>
            <rFont val="Tahoma"/>
            <family val="2"/>
          </rPr>
          <t>REF</t>
        </r>
        <r>
          <rPr>
            <sz val="9"/>
            <color rgb="FF000000"/>
            <rFont val="Tahoma"/>
            <family val="2"/>
          </rPr>
          <t xml:space="preserve"> when the output voltage in buck mode is set to be the nominal value of the HV Port voltage.</t>
        </r>
      </text>
    </comment>
    <comment ref="B174" authorId="0" shapeId="0" xr:uid="{00000000-0006-0000-0000-000067000000}">
      <text>
        <r>
          <rPr>
            <b/>
            <sz val="9"/>
            <color rgb="FF000000"/>
            <rFont val="Tahoma"/>
            <family val="2"/>
          </rPr>
          <t>Selected R</t>
        </r>
        <r>
          <rPr>
            <b/>
            <vertAlign val="subscript"/>
            <sz val="9"/>
            <color rgb="FF000000"/>
            <rFont val="Tahoma"/>
            <family val="2"/>
          </rPr>
          <t>FB_TOP</t>
        </r>
        <r>
          <rPr>
            <b/>
            <sz val="9"/>
            <color rgb="FF000000"/>
            <rFont val="Tahoma"/>
            <family val="2"/>
          </rPr>
          <t xml:space="preserve">
</t>
        </r>
        <r>
          <rPr>
            <b/>
            <sz val="9"/>
            <color rgb="FF000000"/>
            <rFont val="Tahoma"/>
            <family val="2"/>
          </rPr>
          <t xml:space="preserve">
</t>
        </r>
        <r>
          <rPr>
            <sz val="9"/>
            <color rgb="FF000000"/>
            <rFont val="Tahoma"/>
            <family val="2"/>
          </rPr>
          <t xml:space="preserve">The selected value should reflect the calculated value above.
</t>
        </r>
      </text>
    </comment>
    <comment ref="B175" authorId="0" shapeId="0" xr:uid="{00000000-0006-0000-0000-000068000000}">
      <text>
        <r>
          <rPr>
            <b/>
            <sz val="9"/>
            <color rgb="FF000000"/>
            <rFont val="Tahoma"/>
            <family val="2"/>
          </rPr>
          <t xml:space="preserve">Suggested Crossover Frequency
</t>
        </r>
        <r>
          <rPr>
            <b/>
            <sz val="9"/>
            <color rgb="FF000000"/>
            <rFont val="Tahoma"/>
            <family val="2"/>
          </rPr>
          <t xml:space="preserve">
</t>
        </r>
        <r>
          <rPr>
            <sz val="9"/>
            <color rgb="FF000000"/>
            <rFont val="Tahoma"/>
            <family val="2"/>
          </rPr>
          <t>This value is set to be around 1/5 that of the boost mode operation's RHP zero frequency (F</t>
        </r>
        <r>
          <rPr>
            <vertAlign val="subscript"/>
            <sz val="9"/>
            <color rgb="FF000000"/>
            <rFont val="Tahoma"/>
            <family val="2"/>
          </rPr>
          <t>RHPzero</t>
        </r>
        <r>
          <rPr>
            <sz val="9"/>
            <color rgb="FF000000"/>
            <rFont val="Tahoma"/>
            <family val="2"/>
          </rPr>
          <t xml:space="preserve">). For best operation the voltage loop should be slower than that of the current loop. 
</t>
        </r>
      </text>
    </comment>
    <comment ref="B176" authorId="0" shapeId="0" xr:uid="{00000000-0006-0000-0000-000069000000}">
      <text>
        <r>
          <rPr>
            <b/>
            <sz val="9"/>
            <color rgb="FF000000"/>
            <rFont val="Tahoma"/>
            <family val="2"/>
          </rPr>
          <t>Selected Crossover Frequency</t>
        </r>
        <r>
          <rPr>
            <sz val="9"/>
            <color rgb="FF000000"/>
            <rFont val="Tahoma"/>
            <family val="2"/>
          </rPr>
          <t xml:space="preserve">
</t>
        </r>
        <r>
          <rPr>
            <sz val="9"/>
            <color rgb="FF000000"/>
            <rFont val="Tahoma"/>
            <family val="2"/>
          </rPr>
          <t xml:space="preserve">
</t>
        </r>
        <r>
          <rPr>
            <sz val="9"/>
            <color rgb="FF000000"/>
            <rFont val="Tahoma"/>
            <family val="2"/>
          </rPr>
          <t>This is the desired crossover frequency. The voltage loop compensation values will be calculated to have a loop cross over frequency of this value.</t>
        </r>
      </text>
    </comment>
    <comment ref="B177" authorId="0" shapeId="0" xr:uid="{00000000-0006-0000-0000-00006A000000}">
      <text>
        <r>
          <rPr>
            <b/>
            <sz val="9"/>
            <color rgb="FF000000"/>
            <rFont val="Tahoma"/>
            <family val="2"/>
          </rPr>
          <t>R</t>
        </r>
        <r>
          <rPr>
            <b/>
            <vertAlign val="subscript"/>
            <sz val="9"/>
            <color rgb="FF000000"/>
            <rFont val="Tahoma"/>
            <family val="2"/>
          </rPr>
          <t>COMP</t>
        </r>
        <r>
          <rPr>
            <b/>
            <sz val="9"/>
            <color rgb="FF000000"/>
            <rFont val="Tahoma"/>
            <family val="2"/>
          </rPr>
          <t xml:space="preserve"> Calculated
</t>
        </r>
        <r>
          <rPr>
            <b/>
            <sz val="9"/>
            <color rgb="FF000000"/>
            <rFont val="Tahoma"/>
            <family val="2"/>
          </rPr>
          <t xml:space="preserve">
</t>
        </r>
        <r>
          <rPr>
            <sz val="9"/>
            <color rgb="FF000000"/>
            <rFont val="Tahoma"/>
            <family val="2"/>
          </rPr>
          <t>This is the calculated R</t>
        </r>
        <r>
          <rPr>
            <vertAlign val="subscript"/>
            <sz val="9"/>
            <color rgb="FF000000"/>
            <rFont val="Tahoma"/>
            <family val="2"/>
          </rPr>
          <t>COMP</t>
        </r>
        <r>
          <rPr>
            <sz val="9"/>
            <color rgb="FF000000"/>
            <rFont val="Tahoma"/>
            <family val="2"/>
          </rPr>
          <t xml:space="preserve"> value based on the selected crossover frequency
</t>
        </r>
      </text>
    </comment>
    <comment ref="B179" authorId="0" shapeId="0" xr:uid="{00000000-0006-0000-0000-00006B000000}">
      <text>
        <r>
          <rPr>
            <b/>
            <sz val="9"/>
            <color rgb="FF000000"/>
            <rFont val="Tahoma"/>
            <family val="2"/>
          </rPr>
          <t>C</t>
        </r>
        <r>
          <rPr>
            <b/>
            <vertAlign val="subscript"/>
            <sz val="9"/>
            <color rgb="FF000000"/>
            <rFont val="Tahoma"/>
            <family val="2"/>
          </rPr>
          <t>COMP</t>
        </r>
        <r>
          <rPr>
            <b/>
            <sz val="9"/>
            <color rgb="FF000000"/>
            <rFont val="Tahoma"/>
            <family val="2"/>
          </rPr>
          <t xml:space="preserve"> Calculated
</t>
        </r>
        <r>
          <rPr>
            <b/>
            <sz val="9"/>
            <color rgb="FF000000"/>
            <rFont val="Tahoma"/>
            <family val="2"/>
          </rPr>
          <t xml:space="preserve">
</t>
        </r>
        <r>
          <rPr>
            <sz val="9"/>
            <color rgb="FF000000"/>
            <rFont val="Tahoma"/>
            <family val="2"/>
          </rPr>
          <t>This is the calculated C</t>
        </r>
        <r>
          <rPr>
            <vertAlign val="subscript"/>
            <sz val="9"/>
            <color rgb="FF000000"/>
            <rFont val="Tahoma"/>
            <family val="2"/>
          </rPr>
          <t>COMP</t>
        </r>
        <r>
          <rPr>
            <sz val="9"/>
            <color rgb="FF000000"/>
            <rFont val="Tahoma"/>
            <family val="2"/>
          </rPr>
          <t xml:space="preserve"> value based on the selected crossover frequency
</t>
        </r>
      </text>
    </comment>
    <comment ref="B181" authorId="0" shapeId="0" xr:uid="{00000000-0006-0000-0000-00006C000000}">
      <text>
        <r>
          <rPr>
            <b/>
            <sz val="9"/>
            <color rgb="FF000000"/>
            <rFont val="Tahoma"/>
            <family val="2"/>
          </rPr>
          <t>C</t>
        </r>
        <r>
          <rPr>
            <b/>
            <vertAlign val="subscript"/>
            <sz val="9"/>
            <color rgb="FF000000"/>
            <rFont val="Tahoma"/>
            <family val="2"/>
          </rPr>
          <t>HF</t>
        </r>
        <r>
          <rPr>
            <b/>
            <sz val="9"/>
            <color rgb="FF000000"/>
            <rFont val="Tahoma"/>
            <family val="2"/>
          </rPr>
          <t xml:space="preserve"> Calculated</t>
        </r>
        <r>
          <rPr>
            <sz val="9"/>
            <color rgb="FF000000"/>
            <rFont val="Tahoma"/>
            <family val="2"/>
          </rPr>
          <t xml:space="preserve">
</t>
        </r>
        <r>
          <rPr>
            <sz val="9"/>
            <color rgb="FF000000"/>
            <rFont val="Tahoma"/>
            <family val="2"/>
          </rPr>
          <t xml:space="preserve">
</t>
        </r>
        <r>
          <rPr>
            <sz val="9"/>
            <color rgb="FF000000"/>
            <rFont val="Tahoma"/>
            <family val="2"/>
          </rPr>
          <t>This is the calculated C</t>
        </r>
        <r>
          <rPr>
            <vertAlign val="subscript"/>
            <sz val="9"/>
            <color rgb="FF000000"/>
            <rFont val="Tahoma"/>
            <family val="2"/>
          </rPr>
          <t>HF</t>
        </r>
        <r>
          <rPr>
            <sz val="9"/>
            <color rgb="FF000000"/>
            <rFont val="Tahoma"/>
            <family val="2"/>
          </rPr>
          <t xml:space="preserve"> value based on the selected crossover frequency</t>
        </r>
      </text>
    </comment>
    <comment ref="B183" authorId="0" shapeId="0" xr:uid="{00000000-0006-0000-0000-00006D000000}">
      <text>
        <r>
          <rPr>
            <b/>
            <sz val="9"/>
            <color rgb="FF000000"/>
            <rFont val="Tahoma"/>
            <family val="2"/>
          </rPr>
          <t>Compensation Zero Location (F</t>
        </r>
        <r>
          <rPr>
            <b/>
            <vertAlign val="subscript"/>
            <sz val="9"/>
            <color rgb="FF000000"/>
            <rFont val="Tahoma"/>
            <family val="2"/>
          </rPr>
          <t>Zcomp</t>
        </r>
        <r>
          <rPr>
            <b/>
            <sz val="9"/>
            <color rgb="FF000000"/>
            <rFont val="Tahoma"/>
            <family val="2"/>
          </rPr>
          <t>)</t>
        </r>
        <r>
          <rPr>
            <sz val="9"/>
            <color rgb="FF000000"/>
            <rFont val="Tahoma"/>
            <family val="2"/>
          </rPr>
          <t xml:space="preserve">
</t>
        </r>
        <r>
          <rPr>
            <sz val="9"/>
            <color rgb="FF000000"/>
            <rFont val="Tahoma"/>
            <family val="2"/>
          </rPr>
          <t xml:space="preserve">
</t>
        </r>
        <r>
          <rPr>
            <sz val="9"/>
            <color rgb="FF000000"/>
            <rFont val="Tahoma"/>
            <family val="2"/>
          </rPr>
          <t>This is the location of the zero in the compensation network based upon the selection of R</t>
        </r>
        <r>
          <rPr>
            <vertAlign val="subscript"/>
            <sz val="9"/>
            <color rgb="FF000000"/>
            <rFont val="Tahoma"/>
            <family val="2"/>
          </rPr>
          <t>COMP</t>
        </r>
        <r>
          <rPr>
            <sz val="9"/>
            <color rgb="FF000000"/>
            <rFont val="Tahoma"/>
            <family val="2"/>
          </rPr>
          <t xml:space="preserve"> and C</t>
        </r>
        <r>
          <rPr>
            <vertAlign val="subscript"/>
            <sz val="9"/>
            <color rgb="FF000000"/>
            <rFont val="Tahoma"/>
            <family val="2"/>
          </rPr>
          <t>COMP</t>
        </r>
        <r>
          <rPr>
            <sz val="9"/>
            <color rgb="FF000000"/>
            <rFont val="Tahoma"/>
            <family val="2"/>
          </rPr>
          <t>. The location of the zero can be seen on the bobe plot.</t>
        </r>
      </text>
    </comment>
    <comment ref="B184" authorId="0" shapeId="0" xr:uid="{00000000-0006-0000-0000-00006E000000}">
      <text>
        <r>
          <rPr>
            <b/>
            <sz val="9"/>
            <color indexed="81"/>
            <rFont val="Tahoma"/>
            <family val="2"/>
          </rPr>
          <t>Compensation Pole Location (F</t>
        </r>
        <r>
          <rPr>
            <b/>
            <vertAlign val="subscript"/>
            <sz val="9"/>
            <color indexed="81"/>
            <rFont val="Tahoma"/>
            <family val="2"/>
          </rPr>
          <t>Pcomp</t>
        </r>
        <r>
          <rPr>
            <b/>
            <sz val="9"/>
            <color indexed="81"/>
            <rFont val="Tahoma"/>
            <family val="2"/>
          </rPr>
          <t xml:space="preserve">)
</t>
        </r>
        <r>
          <rPr>
            <sz val="9"/>
            <color indexed="81"/>
            <rFont val="Tahoma"/>
            <family val="2"/>
          </rPr>
          <t xml:space="preserve">
This is the location of the pole in the compensation network based upon the selection of R</t>
        </r>
        <r>
          <rPr>
            <vertAlign val="subscript"/>
            <sz val="9"/>
            <color indexed="81"/>
            <rFont val="Tahoma"/>
            <family val="2"/>
          </rPr>
          <t>COMP</t>
        </r>
        <r>
          <rPr>
            <sz val="9"/>
            <color indexed="81"/>
            <rFont val="Tahoma"/>
            <family val="2"/>
          </rPr>
          <t xml:space="preserve"> and C</t>
        </r>
        <r>
          <rPr>
            <vertAlign val="subscript"/>
            <sz val="9"/>
            <color indexed="81"/>
            <rFont val="Tahoma"/>
            <family val="2"/>
          </rPr>
          <t>HF</t>
        </r>
        <r>
          <rPr>
            <sz val="9"/>
            <color indexed="81"/>
            <rFont val="Tahoma"/>
            <family val="2"/>
          </rPr>
          <t xml:space="preserve">. The location of the pole can be seen on the bobe plot.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PPD-NPS</author>
  </authors>
  <commentList>
    <comment ref="A40" authorId="0" shapeId="0" xr:uid="{00000000-0006-0000-0100-000001000000}">
      <text>
        <r>
          <rPr>
            <b/>
            <sz val="9"/>
            <color indexed="81"/>
            <rFont val="Tahoma"/>
            <family val="2"/>
          </rPr>
          <t>PPD-NPS:</t>
        </r>
        <r>
          <rPr>
            <sz val="9"/>
            <color indexed="81"/>
            <rFont val="Tahoma"/>
            <family val="2"/>
          </rPr>
          <t xml:space="preserve">
These should be updated and double checked
</t>
        </r>
      </text>
    </comment>
    <comment ref="E63" authorId="0" shapeId="0" xr:uid="{00000000-0006-0000-0100-000002000000}">
      <text>
        <r>
          <rPr>
            <b/>
            <sz val="9"/>
            <color indexed="81"/>
            <rFont val="Tahoma"/>
            <family val="2"/>
          </rPr>
          <t>Assuming the nominal voltages are the setpoint voltages for the 12V and 48V rail</t>
        </r>
      </text>
    </comment>
    <comment ref="A64" authorId="0" shapeId="0" xr:uid="{00000000-0006-0000-0100-000003000000}">
      <text>
        <r>
          <rPr>
            <b/>
            <sz val="9"/>
            <color indexed="81"/>
            <rFont val="Tahoma"/>
            <family val="2"/>
          </rPr>
          <t xml:space="preserve">This is the worst case ripple for the selected Inductance value and the maximum designed for load per phase
</t>
        </r>
      </text>
    </comment>
    <comment ref="B68" authorId="0" shapeId="0" xr:uid="{00000000-0006-0000-0100-000004000000}">
      <text>
        <r>
          <rPr>
            <b/>
            <sz val="9"/>
            <color indexed="81"/>
            <rFont val="Tahoma"/>
            <family val="2"/>
          </rPr>
          <t>PPD-NPS:</t>
        </r>
        <r>
          <rPr>
            <sz val="9"/>
            <color indexed="81"/>
            <rFont val="Tahoma"/>
            <family val="2"/>
          </rPr>
          <t xml:space="preserve">
</t>
        </r>
      </text>
    </comment>
    <comment ref="A84" authorId="0" shapeId="0" xr:uid="{00000000-0006-0000-0100-000005000000}">
      <text>
        <r>
          <rPr>
            <b/>
            <sz val="9"/>
            <color indexed="81"/>
            <rFont val="Tahoma"/>
            <family val="2"/>
          </rPr>
          <t>PPD-NPS:</t>
        </r>
        <r>
          <rPr>
            <sz val="9"/>
            <color indexed="81"/>
            <rFont val="Tahoma"/>
            <family val="2"/>
          </rPr>
          <t xml:space="preserve">
This is calculated at Full Load (ISETA = 2.5V). For over ISETA values  the soft start time will be less due to the SS capacitor charging to a lower voltage</t>
        </r>
      </text>
    </comment>
    <comment ref="E115" authorId="0" shapeId="0" xr:uid="{00000000-0006-0000-0100-000006000000}">
      <text>
        <r>
          <rPr>
            <b/>
            <sz val="9"/>
            <color indexed="81"/>
            <rFont val="Tahoma"/>
            <family val="2"/>
          </rPr>
          <t>PPD-NPS:</t>
        </r>
        <r>
          <rPr>
            <sz val="9"/>
            <color indexed="81"/>
            <rFont val="Tahoma"/>
            <family val="2"/>
          </rPr>
          <t xml:space="preserve">
This is due to the internal circuitry of the LM5170. Around 4.5V on the IOUTx pin the current source becomes less accurate and will cause error
</t>
        </r>
      </text>
    </comment>
    <comment ref="E118" authorId="0" shapeId="0" xr:uid="{00000000-0006-0000-0100-000007000000}">
      <text>
        <r>
          <rPr>
            <b/>
            <sz val="9"/>
            <color indexed="81"/>
            <rFont val="Tahoma"/>
            <family val="2"/>
          </rPr>
          <t>PPD-NPS:</t>
        </r>
        <r>
          <rPr>
            <sz val="9"/>
            <color indexed="81"/>
            <rFont val="Tahoma"/>
            <family val="2"/>
          </rPr>
          <t xml:space="preserve">
PPD-NPS:
This is due to the internal circuitry of the LM5170. Around 4.5V on the IOUTx pin the current source becomes less accurate and will cause error</t>
        </r>
      </text>
    </comment>
    <comment ref="A134" authorId="0" shapeId="0" xr:uid="{00000000-0006-0000-0100-000008000000}">
      <text>
        <r>
          <rPr>
            <b/>
            <sz val="9"/>
            <color indexed="81"/>
            <rFont val="Tahoma"/>
            <family val="2"/>
          </rPr>
          <t>PPD-NPS:</t>
        </r>
        <r>
          <rPr>
            <sz val="9"/>
            <color indexed="81"/>
            <rFont val="Tahoma"/>
            <family val="2"/>
          </rPr>
          <t xml:space="preserve">
This will need to be altered in the future
</t>
        </r>
      </text>
    </comment>
    <comment ref="B136" authorId="0" shapeId="0" xr:uid="{00000000-0006-0000-0100-000009000000}">
      <text>
        <r>
          <rPr>
            <b/>
            <sz val="9"/>
            <color indexed="81"/>
            <rFont val="Tahoma"/>
            <family val="2"/>
          </rPr>
          <t>PPD-NPS:</t>
        </r>
        <r>
          <rPr>
            <sz val="9"/>
            <color indexed="81"/>
            <rFont val="Tahoma"/>
            <family val="2"/>
          </rPr>
          <t xml:space="preserve">
Note that this is simply 1/Rramp*Cramp*Fsw in order to match the datasheet. Normally this would be dependent on the RAMP input voltage. Since a battery is modeled here it can be simplified to the above equation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PPD-NPS</author>
  </authors>
  <commentList>
    <comment ref="G5" authorId="0" shapeId="0" xr:uid="{00000000-0006-0000-0200-000001000000}">
      <text>
        <r>
          <rPr>
            <b/>
            <sz val="9"/>
            <color indexed="81"/>
            <rFont val="Tahoma"/>
            <family val="2"/>
          </rPr>
          <t xml:space="preserve">Follows Equation 28 of the datasheet
</t>
        </r>
      </text>
    </comment>
    <comment ref="AE76" authorId="0" shapeId="0" xr:uid="{00000000-0006-0000-0200-000002000000}">
      <text>
        <r>
          <rPr>
            <b/>
            <sz val="9"/>
            <color indexed="81"/>
            <rFont val="Tahoma"/>
            <family val="2"/>
          </rPr>
          <t>PPD-NPS:</t>
        </r>
        <r>
          <rPr>
            <sz val="9"/>
            <color indexed="81"/>
            <rFont val="Tahoma"/>
            <family val="2"/>
          </rPr>
          <t xml:space="preserve">
Multiplied by feedforward ramp already to save step</t>
        </r>
      </text>
    </comment>
    <comment ref="A134" authorId="0" shapeId="0" xr:uid="{00000000-0006-0000-0200-000003000000}">
      <text>
        <r>
          <rPr>
            <b/>
            <sz val="9"/>
            <color indexed="81"/>
            <rFont val="Tahoma"/>
            <family val="2"/>
          </rPr>
          <t>PPD-NPS:</t>
        </r>
        <r>
          <rPr>
            <sz val="9"/>
            <color indexed="81"/>
            <rFont val="Tahoma"/>
            <family val="2"/>
          </rPr>
          <t xml:space="preserve">
This is the Modulcator Gain at the Selected Crossover Frequncy of the </t>
        </r>
      </text>
    </comment>
    <comment ref="BC166" authorId="0" shapeId="0" xr:uid="{00000000-0006-0000-0200-000004000000}">
      <text>
        <r>
          <rPr>
            <b/>
            <sz val="9"/>
            <color indexed="81"/>
            <rFont val="Tahoma"/>
            <family val="2"/>
          </rPr>
          <t>PPD-NPS:</t>
        </r>
        <r>
          <rPr>
            <sz val="9"/>
            <color indexed="81"/>
            <rFont val="Tahoma"/>
            <family val="2"/>
          </rPr>
          <t xml:space="preserve">
Multiplied by feedforward ramp already to save step</t>
        </r>
      </text>
    </comment>
    <comment ref="A224" authorId="0" shapeId="0" xr:uid="{00000000-0006-0000-0200-000005000000}">
      <text>
        <r>
          <rPr>
            <b/>
            <sz val="9"/>
            <color indexed="81"/>
            <rFont val="Tahoma"/>
            <family val="2"/>
          </rPr>
          <t xml:space="preserve">PPD-NPS:
</t>
        </r>
        <r>
          <rPr>
            <sz val="9"/>
            <color indexed="81"/>
            <rFont val="Tahoma"/>
            <family val="2"/>
          </rPr>
          <t xml:space="preserve">Selected Cross over Frequency for Boost Mode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PPD-NPS</author>
  </authors>
  <commentList>
    <comment ref="A43" authorId="0" shapeId="0" xr:uid="{00000000-0006-0000-0400-000001000000}">
      <text>
        <r>
          <rPr>
            <b/>
            <sz val="9"/>
            <color indexed="81"/>
            <rFont val="Tahoma"/>
            <family val="2"/>
          </rPr>
          <t xml:space="preserve">ABS Max voltage on the RAMP pin
</t>
        </r>
      </text>
    </comment>
    <comment ref="A44" authorId="0" shapeId="0" xr:uid="{00000000-0006-0000-0400-000002000000}">
      <text>
        <r>
          <rPr>
            <b/>
            <sz val="9"/>
            <color indexed="81"/>
            <rFont val="Tahoma"/>
            <family val="2"/>
          </rPr>
          <t xml:space="preserve">Minimum RAMPx Voltage that will define an invalid signal
</t>
        </r>
      </text>
    </comment>
  </commentList>
</comments>
</file>

<file path=xl/sharedStrings.xml><?xml version="1.0" encoding="utf-8"?>
<sst xmlns="http://schemas.openxmlformats.org/spreadsheetml/2006/main" count="921" uniqueCount="497">
  <si>
    <t>V12 Nom</t>
  </si>
  <si>
    <t>V</t>
  </si>
  <si>
    <t>Switching Frequency</t>
  </si>
  <si>
    <t>kHz</t>
  </si>
  <si>
    <t>A</t>
  </si>
  <si>
    <t>Selected Inductor</t>
  </si>
  <si>
    <t>uH</t>
  </si>
  <si>
    <r>
      <t>m</t>
    </r>
    <r>
      <rPr>
        <sz val="11"/>
        <color theme="1"/>
        <rFont val="Calibri"/>
        <family val="2"/>
      </rPr>
      <t>Ω</t>
    </r>
  </si>
  <si>
    <t>Selected Sense Resistor</t>
  </si>
  <si>
    <t>Inductor Selection</t>
  </si>
  <si>
    <t>DCM Boundaries</t>
  </si>
  <si>
    <t>Current Sense Voltage</t>
  </si>
  <si>
    <t>Peak Current</t>
  </si>
  <si>
    <t>Ripple Current</t>
  </si>
  <si>
    <t>LO Duty Cycle</t>
  </si>
  <si>
    <t>HO Duty Cycle</t>
  </si>
  <si>
    <r>
      <t>k</t>
    </r>
    <r>
      <rPr>
        <sz val="11"/>
        <color theme="1"/>
        <rFont val="Calibri"/>
        <family val="2"/>
      </rPr>
      <t>Ω</t>
    </r>
  </si>
  <si>
    <t>Spec Name</t>
  </si>
  <si>
    <t xml:space="preserve">Min </t>
  </si>
  <si>
    <t>Nom</t>
  </si>
  <si>
    <t>Max</t>
  </si>
  <si>
    <t>Unit</t>
  </si>
  <si>
    <t>Minimum Off Time</t>
  </si>
  <si>
    <t>s</t>
  </si>
  <si>
    <t>V48_Nom to V12_Nom</t>
  </si>
  <si>
    <t>Buck Channel Current</t>
  </si>
  <si>
    <t>%</t>
  </si>
  <si>
    <t>Total Number of Phases</t>
  </si>
  <si>
    <t>Value V Load Current</t>
  </si>
  <si>
    <t>Inductor DCR</t>
  </si>
  <si>
    <t>V48</t>
  </si>
  <si>
    <t>Output Impedance</t>
  </si>
  <si>
    <t>uF</t>
  </si>
  <si>
    <t>Frequency</t>
  </si>
  <si>
    <t>Frequency (rad/s)</t>
  </si>
  <si>
    <t>Frequency (Hz)</t>
  </si>
  <si>
    <t>Gain (dB)</t>
  </si>
  <si>
    <t>Phase (Degree)</t>
  </si>
  <si>
    <t>Complex Impedance</t>
  </si>
  <si>
    <t>kOhm</t>
  </si>
  <si>
    <t>nF</t>
  </si>
  <si>
    <t>gm (Error Amp)</t>
  </si>
  <si>
    <t>V/V</t>
  </si>
  <si>
    <t>Current Sense Amp Gain</t>
  </si>
  <si>
    <t>V12 Output Current</t>
  </si>
  <si>
    <t>Vref</t>
  </si>
  <si>
    <t>ISETA to IL constant</t>
  </si>
  <si>
    <t>ISETD to IL constant</t>
  </si>
  <si>
    <t>IOUT offset</t>
  </si>
  <si>
    <t>IOUT gm</t>
  </si>
  <si>
    <t>ohm</t>
  </si>
  <si>
    <t>ohm*Hz</t>
  </si>
  <si>
    <t>OVPx Threshold</t>
  </si>
  <si>
    <t>Oscillator Factor</t>
  </si>
  <si>
    <t>OVPA Resistance</t>
  </si>
  <si>
    <t>OVPB Resistance</t>
  </si>
  <si>
    <t>Ohm</t>
  </si>
  <si>
    <t>IPK Source Current</t>
  </si>
  <si>
    <t>BRK SYNCOUT Level: No Fault Check</t>
  </si>
  <si>
    <t>BRK SYNCOUT Level: Fault Check &gt;</t>
  </si>
  <si>
    <t>Dead Time Constant</t>
  </si>
  <si>
    <t>s/Ohm</t>
  </si>
  <si>
    <t>R IPK Calculation Voltage Constant</t>
  </si>
  <si>
    <t>R IPK Calculation Current Constant</t>
  </si>
  <si>
    <t>ISETD Resistance</t>
  </si>
  <si>
    <t>VCC UV Threshold</t>
  </si>
  <si>
    <t>UVLO Shutdown Thresold</t>
  </si>
  <si>
    <t>SS current</t>
  </si>
  <si>
    <t>Dead Time Adaptive Threshold</t>
  </si>
  <si>
    <t>UVLO Release Threshold</t>
  </si>
  <si>
    <t>*Need to add in the phasing diagram here</t>
  </si>
  <si>
    <t>Maximmum Ripple Current</t>
  </si>
  <si>
    <t>mV</t>
  </si>
  <si>
    <t>Inductor Ripple Currents</t>
  </si>
  <si>
    <t>V48_Nom to V12_Nom (Current Sense Voltage)</t>
  </si>
  <si>
    <t>V48_Max to V12_Nom</t>
  </si>
  <si>
    <t>V12_Min</t>
  </si>
  <si>
    <t>V12_Nom</t>
  </si>
  <si>
    <t>V12_Max</t>
  </si>
  <si>
    <t>Full Load V12 Calculations vs V48</t>
  </si>
  <si>
    <t>Ω</t>
  </si>
  <si>
    <t>V48_Nom to V12_Nom (Inductor AVG Current)</t>
  </si>
  <si>
    <t>V48_Min to V12_Nom (Current Sense Voltage)</t>
  </si>
  <si>
    <t>V48_Min to V12_Nom (Inductor AVG Current)</t>
  </si>
  <si>
    <t>V48_Max to V12_Nom (Current Sense Voltage)</t>
  </si>
  <si>
    <t>V48_Max to V12_Nom (Inductor AVG Current)</t>
  </si>
  <si>
    <t>Switching Parameters</t>
  </si>
  <si>
    <t>Hz</t>
  </si>
  <si>
    <t>Minmum Off Time (Buck)</t>
  </si>
  <si>
    <t>Minmum Off Time (Boost)</t>
  </si>
  <si>
    <t>Spec Violation</t>
  </si>
  <si>
    <t>Parameters</t>
  </si>
  <si>
    <t>V12 Port (Buck)</t>
  </si>
  <si>
    <t>V12 Port (Boost)</t>
  </si>
  <si>
    <t>V48 Port</t>
  </si>
  <si>
    <t>Oscillator Frequency</t>
  </si>
  <si>
    <t>Dead Time</t>
  </si>
  <si>
    <t>ns</t>
  </si>
  <si>
    <t>x</t>
  </si>
  <si>
    <t>Ramp Calculations</t>
  </si>
  <si>
    <t>Selected Ramp Resistor</t>
  </si>
  <si>
    <t>Vramp (V48 Min)</t>
  </si>
  <si>
    <t>Vramp (V48 Nom)</t>
  </si>
  <si>
    <t>Vramp (V48 Max)</t>
  </si>
  <si>
    <t>kΩ</t>
  </si>
  <si>
    <t>Max V RAMPx</t>
  </si>
  <si>
    <t>Min V RAMPx</t>
  </si>
  <si>
    <t>V12</t>
  </si>
  <si>
    <t>V48_Min</t>
  </si>
  <si>
    <t>V48_Nom</t>
  </si>
  <si>
    <t>V48_Max</t>
  </si>
  <si>
    <t>Typical Case (V48_nom, V12_nom)</t>
  </si>
  <si>
    <t>Soft Start Capacitor</t>
  </si>
  <si>
    <t>UVLO</t>
  </si>
  <si>
    <t>ms</t>
  </si>
  <si>
    <t>Calculated SS Value</t>
  </si>
  <si>
    <t>ISETA MAX</t>
  </si>
  <si>
    <t>UVLO Type Selection</t>
  </si>
  <si>
    <t>V48 Rail Selection</t>
  </si>
  <si>
    <t>Minimum 48V Rail Voltage</t>
  </si>
  <si>
    <t>Nominal 48V Rail Voltage</t>
  </si>
  <si>
    <t>V12 Rail Selection</t>
  </si>
  <si>
    <t>Minimum 12V Rail Voltage</t>
  </si>
  <si>
    <t>Nominal 12V Rail Voltage</t>
  </si>
  <si>
    <t>Maximum 12V rail Voltage</t>
  </si>
  <si>
    <t>Maximum 48V rail Voltage</t>
  </si>
  <si>
    <t>Selected Schematic</t>
  </si>
  <si>
    <t>User Input</t>
  </si>
  <si>
    <t>Calculated Value</t>
  </si>
  <si>
    <t>Fsw</t>
  </si>
  <si>
    <t>Converter switching frequency</t>
  </si>
  <si>
    <t>Current Selection</t>
  </si>
  <si>
    <t xml:space="preserve">V48 Output Current (Max) </t>
  </si>
  <si>
    <t>Occurs at V12=(V12_Max) and V48=(V48_Max)</t>
  </si>
  <si>
    <t>Number of Phase</t>
  </si>
  <si>
    <t>This is the number of phases that the total design will use</t>
  </si>
  <si>
    <t>W</t>
  </si>
  <si>
    <t>mOhm</t>
  </si>
  <si>
    <t>Spec Values</t>
  </si>
  <si>
    <t>Calculated Current Sense Resistor</t>
  </si>
  <si>
    <t>Calculated to have full load be 50mV</t>
  </si>
  <si>
    <t>Rcs</t>
  </si>
  <si>
    <t>Per phase Max Power current (based on RCS)</t>
  </si>
  <si>
    <t xml:space="preserve">V12 Output Current Per Phase </t>
  </si>
  <si>
    <t>I_Channel</t>
  </si>
  <si>
    <t>Variable</t>
  </si>
  <si>
    <t>Total Output Current</t>
  </si>
  <si>
    <t xml:space="preserve">Total Maximum Output Power </t>
  </si>
  <si>
    <t>Inductor  Calculations</t>
  </si>
  <si>
    <t>RT</t>
  </si>
  <si>
    <t>Oscilator set resistor Resistor</t>
  </si>
  <si>
    <t>Selected Ripple Ratio</t>
  </si>
  <si>
    <t>Conditions for worst case ripple</t>
  </si>
  <si>
    <t>Selected Peak Current Limit</t>
  </si>
  <si>
    <t>Load Values where the Converter will enter DCM</t>
  </si>
  <si>
    <t>IL peak resistor for selected IL peak Current Limit</t>
  </si>
  <si>
    <t>Flags IPK value is set below the max steady state IL peak current</t>
  </si>
  <si>
    <t>Suggested Ramp Resistor</t>
  </si>
  <si>
    <t>Maximum Average Inductor Current Per Channel</t>
  </si>
  <si>
    <t>SS Voltage Threshold</t>
  </si>
  <si>
    <t>Over Voltage Protection</t>
  </si>
  <si>
    <t>OVPA Input Voltage</t>
  </si>
  <si>
    <t>Suggested OVPA resistor Value</t>
  </si>
  <si>
    <t>Actual OVPA Trip point</t>
  </si>
  <si>
    <t>Selected OVPA resistor Value</t>
  </si>
  <si>
    <t>OVPB Input Voltage</t>
  </si>
  <si>
    <t>Suggested OVPB resistor Value</t>
  </si>
  <si>
    <t>Selected OVPB resistor Value</t>
  </si>
  <si>
    <t>Actual OVPB Trip point</t>
  </si>
  <si>
    <t>UVLO Calculations</t>
  </si>
  <si>
    <t>UVLO Enabled?</t>
  </si>
  <si>
    <t>UVLO Enable</t>
  </si>
  <si>
    <t>μC Input</t>
  </si>
  <si>
    <t>Resistor Divider</t>
  </si>
  <si>
    <t>UVLO Power Delivery Voltage</t>
  </si>
  <si>
    <t>Top Resistor Value</t>
  </si>
  <si>
    <t>Suggested Bottom Resistor</t>
  </si>
  <si>
    <t>Selected Bottom Resistor</t>
  </si>
  <si>
    <t>UVLO Shutdown Voltage</t>
  </si>
  <si>
    <t>UVLO Power Delivery Hystersis</t>
  </si>
  <si>
    <t>UVLO Release Hyst Current</t>
  </si>
  <si>
    <t>Selected Softstart Capacitor</t>
  </si>
  <si>
    <t>Actual Soft start time</t>
  </si>
  <si>
    <t>Actual Softstart Time</t>
  </si>
  <si>
    <t>IOUTx Calculations</t>
  </si>
  <si>
    <t>Current Sense Voltage at Full load</t>
  </si>
  <si>
    <t>Selected IOUT Resistance</t>
  </si>
  <si>
    <t>IOUT MAX (Recommened to keep accuracy high)</t>
  </si>
  <si>
    <t>Flag if &gt;3.3V</t>
  </si>
  <si>
    <t>IOUT ranges</t>
  </si>
  <si>
    <t>Selected R IPK</t>
  </si>
  <si>
    <t>Actual Peak Limit</t>
  </si>
  <si>
    <t>Buck Mode Voltage Loop Transfer Functions</t>
  </si>
  <si>
    <t>Calcualted inductor based on full load  design parameters, Nominal V12 and Maximum V48 Voltages</t>
  </si>
  <si>
    <t>V48 Max and V12Nom</t>
  </si>
  <si>
    <t xml:space="preserve">Maximum Per phase IL current (based on Selected RCS) </t>
  </si>
  <si>
    <t>Design Parameter for per phase current</t>
  </si>
  <si>
    <t>Typical Power Per Phase</t>
  </si>
  <si>
    <t>The 12V output power at full designed load and nominal 12V</t>
  </si>
  <si>
    <t>Maximum per phase power based on Rcs selection (Nominal 12V)</t>
  </si>
  <si>
    <t>Maximum total 12V Current based on Rcs selection</t>
  </si>
  <si>
    <t>Total output power based on Rcs selection</t>
  </si>
  <si>
    <t>Peak to Peak ripple Ratio based on full designed load parameter</t>
  </si>
  <si>
    <t>Based on Maximum per phase design parameter</t>
  </si>
  <si>
    <t>Maximmum Peak Current</t>
  </si>
  <si>
    <t xml:space="preserve">Selected Inductor Peak Current Limit </t>
  </si>
  <si>
    <t>Calculated R IPK</t>
  </si>
  <si>
    <t>Selected Ramp Capacitor</t>
  </si>
  <si>
    <t>Selected RAMP Resistor</t>
  </si>
  <si>
    <t>Flag if not between 0.625V and 14V</t>
  </si>
  <si>
    <t>Deisred  SS time</t>
  </si>
  <si>
    <t>Maximum IOUTx Voltage (VCS =50mV)</t>
  </si>
  <si>
    <t>Recommened IOUT Resistance (VCS = 50mV)</t>
  </si>
  <si>
    <t>Actual VIOUTx at full load (VCS=50mV)</t>
  </si>
  <si>
    <t>Actual VIOUTx at no-load (VCS = 0mV)</t>
  </si>
  <si>
    <t>Suggested CIOUT</t>
  </si>
  <si>
    <t>Selected CIOUT</t>
  </si>
  <si>
    <t>based to set the RIOUT and CIOUT delay time to 100us</t>
  </si>
  <si>
    <t>Corner Frequency of RIOUT and CIOUT</t>
  </si>
  <si>
    <t>Ripple on VIOUT at full Load</t>
  </si>
  <si>
    <t>0 = MCU input, 1 = Normal Resistor Divider</t>
  </si>
  <si>
    <t>UVLO Hysterisis</t>
  </si>
  <si>
    <t>Nomal</t>
  </si>
  <si>
    <t>Dead Time Calculations</t>
  </si>
  <si>
    <t>Dead Time Configuration</t>
  </si>
  <si>
    <t>Adaptive</t>
  </si>
  <si>
    <t>Programed</t>
  </si>
  <si>
    <t>Selected Dead Time Type</t>
  </si>
  <si>
    <t>0=Adaptive, 1 = Programed</t>
  </si>
  <si>
    <t>Programed dead time</t>
  </si>
  <si>
    <t>Dead Time Off Set</t>
  </si>
  <si>
    <t>Cacluated Dead Time Resistor</t>
  </si>
  <si>
    <t>Selected Deatd Time Resistor</t>
  </si>
  <si>
    <t>LO falling to HO Rising Dead Time</t>
  </si>
  <si>
    <t>HO falling to LO Rising Dead Time</t>
  </si>
  <si>
    <t>Dead Time Adaptive LO to HO</t>
  </si>
  <si>
    <t>Dead Time Adaptive HO to LO</t>
  </si>
  <si>
    <t>LO falling to HO rising Dead-Time</t>
  </si>
  <si>
    <t>HO falling to LO rising Dead-Time</t>
  </si>
  <si>
    <t>0 = Nominal Hysteresis, 1 = Programable Hysteresis</t>
  </si>
  <si>
    <t>Increased Hysteresis Selected?</t>
  </si>
  <si>
    <t>Selected Amount of Hysteresis</t>
  </si>
  <si>
    <t>Selected Amount Of Hysteresis</t>
  </si>
  <si>
    <t>Cacluated Rhysteresis Resistor</t>
  </si>
  <si>
    <t>Selected Rhysteresis Value</t>
  </si>
  <si>
    <t>UVLO Power Delivery Voltage Rising Edge</t>
  </si>
  <si>
    <t>UVLO Power Delivery Voltage Falling Edge</t>
  </si>
  <si>
    <t>Flag if not between 15ns and 200ns as specified in the ROC of the Datasheet</t>
  </si>
  <si>
    <t>Dead Time Prog Min Value</t>
  </si>
  <si>
    <t>Dead Time Prog Max Value</t>
  </si>
  <si>
    <t>Path Resistance</t>
  </si>
  <si>
    <t>mΩ</t>
  </si>
  <si>
    <t>Inner Loop Simple Compensation</t>
  </si>
  <si>
    <t>Current Loop Power Plant Pole Location</t>
  </si>
  <si>
    <t>Kff</t>
  </si>
  <si>
    <t>1/V</t>
  </si>
  <si>
    <t>DC Gain of Current Power Plant</t>
  </si>
  <si>
    <t>Suggested Loop Crossover Frequency</t>
  </si>
  <si>
    <t>Selected Crossover Frequency</t>
  </si>
  <si>
    <t>Calculated RCOMP</t>
  </si>
  <si>
    <t>Selected RCOMP</t>
  </si>
  <si>
    <t>Calculated CCOMP</t>
  </si>
  <si>
    <t>Selected CCOMP</t>
  </si>
  <si>
    <t>Calculated CHF</t>
  </si>
  <si>
    <t>Selected CHF</t>
  </si>
  <si>
    <t>Suggested Compensation Zero</t>
  </si>
  <si>
    <t>Suggeste Compensation Pole Location</t>
  </si>
  <si>
    <t>based off of the suggested High frequency pole location</t>
  </si>
  <si>
    <t>Compensation Zero Location</t>
  </si>
  <si>
    <t>Compensation Pole Location</t>
  </si>
  <si>
    <t xml:space="preserve">Simple Current Loop Calcualtion </t>
  </si>
  <si>
    <t>Based on Datasheet Caclualtion Method</t>
  </si>
  <si>
    <t>Power Plant Function</t>
  </si>
  <si>
    <t>Complex Impedence</t>
  </si>
  <si>
    <t>Gain</t>
  </si>
  <si>
    <t>Phase</t>
  </si>
  <si>
    <t>Error Amp</t>
  </si>
  <si>
    <t>Closed Current Loop</t>
  </si>
  <si>
    <t>Cross Over Frequency</t>
  </si>
  <si>
    <t>Phase Margin</t>
  </si>
  <si>
    <t>Derived using MathCad and DS equation</t>
  </si>
  <si>
    <t>Typical Application Schematic</t>
  </si>
  <si>
    <t>Current Range/ Number of Phases</t>
  </si>
  <si>
    <t>2. Inductor Selection</t>
  </si>
  <si>
    <t>ABOUT</t>
  </si>
  <si>
    <t>Terms of Use</t>
  </si>
  <si>
    <t>3. Inductor Current Limiting</t>
  </si>
  <si>
    <t>Inductor Peak Current Limit</t>
  </si>
  <si>
    <t>Margin above Peak Current</t>
  </si>
  <si>
    <t>4. Output Capacitance</t>
  </si>
  <si>
    <t>Power Stage Pol</t>
  </si>
  <si>
    <t>Error Amp Zero</t>
  </si>
  <si>
    <t>Error Amp Pole</t>
  </si>
  <si>
    <t>RAD</t>
  </si>
  <si>
    <t>Impedance</t>
  </si>
  <si>
    <t>5. RAMP Selection</t>
  </si>
  <si>
    <t>Ramp Component Selection</t>
  </si>
  <si>
    <t>5. Soft-Start</t>
  </si>
  <si>
    <t>OVPA</t>
  </si>
  <si>
    <t>OVPB</t>
  </si>
  <si>
    <t>6. Overvoltage Protection</t>
  </si>
  <si>
    <t>8. Channel Current Monitoring</t>
  </si>
  <si>
    <t>IOUT1/ IOUT2</t>
  </si>
  <si>
    <t>DT</t>
  </si>
  <si>
    <t>9. MOSFET Dead Time Selection</t>
  </si>
  <si>
    <t>10. Current Loop Compensation</t>
  </si>
  <si>
    <t>COMP1/COMP2</t>
  </si>
  <si>
    <t>Additional Hysteresis</t>
  </si>
  <si>
    <t>Microcontroller Input</t>
  </si>
  <si>
    <t>Normal UVLO</t>
  </si>
  <si>
    <r>
      <t>Selected Low-Side Resistor (R</t>
    </r>
    <r>
      <rPr>
        <vertAlign val="subscript"/>
        <sz val="11"/>
        <color theme="1"/>
        <rFont val="ＭＳ Ｐゴシック"/>
        <family val="2"/>
        <scheme val="minor"/>
      </rPr>
      <t>UVLO2</t>
    </r>
    <r>
      <rPr>
        <sz val="11"/>
        <color theme="1"/>
        <rFont val="ＭＳ Ｐゴシック"/>
        <family val="2"/>
        <scheme val="minor"/>
      </rPr>
      <t>)</t>
    </r>
  </si>
  <si>
    <r>
      <t>Selected High-Side Resistor (R</t>
    </r>
    <r>
      <rPr>
        <vertAlign val="subscript"/>
        <sz val="11"/>
        <color theme="1"/>
        <rFont val="ＭＳ Ｐゴシック"/>
        <family val="2"/>
        <scheme val="minor"/>
      </rPr>
      <t>UVLO1</t>
    </r>
    <r>
      <rPr>
        <sz val="11"/>
        <color theme="1"/>
        <rFont val="ＭＳ Ｐゴシック"/>
        <family val="2"/>
        <scheme val="minor"/>
      </rPr>
      <t>)</t>
    </r>
  </si>
  <si>
    <t>Additional</t>
  </si>
  <si>
    <r>
      <t>Calculated Hysteresis Resistor (R</t>
    </r>
    <r>
      <rPr>
        <vertAlign val="subscript"/>
        <sz val="11"/>
        <color theme="1"/>
        <rFont val="ＭＳ Ｐゴシック"/>
        <family val="2"/>
        <scheme val="minor"/>
      </rPr>
      <t>UVLO3</t>
    </r>
    <r>
      <rPr>
        <sz val="11"/>
        <color theme="1"/>
        <rFont val="ＭＳ Ｐゴシック"/>
        <family val="2"/>
        <scheme val="minor"/>
      </rPr>
      <t>)</t>
    </r>
  </si>
  <si>
    <r>
      <t>Selected Hysteresis Resistor (R</t>
    </r>
    <r>
      <rPr>
        <vertAlign val="subscript"/>
        <sz val="11"/>
        <color theme="1"/>
        <rFont val="ＭＳ Ｐゴシック"/>
        <family val="2"/>
        <scheme val="minor"/>
      </rPr>
      <t>UVLO3</t>
    </r>
    <r>
      <rPr>
        <sz val="11"/>
        <color theme="1"/>
        <rFont val="ＭＳ Ｐゴシック"/>
        <family val="2"/>
        <scheme val="minor"/>
      </rPr>
      <t>)</t>
    </r>
  </si>
  <si>
    <t>UVLO Hysteresis</t>
  </si>
  <si>
    <t>UVLO Hysteresis Type</t>
  </si>
  <si>
    <t>UVLO Release Voltage Rising Edge</t>
  </si>
  <si>
    <t>Selected UVLO Release Voltage</t>
  </si>
  <si>
    <t>UVLO Latch Voltage Falling Edge</t>
  </si>
  <si>
    <t>Low Voltage Rail Parameters</t>
  </si>
  <si>
    <t>High Voltage Input Parameters</t>
  </si>
  <si>
    <t>Maximum Low Voltage Rail Current</t>
  </si>
  <si>
    <r>
      <t>Selected Sense Resistor (R</t>
    </r>
    <r>
      <rPr>
        <vertAlign val="subscript"/>
        <sz val="11"/>
        <color theme="1"/>
        <rFont val="ＭＳ Ｐゴシック"/>
        <family val="2"/>
        <scheme val="minor"/>
      </rPr>
      <t>CS1</t>
    </r>
    <r>
      <rPr>
        <sz val="11"/>
        <color theme="1"/>
        <rFont val="ＭＳ Ｐゴシック"/>
        <family val="2"/>
        <scheme val="minor"/>
      </rPr>
      <t>, R</t>
    </r>
    <r>
      <rPr>
        <vertAlign val="subscript"/>
        <sz val="11"/>
        <color theme="1"/>
        <rFont val="ＭＳ Ｐゴシック"/>
        <family val="2"/>
        <scheme val="minor"/>
      </rPr>
      <t>CS2</t>
    </r>
    <r>
      <rPr>
        <sz val="11"/>
        <color theme="1"/>
        <rFont val="ＭＳ Ｐゴシック"/>
        <family val="2"/>
        <scheme val="minor"/>
      </rPr>
      <t>)</t>
    </r>
  </si>
  <si>
    <r>
      <t>Calculated Sense Resistor (R</t>
    </r>
    <r>
      <rPr>
        <vertAlign val="subscript"/>
        <sz val="11"/>
        <color theme="1"/>
        <rFont val="ＭＳ Ｐゴシック"/>
        <family val="2"/>
        <scheme val="minor"/>
      </rPr>
      <t>CS1</t>
    </r>
    <r>
      <rPr>
        <sz val="11"/>
        <color theme="1"/>
        <rFont val="ＭＳ Ｐゴシック"/>
        <family val="2"/>
        <scheme val="minor"/>
      </rPr>
      <t>, R</t>
    </r>
    <r>
      <rPr>
        <vertAlign val="subscript"/>
        <sz val="11"/>
        <color theme="1"/>
        <rFont val="ＭＳ Ｐゴシック"/>
        <family val="2"/>
        <scheme val="minor"/>
      </rPr>
      <t>CS2</t>
    </r>
    <r>
      <rPr>
        <sz val="11"/>
        <color theme="1"/>
        <rFont val="ＭＳ Ｐゴシック"/>
        <family val="2"/>
        <scheme val="minor"/>
      </rPr>
      <t>)</t>
    </r>
  </si>
  <si>
    <t>Total Low Voltage Rail Current</t>
  </si>
  <si>
    <t>Selected Switching Frequency</t>
  </si>
  <si>
    <t>LV Port Minimum Voltage</t>
  </si>
  <si>
    <t>LV Port Nominal Voltage</t>
  </si>
  <si>
    <t>LV Port Maximum Voltage</t>
  </si>
  <si>
    <t>HV Port Minimum Voltage</t>
  </si>
  <si>
    <t>HV Port Nominal Voltage</t>
  </si>
  <si>
    <t>HV Port Maximum Voltage</t>
  </si>
  <si>
    <t>Need to Add flags for input voltage range</t>
  </si>
  <si>
    <t>Actual Low Voltage Port Over Voltage Trigger</t>
  </si>
  <si>
    <t>Low Voltage Port Over Voltage Trigger</t>
  </si>
  <si>
    <t>Actual High Voltage Port Over Voltage Trigger</t>
  </si>
  <si>
    <t>High Voltage Port Over Voltage Trigger</t>
  </si>
  <si>
    <t>Low Voltage Port</t>
  </si>
  <si>
    <t>High Voltage Port</t>
  </si>
  <si>
    <t>Current Limit Margin Above Maximum Inductor Current</t>
  </si>
  <si>
    <r>
      <t>Calculated IPK Resistor (R</t>
    </r>
    <r>
      <rPr>
        <vertAlign val="subscript"/>
        <sz val="11"/>
        <color theme="1"/>
        <rFont val="ＭＳ Ｐゴシック"/>
        <family val="2"/>
        <scheme val="minor"/>
      </rPr>
      <t>IPK</t>
    </r>
    <r>
      <rPr>
        <sz val="11"/>
        <color theme="1"/>
        <rFont val="ＭＳ Ｐゴシック"/>
        <family val="2"/>
        <scheme val="minor"/>
      </rPr>
      <t>)</t>
    </r>
  </si>
  <si>
    <r>
      <t>Selected IPK Resistor (R</t>
    </r>
    <r>
      <rPr>
        <vertAlign val="subscript"/>
        <sz val="11"/>
        <color theme="1"/>
        <rFont val="ＭＳ Ｐゴシック"/>
        <family val="2"/>
        <scheme val="minor"/>
      </rPr>
      <t>IPK</t>
    </r>
    <r>
      <rPr>
        <sz val="11"/>
        <color theme="1"/>
        <rFont val="ＭＳ Ｐゴシック"/>
        <family val="2"/>
        <scheme val="minor"/>
      </rPr>
      <t>)</t>
    </r>
  </si>
  <si>
    <t>Actual Inductor Peak Current Limit</t>
  </si>
  <si>
    <t>Selected Inductor Peak Current Limit</t>
  </si>
  <si>
    <t>Low Voltage Capacitance ESR</t>
  </si>
  <si>
    <t>High Voltage Capacitance ESR</t>
  </si>
  <si>
    <r>
      <t>Selected Low Voltage Port Capacitance (C</t>
    </r>
    <r>
      <rPr>
        <vertAlign val="subscript"/>
        <sz val="11"/>
        <color theme="1"/>
        <rFont val="ＭＳ Ｐゴシック"/>
        <family val="2"/>
        <scheme val="minor"/>
      </rPr>
      <t>OUT_LV</t>
    </r>
    <r>
      <rPr>
        <sz val="11"/>
        <color theme="1"/>
        <rFont val="ＭＳ Ｐゴシック"/>
        <family val="2"/>
        <scheme val="minor"/>
      </rPr>
      <t>)</t>
    </r>
  </si>
  <si>
    <r>
      <t>Selected High Voltage Port Capacitance (C</t>
    </r>
    <r>
      <rPr>
        <vertAlign val="subscript"/>
        <sz val="11"/>
        <color theme="1"/>
        <rFont val="ＭＳ Ｐゴシック"/>
        <family val="2"/>
        <scheme val="minor"/>
      </rPr>
      <t>OUT_HV</t>
    </r>
    <r>
      <rPr>
        <sz val="11"/>
        <color theme="1"/>
        <rFont val="ＭＳ Ｐゴシック"/>
        <family val="2"/>
        <scheme val="minor"/>
      </rPr>
      <t>)</t>
    </r>
  </si>
  <si>
    <r>
      <t>Selected RAMP Capacitor (C</t>
    </r>
    <r>
      <rPr>
        <vertAlign val="subscript"/>
        <sz val="11"/>
        <color theme="1"/>
        <rFont val="ＭＳ Ｐゴシック"/>
        <family val="2"/>
        <scheme val="minor"/>
      </rPr>
      <t>RAMP1</t>
    </r>
    <r>
      <rPr>
        <sz val="11"/>
        <color theme="1"/>
        <rFont val="ＭＳ Ｐゴシック"/>
        <family val="2"/>
        <scheme val="minor"/>
      </rPr>
      <t>, C</t>
    </r>
    <r>
      <rPr>
        <vertAlign val="subscript"/>
        <sz val="11"/>
        <color theme="1"/>
        <rFont val="ＭＳ Ｐゴシック"/>
        <family val="2"/>
        <scheme val="minor"/>
      </rPr>
      <t>RAMP2</t>
    </r>
    <r>
      <rPr>
        <sz val="11"/>
        <color theme="1"/>
        <rFont val="ＭＳ Ｐゴシック"/>
        <family val="2"/>
        <scheme val="minor"/>
      </rPr>
      <t>)</t>
    </r>
  </si>
  <si>
    <r>
      <t>Calculated RAMP Resistor (R</t>
    </r>
    <r>
      <rPr>
        <vertAlign val="subscript"/>
        <sz val="11"/>
        <color theme="1"/>
        <rFont val="ＭＳ Ｐゴシック"/>
        <family val="2"/>
        <scheme val="minor"/>
      </rPr>
      <t>RAMP1</t>
    </r>
    <r>
      <rPr>
        <sz val="11"/>
        <color theme="1"/>
        <rFont val="ＭＳ Ｐゴシック"/>
        <family val="2"/>
        <scheme val="minor"/>
      </rPr>
      <t>, R</t>
    </r>
    <r>
      <rPr>
        <vertAlign val="subscript"/>
        <sz val="11"/>
        <color theme="1"/>
        <rFont val="ＭＳ Ｐゴシック"/>
        <family val="2"/>
        <scheme val="minor"/>
      </rPr>
      <t>RAMP2</t>
    </r>
    <r>
      <rPr>
        <sz val="11"/>
        <color theme="1"/>
        <rFont val="ＭＳ Ｐゴシック"/>
        <family val="2"/>
        <scheme val="minor"/>
      </rPr>
      <t>)</t>
    </r>
  </si>
  <si>
    <r>
      <t>Selected RAMP Resistor (R</t>
    </r>
    <r>
      <rPr>
        <vertAlign val="subscript"/>
        <sz val="11"/>
        <color theme="1"/>
        <rFont val="ＭＳ Ｐゴシック"/>
        <family val="2"/>
        <scheme val="minor"/>
      </rPr>
      <t>RAMP1</t>
    </r>
    <r>
      <rPr>
        <sz val="11"/>
        <color theme="1"/>
        <rFont val="ＭＳ Ｐゴシック"/>
        <family val="2"/>
        <scheme val="minor"/>
      </rPr>
      <t>, R</t>
    </r>
    <r>
      <rPr>
        <vertAlign val="subscript"/>
        <sz val="11"/>
        <color theme="1"/>
        <rFont val="ＭＳ Ｐゴシック"/>
        <family val="2"/>
        <scheme val="minor"/>
      </rPr>
      <t>RAMP2</t>
    </r>
    <r>
      <rPr>
        <sz val="11"/>
        <color theme="1"/>
        <rFont val="ＭＳ Ｐゴシック"/>
        <family val="2"/>
        <scheme val="minor"/>
      </rPr>
      <t>)</t>
    </r>
  </si>
  <si>
    <t>Selected Soft-Start Time</t>
  </si>
  <si>
    <r>
      <t>Calculated Soft-Start Capacitor (C</t>
    </r>
    <r>
      <rPr>
        <vertAlign val="subscript"/>
        <sz val="11"/>
        <color theme="1"/>
        <rFont val="ＭＳ Ｐゴシック"/>
        <family val="2"/>
        <scheme val="minor"/>
      </rPr>
      <t>SS</t>
    </r>
    <r>
      <rPr>
        <sz val="11"/>
        <color theme="1"/>
        <rFont val="ＭＳ Ｐゴシック"/>
        <family val="2"/>
        <scheme val="minor"/>
      </rPr>
      <t>)</t>
    </r>
  </si>
  <si>
    <r>
      <t>Selected Soft-Start Capacitor (C</t>
    </r>
    <r>
      <rPr>
        <vertAlign val="subscript"/>
        <sz val="11"/>
        <color theme="1"/>
        <rFont val="ＭＳ Ｐゴシック"/>
        <family val="2"/>
        <scheme val="minor"/>
      </rPr>
      <t>SS</t>
    </r>
    <r>
      <rPr>
        <sz val="11"/>
        <color theme="1"/>
        <rFont val="ＭＳ Ｐゴシック"/>
        <family val="2"/>
        <scheme val="minor"/>
      </rPr>
      <t>)</t>
    </r>
  </si>
  <si>
    <r>
      <t>Calculated OVPA resistor (R</t>
    </r>
    <r>
      <rPr>
        <vertAlign val="subscript"/>
        <sz val="11"/>
        <color theme="1"/>
        <rFont val="ＭＳ Ｐゴシック"/>
        <family val="2"/>
        <scheme val="minor"/>
      </rPr>
      <t>OVPA</t>
    </r>
    <r>
      <rPr>
        <sz val="11"/>
        <color theme="1"/>
        <rFont val="ＭＳ Ｐゴシック"/>
        <family val="2"/>
        <scheme val="minor"/>
      </rPr>
      <t>)</t>
    </r>
  </si>
  <si>
    <r>
      <t>Selected OVPA resistor (R</t>
    </r>
    <r>
      <rPr>
        <vertAlign val="subscript"/>
        <sz val="11"/>
        <color theme="1"/>
        <rFont val="ＭＳ Ｐゴシック"/>
        <family val="2"/>
        <scheme val="minor"/>
      </rPr>
      <t>OVPA</t>
    </r>
    <r>
      <rPr>
        <sz val="11"/>
        <color theme="1"/>
        <rFont val="ＭＳ Ｐゴシック"/>
        <family val="2"/>
        <scheme val="minor"/>
      </rPr>
      <t>)</t>
    </r>
  </si>
  <si>
    <r>
      <t>Calculated OVPB resistor (R</t>
    </r>
    <r>
      <rPr>
        <vertAlign val="subscript"/>
        <sz val="11"/>
        <color theme="1"/>
        <rFont val="ＭＳ Ｐゴシック"/>
        <family val="2"/>
        <scheme val="minor"/>
      </rPr>
      <t>OVPB</t>
    </r>
    <r>
      <rPr>
        <sz val="11"/>
        <color theme="1"/>
        <rFont val="ＭＳ Ｐゴシック"/>
        <family val="2"/>
        <scheme val="minor"/>
      </rPr>
      <t>)</t>
    </r>
  </si>
  <si>
    <r>
      <t>Selected OVPB resistor (R</t>
    </r>
    <r>
      <rPr>
        <vertAlign val="subscript"/>
        <sz val="11"/>
        <color theme="1"/>
        <rFont val="ＭＳ Ｐゴシック"/>
        <family val="2"/>
        <scheme val="minor"/>
      </rPr>
      <t>OVPB</t>
    </r>
    <r>
      <rPr>
        <sz val="11"/>
        <color theme="1"/>
        <rFont val="ＭＳ Ｐゴシック"/>
        <family val="2"/>
        <scheme val="minor"/>
      </rPr>
      <t>)</t>
    </r>
  </si>
  <si>
    <t>Selected Programmed Dead Time</t>
  </si>
  <si>
    <r>
      <t>Selected Dead Time Resistor (R</t>
    </r>
    <r>
      <rPr>
        <vertAlign val="subscript"/>
        <sz val="11"/>
        <color theme="1"/>
        <rFont val="ＭＳ Ｐゴシック"/>
        <family val="2"/>
        <scheme val="minor"/>
      </rPr>
      <t>DT</t>
    </r>
    <r>
      <rPr>
        <sz val="11"/>
        <color theme="1"/>
        <rFont val="ＭＳ Ｐゴシック"/>
        <family val="2"/>
        <scheme val="minor"/>
      </rPr>
      <t>)</t>
    </r>
  </si>
  <si>
    <t>Adaptive Dead Time</t>
  </si>
  <si>
    <t>Programmed Dead Time</t>
  </si>
  <si>
    <r>
      <t>Current Loop Power Plant Pole Location (F</t>
    </r>
    <r>
      <rPr>
        <vertAlign val="subscript"/>
        <sz val="11"/>
        <color theme="1"/>
        <rFont val="ＭＳ Ｐゴシック"/>
        <family val="2"/>
        <scheme val="minor"/>
      </rPr>
      <t>Pplant</t>
    </r>
    <r>
      <rPr>
        <sz val="11"/>
        <color theme="1"/>
        <rFont val="ＭＳ Ｐゴシック"/>
        <family val="2"/>
        <scheme val="minor"/>
      </rPr>
      <t>)</t>
    </r>
  </si>
  <si>
    <r>
      <t>Selected IOUT Resistor (R</t>
    </r>
    <r>
      <rPr>
        <vertAlign val="subscript"/>
        <sz val="11"/>
        <color theme="1"/>
        <rFont val="ＭＳ Ｐゴシック"/>
        <family val="2"/>
        <scheme val="minor"/>
      </rPr>
      <t>IOUT1</t>
    </r>
    <r>
      <rPr>
        <sz val="11"/>
        <color theme="1"/>
        <rFont val="ＭＳ Ｐゴシック"/>
        <family val="2"/>
        <scheme val="minor"/>
      </rPr>
      <t>, R</t>
    </r>
    <r>
      <rPr>
        <vertAlign val="subscript"/>
        <sz val="11"/>
        <color theme="1"/>
        <rFont val="ＭＳ Ｐゴシック"/>
        <family val="2"/>
        <scheme val="minor"/>
      </rPr>
      <t>IOUT2</t>
    </r>
    <r>
      <rPr>
        <sz val="11"/>
        <color theme="1"/>
        <rFont val="ＭＳ Ｐゴシック"/>
        <family val="2"/>
        <scheme val="minor"/>
      </rPr>
      <t>)</t>
    </r>
  </si>
  <si>
    <r>
      <t>Calculated IOUT Capacitance (C</t>
    </r>
    <r>
      <rPr>
        <vertAlign val="subscript"/>
        <sz val="11"/>
        <color theme="1"/>
        <rFont val="ＭＳ Ｐゴシック"/>
        <family val="2"/>
        <scheme val="minor"/>
      </rPr>
      <t>IOUT1</t>
    </r>
    <r>
      <rPr>
        <sz val="11"/>
        <color theme="1"/>
        <rFont val="ＭＳ Ｐゴシック"/>
        <family val="2"/>
        <scheme val="minor"/>
      </rPr>
      <t>, C</t>
    </r>
    <r>
      <rPr>
        <vertAlign val="subscript"/>
        <sz val="11"/>
        <color theme="1"/>
        <rFont val="ＭＳ Ｐゴシック"/>
        <family val="2"/>
        <scheme val="minor"/>
      </rPr>
      <t>IOUT2</t>
    </r>
    <r>
      <rPr>
        <sz val="11"/>
        <color theme="1"/>
        <rFont val="ＭＳ Ｐゴシック"/>
        <family val="2"/>
        <scheme val="minor"/>
      </rPr>
      <t>)</t>
    </r>
  </si>
  <si>
    <r>
      <t>Selected IOUT Capacitance (C</t>
    </r>
    <r>
      <rPr>
        <vertAlign val="subscript"/>
        <sz val="11"/>
        <color theme="1"/>
        <rFont val="ＭＳ Ｐゴシック"/>
        <family val="2"/>
        <scheme val="minor"/>
      </rPr>
      <t>IOUT1</t>
    </r>
    <r>
      <rPr>
        <sz val="11"/>
        <color theme="1"/>
        <rFont val="ＭＳ Ｐゴシック"/>
        <family val="2"/>
        <scheme val="minor"/>
      </rPr>
      <t>, C</t>
    </r>
    <r>
      <rPr>
        <vertAlign val="subscript"/>
        <sz val="11"/>
        <color theme="1"/>
        <rFont val="ＭＳ Ｐゴシック"/>
        <family val="2"/>
        <scheme val="minor"/>
      </rPr>
      <t>IOUT2</t>
    </r>
    <r>
      <rPr>
        <sz val="11"/>
        <color theme="1"/>
        <rFont val="ＭＳ Ｐゴシック"/>
        <family val="2"/>
        <scheme val="minor"/>
      </rPr>
      <t>)</t>
    </r>
  </si>
  <si>
    <r>
      <t>Calculated R</t>
    </r>
    <r>
      <rPr>
        <vertAlign val="subscript"/>
        <sz val="11"/>
        <color theme="1"/>
        <rFont val="ＭＳ Ｐゴシック"/>
        <family val="2"/>
        <scheme val="minor"/>
      </rPr>
      <t>COMP1</t>
    </r>
    <r>
      <rPr>
        <sz val="11"/>
        <color theme="1"/>
        <rFont val="ＭＳ Ｐゴシック"/>
        <family val="2"/>
        <scheme val="minor"/>
      </rPr>
      <t>, R</t>
    </r>
    <r>
      <rPr>
        <vertAlign val="subscript"/>
        <sz val="11"/>
        <color theme="1"/>
        <rFont val="ＭＳ Ｐゴシック"/>
        <family val="2"/>
        <scheme val="minor"/>
      </rPr>
      <t>COMP2</t>
    </r>
  </si>
  <si>
    <r>
      <t>Selected R</t>
    </r>
    <r>
      <rPr>
        <vertAlign val="subscript"/>
        <sz val="11"/>
        <color theme="1"/>
        <rFont val="ＭＳ Ｐゴシック"/>
        <family val="2"/>
        <scheme val="minor"/>
      </rPr>
      <t>COMP1</t>
    </r>
    <r>
      <rPr>
        <sz val="11"/>
        <color theme="1"/>
        <rFont val="ＭＳ Ｐゴシック"/>
        <family val="2"/>
        <scheme val="minor"/>
      </rPr>
      <t>, R</t>
    </r>
    <r>
      <rPr>
        <vertAlign val="subscript"/>
        <sz val="11"/>
        <color theme="1"/>
        <rFont val="ＭＳ Ｐゴシック"/>
        <family val="2"/>
        <scheme val="minor"/>
      </rPr>
      <t>COMP2</t>
    </r>
  </si>
  <si>
    <r>
      <t>Selected C</t>
    </r>
    <r>
      <rPr>
        <vertAlign val="subscript"/>
        <sz val="11"/>
        <color theme="1"/>
        <rFont val="ＭＳ Ｐゴシック"/>
        <family val="2"/>
        <scheme val="minor"/>
      </rPr>
      <t>COMP1</t>
    </r>
    <r>
      <rPr>
        <sz val="11"/>
        <color theme="1"/>
        <rFont val="ＭＳ Ｐゴシック"/>
        <family val="2"/>
        <scheme val="minor"/>
      </rPr>
      <t>, C</t>
    </r>
    <r>
      <rPr>
        <vertAlign val="subscript"/>
        <sz val="11"/>
        <color theme="1"/>
        <rFont val="ＭＳ Ｐゴシック"/>
        <family val="2"/>
        <scheme val="minor"/>
      </rPr>
      <t>COMP2</t>
    </r>
  </si>
  <si>
    <r>
      <t>Calculated C</t>
    </r>
    <r>
      <rPr>
        <vertAlign val="subscript"/>
        <sz val="11"/>
        <color theme="1"/>
        <rFont val="ＭＳ Ｐゴシック"/>
        <family val="2"/>
        <scheme val="minor"/>
      </rPr>
      <t>COMP1</t>
    </r>
    <r>
      <rPr>
        <sz val="11"/>
        <color theme="1"/>
        <rFont val="ＭＳ Ｐゴシック"/>
        <family val="2"/>
        <scheme val="minor"/>
      </rPr>
      <t>, C</t>
    </r>
    <r>
      <rPr>
        <vertAlign val="subscript"/>
        <sz val="11"/>
        <color theme="1"/>
        <rFont val="ＭＳ Ｐゴシック"/>
        <family val="2"/>
        <scheme val="minor"/>
      </rPr>
      <t>COMP2</t>
    </r>
  </si>
  <si>
    <r>
      <t>Selected C</t>
    </r>
    <r>
      <rPr>
        <vertAlign val="subscript"/>
        <sz val="11"/>
        <color theme="1"/>
        <rFont val="ＭＳ Ｐゴシック"/>
        <family val="2"/>
        <scheme val="minor"/>
      </rPr>
      <t>HF1</t>
    </r>
    <r>
      <rPr>
        <sz val="11"/>
        <color theme="1"/>
        <rFont val="ＭＳ Ｐゴシック"/>
        <family val="2"/>
        <scheme val="minor"/>
      </rPr>
      <t>, C</t>
    </r>
    <r>
      <rPr>
        <vertAlign val="subscript"/>
        <sz val="11"/>
        <color theme="1"/>
        <rFont val="ＭＳ Ｐゴシック"/>
        <family val="2"/>
        <scheme val="minor"/>
      </rPr>
      <t>HF2</t>
    </r>
  </si>
  <si>
    <r>
      <t>Calculated C</t>
    </r>
    <r>
      <rPr>
        <vertAlign val="subscript"/>
        <sz val="11"/>
        <color theme="1"/>
        <rFont val="ＭＳ Ｐゴシック"/>
        <family val="2"/>
        <scheme val="minor"/>
      </rPr>
      <t>HF1</t>
    </r>
    <r>
      <rPr>
        <sz val="11"/>
        <color theme="1"/>
        <rFont val="ＭＳ Ｐゴシック"/>
        <family val="2"/>
        <scheme val="minor"/>
      </rPr>
      <t>, C</t>
    </r>
    <r>
      <rPr>
        <vertAlign val="subscript"/>
        <sz val="11"/>
        <color theme="1"/>
        <rFont val="ＭＳ Ｐゴシック"/>
        <family val="2"/>
        <scheme val="minor"/>
      </rPr>
      <t>HF2</t>
    </r>
  </si>
  <si>
    <r>
      <t>Compensation Pole Location (F</t>
    </r>
    <r>
      <rPr>
        <vertAlign val="subscript"/>
        <sz val="11"/>
        <color theme="1"/>
        <rFont val="ＭＳ Ｐゴシック"/>
        <family val="2"/>
        <scheme val="minor"/>
      </rPr>
      <t>Pcomp</t>
    </r>
    <r>
      <rPr>
        <sz val="11"/>
        <color theme="1"/>
        <rFont val="ＭＳ Ｐゴシック"/>
        <family val="2"/>
        <scheme val="minor"/>
      </rPr>
      <t>)</t>
    </r>
  </si>
  <si>
    <r>
      <t>Compensation Zero Location (F</t>
    </r>
    <r>
      <rPr>
        <vertAlign val="subscript"/>
        <sz val="11"/>
        <color theme="1"/>
        <rFont val="ＭＳ Ｐゴシック"/>
        <family val="2"/>
        <scheme val="minor"/>
      </rPr>
      <t>Zcomp</t>
    </r>
    <r>
      <rPr>
        <sz val="11"/>
        <color theme="1"/>
        <rFont val="ＭＳ Ｐゴシック"/>
        <family val="2"/>
        <scheme val="minor"/>
      </rPr>
      <t>)</t>
    </r>
  </si>
  <si>
    <t>V48_Min to V12_NOM</t>
  </si>
  <si>
    <t>V12_Min to V48_Nom</t>
  </si>
  <si>
    <t>V12_Nom to V48_Nom</t>
  </si>
  <si>
    <t>V12_Max to V48_Nom</t>
  </si>
  <si>
    <t>V48_Nom to V12_Max (Inductor AVG Current)</t>
  </si>
  <si>
    <t>V48_Nom to V12_Max (Current Sense Voltage)</t>
  </si>
  <si>
    <t>V48_Nom to V12_Min (Inductor AVG Current)</t>
  </si>
  <si>
    <t>V48_Nom to V12_Min (Current Sense Voltage)</t>
  </si>
  <si>
    <t>Duty Cycle</t>
  </si>
  <si>
    <t>DCM Boundary</t>
  </si>
  <si>
    <t>V48 Nom / V12 Min</t>
  </si>
  <si>
    <t>Current Loop</t>
  </si>
  <si>
    <t>Voltage Loop</t>
  </si>
  <si>
    <t>Feedforward Gain</t>
  </si>
  <si>
    <t>Current Sense Gain</t>
  </si>
  <si>
    <t>Constants</t>
  </si>
  <si>
    <t>ISETA to VO</t>
  </si>
  <si>
    <t>Boost Mode Voltage Loop Transfer Functions</t>
  </si>
  <si>
    <t>Voltage Loop Error Amp</t>
  </si>
  <si>
    <t>Current Loop Error Amp</t>
  </si>
  <si>
    <t>Total Loop</t>
  </si>
  <si>
    <t>Boost Mode Voltage Loop Compensation</t>
  </si>
  <si>
    <t>Boost Mode RHP Zero</t>
  </si>
  <si>
    <t xml:space="preserve">Something is </t>
  </si>
  <si>
    <t>Buck Mode Loop Compensation</t>
  </si>
  <si>
    <t>Boost Mode Low Frequency Pole</t>
  </si>
  <si>
    <t>Selected Boost Mode Crossover Frequnecy</t>
  </si>
  <si>
    <t>Suggest Boost Mode Crossover Frequnecy</t>
  </si>
  <si>
    <t>hZ</t>
  </si>
  <si>
    <t>Type II Compensation Design</t>
  </si>
  <si>
    <t>Simplified system based on assuming that the inductor is an ideal current source</t>
  </si>
  <si>
    <t>Output impedance at full load</t>
  </si>
  <si>
    <t>Boost Crossover Frequency</t>
  </si>
  <si>
    <t>Modulator Gain at Selected Crossover Frequency</t>
  </si>
  <si>
    <t>dB</t>
  </si>
  <si>
    <t>Load Resistance</t>
  </si>
  <si>
    <t>Buck Mode Low Frequency Pole</t>
  </si>
  <si>
    <t>Suggest that the cross over frequency be 1/5 of the RHP Zero</t>
  </si>
  <si>
    <t>Calculated Rcomp</t>
  </si>
  <si>
    <t>Suggested Zero Location</t>
  </si>
  <si>
    <t>Just set this a switching frequency</t>
  </si>
  <si>
    <t>HZ</t>
  </si>
  <si>
    <t>Suggested Pole Location</t>
  </si>
  <si>
    <t>Selected Top Feedback Resistor</t>
  </si>
  <si>
    <t>Selected Bottom Feedback Resistor</t>
  </si>
  <si>
    <t>Selected Rcomp Value</t>
  </si>
  <si>
    <t>Selected Ccomp Value</t>
  </si>
  <si>
    <t>Calculated Ccomp value</t>
  </si>
  <si>
    <t>Calculated Chf Value</t>
  </si>
  <si>
    <t>Selected CHF value</t>
  </si>
  <si>
    <t>F</t>
  </si>
  <si>
    <r>
      <t>Calculated C</t>
    </r>
    <r>
      <rPr>
        <vertAlign val="subscript"/>
        <sz val="11"/>
        <color theme="1"/>
        <rFont val="ＭＳ Ｐゴシック"/>
        <family val="2"/>
        <scheme val="minor"/>
      </rPr>
      <t>COMP Boost</t>
    </r>
  </si>
  <si>
    <r>
      <t>Selected R</t>
    </r>
    <r>
      <rPr>
        <vertAlign val="subscript"/>
        <sz val="11"/>
        <color theme="1"/>
        <rFont val="ＭＳ Ｐゴシック"/>
        <family val="2"/>
        <scheme val="minor"/>
      </rPr>
      <t>COMP Boost</t>
    </r>
  </si>
  <si>
    <r>
      <t>Calculated R</t>
    </r>
    <r>
      <rPr>
        <vertAlign val="subscript"/>
        <sz val="11"/>
        <color theme="1"/>
        <rFont val="ＭＳ Ｐゴシック"/>
        <family val="2"/>
        <scheme val="minor"/>
      </rPr>
      <t>COMP Boost</t>
    </r>
  </si>
  <si>
    <r>
      <t>Selected C</t>
    </r>
    <r>
      <rPr>
        <vertAlign val="subscript"/>
        <sz val="11"/>
        <color theme="1"/>
        <rFont val="ＭＳ Ｐゴシック"/>
        <family val="2"/>
        <scheme val="minor"/>
      </rPr>
      <t>COMP Boost</t>
    </r>
  </si>
  <si>
    <r>
      <t>Calculated C</t>
    </r>
    <r>
      <rPr>
        <vertAlign val="subscript"/>
        <sz val="11"/>
        <color theme="1"/>
        <rFont val="ＭＳ Ｐゴシック"/>
        <family val="2"/>
        <scheme val="minor"/>
      </rPr>
      <t>HF Boost</t>
    </r>
  </si>
  <si>
    <r>
      <t>Selected C</t>
    </r>
    <r>
      <rPr>
        <vertAlign val="subscript"/>
        <sz val="11"/>
        <color theme="1"/>
        <rFont val="ＭＳ Ｐゴシック"/>
        <family val="2"/>
        <scheme val="minor"/>
      </rPr>
      <t>HF Boost</t>
    </r>
  </si>
  <si>
    <t>Suggested Crossover Frequency</t>
  </si>
  <si>
    <t>Selected Reference Voltage</t>
  </si>
  <si>
    <t>Calculated Top Feedback Resistor</t>
  </si>
  <si>
    <t>Actual Zero Location</t>
  </si>
  <si>
    <t>Actual Pole Location</t>
  </si>
  <si>
    <t>Assuming that the current loop gain is large enough. Simple equation</t>
  </si>
  <si>
    <t>Buck Mode High Frequency Zero</t>
  </si>
  <si>
    <t>Suggest Buck Mode Crossover Frequnecy</t>
  </si>
  <si>
    <t>Selected Buck Mode Crossover Frequnecy</t>
  </si>
  <si>
    <t>ESR Zero Location</t>
  </si>
  <si>
    <t>Set the Cross over Frequency to 1/10 of the selected current loop crossover frequency</t>
  </si>
  <si>
    <t>Buck Crossover Frequency</t>
  </si>
  <si>
    <t>Current Loop Error Armp</t>
  </si>
  <si>
    <t>ISETA to VOUT Plant</t>
  </si>
  <si>
    <t>Compensator Zero</t>
  </si>
  <si>
    <t>Compensator Pole</t>
  </si>
  <si>
    <t>Plant Low Frequency Pole</t>
  </si>
  <si>
    <t>Compensation Zero</t>
  </si>
  <si>
    <t>Compensation Pole</t>
  </si>
  <si>
    <t xml:space="preserve">Low Frequency Pole </t>
  </si>
  <si>
    <t xml:space="preserve">RHP Zero </t>
  </si>
  <si>
    <r>
      <t>Selected C</t>
    </r>
    <r>
      <rPr>
        <vertAlign val="subscript"/>
        <sz val="11"/>
        <color theme="1"/>
        <rFont val="ＭＳ Ｐゴシック"/>
        <family val="2"/>
        <scheme val="minor"/>
      </rPr>
      <t>HF Buck</t>
    </r>
  </si>
  <si>
    <r>
      <t>Calculated C</t>
    </r>
    <r>
      <rPr>
        <vertAlign val="subscript"/>
        <sz val="11"/>
        <color theme="1"/>
        <rFont val="ＭＳ Ｐゴシック"/>
        <family val="2"/>
        <scheme val="minor"/>
      </rPr>
      <t>HF Buck</t>
    </r>
  </si>
  <si>
    <r>
      <t>Calculated R</t>
    </r>
    <r>
      <rPr>
        <vertAlign val="subscript"/>
        <sz val="11"/>
        <color theme="1"/>
        <rFont val="ＭＳ Ｐゴシック"/>
        <family val="2"/>
        <scheme val="minor"/>
      </rPr>
      <t>COMP Buck</t>
    </r>
  </si>
  <si>
    <r>
      <t>Selected R</t>
    </r>
    <r>
      <rPr>
        <vertAlign val="subscript"/>
        <sz val="11"/>
        <color theme="1"/>
        <rFont val="ＭＳ Ｐゴシック"/>
        <family val="2"/>
        <scheme val="minor"/>
      </rPr>
      <t>COMP Buck</t>
    </r>
  </si>
  <si>
    <r>
      <t>Calculated C</t>
    </r>
    <r>
      <rPr>
        <vertAlign val="subscript"/>
        <sz val="11"/>
        <color theme="1"/>
        <rFont val="ＭＳ Ｐゴシック"/>
        <family val="2"/>
        <scheme val="minor"/>
      </rPr>
      <t>COMP Buck</t>
    </r>
  </si>
  <si>
    <r>
      <t>Selected C</t>
    </r>
    <r>
      <rPr>
        <vertAlign val="subscript"/>
        <sz val="11"/>
        <color theme="1"/>
        <rFont val="ＭＳ Ｐゴシック"/>
        <family val="2"/>
        <scheme val="minor"/>
      </rPr>
      <t>COMP Buck</t>
    </r>
  </si>
  <si>
    <t>Buck Mode Type II Compensation</t>
  </si>
  <si>
    <t>11. Buck Mode Voltage Loop Compensation</t>
  </si>
  <si>
    <t>Boost Mode Type II Compensation</t>
  </si>
  <si>
    <t xml:space="preserve">                              LM5170 Bi-Directional DC/DC Converter Design Tool</t>
  </si>
  <si>
    <t>7. Undervoltage Protection</t>
  </si>
  <si>
    <r>
      <t>Calculated High-Side Resistor (R</t>
    </r>
    <r>
      <rPr>
        <vertAlign val="subscript"/>
        <sz val="11"/>
        <color theme="1"/>
        <rFont val="ＭＳ Ｐゴシック"/>
        <family val="2"/>
        <scheme val="minor"/>
      </rPr>
      <t>UVLO1</t>
    </r>
    <r>
      <rPr>
        <sz val="11"/>
        <color theme="1"/>
        <rFont val="ＭＳ Ｐゴシック"/>
        <family val="2"/>
        <scheme val="minor"/>
      </rPr>
      <t>)</t>
    </r>
  </si>
  <si>
    <r>
      <t>Calculated IOUT Resistor (R</t>
    </r>
    <r>
      <rPr>
        <vertAlign val="subscript"/>
        <sz val="11"/>
        <color theme="1"/>
        <rFont val="ＭＳ Ｐゴシック"/>
        <family val="2"/>
        <scheme val="minor"/>
      </rPr>
      <t>IOUT1</t>
    </r>
    <r>
      <rPr>
        <sz val="11"/>
        <color theme="1"/>
        <rFont val="ＭＳ Ｐゴシック"/>
        <family val="2"/>
        <scheme val="minor"/>
      </rPr>
      <t>, R</t>
    </r>
    <r>
      <rPr>
        <vertAlign val="subscript"/>
        <sz val="11"/>
        <color theme="1"/>
        <rFont val="ＭＳ Ｐゴシック"/>
        <family val="2"/>
        <scheme val="minor"/>
      </rPr>
      <t>IOUT2</t>
    </r>
    <r>
      <rPr>
        <sz val="11"/>
        <color theme="1"/>
        <rFont val="ＭＳ Ｐゴシック"/>
        <family val="2"/>
        <scheme val="minor"/>
      </rPr>
      <t>)</t>
    </r>
  </si>
  <si>
    <r>
      <t>Calculated Dead Time Resistor (R</t>
    </r>
    <r>
      <rPr>
        <vertAlign val="subscript"/>
        <sz val="11"/>
        <color theme="1"/>
        <rFont val="ＭＳ Ｐゴシック"/>
        <family val="2"/>
        <scheme val="minor"/>
      </rPr>
      <t>DT</t>
    </r>
    <r>
      <rPr>
        <sz val="11"/>
        <color theme="1"/>
        <rFont val="ＭＳ Ｐゴシック"/>
        <family val="2"/>
        <scheme val="minor"/>
      </rPr>
      <t>)</t>
    </r>
  </si>
  <si>
    <r>
      <t>Suggested Loop Crossover Frequency (F</t>
    </r>
    <r>
      <rPr>
        <vertAlign val="subscript"/>
        <sz val="11"/>
        <color theme="1"/>
        <rFont val="ＭＳ Ｐゴシック"/>
        <family val="2"/>
        <scheme val="minor"/>
      </rPr>
      <t>CO</t>
    </r>
    <r>
      <rPr>
        <sz val="11"/>
        <color theme="1"/>
        <rFont val="ＭＳ Ｐゴシック"/>
        <family val="2"/>
        <scheme val="minor"/>
      </rPr>
      <t>)</t>
    </r>
  </si>
  <si>
    <r>
      <t>Selected Loop Crossover Frequency (F</t>
    </r>
    <r>
      <rPr>
        <vertAlign val="subscript"/>
        <sz val="11"/>
        <color theme="1"/>
        <rFont val="ＭＳ Ｐゴシック"/>
        <family val="2"/>
        <scheme val="minor"/>
      </rPr>
      <t>CO</t>
    </r>
    <r>
      <rPr>
        <sz val="11"/>
        <color theme="1"/>
        <rFont val="ＭＳ Ｐゴシック"/>
        <family val="2"/>
        <scheme val="minor"/>
      </rPr>
      <t>)</t>
    </r>
  </si>
  <si>
    <t xml:space="preserve">1. Design Parameters </t>
  </si>
  <si>
    <r>
      <t>Oscillator Set Resistor (R</t>
    </r>
    <r>
      <rPr>
        <vertAlign val="subscript"/>
        <sz val="11"/>
        <color theme="1"/>
        <rFont val="ＭＳ Ｐゴシック"/>
        <family val="2"/>
        <scheme val="minor"/>
      </rPr>
      <t>OSC</t>
    </r>
    <r>
      <rPr>
        <sz val="11"/>
        <color theme="1"/>
        <rFont val="ＭＳ Ｐゴシック"/>
        <family val="2"/>
        <scheme val="minor"/>
      </rPr>
      <t>)</t>
    </r>
  </si>
  <si>
    <t>Peak-to-Peak Ripple Ratio</t>
  </si>
  <si>
    <t>Calculated Inductance Value</t>
  </si>
  <si>
    <r>
      <t>Selected Inductance Value (L</t>
    </r>
    <r>
      <rPr>
        <vertAlign val="subscript"/>
        <sz val="11"/>
        <color theme="1"/>
        <rFont val="ＭＳ Ｐゴシック"/>
        <family val="2"/>
        <scheme val="minor"/>
      </rPr>
      <t>M1</t>
    </r>
    <r>
      <rPr>
        <sz val="11"/>
        <color theme="1"/>
        <rFont val="ＭＳ Ｐゴシック"/>
        <family val="2"/>
        <scheme val="minor"/>
      </rPr>
      <t>,L</t>
    </r>
    <r>
      <rPr>
        <vertAlign val="subscript"/>
        <sz val="11"/>
        <color theme="1"/>
        <rFont val="ＭＳ Ｐゴシック"/>
        <family val="2"/>
        <scheme val="minor"/>
      </rPr>
      <t>M2</t>
    </r>
    <r>
      <rPr>
        <sz val="11"/>
        <color theme="1"/>
        <rFont val="ＭＳ Ｐゴシック"/>
        <family val="2"/>
        <scheme val="minor"/>
      </rPr>
      <t>)</t>
    </r>
  </si>
  <si>
    <t>Maximum Inductor Peak Current</t>
  </si>
  <si>
    <t>RAMP Peak Voltage at HV Port Minimum</t>
  </si>
  <si>
    <t>RAMP Peak Voltage at HV Port Nominal</t>
  </si>
  <si>
    <t>RAMP Peak Voltage at HV Port Maximum</t>
  </si>
  <si>
    <r>
      <t>Maximum V</t>
    </r>
    <r>
      <rPr>
        <vertAlign val="subscript"/>
        <sz val="11"/>
        <color theme="1"/>
        <rFont val="ＭＳ Ｐゴシック"/>
        <family val="2"/>
        <scheme val="minor"/>
      </rPr>
      <t>IOUT</t>
    </r>
    <r>
      <rPr>
        <sz val="11"/>
        <color theme="1"/>
        <rFont val="ＭＳ Ｐゴシック"/>
        <family val="2"/>
        <scheme val="minor"/>
      </rPr>
      <t xml:space="preserve"> at V</t>
    </r>
    <r>
      <rPr>
        <vertAlign val="subscript"/>
        <sz val="11"/>
        <color theme="1"/>
        <rFont val="ＭＳ Ｐゴシック"/>
        <family val="2"/>
        <scheme val="minor"/>
      </rPr>
      <t>RCS</t>
    </r>
    <r>
      <rPr>
        <sz val="11"/>
        <color theme="1"/>
        <rFont val="ＭＳ Ｐゴシック"/>
        <family val="2"/>
        <scheme val="minor"/>
      </rPr>
      <t xml:space="preserve"> = 50mV</t>
    </r>
  </si>
  <si>
    <r>
      <t>V</t>
    </r>
    <r>
      <rPr>
        <vertAlign val="subscript"/>
        <sz val="11"/>
        <color theme="1"/>
        <rFont val="ＭＳ Ｐゴシック"/>
        <family val="2"/>
        <scheme val="minor"/>
      </rPr>
      <t>IOUT</t>
    </r>
    <r>
      <rPr>
        <sz val="11"/>
        <color theme="1"/>
        <rFont val="ＭＳ Ｐゴシック"/>
        <family val="2"/>
        <scheme val="minor"/>
      </rPr>
      <t xml:space="preserve"> at No Load (V</t>
    </r>
    <r>
      <rPr>
        <vertAlign val="subscript"/>
        <sz val="11"/>
        <color theme="1"/>
        <rFont val="ＭＳ Ｐゴシック"/>
        <family val="2"/>
        <scheme val="minor"/>
      </rPr>
      <t>RCS</t>
    </r>
    <r>
      <rPr>
        <sz val="11"/>
        <color theme="1"/>
        <rFont val="ＭＳ Ｐゴシック"/>
        <family val="2"/>
        <scheme val="minor"/>
      </rPr>
      <t xml:space="preserve"> = 0mV)</t>
    </r>
  </si>
  <si>
    <r>
      <t>V</t>
    </r>
    <r>
      <rPr>
        <vertAlign val="subscript"/>
        <sz val="11"/>
        <color theme="1"/>
        <rFont val="ＭＳ Ｐゴシック"/>
        <family val="2"/>
        <scheme val="minor"/>
      </rPr>
      <t>IOUT</t>
    </r>
    <r>
      <rPr>
        <sz val="11"/>
        <color theme="1"/>
        <rFont val="ＭＳ Ｐゴシック"/>
        <family val="2"/>
        <scheme val="minor"/>
      </rPr>
      <t xml:space="preserve"> at Full Load (V</t>
    </r>
    <r>
      <rPr>
        <vertAlign val="subscript"/>
        <sz val="11"/>
        <color theme="1"/>
        <rFont val="ＭＳ Ｐゴシック"/>
        <family val="2"/>
        <scheme val="minor"/>
      </rPr>
      <t>RCS</t>
    </r>
    <r>
      <rPr>
        <sz val="11"/>
        <color theme="1"/>
        <rFont val="ＭＳ Ｐゴシック"/>
        <family val="2"/>
        <scheme val="minor"/>
      </rPr>
      <t xml:space="preserve"> = 50mV)</t>
    </r>
  </si>
  <si>
    <r>
      <t>Delta V</t>
    </r>
    <r>
      <rPr>
        <vertAlign val="subscript"/>
        <sz val="11"/>
        <color theme="1"/>
        <rFont val="ＭＳ Ｐゴシック"/>
        <family val="2"/>
        <scheme val="minor"/>
      </rPr>
      <t xml:space="preserve">IOUT </t>
    </r>
    <r>
      <rPr>
        <sz val="11"/>
        <color theme="1"/>
        <rFont val="ＭＳ Ｐゴシック"/>
        <family val="2"/>
        <scheme val="minor"/>
      </rPr>
      <t>at Full Load</t>
    </r>
  </si>
  <si>
    <r>
      <t>R</t>
    </r>
    <r>
      <rPr>
        <vertAlign val="subscript"/>
        <sz val="11"/>
        <color theme="1"/>
        <rFont val="ＭＳ Ｐゴシック"/>
        <family val="2"/>
        <scheme val="minor"/>
      </rPr>
      <t>IOUT</t>
    </r>
    <r>
      <rPr>
        <sz val="11"/>
        <color theme="1"/>
        <rFont val="ＭＳ Ｐゴシック"/>
        <family val="2"/>
        <scheme val="minor"/>
      </rPr>
      <t xml:space="preserve"> C</t>
    </r>
    <r>
      <rPr>
        <vertAlign val="subscript"/>
        <sz val="11"/>
        <color theme="1"/>
        <rFont val="ＭＳ Ｐゴシック"/>
        <family val="2"/>
        <scheme val="minor"/>
      </rPr>
      <t>IOUT</t>
    </r>
    <r>
      <rPr>
        <sz val="11"/>
        <color theme="1"/>
        <rFont val="ＭＳ Ｐゴシック"/>
        <family val="2"/>
        <scheme val="minor"/>
      </rPr>
      <t xml:space="preserve"> Corner Frequency</t>
    </r>
  </si>
  <si>
    <t>12. Boost Mode Voltage Loop Compensation</t>
  </si>
  <si>
    <r>
      <t>Selected Reference Voltage (V</t>
    </r>
    <r>
      <rPr>
        <vertAlign val="subscript"/>
        <sz val="11"/>
        <color theme="1"/>
        <rFont val="ＭＳ Ｐゴシック"/>
        <family val="2"/>
        <scheme val="minor"/>
      </rPr>
      <t>REF</t>
    </r>
    <r>
      <rPr>
        <sz val="11"/>
        <color theme="1"/>
        <rFont val="ＭＳ Ｐゴシック"/>
        <family val="2"/>
        <scheme val="minor"/>
      </rPr>
      <t>)</t>
    </r>
  </si>
  <si>
    <r>
      <t>Selected Bottom Feedback Resistor(R</t>
    </r>
    <r>
      <rPr>
        <vertAlign val="subscript"/>
        <sz val="11"/>
        <color theme="1"/>
        <rFont val="ＭＳ Ｐゴシック"/>
        <family val="2"/>
        <scheme val="minor"/>
      </rPr>
      <t>FB_Bottom</t>
    </r>
    <r>
      <rPr>
        <sz val="11"/>
        <color theme="1"/>
        <rFont val="ＭＳ Ｐゴシック"/>
        <family val="2"/>
        <scheme val="minor"/>
      </rPr>
      <t>)</t>
    </r>
  </si>
  <si>
    <r>
      <t>Selected Resistor Top Feedback Resistor (R</t>
    </r>
    <r>
      <rPr>
        <vertAlign val="subscript"/>
        <sz val="11"/>
        <color theme="1"/>
        <rFont val="ＭＳ Ｐゴシック"/>
        <family val="2"/>
        <scheme val="minor"/>
      </rPr>
      <t>FB_Top</t>
    </r>
    <r>
      <rPr>
        <sz val="11"/>
        <color theme="1"/>
        <rFont val="ＭＳ Ｐゴシック"/>
        <family val="2"/>
        <scheme val="minor"/>
      </rPr>
      <t>)</t>
    </r>
  </si>
  <si>
    <r>
      <t>Suggested Top Feedback Resistor (R</t>
    </r>
    <r>
      <rPr>
        <vertAlign val="subscript"/>
        <sz val="11"/>
        <color theme="1"/>
        <rFont val="ＭＳ Ｐゴシック"/>
        <family val="2"/>
        <scheme val="minor"/>
      </rPr>
      <t>FB_Top</t>
    </r>
    <r>
      <rPr>
        <sz val="11"/>
        <color theme="1"/>
        <rFont val="ＭＳ Ｐゴシック"/>
        <family val="2"/>
        <scheme val="minor"/>
      </rPr>
      <t>)</t>
    </r>
  </si>
  <si>
    <r>
      <rPr>
        <b/>
        <sz val="11"/>
        <color theme="1"/>
        <rFont val="ＭＳ Ｐゴシック"/>
        <family val="2"/>
        <scheme val="minor"/>
      </rPr>
      <t>Modified</t>
    </r>
    <r>
      <rPr>
        <sz val="11"/>
        <color theme="1"/>
        <rFont val="ＭＳ Ｐゴシック"/>
        <family val="2"/>
        <scheme val="minor"/>
      </rPr>
      <t xml:space="preserve"> to Vramp=V48/9.6</t>
    </r>
  </si>
  <si>
    <t>Version Number</t>
  </si>
  <si>
    <t>1.0.0</t>
  </si>
  <si>
    <t>Version History</t>
  </si>
  <si>
    <t>Version</t>
  </si>
  <si>
    <t>Change List Description</t>
  </si>
  <si>
    <t>Initial Release</t>
  </si>
  <si>
    <t>1.1.0</t>
  </si>
  <si>
    <r>
      <t>Recommended ramp resistor changed; slight change of R</t>
    </r>
    <r>
      <rPr>
        <vertAlign val="subscript"/>
        <sz val="10"/>
        <color theme="1"/>
        <rFont val="Arial"/>
        <family val="2"/>
      </rPr>
      <t>OVPA</t>
    </r>
    <r>
      <rPr>
        <sz val="10"/>
        <color theme="1"/>
        <rFont val="Arial"/>
        <family val="2"/>
      </rPr>
      <t xml:space="preserve"> and R</t>
    </r>
    <r>
      <rPr>
        <vertAlign val="subscript"/>
        <sz val="10"/>
        <color theme="1"/>
        <rFont val="Arial"/>
        <family val="2"/>
      </rPr>
      <t>OVPB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</si>
</sst>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000"/>
    <numFmt numFmtId="178" formatCode="0.000000"/>
    <numFmt numFmtId="179" formatCode="0.0000"/>
    <numFmt numFmtId="180" formatCode="0.00000"/>
  </numFmts>
  <fonts count="36" x14ac:knownFonts="1">
    <font>
      <sz val="11"/>
      <color theme="1"/>
      <name val="ＭＳ Ｐゴシック"/>
      <family val="2"/>
      <scheme val="minor"/>
    </font>
    <font>
      <sz val="11"/>
      <color theme="1"/>
      <name val="Calibri"/>
      <family val="2"/>
    </font>
    <font>
      <sz val="9"/>
      <color indexed="81"/>
      <name val="Tahoma"/>
      <family val="2"/>
    </font>
    <font>
      <b/>
      <sz val="9"/>
      <color indexed="81"/>
      <name val="Tahoma"/>
      <family val="2"/>
    </font>
    <font>
      <sz val="24"/>
      <color theme="1"/>
      <name val="ＭＳ Ｐゴシック"/>
      <family val="2"/>
      <scheme val="minor"/>
    </font>
    <font>
      <b/>
      <sz val="14"/>
      <color theme="1"/>
      <name val="ＭＳ Ｐゴシック"/>
      <family val="2"/>
      <scheme val="minor"/>
    </font>
    <font>
      <u/>
      <sz val="11"/>
      <color theme="1"/>
      <name val="ＭＳ Ｐゴシック"/>
      <family val="2"/>
      <scheme val="minor"/>
    </font>
    <font>
      <b/>
      <sz val="11"/>
      <color theme="1"/>
      <name val="ＭＳ Ｐゴシック"/>
      <family val="2"/>
      <scheme val="minor"/>
    </font>
    <font>
      <sz val="11"/>
      <color theme="0"/>
      <name val="ＭＳ Ｐゴシック"/>
      <family val="2"/>
      <scheme val="minor"/>
    </font>
    <font>
      <sz val="16"/>
      <color theme="1"/>
      <name val="ＭＳ Ｐゴシック"/>
      <family val="2"/>
      <scheme val="minor"/>
    </font>
    <font>
      <sz val="28"/>
      <color theme="0"/>
      <name val="ＭＳ Ｐゴシック"/>
      <family val="2"/>
      <scheme val="minor"/>
    </font>
    <font>
      <b/>
      <sz val="14"/>
      <color rgb="FF0070C0"/>
      <name val="ＭＳ Ｐゴシック"/>
      <family val="2"/>
      <scheme val="minor"/>
    </font>
    <font>
      <vertAlign val="subscript"/>
      <sz val="11"/>
      <color theme="1"/>
      <name val="ＭＳ Ｐゴシック"/>
      <family val="2"/>
      <scheme val="minor"/>
    </font>
    <font>
      <b/>
      <sz val="16"/>
      <color theme="1"/>
      <name val="ＭＳ Ｐゴシック"/>
      <family val="2"/>
      <scheme val="minor"/>
    </font>
    <font>
      <b/>
      <vertAlign val="subscript"/>
      <sz val="9"/>
      <color indexed="81"/>
      <name val="Tahoma"/>
      <family val="2"/>
    </font>
    <font>
      <vertAlign val="subscript"/>
      <sz val="9"/>
      <color indexed="81"/>
      <name val="Tahoma"/>
      <family val="2"/>
    </font>
    <font>
      <u/>
      <sz val="9"/>
      <color indexed="81"/>
      <name val="Tahoma"/>
      <family val="2"/>
    </font>
    <font>
      <sz val="11"/>
      <color theme="1"/>
      <name val="ＭＳ Ｐゴシック"/>
      <family val="2"/>
      <scheme val="minor"/>
    </font>
    <font>
      <sz val="11"/>
      <color theme="1"/>
      <name val="Arial"/>
      <family val="2"/>
    </font>
    <font>
      <b/>
      <sz val="10"/>
      <color theme="1"/>
      <name val="Arial"/>
      <family val="2"/>
    </font>
    <font>
      <sz val="10"/>
      <color theme="1"/>
      <name val="Arial"/>
      <family val="2"/>
    </font>
    <font>
      <u/>
      <sz val="11"/>
      <color theme="10"/>
      <name val="ＭＳ Ｐゴシック"/>
      <family val="2"/>
      <scheme val="minor"/>
    </font>
    <font>
      <b/>
      <u/>
      <sz val="10"/>
      <color theme="10"/>
      <name val="Arial"/>
      <family val="2"/>
    </font>
    <font>
      <sz val="10"/>
      <name val="Arial"/>
      <family val="2"/>
    </font>
    <font>
      <b/>
      <sz val="10"/>
      <color theme="0"/>
      <name val="Arial"/>
      <family val="2"/>
    </font>
    <font>
      <b/>
      <u/>
      <sz val="11"/>
      <color theme="10"/>
      <name val="Arial"/>
      <family val="2"/>
    </font>
    <font>
      <vertAlign val="subscript"/>
      <sz val="10"/>
      <color theme="1"/>
      <name val="Arial"/>
      <family val="2"/>
    </font>
    <font>
      <b/>
      <sz val="9"/>
      <color rgb="FF000000"/>
      <name val="Tahoma"/>
      <family val="2"/>
    </font>
    <font>
      <sz val="9"/>
      <color rgb="FF000000"/>
      <name val="Tahoma"/>
      <family val="2"/>
    </font>
    <font>
      <b/>
      <u/>
      <sz val="9"/>
      <color rgb="FF000000"/>
      <name val="Tahoma"/>
      <family val="2"/>
    </font>
    <font>
      <sz val="6"/>
      <name val="ＭＳ Ｐゴシック"/>
      <family val="3"/>
      <charset val="128"/>
      <scheme val="minor"/>
    </font>
    <font>
      <b/>
      <vertAlign val="subscript"/>
      <sz val="9"/>
      <color rgb="FF000000"/>
      <name val="Tahoma"/>
      <family val="2"/>
    </font>
    <font>
      <vertAlign val="subscript"/>
      <sz val="9"/>
      <color rgb="FF000000"/>
      <name val="Tahoma"/>
      <family val="2"/>
    </font>
    <font>
      <u/>
      <sz val="9"/>
      <color rgb="FF000000"/>
      <name val="Tahoma"/>
      <family val="2"/>
    </font>
    <font>
      <u/>
      <sz val="9"/>
      <color rgb="FF000000"/>
      <name val="Calibri"/>
      <family val="2"/>
    </font>
    <font>
      <sz val="9"/>
      <color rgb="FF000000"/>
      <name val="Calibri"/>
      <family val="2"/>
    </font>
  </fonts>
  <fills count="13">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
      <patternFill patternType="solid">
        <fgColor rgb="FFDE0000"/>
        <bgColor indexed="64"/>
      </patternFill>
    </fill>
    <fill>
      <patternFill patternType="solid">
        <fgColor theme="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thin">
        <color theme="0"/>
      </left>
      <right style="thin">
        <color theme="0"/>
      </right>
      <top style="thin">
        <color theme="0"/>
      </top>
      <bottom style="thin">
        <color theme="0"/>
      </bottom>
      <diagonal/>
    </border>
  </borders>
  <cellStyleXfs count="4">
    <xf numFmtId="0" fontId="0" fillId="0" borderId="0"/>
    <xf numFmtId="0" fontId="17" fillId="0" borderId="0"/>
    <xf numFmtId="0" fontId="21" fillId="0" borderId="0" applyNumberFormat="0" applyFill="0" applyBorder="0" applyAlignment="0" applyProtection="0"/>
    <xf numFmtId="0" fontId="21" fillId="0" borderId="0" applyNumberFormat="0" applyFill="0" applyBorder="0" applyAlignment="0" applyProtection="0"/>
  </cellStyleXfs>
  <cellXfs count="222">
    <xf numFmtId="0" fontId="0" fillId="0" borderId="0" xfId="0"/>
    <xf numFmtId="0" fontId="0" fillId="0" borderId="1" xfId="0" applyBorder="1"/>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xf numFmtId="0" fontId="0" fillId="0" borderId="9"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1" xfId="0" applyBorder="1"/>
    <xf numFmtId="0" fontId="0" fillId="0" borderId="22" xfId="0" applyBorder="1"/>
    <xf numFmtId="0" fontId="0" fillId="0" borderId="23" xfId="0" applyBorder="1"/>
    <xf numFmtId="0" fontId="0" fillId="0" borderId="24" xfId="0" applyBorder="1" applyAlignment="1">
      <alignment horizontal="center" wrapText="1"/>
    </xf>
    <xf numFmtId="0" fontId="0" fillId="0" borderId="25" xfId="0" applyBorder="1" applyAlignment="1">
      <alignment horizontal="center" wrapText="1"/>
    </xf>
    <xf numFmtId="0" fontId="0" fillId="0" borderId="26" xfId="0" applyBorder="1" applyAlignment="1">
      <alignment horizontal="center" wrapText="1"/>
    </xf>
    <xf numFmtId="0" fontId="0" fillId="0" borderId="0" xfId="0" applyAlignment="1">
      <alignment wrapText="1"/>
    </xf>
    <xf numFmtId="0" fontId="0" fillId="0" borderId="0" xfId="0" applyAlignment="1">
      <alignment horizontal="center" vertical="center" wrapText="1"/>
    </xf>
    <xf numFmtId="0" fontId="0" fillId="0" borderId="28"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177" fontId="0" fillId="0" borderId="8" xfId="0" applyNumberFormat="1" applyBorder="1"/>
    <xf numFmtId="0" fontId="0" fillId="0" borderId="6" xfId="0" applyBorder="1"/>
    <xf numFmtId="0" fontId="0" fillId="0" borderId="29" xfId="0" applyBorder="1"/>
    <xf numFmtId="0" fontId="4" fillId="0" borderId="0" xfId="0" applyFont="1"/>
    <xf numFmtId="0" fontId="4" fillId="0" borderId="0" xfId="0" applyFont="1" applyAlignment="1">
      <alignment horizontal="left" vertical="center"/>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right"/>
    </xf>
    <xf numFmtId="0" fontId="0" fillId="0" borderId="0" xfId="0" applyAlignment="1">
      <alignment horizontal="left"/>
    </xf>
    <xf numFmtId="0" fontId="0" fillId="0" borderId="0" xfId="0" applyAlignment="1">
      <alignment horizontal="left" vertical="center" wrapText="1"/>
    </xf>
    <xf numFmtId="0" fontId="0" fillId="5" borderId="0" xfId="0" applyFill="1"/>
    <xf numFmtId="0" fontId="0" fillId="6" borderId="0" xfId="0" applyFill="1"/>
    <xf numFmtId="0" fontId="0" fillId="2" borderId="0" xfId="0" applyFill="1"/>
    <xf numFmtId="0" fontId="0" fillId="7" borderId="0" xfId="0" applyFill="1"/>
    <xf numFmtId="0" fontId="0" fillId="0" borderId="0" xfId="0" applyAlignment="1">
      <alignment horizontal="center"/>
    </xf>
    <xf numFmtId="0" fontId="0" fillId="0" borderId="27" xfId="0" applyBorder="1" applyAlignment="1">
      <alignment horizontal="center"/>
    </xf>
    <xf numFmtId="0" fontId="0" fillId="0" borderId="9" xfId="0" applyBorder="1" applyAlignment="1">
      <alignment horizontal="left"/>
    </xf>
    <xf numFmtId="0" fontId="1" fillId="0" borderId="0" xfId="0" applyFont="1"/>
    <xf numFmtId="0" fontId="0" fillId="0" borderId="28" xfId="0" applyBorder="1" applyAlignment="1">
      <alignment horizontal="center"/>
    </xf>
    <xf numFmtId="0" fontId="0" fillId="0" borderId="31" xfId="0" applyBorder="1" applyAlignment="1">
      <alignment horizontal="center"/>
    </xf>
    <xf numFmtId="0" fontId="0" fillId="0" borderId="20" xfId="0" applyBorder="1" applyAlignment="1">
      <alignment horizontal="center"/>
    </xf>
    <xf numFmtId="0" fontId="0" fillId="0" borderId="2" xfId="0" applyBorder="1" applyAlignment="1">
      <alignment horizontal="center"/>
    </xf>
    <xf numFmtId="0" fontId="0" fillId="0" borderId="0" xfId="0" applyAlignment="1">
      <alignment horizontal="left" wrapText="1"/>
    </xf>
    <xf numFmtId="0" fontId="0" fillId="5" borderId="1" xfId="0" applyFill="1" applyBorder="1" applyAlignment="1">
      <alignment horizontal="right"/>
    </xf>
    <xf numFmtId="0" fontId="0" fillId="6" borderId="1" xfId="0" applyFill="1" applyBorder="1" applyAlignment="1">
      <alignment horizontal="right"/>
    </xf>
    <xf numFmtId="48" fontId="0" fillId="2" borderId="1" xfId="0" applyNumberFormat="1" applyFill="1" applyBorder="1" applyAlignment="1">
      <alignment horizontal="right"/>
    </xf>
    <xf numFmtId="0" fontId="0" fillId="7" borderId="1" xfId="0" applyFill="1" applyBorder="1" applyAlignment="1">
      <alignment horizontal="right"/>
    </xf>
    <xf numFmtId="0" fontId="0" fillId="0" borderId="1" xfId="0" applyBorder="1" applyAlignment="1">
      <alignment horizontal="right"/>
    </xf>
    <xf numFmtId="2" fontId="0" fillId="6" borderId="1" xfId="0" applyNumberFormat="1" applyFill="1" applyBorder="1" applyAlignment="1">
      <alignment horizontal="right"/>
    </xf>
    <xf numFmtId="176" fontId="0" fillId="5" borderId="1" xfId="0" applyNumberFormat="1" applyFill="1" applyBorder="1" applyAlignment="1">
      <alignment horizontal="right"/>
    </xf>
    <xf numFmtId="176" fontId="0" fillId="6" borderId="1" xfId="0" applyNumberFormat="1" applyFill="1" applyBorder="1" applyAlignment="1">
      <alignment horizontal="right"/>
    </xf>
    <xf numFmtId="177" fontId="0" fillId="6" borderId="1" xfId="0" applyNumberFormat="1" applyFill="1" applyBorder="1" applyAlignment="1">
      <alignment horizontal="right"/>
    </xf>
    <xf numFmtId="178" fontId="0" fillId="6" borderId="1" xfId="0" applyNumberFormat="1" applyFill="1" applyBorder="1" applyAlignment="1">
      <alignment horizontal="right"/>
    </xf>
    <xf numFmtId="2" fontId="0" fillId="5" borderId="1" xfId="0" applyNumberFormat="1" applyFill="1" applyBorder="1" applyAlignment="1">
      <alignment horizontal="right"/>
    </xf>
    <xf numFmtId="2" fontId="0" fillId="0" borderId="1" xfId="0" applyNumberFormat="1" applyBorder="1" applyAlignment="1">
      <alignment horizontal="right"/>
    </xf>
    <xf numFmtId="179" fontId="0" fillId="6" borderId="1" xfId="0" applyNumberFormat="1" applyFill="1" applyBorder="1" applyAlignment="1">
      <alignment horizontal="right"/>
    </xf>
    <xf numFmtId="177" fontId="0" fillId="0" borderId="0" xfId="0" applyNumberFormat="1" applyAlignment="1">
      <alignment horizontal="right"/>
    </xf>
    <xf numFmtId="177" fontId="0" fillId="0" borderId="1" xfId="0" applyNumberFormat="1" applyBorder="1" applyAlignment="1">
      <alignment horizontal="right"/>
    </xf>
    <xf numFmtId="0" fontId="0" fillId="5" borderId="0" xfId="0" applyFill="1" applyAlignment="1">
      <alignment horizontal="right"/>
    </xf>
    <xf numFmtId="0" fontId="6" fillId="0" borderId="0" xfId="0" applyFont="1" applyAlignment="1">
      <alignment horizontal="left"/>
    </xf>
    <xf numFmtId="0" fontId="0" fillId="0" borderId="0" xfId="0" applyAlignment="1">
      <alignment horizontal="left" vertical="center"/>
    </xf>
    <xf numFmtId="0" fontId="1" fillId="0" borderId="1" xfId="0" applyFont="1" applyBorder="1" applyAlignment="1">
      <alignment horizontal="left"/>
    </xf>
    <xf numFmtId="0" fontId="1" fillId="0" borderId="32" xfId="0" applyFont="1" applyBorder="1" applyAlignment="1">
      <alignment horizontal="left"/>
    </xf>
    <xf numFmtId="0" fontId="0" fillId="0" borderId="1" xfId="0" applyBorder="1" applyAlignment="1">
      <alignment horizontal="left" vertical="center" wrapText="1"/>
    </xf>
    <xf numFmtId="2" fontId="0" fillId="0" borderId="1" xfId="0" applyNumberFormat="1" applyBorder="1" applyAlignment="1">
      <alignment horizontal="righ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180" fontId="0" fillId="0" borderId="1" xfId="0" applyNumberFormat="1" applyBorder="1"/>
    <xf numFmtId="0" fontId="7" fillId="0" borderId="0" xfId="0" applyFont="1" applyAlignment="1">
      <alignment horizontal="left"/>
    </xf>
    <xf numFmtId="0" fontId="0" fillId="0" borderId="13" xfId="0" applyBorder="1" applyAlignment="1">
      <alignment horizontal="left"/>
    </xf>
    <xf numFmtId="176" fontId="0" fillId="6" borderId="14" xfId="0" applyNumberFormat="1" applyFill="1" applyBorder="1" applyAlignment="1">
      <alignment horizontal="right"/>
    </xf>
    <xf numFmtId="0" fontId="0" fillId="0" borderId="15" xfId="0"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0" fillId="0" borderId="12" xfId="0" applyBorder="1" applyAlignment="1">
      <alignment horizontal="left"/>
    </xf>
    <xf numFmtId="0" fontId="0" fillId="4" borderId="4" xfId="0" applyFill="1" applyBorder="1"/>
    <xf numFmtId="0" fontId="0" fillId="9" borderId="0" xfId="0" applyFill="1"/>
    <xf numFmtId="177" fontId="0" fillId="0" borderId="1" xfId="0" applyNumberFormat="1" applyBorder="1"/>
    <xf numFmtId="0" fontId="0" fillId="0" borderId="28"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xf numFmtId="0" fontId="0" fillId="0" borderId="12" xfId="0" applyBorder="1"/>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1" xfId="0" applyFill="1" applyBorder="1"/>
    <xf numFmtId="177" fontId="0" fillId="5" borderId="1" xfId="0" applyNumberFormat="1" applyFill="1" applyBorder="1"/>
    <xf numFmtId="0" fontId="0" fillId="5" borderId="11" xfId="0" applyFill="1" applyBorder="1"/>
    <xf numFmtId="0" fontId="0" fillId="5" borderId="12" xfId="0" applyFill="1" applyBorder="1"/>
    <xf numFmtId="0" fontId="0" fillId="5" borderId="8" xfId="0" applyFill="1" applyBorder="1"/>
    <xf numFmtId="0" fontId="0" fillId="5" borderId="10" xfId="0" applyFill="1" applyBorder="1"/>
    <xf numFmtId="0" fontId="0" fillId="0" borderId="38" xfId="0" applyBorder="1"/>
    <xf numFmtId="0" fontId="0" fillId="0" borderId="33" xfId="0" applyBorder="1"/>
    <xf numFmtId="177" fontId="0" fillId="0" borderId="39" xfId="0" applyNumberFormat="1" applyBorder="1"/>
    <xf numFmtId="0" fontId="0" fillId="0" borderId="40" xfId="0" applyBorder="1"/>
    <xf numFmtId="0" fontId="0" fillId="0" borderId="39" xfId="0" applyBorder="1"/>
    <xf numFmtId="176" fontId="0" fillId="0" borderId="1" xfId="0" applyNumberFormat="1" applyBorder="1" applyAlignment="1">
      <alignment horizontal="right"/>
    </xf>
    <xf numFmtId="177" fontId="0" fillId="0" borderId="1" xfId="0" applyNumberFormat="1" applyBorder="1" applyAlignment="1">
      <alignment horizontal="left"/>
    </xf>
    <xf numFmtId="177" fontId="0" fillId="5" borderId="1" xfId="0" applyNumberFormat="1" applyFill="1" applyBorder="1" applyAlignment="1">
      <alignment horizontal="right"/>
    </xf>
    <xf numFmtId="0" fontId="0" fillId="5" borderId="13" xfId="0" applyFill="1" applyBorder="1"/>
    <xf numFmtId="0" fontId="0" fillId="5" borderId="14" xfId="0" applyFill="1" applyBorder="1"/>
    <xf numFmtId="177" fontId="0" fillId="5" borderId="14" xfId="0" applyNumberFormat="1" applyFill="1" applyBorder="1"/>
    <xf numFmtId="177" fontId="0" fillId="5" borderId="11" xfId="0" applyNumberFormat="1" applyFill="1" applyBorder="1"/>
    <xf numFmtId="0" fontId="0" fillId="5" borderId="15" xfId="0" applyFill="1" applyBorder="1"/>
    <xf numFmtId="0" fontId="0" fillId="5" borderId="9" xfId="0" applyFill="1" applyBorder="1"/>
    <xf numFmtId="2" fontId="0" fillId="0" borderId="0" xfId="0" applyNumberFormat="1"/>
    <xf numFmtId="177" fontId="0" fillId="0" borderId="38" xfId="0" applyNumberFormat="1" applyBorder="1"/>
    <xf numFmtId="2" fontId="0" fillId="0" borderId="6" xfId="0" applyNumberFormat="1" applyBorder="1"/>
    <xf numFmtId="0" fontId="0" fillId="10" borderId="6" xfId="0" applyFill="1" applyBorder="1" applyAlignment="1" applyProtection="1">
      <alignment horizontal="right"/>
      <protection hidden="1"/>
    </xf>
    <xf numFmtId="0" fontId="0" fillId="10" borderId="0" xfId="0" applyFill="1" applyProtection="1">
      <protection hidden="1"/>
    </xf>
    <xf numFmtId="0" fontId="0" fillId="10" borderId="0" xfId="0" applyFill="1" applyAlignment="1" applyProtection="1">
      <alignment vertical="center"/>
      <protection hidden="1"/>
    </xf>
    <xf numFmtId="0" fontId="0" fillId="10" borderId="36" xfId="0" applyFill="1" applyBorder="1" applyAlignment="1" applyProtection="1">
      <alignment vertical="center"/>
      <protection hidden="1"/>
    </xf>
    <xf numFmtId="0" fontId="0" fillId="10" borderId="6" xfId="0" applyFill="1" applyBorder="1" applyAlignment="1" applyProtection="1">
      <alignment horizontal="left"/>
      <protection hidden="1"/>
    </xf>
    <xf numFmtId="0" fontId="0" fillId="9" borderId="35" xfId="0" applyFill="1" applyBorder="1" applyProtection="1">
      <protection hidden="1"/>
    </xf>
    <xf numFmtId="0" fontId="8" fillId="10" borderId="0" xfId="0" applyFont="1" applyFill="1" applyProtection="1">
      <protection hidden="1"/>
    </xf>
    <xf numFmtId="0" fontId="8" fillId="10" borderId="0" xfId="0" applyFont="1" applyFill="1" applyAlignment="1" applyProtection="1">
      <alignment vertical="center"/>
      <protection hidden="1"/>
    </xf>
    <xf numFmtId="0" fontId="0" fillId="10" borderId="29" xfId="0" applyFill="1" applyBorder="1" applyAlignment="1" applyProtection="1">
      <alignment horizontal="right"/>
      <protection hidden="1"/>
    </xf>
    <xf numFmtId="0" fontId="0" fillId="10" borderId="27" xfId="0" applyFill="1" applyBorder="1" applyProtection="1">
      <protection hidden="1"/>
    </xf>
    <xf numFmtId="0" fontId="0" fillId="10" borderId="27" xfId="0" applyFill="1" applyBorder="1" applyAlignment="1" applyProtection="1">
      <alignment vertical="center"/>
      <protection hidden="1"/>
    </xf>
    <xf numFmtId="0" fontId="0" fillId="10" borderId="41" xfId="0" applyFill="1" applyBorder="1" applyAlignment="1" applyProtection="1">
      <alignment vertical="center"/>
      <protection hidden="1"/>
    </xf>
    <xf numFmtId="0" fontId="0" fillId="8" borderId="0" xfId="0" applyFill="1" applyAlignment="1" applyProtection="1">
      <alignment horizontal="right"/>
      <protection hidden="1"/>
    </xf>
    <xf numFmtId="0" fontId="0" fillId="8" borderId="0" xfId="0" applyFill="1" applyProtection="1">
      <protection hidden="1"/>
    </xf>
    <xf numFmtId="0" fontId="0" fillId="8" borderId="0" xfId="0" applyFill="1" applyAlignment="1" applyProtection="1">
      <alignment vertical="center"/>
      <protection hidden="1"/>
    </xf>
    <xf numFmtId="0" fontId="0" fillId="8" borderId="36" xfId="0" applyFill="1" applyBorder="1" applyAlignment="1" applyProtection="1">
      <alignment vertical="center"/>
      <protection hidden="1"/>
    </xf>
    <xf numFmtId="0" fontId="11" fillId="8" borderId="0" xfId="0" applyFont="1" applyFill="1" applyAlignment="1" applyProtection="1">
      <alignment horizontal="left"/>
      <protection hidden="1"/>
    </xf>
    <xf numFmtId="0" fontId="9" fillId="8" borderId="0" xfId="0" applyFont="1" applyFill="1" applyAlignment="1" applyProtection="1">
      <alignment horizontal="center" vertical="center"/>
      <protection hidden="1"/>
    </xf>
    <xf numFmtId="0" fontId="0" fillId="8" borderId="6" xfId="0" applyFill="1" applyBorder="1" applyAlignment="1" applyProtection="1">
      <alignment horizontal="right"/>
      <protection hidden="1"/>
    </xf>
    <xf numFmtId="0" fontId="0" fillId="8" borderId="7" xfId="0" applyFill="1" applyBorder="1" applyProtection="1">
      <protection hidden="1"/>
    </xf>
    <xf numFmtId="0" fontId="0" fillId="8" borderId="29" xfId="0" applyFill="1" applyBorder="1" applyAlignment="1" applyProtection="1">
      <alignment horizontal="right"/>
      <protection hidden="1"/>
    </xf>
    <xf numFmtId="0" fontId="0" fillId="8" borderId="30" xfId="0" applyFill="1" applyBorder="1" applyProtection="1">
      <protection hidden="1"/>
    </xf>
    <xf numFmtId="0" fontId="0" fillId="0" borderId="0" xfId="0" applyProtection="1">
      <protection hidden="1"/>
    </xf>
    <xf numFmtId="0" fontId="0" fillId="8" borderId="27" xfId="0" applyFill="1" applyBorder="1" applyProtection="1">
      <protection hidden="1"/>
    </xf>
    <xf numFmtId="177" fontId="0" fillId="8" borderId="0" xfId="0" applyNumberFormat="1" applyFill="1" applyProtection="1">
      <protection hidden="1"/>
    </xf>
    <xf numFmtId="0" fontId="5" fillId="8" borderId="0" xfId="0" applyFont="1" applyFill="1" applyAlignment="1" applyProtection="1">
      <alignment horizontal="center"/>
      <protection hidden="1"/>
    </xf>
    <xf numFmtId="0" fontId="0" fillId="8" borderId="7" xfId="0" applyFill="1" applyBorder="1" applyAlignment="1" applyProtection="1">
      <alignment horizontal="center"/>
      <protection hidden="1"/>
    </xf>
    <xf numFmtId="48" fontId="0" fillId="8" borderId="0" xfId="0" applyNumberFormat="1" applyFill="1" applyProtection="1">
      <protection hidden="1"/>
    </xf>
    <xf numFmtId="2" fontId="0" fillId="8" borderId="27" xfId="0" applyNumberFormat="1" applyFill="1" applyBorder="1" applyProtection="1">
      <protection hidden="1"/>
    </xf>
    <xf numFmtId="2" fontId="0" fillId="8" borderId="0" xfId="0" applyNumberFormat="1" applyFill="1" applyProtection="1">
      <protection hidden="1"/>
    </xf>
    <xf numFmtId="0" fontId="0" fillId="8" borderId="7" xfId="0" applyFill="1" applyBorder="1" applyAlignment="1" applyProtection="1">
      <alignment horizontal="left"/>
      <protection hidden="1"/>
    </xf>
    <xf numFmtId="0" fontId="0" fillId="8" borderId="3" xfId="0" applyFill="1" applyBorder="1" applyAlignment="1" applyProtection="1">
      <alignment horizontal="right"/>
      <protection hidden="1"/>
    </xf>
    <xf numFmtId="0" fontId="0" fillId="8" borderId="5" xfId="0" applyFill="1" applyBorder="1" applyProtection="1">
      <protection hidden="1"/>
    </xf>
    <xf numFmtId="0" fontId="0" fillId="8" borderId="36" xfId="0" applyFill="1" applyBorder="1" applyProtection="1">
      <protection hidden="1"/>
    </xf>
    <xf numFmtId="176" fontId="0" fillId="8" borderId="0" xfId="0" applyNumberFormat="1" applyFill="1" applyProtection="1">
      <protection hidden="1"/>
    </xf>
    <xf numFmtId="0" fontId="0" fillId="8" borderId="0" xfId="0" applyFill="1" applyAlignment="1" applyProtection="1">
      <alignment horizontal="center"/>
      <protection hidden="1"/>
    </xf>
    <xf numFmtId="0" fontId="0" fillId="8" borderId="0" xfId="0" applyFill="1" applyAlignment="1" applyProtection="1">
      <alignment horizontal="center" vertical="center"/>
      <protection hidden="1"/>
    </xf>
    <xf numFmtId="176" fontId="0" fillId="8" borderId="27" xfId="0" applyNumberFormat="1" applyFill="1" applyBorder="1" applyProtection="1">
      <protection hidden="1"/>
    </xf>
    <xf numFmtId="179" fontId="0" fillId="8" borderId="0" xfId="0" applyNumberFormat="1" applyFill="1" applyProtection="1">
      <protection hidden="1"/>
    </xf>
    <xf numFmtId="0" fontId="0" fillId="9" borderId="0" xfId="0" applyFill="1" applyProtection="1">
      <protection locked="0" hidden="1"/>
    </xf>
    <xf numFmtId="0" fontId="0" fillId="9" borderId="27" xfId="0" applyFill="1" applyBorder="1" applyProtection="1">
      <protection locked="0" hidden="1"/>
    </xf>
    <xf numFmtId="0" fontId="0" fillId="9" borderId="0" xfId="0" applyFill="1" applyAlignment="1" applyProtection="1">
      <alignment horizontal="right"/>
      <protection locked="0" hidden="1"/>
    </xf>
    <xf numFmtId="2" fontId="0" fillId="9" borderId="0" xfId="0" applyNumberFormat="1" applyFill="1" applyProtection="1">
      <protection locked="0" hidden="1"/>
    </xf>
    <xf numFmtId="0" fontId="0" fillId="9" borderId="4" xfId="0" applyFill="1" applyBorder="1" applyProtection="1">
      <protection locked="0" hidden="1"/>
    </xf>
    <xf numFmtId="177" fontId="0" fillId="9" borderId="0" xfId="0" applyNumberFormat="1" applyFill="1" applyProtection="1">
      <protection locked="0" hidden="1"/>
    </xf>
    <xf numFmtId="0" fontId="18" fillId="0" borderId="42" xfId="1" applyFont="1" applyBorder="1"/>
    <xf numFmtId="0" fontId="19" fillId="0" borderId="42" xfId="1" applyFont="1" applyBorder="1" applyAlignment="1">
      <alignment horizontal="center"/>
    </xf>
    <xf numFmtId="0" fontId="19" fillId="0" borderId="42" xfId="1" applyFont="1" applyBorder="1" applyAlignment="1">
      <alignment horizontal="left"/>
    </xf>
    <xf numFmtId="0" fontId="20" fillId="0" borderId="42" xfId="1" applyFont="1" applyBorder="1"/>
    <xf numFmtId="0" fontId="22" fillId="0" borderId="42" xfId="2" applyFont="1" applyFill="1" applyBorder="1" applyAlignment="1">
      <alignment vertical="center"/>
    </xf>
    <xf numFmtId="0" fontId="22" fillId="0" borderId="42" xfId="2" applyFont="1" applyFill="1" applyBorder="1" applyAlignment="1">
      <alignment horizontal="right" vertical="center"/>
    </xf>
    <xf numFmtId="0" fontId="18" fillId="0" borderId="42" xfId="1" applyFont="1" applyBorder="1" applyAlignment="1">
      <alignment horizontal="center"/>
    </xf>
    <xf numFmtId="0" fontId="18" fillId="0" borderId="42" xfId="1" applyFont="1" applyBorder="1" applyAlignment="1">
      <alignment horizontal="left"/>
    </xf>
    <xf numFmtId="0" fontId="20" fillId="0" borderId="42" xfId="1" applyFont="1" applyBorder="1" applyAlignment="1">
      <alignment horizontal="center"/>
    </xf>
    <xf numFmtId="0" fontId="23" fillId="0" borderId="42" xfId="1" applyFont="1" applyBorder="1"/>
    <xf numFmtId="0" fontId="24" fillId="12" borderId="42" xfId="1" applyFont="1" applyFill="1" applyBorder="1" applyAlignment="1">
      <alignment horizontal="center"/>
    </xf>
    <xf numFmtId="0" fontId="25" fillId="0" borderId="42" xfId="2" applyFont="1" applyFill="1" applyBorder="1" applyAlignment="1">
      <alignment vertical="center"/>
    </xf>
    <xf numFmtId="0" fontId="21" fillId="10" borderId="0" xfId="3" applyFill="1" applyBorder="1" applyAlignment="1" applyProtection="1">
      <alignment vertical="center"/>
      <protection hidden="1"/>
    </xf>
    <xf numFmtId="0" fontId="11" fillId="8" borderId="0" xfId="0" applyFont="1" applyFill="1" applyAlignment="1" applyProtection="1">
      <alignment horizontal="left"/>
      <protection hidden="1"/>
    </xf>
    <xf numFmtId="0" fontId="7" fillId="8" borderId="24" xfId="0" applyFont="1" applyFill="1" applyBorder="1" applyAlignment="1" applyProtection="1">
      <alignment horizontal="center"/>
      <protection hidden="1"/>
    </xf>
    <xf numFmtId="0" fontId="7" fillId="8" borderId="25" xfId="0" applyFont="1" applyFill="1" applyBorder="1" applyAlignment="1" applyProtection="1">
      <alignment horizontal="center"/>
      <protection hidden="1"/>
    </xf>
    <xf numFmtId="0" fontId="7" fillId="8" borderId="26" xfId="0" applyFont="1" applyFill="1" applyBorder="1" applyAlignment="1" applyProtection="1">
      <alignment horizontal="center"/>
      <protection hidden="1"/>
    </xf>
    <xf numFmtId="0" fontId="10" fillId="3" borderId="3" xfId="0" applyFont="1" applyFill="1" applyBorder="1" applyAlignment="1" applyProtection="1">
      <alignment horizontal="left" vertical="center"/>
      <protection hidden="1"/>
    </xf>
    <xf numFmtId="0" fontId="10" fillId="3" borderId="4" xfId="0" applyFont="1" applyFill="1" applyBorder="1" applyAlignment="1" applyProtection="1">
      <alignment horizontal="left" vertical="center"/>
      <protection hidden="1"/>
    </xf>
    <xf numFmtId="0" fontId="10" fillId="3" borderId="6" xfId="0" applyFont="1" applyFill="1" applyBorder="1" applyAlignment="1" applyProtection="1">
      <alignment horizontal="left" vertical="center"/>
      <protection hidden="1"/>
    </xf>
    <xf numFmtId="0" fontId="10" fillId="3" borderId="0" xfId="0" applyFont="1" applyFill="1" applyAlignment="1" applyProtection="1">
      <alignment horizontal="left" vertical="center"/>
      <protection hidden="1"/>
    </xf>
    <xf numFmtId="0" fontId="5" fillId="8" borderId="0" xfId="0" applyFont="1" applyFill="1" applyAlignment="1" applyProtection="1">
      <alignment horizontal="center"/>
      <protection hidden="1"/>
    </xf>
    <xf numFmtId="0" fontId="0" fillId="9" borderId="0" xfId="0" applyFill="1" applyAlignment="1" applyProtection="1">
      <alignment horizontal="center"/>
      <protection locked="0" hidden="1"/>
    </xf>
    <xf numFmtId="0" fontId="0" fillId="9" borderId="7" xfId="0" applyFill="1" applyBorder="1" applyAlignment="1" applyProtection="1">
      <alignment horizontal="center"/>
      <protection locked="0" hidden="1"/>
    </xf>
    <xf numFmtId="0" fontId="13" fillId="8" borderId="0" xfId="0" applyFont="1" applyFill="1" applyAlignment="1" applyProtection="1">
      <alignment horizontal="center" vertical="center"/>
      <protection hidden="1"/>
    </xf>
    <xf numFmtId="0" fontId="7" fillId="8" borderId="0" xfId="0" applyFont="1" applyFill="1" applyAlignment="1" applyProtection="1">
      <alignment horizontal="center" vertical="center"/>
      <protection hidden="1"/>
    </xf>
    <xf numFmtId="0" fontId="7" fillId="8" borderId="0" xfId="0" applyFont="1" applyFill="1" applyAlignment="1" applyProtection="1">
      <alignment horizontal="center"/>
      <protection hidden="1"/>
    </xf>
    <xf numFmtId="0" fontId="0" fillId="5" borderId="24" xfId="0" applyFill="1" applyBorder="1" applyAlignment="1" applyProtection="1">
      <alignment horizontal="right" vertical="center"/>
      <protection hidden="1"/>
    </xf>
    <xf numFmtId="0" fontId="0" fillId="5" borderId="26" xfId="0" applyFill="1" applyBorder="1" applyAlignment="1" applyProtection="1">
      <alignment horizontal="right" vertical="center"/>
      <protection hidden="1"/>
    </xf>
    <xf numFmtId="0" fontId="20" fillId="0" borderId="42" xfId="1" applyFont="1" applyBorder="1" applyAlignment="1">
      <alignment wrapText="1"/>
    </xf>
    <xf numFmtId="0" fontId="18" fillId="0" borderId="42" xfId="1" applyFont="1" applyBorder="1" applyAlignment="1">
      <alignment horizontal="center"/>
    </xf>
    <xf numFmtId="0" fontId="18" fillId="11" borderId="42" xfId="1" applyFont="1" applyFill="1" applyBorder="1" applyAlignment="1">
      <alignment horizontal="center"/>
    </xf>
    <xf numFmtId="0" fontId="24" fillId="12" borderId="42" xfId="1" applyFont="1" applyFill="1" applyBorder="1" applyAlignment="1">
      <alignment horizontal="left"/>
    </xf>
    <xf numFmtId="0" fontId="20" fillId="0" borderId="42" xfId="1" applyFont="1" applyBorder="1" applyAlignment="1">
      <alignment horizontal="left"/>
    </xf>
    <xf numFmtId="0" fontId="20" fillId="0" borderId="42" xfId="1" applyFont="1" applyBorder="1" applyAlignment="1">
      <alignment horizontal="left" wrapText="1"/>
    </xf>
    <xf numFmtId="0" fontId="0" fillId="0" borderId="1" xfId="0" applyBorder="1" applyAlignment="1">
      <alignment horizontal="center"/>
    </xf>
    <xf numFmtId="0" fontId="0" fillId="0" borderId="28" xfId="0" applyBorder="1" applyAlignment="1">
      <alignment horizontal="center"/>
    </xf>
    <xf numFmtId="0" fontId="0" fillId="0" borderId="31" xfId="0" applyBorder="1" applyAlignment="1">
      <alignment horizontal="center"/>
    </xf>
    <xf numFmtId="0" fontId="0" fillId="0" borderId="20"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7"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9" xfId="0" applyBorder="1" applyAlignment="1">
      <alignment horizontal="center"/>
    </xf>
    <xf numFmtId="0" fontId="0" fillId="0" borderId="27" xfId="0" applyBorder="1" applyAlignment="1">
      <alignment horizontal="center"/>
    </xf>
    <xf numFmtId="0" fontId="0" fillId="4" borderId="4" xfId="0" applyFill="1" applyBorder="1" applyAlignment="1">
      <alignment horizontal="center"/>
    </xf>
    <xf numFmtId="0" fontId="0" fillId="0" borderId="0" xfId="0"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2" borderId="29" xfId="0" applyFill="1" applyBorder="1" applyAlignment="1">
      <alignment horizontal="center"/>
    </xf>
    <xf numFmtId="0" fontId="0" fillId="2" borderId="27" xfId="0" applyFill="1" applyBorder="1" applyAlignment="1">
      <alignment horizontal="center"/>
    </xf>
    <xf numFmtId="0" fontId="0" fillId="2" borderId="30" xfId="0" applyFill="1" applyBorder="1" applyAlignment="1">
      <alignment horizontal="center"/>
    </xf>
    <xf numFmtId="0" fontId="0" fillId="4" borderId="3"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cellXfs>
  <cellStyles count="4">
    <cellStyle name="Hyperlink 2" xfId="2" xr:uid="{B159FF08-00AA-4B66-8DB3-3314B4E27745}"/>
    <cellStyle name="Normal 4" xfId="1" xr:uid="{4304C4BC-DDB0-4847-949A-604159B97489}"/>
    <cellStyle name="ハイパーリンク" xfId="3" builtinId="8"/>
    <cellStyle name="標準" xfId="0" builtinId="0"/>
  </cellStyles>
  <dxfs count="16">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strike/>
      </font>
      <fill>
        <patternFill>
          <bgColor theme="0" tint="-0.14996795556505021"/>
        </patternFill>
      </fill>
    </dxf>
    <dxf>
      <font>
        <strike/>
      </font>
      <fill>
        <patternFill>
          <bgColor theme="0" tint="-0.24994659260841701"/>
        </patternFill>
      </fill>
    </dxf>
    <dxf>
      <font>
        <strike/>
      </font>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Inner Current Loop  </a:t>
            </a:r>
            <a:endParaRPr lang="en-US"/>
          </a:p>
        </c:rich>
      </c:tx>
      <c:overlay val="0"/>
    </c:title>
    <c:autoTitleDeleted val="0"/>
    <c:plotArea>
      <c:layout/>
      <c:scatterChart>
        <c:scatterStyle val="lineMarker"/>
        <c:varyColors val="0"/>
        <c:ser>
          <c:idx val="0"/>
          <c:order val="0"/>
          <c:tx>
            <c:v>Gain</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Compensation!$K$8:$K$62</c:f>
              <c:numCache>
                <c:formatCode>General</c:formatCode>
                <c:ptCount val="55"/>
                <c:pt idx="0">
                  <c:v>92.37337138095495</c:v>
                </c:pt>
                <c:pt idx="1">
                  <c:v>86.352769175566081</c:v>
                </c:pt>
                <c:pt idx="2">
                  <c:v>82.830940174307017</c:v>
                </c:pt>
                <c:pt idx="3">
                  <c:v>80.332160094014569</c:v>
                </c:pt>
                <c:pt idx="4">
                  <c:v>78.393952957823046</c:v>
                </c:pt>
                <c:pt idx="5">
                  <c:v>76.810319633035235</c:v>
                </c:pt>
                <c:pt idx="6">
                  <c:v>75.471373908904013</c:v>
                </c:pt>
                <c:pt idx="7">
                  <c:v>74.311523510290769</c:v>
                </c:pt>
                <c:pt idx="8">
                  <c:v>73.288460074908215</c:v>
                </c:pt>
                <c:pt idx="9">
                  <c:v>72.373295750071676</c:v>
                </c:pt>
                <c:pt idx="10">
                  <c:v>66.352466762105863</c:v>
                </c:pt>
                <c:pt idx="11">
                  <c:v>62.830260156398332</c:v>
                </c:pt>
                <c:pt idx="12">
                  <c:v>60.330952198167481</c:v>
                </c:pt>
                <c:pt idx="13">
                  <c:v>58.392067675515719</c:v>
                </c:pt>
                <c:pt idx="14">
                  <c:v>56.807608434557302</c:v>
                </c:pt>
                <c:pt idx="15">
                  <c:v>55.467689453703045</c:v>
                </c:pt>
                <c:pt idx="16">
                  <c:v>54.30671985309435</c:v>
                </c:pt>
                <c:pt idx="17">
                  <c:v>53.282392866919601</c:v>
                </c:pt>
                <c:pt idx="18">
                  <c:v>52.365822434570461</c:v>
                </c:pt>
                <c:pt idx="19">
                  <c:v>46.323611771360767</c:v>
                </c:pt>
                <c:pt idx="20">
                  <c:v>42.768891560600473</c:v>
                </c:pt>
                <c:pt idx="21">
                  <c:v>40.229629037874012</c:v>
                </c:pt>
                <c:pt idx="22">
                  <c:v>38.247060376954046</c:v>
                </c:pt>
                <c:pt idx="23">
                  <c:v>36.618290649822441</c:v>
                </c:pt>
                <c:pt idx="24">
                  <c:v>35.235667893415396</c:v>
                </c:pt>
                <c:pt idx="25">
                  <c:v>34.034986187592835</c:v>
                </c:pt>
                <c:pt idx="26">
                  <c:v>32.974642727927147</c:v>
                </c:pt>
                <c:pt idx="27">
                  <c:v>32.025976188343769</c:v>
                </c:pt>
                <c:pt idx="28">
                  <c:v>25.824412558054139</c:v>
                </c:pt>
                <c:pt idx="29">
                  <c:v>22.244380104076228</c:v>
                </c:pt>
                <c:pt idx="30">
                  <c:v>19.719835527119702</c:v>
                </c:pt>
                <c:pt idx="31">
                  <c:v>17.766384664931639</c:v>
                </c:pt>
                <c:pt idx="32">
                  <c:v>16.171419262014155</c:v>
                </c:pt>
                <c:pt idx="33">
                  <c:v>14.822583434794232</c:v>
                </c:pt>
                <c:pt idx="34">
                  <c:v>13.653206576404246</c:v>
                </c:pt>
                <c:pt idx="35">
                  <c:v>12.620453204404797</c:v>
                </c:pt>
                <c:pt idx="36">
                  <c:v>11.69515546074777</c:v>
                </c:pt>
                <c:pt idx="37">
                  <c:v>5.5320720272999155</c:v>
                </c:pt>
                <c:pt idx="38">
                  <c:v>1.7880003584460291</c:v>
                </c:pt>
                <c:pt idx="39">
                  <c:v>-1.0033120063043195</c:v>
                </c:pt>
                <c:pt idx="40">
                  <c:v>-3.2906463070787995</c:v>
                </c:pt>
                <c:pt idx="41">
                  <c:v>-5.2660138354449195</c:v>
                </c:pt>
                <c:pt idx="42">
                  <c:v>-7.0264885809776985</c:v>
                </c:pt>
                <c:pt idx="43">
                  <c:v>-8.626740745358525</c:v>
                </c:pt>
                <c:pt idx="44">
                  <c:v>-10.100254555469286</c:v>
                </c:pt>
                <c:pt idx="45">
                  <c:v>-11.469085541929751</c:v>
                </c:pt>
                <c:pt idx="46">
                  <c:v>-21.58256294255176</c:v>
                </c:pt>
                <c:pt idx="47">
                  <c:v>-28.151858957752825</c:v>
                </c:pt>
                <c:pt idx="48">
                  <c:v>-32.970336148056646</c:v>
                </c:pt>
                <c:pt idx="49">
                  <c:v>-36.761283985267134</c:v>
                </c:pt>
                <c:pt idx="50">
                  <c:v>-39.881400541187574</c:v>
                </c:pt>
                <c:pt idx="51">
                  <c:v>-42.530603038271366</c:v>
                </c:pt>
                <c:pt idx="52">
                  <c:v>-44.831571780951592</c:v>
                </c:pt>
                <c:pt idx="53">
                  <c:v>-46.864799025086505</c:v>
                </c:pt>
                <c:pt idx="54">
                  <c:v>-48.685866731100226</c:v>
                </c:pt>
              </c:numCache>
            </c:numRef>
          </c:yVal>
          <c:smooth val="0"/>
          <c:extLst>
            <c:ext xmlns:c16="http://schemas.microsoft.com/office/drawing/2014/chart" uri="{C3380CC4-5D6E-409C-BE32-E72D297353CC}">
              <c16:uniqueId val="{00000000-1A3E-43DE-AAA1-A9F3F6FF81F6}"/>
            </c:ext>
          </c:extLst>
        </c:ser>
        <c:ser>
          <c:idx val="2"/>
          <c:order val="2"/>
          <c:tx>
            <c:v>FPPlant</c:v>
          </c:tx>
          <c:spPr>
            <a:ln>
              <a:solidFill>
                <a:schemeClr val="tx1"/>
              </a:solidFill>
            </a:ln>
          </c:spPr>
          <c:marker>
            <c:symbol val="x"/>
            <c:size val="9"/>
            <c:spPr>
              <a:noFill/>
              <a:ln w="31750">
                <a:solidFill>
                  <a:srgbClr val="FF0000"/>
                </a:solidFill>
              </a:ln>
            </c:spPr>
          </c:marker>
          <c:dPt>
            <c:idx val="0"/>
            <c:marker>
              <c:symbol val="x"/>
              <c:size val="12"/>
            </c:marker>
            <c:bubble3D val="0"/>
            <c:spPr>
              <a:ln w="25400">
                <a:solidFill>
                  <a:schemeClr val="tx1"/>
                </a:solidFill>
              </a:ln>
            </c:spPr>
            <c:extLst>
              <c:ext xmlns:c16="http://schemas.microsoft.com/office/drawing/2014/chart" uri="{C3380CC4-5D6E-409C-BE32-E72D297353CC}">
                <c16:uniqueId val="{00000002-1A3E-43DE-AAA1-A9F3F6FF81F6}"/>
              </c:ext>
            </c:extLst>
          </c:dPt>
          <c:dLbls>
            <c:dLbl>
              <c:idx val="0"/>
              <c:tx>
                <c:rich>
                  <a:bodyPr/>
                  <a:lstStyle/>
                  <a:p>
                    <a:r>
                      <a:rPr lang="en-US" sz="1400" b="1"/>
                      <a:t>F</a:t>
                    </a:r>
                    <a:r>
                      <a:rPr lang="en-US" sz="1400" b="1" baseline="-25000"/>
                      <a:t>Pplant</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A3E-43DE-AAA1-A9F3F6FF81F6}"/>
                </c:ext>
              </c:extLst>
            </c:dLbl>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Compensation!$AA$9</c:f>
              <c:numCache>
                <c:formatCode>General</c:formatCode>
                <c:ptCount val="1"/>
                <c:pt idx="0">
                  <c:v>880.43160008282541</c:v>
                </c:pt>
              </c:numCache>
            </c:numRef>
          </c:xVal>
          <c:yVal>
            <c:numRef>
              <c:f>Compensation!$AD$9</c:f>
              <c:numCache>
                <c:formatCode>General</c:formatCode>
                <c:ptCount val="1"/>
                <c:pt idx="0">
                  <c:v>33.172582805277543</c:v>
                </c:pt>
              </c:numCache>
            </c:numRef>
          </c:yVal>
          <c:smooth val="0"/>
          <c:extLst>
            <c:ext xmlns:c16="http://schemas.microsoft.com/office/drawing/2014/chart" uri="{C3380CC4-5D6E-409C-BE32-E72D297353CC}">
              <c16:uniqueId val="{00000003-1A3E-43DE-AAA1-A9F3F6FF81F6}"/>
            </c:ext>
          </c:extLst>
        </c:ser>
        <c:ser>
          <c:idx val="3"/>
          <c:order val="3"/>
          <c:tx>
            <c:v>Fzcomp</c:v>
          </c:tx>
          <c:marker>
            <c:symbol val="circle"/>
            <c:size val="9"/>
            <c:spPr>
              <a:noFill/>
              <a:ln w="22225">
                <a:solidFill>
                  <a:schemeClr val="tx1"/>
                </a:solidFill>
              </a:ln>
            </c:spPr>
          </c:marker>
          <c:dLbls>
            <c:dLbl>
              <c:idx val="0"/>
              <c:tx>
                <c:rich>
                  <a:bodyPr/>
                  <a:lstStyle/>
                  <a:p>
                    <a:r>
                      <a:rPr lang="en-US" sz="1400" b="1"/>
                      <a:t>F</a:t>
                    </a:r>
                    <a:r>
                      <a:rPr lang="en-US" sz="1400" b="1" baseline="-25000"/>
                      <a:t>Zcomp</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A3E-43DE-AAA1-A9F3F6FF81F6}"/>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Compensation!$AA$10</c:f>
              <c:numCache>
                <c:formatCode>General</c:formatCode>
                <c:ptCount val="1"/>
                <c:pt idx="0">
                  <c:v>947.35085173747234</c:v>
                </c:pt>
              </c:numCache>
            </c:numRef>
          </c:xVal>
          <c:yVal>
            <c:numRef>
              <c:f>Compensation!$AD$10</c:f>
              <c:numCache>
                <c:formatCode>General</c:formatCode>
                <c:ptCount val="1"/>
                <c:pt idx="0">
                  <c:v>32.512934072541391</c:v>
                </c:pt>
              </c:numCache>
            </c:numRef>
          </c:yVal>
          <c:smooth val="0"/>
          <c:extLst>
            <c:ext xmlns:c16="http://schemas.microsoft.com/office/drawing/2014/chart" uri="{C3380CC4-5D6E-409C-BE32-E72D297353CC}">
              <c16:uniqueId val="{00000005-1A3E-43DE-AAA1-A9F3F6FF81F6}"/>
            </c:ext>
          </c:extLst>
        </c:ser>
        <c:ser>
          <c:idx val="4"/>
          <c:order val="4"/>
          <c:tx>
            <c:v>Fpcomp</c:v>
          </c:tx>
          <c:marker>
            <c:symbol val="x"/>
            <c:size val="10"/>
            <c:spPr>
              <a:ln w="25400">
                <a:solidFill>
                  <a:schemeClr val="tx1"/>
                </a:solidFill>
              </a:ln>
            </c:spPr>
          </c:marker>
          <c:dLbls>
            <c:dLbl>
              <c:idx val="0"/>
              <c:tx>
                <c:rich>
                  <a:bodyPr/>
                  <a:lstStyle/>
                  <a:p>
                    <a:r>
                      <a:rPr lang="en-US" sz="1200" b="1"/>
                      <a:t>F</a:t>
                    </a:r>
                    <a:r>
                      <a:rPr lang="en-US" sz="1200" b="1" baseline="-25000"/>
                      <a:t>Pcomp</a:t>
                    </a:r>
                    <a:endParaRPr lang="en-US" b="1"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A3E-43DE-AAA1-A9F3F6FF81F6}"/>
                </c:ext>
              </c:extLst>
            </c:dLbl>
            <c:spPr>
              <a:noFill/>
              <a:ln>
                <a:noFill/>
              </a:ln>
              <a:effectLst/>
            </c:spPr>
            <c:txPr>
              <a:bodyPr/>
              <a:lstStyle/>
              <a:p>
                <a:pPr>
                  <a:defRPr sz="12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Compensation!$AA$11</c:f>
              <c:numCache>
                <c:formatCode>General</c:formatCode>
                <c:ptCount val="1"/>
                <c:pt idx="0">
                  <c:v>94735.08517374724</c:v>
                </c:pt>
              </c:numCache>
            </c:numRef>
          </c:xVal>
          <c:yVal>
            <c:numRef>
              <c:f>Compensation!$AD$11</c:f>
              <c:numCache>
                <c:formatCode>General</c:formatCode>
                <c:ptCount val="1"/>
                <c:pt idx="0">
                  <c:v>-10.760391445764517</c:v>
                </c:pt>
              </c:numCache>
            </c:numRef>
          </c:yVal>
          <c:smooth val="0"/>
          <c:extLst>
            <c:ext xmlns:c16="http://schemas.microsoft.com/office/drawing/2014/chart" uri="{C3380CC4-5D6E-409C-BE32-E72D297353CC}">
              <c16:uniqueId val="{00000007-1A3E-43DE-AAA1-A9F3F6FF81F6}"/>
            </c:ext>
          </c:extLst>
        </c:ser>
        <c:dLbls>
          <c:showLegendKey val="0"/>
          <c:showVal val="0"/>
          <c:showCatName val="0"/>
          <c:showSerName val="0"/>
          <c:showPercent val="0"/>
          <c:showBubbleSize val="0"/>
        </c:dLbls>
        <c:axId val="180812800"/>
        <c:axId val="182049408"/>
      </c:scatterChart>
      <c:scatterChart>
        <c:scatterStyle val="lineMarker"/>
        <c:varyColors val="0"/>
        <c:ser>
          <c:idx val="1"/>
          <c:order val="1"/>
          <c:tx>
            <c:v>Phase</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Compensation!$L$8:$L$62</c:f>
              <c:numCache>
                <c:formatCode>General</c:formatCode>
                <c:ptCount val="55"/>
                <c:pt idx="0">
                  <c:v>89.994804270563165</c:v>
                </c:pt>
                <c:pt idx="1">
                  <c:v>89.989608574253737</c:v>
                </c:pt>
                <c:pt idx="2">
                  <c:v>89.984412944198354</c:v>
                </c:pt>
                <c:pt idx="3">
                  <c:v>89.979217413522079</c:v>
                </c:pt>
                <c:pt idx="4">
                  <c:v>89.974022015347515</c:v>
                </c:pt>
                <c:pt idx="5">
                  <c:v>89.968826782794125</c:v>
                </c:pt>
                <c:pt idx="6">
                  <c:v>89.963631748977392</c:v>
                </c:pt>
                <c:pt idx="7">
                  <c:v>89.958436947007982</c:v>
                </c:pt>
                <c:pt idx="8">
                  <c:v>89.95324240999102</c:v>
                </c:pt>
                <c:pt idx="9">
                  <c:v>89.948048171025221</c:v>
                </c:pt>
                <c:pt idx="10">
                  <c:v>89.896129449754241</c:v>
                </c:pt>
                <c:pt idx="11">
                  <c:v>89.84427686430584</c:v>
                </c:pt>
                <c:pt idx="12">
                  <c:v>89.792523284031105</c:v>
                </c:pt>
                <c:pt idx="13">
                  <c:v>89.740901341131149</c:v>
                </c:pt>
                <c:pt idx="14">
                  <c:v>89.689443353467766</c:v>
                </c:pt>
                <c:pt idx="15">
                  <c:v>89.638181248947447</c:v>
                </c:pt>
                <c:pt idx="16">
                  <c:v>89.587146491847719</c:v>
                </c:pt>
                <c:pt idx="17">
                  <c:v>89.536370011436603</c:v>
                </c:pt>
                <c:pt idx="18">
                  <c:v>89.485882133217316</c:v>
                </c:pt>
                <c:pt idx="19">
                  <c:v>89.002995099169837</c:v>
                </c:pt>
                <c:pt idx="20">
                  <c:v>88.575790272430652</c:v>
                </c:pt>
                <c:pt idx="21">
                  <c:v>88.218035971914659</c:v>
                </c:pt>
                <c:pt idx="22">
                  <c:v>87.932746504864227</c:v>
                </c:pt>
                <c:pt idx="23">
                  <c:v>87.714839478592395</c:v>
                </c:pt>
                <c:pt idx="24">
                  <c:v>87.554662963763519</c:v>
                </c:pt>
                <c:pt idx="25">
                  <c:v>87.441013519063787</c:v>
                </c:pt>
                <c:pt idx="26">
                  <c:v>87.363112941225396</c:v>
                </c:pt>
                <c:pt idx="27">
                  <c:v>87.311608835870189</c:v>
                </c:pt>
                <c:pt idx="28">
                  <c:v>87.216638365890404</c:v>
                </c:pt>
                <c:pt idx="29">
                  <c:v>87.034650562364931</c:v>
                </c:pt>
                <c:pt idx="30">
                  <c:v>86.695168606144193</c:v>
                </c:pt>
                <c:pt idx="31">
                  <c:v>86.266622886779146</c:v>
                </c:pt>
                <c:pt idx="32">
                  <c:v>85.787290263632102</c:v>
                </c:pt>
                <c:pt idx="33">
                  <c:v>85.277213074284191</c:v>
                </c:pt>
                <c:pt idx="34">
                  <c:v>84.747523880706055</c:v>
                </c:pt>
                <c:pt idx="35">
                  <c:v>84.20483175230595</c:v>
                </c:pt>
                <c:pt idx="36">
                  <c:v>83.653299900189396</c:v>
                </c:pt>
                <c:pt idx="37">
                  <c:v>78.002437476448151</c:v>
                </c:pt>
                <c:pt idx="38">
                  <c:v>72.464165165376599</c:v>
                </c:pt>
                <c:pt idx="39">
                  <c:v>67.216850668642977</c:v>
                </c:pt>
                <c:pt idx="40">
                  <c:v>62.333486106428929</c:v>
                </c:pt>
                <c:pt idx="41">
                  <c:v>57.845342455477052</c:v>
                </c:pt>
                <c:pt idx="42">
                  <c:v>53.756528232756132</c:v>
                </c:pt>
                <c:pt idx="43">
                  <c:v>50.05311305771766</c:v>
                </c:pt>
                <c:pt idx="44">
                  <c:v>46.710276838920862</c:v>
                </c:pt>
                <c:pt idx="45">
                  <c:v>43.697684483572949</c:v>
                </c:pt>
                <c:pt idx="46">
                  <c:v>25.547849807211566</c:v>
                </c:pt>
                <c:pt idx="47">
                  <c:v>17.676857658658555</c:v>
                </c:pt>
                <c:pt idx="48">
                  <c:v>13.443129816404278</c:v>
                </c:pt>
                <c:pt idx="49">
                  <c:v>10.825756501918624</c:v>
                </c:pt>
                <c:pt idx="50">
                  <c:v>9.0543159984642294</c:v>
                </c:pt>
                <c:pt idx="51">
                  <c:v>7.7780003877153518</c:v>
                </c:pt>
                <c:pt idx="52">
                  <c:v>6.8155586465821836</c:v>
                </c:pt>
                <c:pt idx="53">
                  <c:v>6.0642778871037422</c:v>
                </c:pt>
                <c:pt idx="54">
                  <c:v>5.4617267920158881</c:v>
                </c:pt>
              </c:numCache>
            </c:numRef>
          </c:yVal>
          <c:smooth val="0"/>
          <c:extLst>
            <c:ext xmlns:c16="http://schemas.microsoft.com/office/drawing/2014/chart" uri="{C3380CC4-5D6E-409C-BE32-E72D297353CC}">
              <c16:uniqueId val="{00000008-1A3E-43DE-AAA1-A9F3F6FF81F6}"/>
            </c:ext>
          </c:extLst>
        </c:ser>
        <c:dLbls>
          <c:showLegendKey val="0"/>
          <c:showVal val="0"/>
          <c:showCatName val="0"/>
          <c:showSerName val="0"/>
          <c:showPercent val="0"/>
          <c:showBubbleSize val="0"/>
        </c:dLbls>
        <c:axId val="182350592"/>
        <c:axId val="182310016"/>
      </c:scatterChart>
      <c:valAx>
        <c:axId val="180812800"/>
        <c:scaling>
          <c:logBase val="10"/>
          <c:orientation val="minMax"/>
          <c:min val="10"/>
        </c:scaling>
        <c:delete val="0"/>
        <c:axPos val="b"/>
        <c:majorGridlines/>
        <c:minorGridlines/>
        <c:title>
          <c:tx>
            <c:rich>
              <a:bodyPr/>
              <a:lstStyle/>
              <a:p>
                <a:pPr>
                  <a:defRPr/>
                </a:pPr>
                <a:r>
                  <a:rPr lang="en-US"/>
                  <a:t>Frequency</a:t>
                </a:r>
                <a:r>
                  <a:rPr lang="en-US" baseline="0"/>
                  <a:t> (Hz)</a:t>
                </a:r>
                <a:endParaRPr lang="en-US"/>
              </a:p>
            </c:rich>
          </c:tx>
          <c:overlay val="0"/>
        </c:title>
        <c:numFmt formatCode="General" sourceLinked="1"/>
        <c:majorTickMark val="out"/>
        <c:minorTickMark val="cross"/>
        <c:tickLblPos val="low"/>
        <c:crossAx val="182049408"/>
        <c:crosses val="autoZero"/>
        <c:crossBetween val="midCat"/>
      </c:valAx>
      <c:valAx>
        <c:axId val="182049408"/>
        <c:scaling>
          <c:orientation val="minMax"/>
          <c:max val="60"/>
          <c:min val="-40"/>
        </c:scaling>
        <c:delete val="0"/>
        <c:axPos val="l"/>
        <c:majorGridlines/>
        <c:title>
          <c:tx>
            <c:rich>
              <a:bodyPr rot="-5400000" vert="horz"/>
              <a:lstStyle/>
              <a:p>
                <a:pPr>
                  <a:defRPr/>
                </a:pPr>
                <a:r>
                  <a:rPr lang="en-US"/>
                  <a:t>Loop Gain (dB)</a:t>
                </a:r>
              </a:p>
            </c:rich>
          </c:tx>
          <c:overlay val="0"/>
        </c:title>
        <c:numFmt formatCode="General" sourceLinked="1"/>
        <c:majorTickMark val="out"/>
        <c:minorTickMark val="none"/>
        <c:tickLblPos val="nextTo"/>
        <c:crossAx val="180812800"/>
        <c:crosses val="autoZero"/>
        <c:crossBetween val="midCat"/>
        <c:majorUnit val="20"/>
      </c:valAx>
      <c:valAx>
        <c:axId val="182310016"/>
        <c:scaling>
          <c:orientation val="minMax"/>
          <c:max val="180"/>
          <c:min val="-180"/>
        </c:scaling>
        <c:delete val="0"/>
        <c:axPos val="r"/>
        <c:title>
          <c:tx>
            <c:rich>
              <a:bodyPr rot="-5400000" vert="horz"/>
              <a:lstStyle/>
              <a:p>
                <a:pPr>
                  <a:defRPr/>
                </a:pPr>
                <a:r>
                  <a:rPr lang="en-US"/>
                  <a:t>Loop Phase Margin (deg)</a:t>
                </a:r>
              </a:p>
            </c:rich>
          </c:tx>
          <c:overlay val="0"/>
        </c:title>
        <c:numFmt formatCode="General" sourceLinked="1"/>
        <c:majorTickMark val="out"/>
        <c:minorTickMark val="none"/>
        <c:tickLblPos val="nextTo"/>
        <c:crossAx val="182350592"/>
        <c:crosses val="max"/>
        <c:crossBetween val="midCat"/>
        <c:majorUnit val="45"/>
      </c:valAx>
      <c:valAx>
        <c:axId val="182350592"/>
        <c:scaling>
          <c:logBase val="10"/>
          <c:orientation val="minMax"/>
        </c:scaling>
        <c:delete val="1"/>
        <c:axPos val="b"/>
        <c:numFmt formatCode="General" sourceLinked="1"/>
        <c:majorTickMark val="out"/>
        <c:minorTickMark val="none"/>
        <c:tickLblPos val="nextTo"/>
        <c:crossAx val="182310016"/>
        <c:crosses val="autoZero"/>
        <c:crossBetween val="midCat"/>
      </c:valAx>
    </c:plotArea>
    <c:legend>
      <c:legendPos val="l"/>
      <c:legendEntry>
        <c:idx val="1"/>
        <c:delete val="1"/>
      </c:legendEntry>
      <c:legendEntry>
        <c:idx val="2"/>
        <c:delete val="1"/>
      </c:legendEntry>
      <c:legendEntry>
        <c:idx val="3"/>
        <c:delete val="1"/>
      </c:legendEntry>
      <c:layout>
        <c:manualLayout>
          <c:xMode val="edge"/>
          <c:yMode val="edge"/>
          <c:x val="0.79304241813100085"/>
          <c:y val="2.6664513567886527E-2"/>
          <c:w val="0.11678001490904641"/>
          <c:h val="9.5033720657239265E-2"/>
        </c:manualLayout>
      </c:layout>
      <c:overlay val="1"/>
      <c:spPr>
        <a:noFill/>
      </c:sp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Boost Mode Duty Cycle</a:t>
            </a:r>
          </a:p>
        </c:rich>
      </c:tx>
      <c:overlay val="0"/>
    </c:title>
    <c:autoTitleDeleted val="0"/>
    <c:plotArea>
      <c:layout/>
      <c:scatterChart>
        <c:scatterStyle val="smoothMarker"/>
        <c:varyColors val="0"/>
        <c:ser>
          <c:idx val="0"/>
          <c:order val="0"/>
          <c:tx>
            <c:v>LV Port Min</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Calculations!$AC$6:$AC$56</c:f>
              <c:numCache>
                <c:formatCode>General</c:formatCode>
                <c:ptCount val="51"/>
                <c:pt idx="0">
                  <c:v>0</c:v>
                </c:pt>
                <c:pt idx="1">
                  <c:v>0.35783130556624476</c:v>
                </c:pt>
                <c:pt idx="2">
                  <c:v>0.50604988537345452</c:v>
                </c:pt>
                <c:pt idx="3">
                  <c:v>0.61978200177943998</c:v>
                </c:pt>
                <c:pt idx="4">
                  <c:v>0.63</c:v>
                </c:pt>
                <c:pt idx="5">
                  <c:v>0.63</c:v>
                </c:pt>
                <c:pt idx="6">
                  <c:v>0.63</c:v>
                </c:pt>
                <c:pt idx="7">
                  <c:v>0.63</c:v>
                </c:pt>
                <c:pt idx="8">
                  <c:v>0.63</c:v>
                </c:pt>
                <c:pt idx="9">
                  <c:v>0.63</c:v>
                </c:pt>
                <c:pt idx="10">
                  <c:v>0.63</c:v>
                </c:pt>
                <c:pt idx="11">
                  <c:v>0.63</c:v>
                </c:pt>
                <c:pt idx="12">
                  <c:v>0.63</c:v>
                </c:pt>
                <c:pt idx="13">
                  <c:v>0.63</c:v>
                </c:pt>
                <c:pt idx="14">
                  <c:v>0.63</c:v>
                </c:pt>
                <c:pt idx="15">
                  <c:v>0.63</c:v>
                </c:pt>
                <c:pt idx="16">
                  <c:v>0.63</c:v>
                </c:pt>
                <c:pt idx="17">
                  <c:v>0.63</c:v>
                </c:pt>
                <c:pt idx="18">
                  <c:v>0.63</c:v>
                </c:pt>
                <c:pt idx="19">
                  <c:v>0.63</c:v>
                </c:pt>
                <c:pt idx="20">
                  <c:v>0.63</c:v>
                </c:pt>
                <c:pt idx="21">
                  <c:v>0.63</c:v>
                </c:pt>
                <c:pt idx="22">
                  <c:v>0.63</c:v>
                </c:pt>
                <c:pt idx="23">
                  <c:v>0.63</c:v>
                </c:pt>
                <c:pt idx="24">
                  <c:v>0.63</c:v>
                </c:pt>
                <c:pt idx="25">
                  <c:v>0.63</c:v>
                </c:pt>
                <c:pt idx="26">
                  <c:v>0.63</c:v>
                </c:pt>
                <c:pt idx="27">
                  <c:v>0.63</c:v>
                </c:pt>
                <c:pt idx="28">
                  <c:v>0.63</c:v>
                </c:pt>
                <c:pt idx="29">
                  <c:v>0.63</c:v>
                </c:pt>
                <c:pt idx="30">
                  <c:v>0.63</c:v>
                </c:pt>
                <c:pt idx="31">
                  <c:v>0.63</c:v>
                </c:pt>
                <c:pt idx="32">
                  <c:v>0.63</c:v>
                </c:pt>
                <c:pt idx="33">
                  <c:v>0.63</c:v>
                </c:pt>
                <c:pt idx="34">
                  <c:v>0.63</c:v>
                </c:pt>
                <c:pt idx="35">
                  <c:v>0.63</c:v>
                </c:pt>
                <c:pt idx="36">
                  <c:v>0.63</c:v>
                </c:pt>
                <c:pt idx="37">
                  <c:v>0.63</c:v>
                </c:pt>
                <c:pt idx="38">
                  <c:v>0.63</c:v>
                </c:pt>
                <c:pt idx="39">
                  <c:v>0.63</c:v>
                </c:pt>
                <c:pt idx="40">
                  <c:v>0.63</c:v>
                </c:pt>
                <c:pt idx="41">
                  <c:v>0.63</c:v>
                </c:pt>
                <c:pt idx="42">
                  <c:v>0.63</c:v>
                </c:pt>
                <c:pt idx="43">
                  <c:v>0.63</c:v>
                </c:pt>
                <c:pt idx="44">
                  <c:v>0.63</c:v>
                </c:pt>
                <c:pt idx="45">
                  <c:v>0.63</c:v>
                </c:pt>
                <c:pt idx="46">
                  <c:v>0.63</c:v>
                </c:pt>
                <c:pt idx="47">
                  <c:v>0.63</c:v>
                </c:pt>
                <c:pt idx="48">
                  <c:v>0.63</c:v>
                </c:pt>
                <c:pt idx="49">
                  <c:v>0.63</c:v>
                </c:pt>
                <c:pt idx="50">
                  <c:v>0.63</c:v>
                </c:pt>
              </c:numCache>
            </c:numRef>
          </c:yVal>
          <c:smooth val="1"/>
          <c:extLst>
            <c:ext xmlns:c16="http://schemas.microsoft.com/office/drawing/2014/chart" uri="{C3380CC4-5D6E-409C-BE32-E72D297353CC}">
              <c16:uniqueId val="{00000000-936D-4052-B402-C234E7C4896C}"/>
            </c:ext>
          </c:extLst>
        </c:ser>
        <c:ser>
          <c:idx val="1"/>
          <c:order val="1"/>
          <c:tx>
            <c:v>LV Port Nom</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Calculations!$AG$6:$AG$56</c:f>
              <c:numCache>
                <c:formatCode>General</c:formatCode>
                <c:ptCount val="51"/>
                <c:pt idx="0">
                  <c:v>0</c:v>
                </c:pt>
                <c:pt idx="1">
                  <c:v>0.33585711247493327</c:v>
                </c:pt>
                <c:pt idx="2">
                  <c:v>0.4749736834815167</c:v>
                </c:pt>
                <c:pt idx="3">
                  <c:v>0.58172158288995945</c:v>
                </c:pt>
                <c:pt idx="4">
                  <c:v>0.6</c:v>
                </c:pt>
                <c:pt idx="5">
                  <c:v>0.6</c:v>
                </c:pt>
                <c:pt idx="6">
                  <c:v>0.6</c:v>
                </c:pt>
                <c:pt idx="7">
                  <c:v>0.6</c:v>
                </c:pt>
                <c:pt idx="8">
                  <c:v>0.6</c:v>
                </c:pt>
                <c:pt idx="9">
                  <c:v>0.6</c:v>
                </c:pt>
                <c:pt idx="10">
                  <c:v>0.6</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pt idx="48">
                  <c:v>0.6</c:v>
                </c:pt>
                <c:pt idx="49">
                  <c:v>0.6</c:v>
                </c:pt>
                <c:pt idx="50">
                  <c:v>0.6</c:v>
                </c:pt>
              </c:numCache>
            </c:numRef>
          </c:yVal>
          <c:smooth val="1"/>
          <c:extLst>
            <c:ext xmlns:c16="http://schemas.microsoft.com/office/drawing/2014/chart" uri="{C3380CC4-5D6E-409C-BE32-E72D297353CC}">
              <c16:uniqueId val="{00000001-936D-4052-B402-C234E7C4896C}"/>
            </c:ext>
          </c:extLst>
        </c:ser>
        <c:ser>
          <c:idx val="2"/>
          <c:order val="2"/>
          <c:tx>
            <c:v>LV Port Max</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Calculations!$AK$6:$AK$56</c:f>
              <c:numCache>
                <c:formatCode>General</c:formatCode>
                <c:ptCount val="51"/>
                <c:pt idx="0">
                  <c:v>0</c:v>
                </c:pt>
                <c:pt idx="1">
                  <c:v>0.26346799542901717</c:v>
                </c:pt>
                <c:pt idx="2">
                  <c:v>0.37260001238696872</c:v>
                </c:pt>
                <c:pt idx="3">
                  <c:v>0.45633995425138252</c:v>
                </c:pt>
                <c:pt idx="4">
                  <c:v>0.48</c:v>
                </c:pt>
                <c:pt idx="5">
                  <c:v>0.48</c:v>
                </c:pt>
                <c:pt idx="6">
                  <c:v>0.48</c:v>
                </c:pt>
                <c:pt idx="7">
                  <c:v>0.48</c:v>
                </c:pt>
                <c:pt idx="8">
                  <c:v>0.48</c:v>
                </c:pt>
                <c:pt idx="9">
                  <c:v>0.48</c:v>
                </c:pt>
                <c:pt idx="10">
                  <c:v>0.48</c:v>
                </c:pt>
                <c:pt idx="11">
                  <c:v>0.48</c:v>
                </c:pt>
                <c:pt idx="12">
                  <c:v>0.48</c:v>
                </c:pt>
                <c:pt idx="13">
                  <c:v>0.48</c:v>
                </c:pt>
                <c:pt idx="14">
                  <c:v>0.48</c:v>
                </c:pt>
                <c:pt idx="15">
                  <c:v>0.48</c:v>
                </c:pt>
                <c:pt idx="16">
                  <c:v>0.48</c:v>
                </c:pt>
                <c:pt idx="17">
                  <c:v>0.48</c:v>
                </c:pt>
                <c:pt idx="18">
                  <c:v>0.48</c:v>
                </c:pt>
                <c:pt idx="19">
                  <c:v>0.48</c:v>
                </c:pt>
                <c:pt idx="20">
                  <c:v>0.48</c:v>
                </c:pt>
                <c:pt idx="21">
                  <c:v>0.48</c:v>
                </c:pt>
                <c:pt idx="22">
                  <c:v>0.48</c:v>
                </c:pt>
                <c:pt idx="23">
                  <c:v>0.48</c:v>
                </c:pt>
                <c:pt idx="24">
                  <c:v>0.48</c:v>
                </c:pt>
                <c:pt idx="25">
                  <c:v>0.48</c:v>
                </c:pt>
                <c:pt idx="26">
                  <c:v>0.48</c:v>
                </c:pt>
                <c:pt idx="27">
                  <c:v>0.48</c:v>
                </c:pt>
                <c:pt idx="28">
                  <c:v>0.48</c:v>
                </c:pt>
                <c:pt idx="29">
                  <c:v>0.48</c:v>
                </c:pt>
                <c:pt idx="30">
                  <c:v>0.48</c:v>
                </c:pt>
                <c:pt idx="31">
                  <c:v>0.48</c:v>
                </c:pt>
                <c:pt idx="32">
                  <c:v>0.48</c:v>
                </c:pt>
                <c:pt idx="33">
                  <c:v>0.48</c:v>
                </c:pt>
                <c:pt idx="34">
                  <c:v>0.48</c:v>
                </c:pt>
                <c:pt idx="35">
                  <c:v>0.48</c:v>
                </c:pt>
                <c:pt idx="36">
                  <c:v>0.48</c:v>
                </c:pt>
                <c:pt idx="37">
                  <c:v>0.48</c:v>
                </c:pt>
                <c:pt idx="38">
                  <c:v>0.48</c:v>
                </c:pt>
                <c:pt idx="39">
                  <c:v>0.48</c:v>
                </c:pt>
                <c:pt idx="40">
                  <c:v>0.48</c:v>
                </c:pt>
                <c:pt idx="41">
                  <c:v>0.48</c:v>
                </c:pt>
                <c:pt idx="42">
                  <c:v>0.48</c:v>
                </c:pt>
                <c:pt idx="43">
                  <c:v>0.48</c:v>
                </c:pt>
                <c:pt idx="44">
                  <c:v>0.48</c:v>
                </c:pt>
                <c:pt idx="45">
                  <c:v>0.48</c:v>
                </c:pt>
                <c:pt idx="46">
                  <c:v>0.48</c:v>
                </c:pt>
                <c:pt idx="47">
                  <c:v>0.48</c:v>
                </c:pt>
                <c:pt idx="48">
                  <c:v>0.48</c:v>
                </c:pt>
                <c:pt idx="49">
                  <c:v>0.48</c:v>
                </c:pt>
                <c:pt idx="50">
                  <c:v>0.48</c:v>
                </c:pt>
              </c:numCache>
            </c:numRef>
          </c:yVal>
          <c:smooth val="1"/>
          <c:extLst>
            <c:ext xmlns:c16="http://schemas.microsoft.com/office/drawing/2014/chart" uri="{C3380CC4-5D6E-409C-BE32-E72D297353CC}">
              <c16:uniqueId val="{00000002-936D-4052-B402-C234E7C4896C}"/>
            </c:ext>
          </c:extLst>
        </c:ser>
        <c:ser>
          <c:idx val="3"/>
          <c:order val="3"/>
          <c:tx>
            <c:v>LV Min</c:v>
          </c:tx>
          <c:marker>
            <c:symbol val="circle"/>
            <c:size val="11"/>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Calculations!$B$51</c:f>
              <c:numCache>
                <c:formatCode>0.000</c:formatCode>
                <c:ptCount val="1"/>
                <c:pt idx="0">
                  <c:v>3.0997340425531914</c:v>
                </c:pt>
              </c:numCache>
            </c:numRef>
          </c:xVal>
          <c:yVal>
            <c:numRef>
              <c:f>Calculations!$B$52</c:f>
              <c:numCache>
                <c:formatCode>General</c:formatCode>
                <c:ptCount val="1"/>
                <c:pt idx="0">
                  <c:v>0.63</c:v>
                </c:pt>
              </c:numCache>
            </c:numRef>
          </c:yVal>
          <c:smooth val="0"/>
          <c:extLst>
            <c:ext xmlns:c16="http://schemas.microsoft.com/office/drawing/2014/chart" uri="{C3380CC4-5D6E-409C-BE32-E72D297353CC}">
              <c16:uniqueId val="{00000003-936D-4052-B402-C234E7C4896C}"/>
            </c:ext>
          </c:extLst>
        </c:ser>
        <c:ser>
          <c:idx val="4"/>
          <c:order val="4"/>
          <c:tx>
            <c:v>LV Nom</c:v>
          </c:tx>
          <c:spPr>
            <a:ln w="47625"/>
          </c:spPr>
          <c:marker>
            <c:symbol val="circle"/>
            <c:size val="11"/>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Calculations!$B$54</c:f>
              <c:numCache>
                <c:formatCode>0.000</c:formatCode>
                <c:ptCount val="1"/>
                <c:pt idx="0">
                  <c:v>3.191489361702128</c:v>
                </c:pt>
              </c:numCache>
            </c:numRef>
          </c:xVal>
          <c:yVal>
            <c:numRef>
              <c:f>Calculations!$B$55</c:f>
              <c:numCache>
                <c:formatCode>0.000</c:formatCode>
                <c:ptCount val="1"/>
                <c:pt idx="0">
                  <c:v>0.6</c:v>
                </c:pt>
              </c:numCache>
            </c:numRef>
          </c:yVal>
          <c:smooth val="0"/>
          <c:extLst>
            <c:ext xmlns:c16="http://schemas.microsoft.com/office/drawing/2014/chart" uri="{C3380CC4-5D6E-409C-BE32-E72D297353CC}">
              <c16:uniqueId val="{00000004-936D-4052-B402-C234E7C4896C}"/>
            </c:ext>
          </c:extLst>
        </c:ser>
        <c:ser>
          <c:idx val="5"/>
          <c:order val="5"/>
          <c:tx>
            <c:v>LV Max</c:v>
          </c:tx>
          <c:marker>
            <c:symbol val="circle"/>
            <c:size val="11"/>
            <c:spPr>
              <a:noFill/>
              <a:ln w="25400">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Calculations!$B$57</c:f>
              <c:numCache>
                <c:formatCode>0.000</c:formatCode>
                <c:ptCount val="1"/>
                <c:pt idx="0">
                  <c:v>3.3191489361702136</c:v>
                </c:pt>
              </c:numCache>
            </c:numRef>
          </c:xVal>
          <c:yVal>
            <c:numRef>
              <c:f>Calculations!$B$58</c:f>
              <c:numCache>
                <c:formatCode>General</c:formatCode>
                <c:ptCount val="1"/>
                <c:pt idx="0">
                  <c:v>0.48</c:v>
                </c:pt>
              </c:numCache>
            </c:numRef>
          </c:yVal>
          <c:smooth val="1"/>
          <c:extLst>
            <c:ext xmlns:c16="http://schemas.microsoft.com/office/drawing/2014/chart" uri="{C3380CC4-5D6E-409C-BE32-E72D297353CC}">
              <c16:uniqueId val="{00000005-936D-4052-B402-C234E7C4896C}"/>
            </c:ext>
          </c:extLst>
        </c:ser>
        <c:dLbls>
          <c:showLegendKey val="0"/>
          <c:showVal val="0"/>
          <c:showCatName val="0"/>
          <c:showSerName val="0"/>
          <c:showPercent val="0"/>
          <c:showBubbleSize val="0"/>
        </c:dLbls>
        <c:axId val="185636352"/>
        <c:axId val="186201216"/>
      </c:scatterChart>
      <c:valAx>
        <c:axId val="185636352"/>
        <c:scaling>
          <c:orientation val="minMax"/>
        </c:scaling>
        <c:delete val="0"/>
        <c:axPos val="b"/>
        <c:majorGridlines/>
        <c:title>
          <c:tx>
            <c:rich>
              <a:bodyPr/>
              <a:lstStyle/>
              <a:p>
                <a:pPr>
                  <a:defRPr/>
                </a:pPr>
                <a:r>
                  <a:rPr lang="en-US"/>
                  <a:t>Per Phase Average Inductor Current  (A)</a:t>
                </a:r>
              </a:p>
            </c:rich>
          </c:tx>
          <c:overlay val="0"/>
        </c:title>
        <c:numFmt formatCode="General" sourceLinked="1"/>
        <c:majorTickMark val="out"/>
        <c:minorTickMark val="none"/>
        <c:tickLblPos val="nextTo"/>
        <c:crossAx val="186201216"/>
        <c:crosses val="autoZero"/>
        <c:crossBetween val="midCat"/>
      </c:valAx>
      <c:valAx>
        <c:axId val="186201216"/>
        <c:scaling>
          <c:orientation val="minMax"/>
          <c:max val="1"/>
          <c:min val="0"/>
        </c:scaling>
        <c:delete val="0"/>
        <c:axPos val="l"/>
        <c:majorGridlines/>
        <c:title>
          <c:tx>
            <c:rich>
              <a:bodyPr rot="-5400000" vert="horz"/>
              <a:lstStyle/>
              <a:p>
                <a:pPr>
                  <a:defRPr/>
                </a:pPr>
                <a:r>
                  <a:rPr lang="en-US"/>
                  <a:t>LO</a:t>
                </a:r>
                <a:r>
                  <a:rPr lang="en-US" baseline="0"/>
                  <a:t> Duty Cycle</a:t>
                </a:r>
                <a:endParaRPr lang="en-US"/>
              </a:p>
            </c:rich>
          </c:tx>
          <c:overlay val="0"/>
        </c:title>
        <c:numFmt formatCode="General" sourceLinked="1"/>
        <c:majorTickMark val="out"/>
        <c:minorTickMark val="none"/>
        <c:tickLblPos val="nextTo"/>
        <c:crossAx val="185636352"/>
        <c:crosses val="autoZero"/>
        <c:crossBetween val="midCat"/>
      </c:valAx>
    </c:plotArea>
    <c:legend>
      <c:legendPos val="b"/>
      <c:legendEntry>
        <c:idx val="3"/>
        <c:delete val="1"/>
      </c:legendEntry>
      <c:legendEntry>
        <c:idx val="4"/>
        <c:delete val="1"/>
      </c:legendEntry>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Buck Mode Duty Cycle</a:t>
            </a:r>
          </a:p>
        </c:rich>
      </c:tx>
      <c:overlay val="0"/>
    </c:title>
    <c:autoTitleDeleted val="0"/>
    <c:plotArea>
      <c:layout/>
      <c:scatterChart>
        <c:scatterStyle val="smoothMarker"/>
        <c:varyColors val="0"/>
        <c:ser>
          <c:idx val="0"/>
          <c:order val="0"/>
          <c:tx>
            <c:v>HV Port Min</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Calculations!$P$6:$P$56</c:f>
              <c:numCache>
                <c:formatCode>General</c:formatCode>
                <c:ptCount val="51"/>
                <c:pt idx="0">
                  <c:v>0</c:v>
                </c:pt>
                <c:pt idx="1">
                  <c:v>0.500666222813829</c:v>
                </c:pt>
                <c:pt idx="2">
                  <c:v>0.66666666666666663</c:v>
                </c:pt>
                <c:pt idx="3">
                  <c:v>0.66666666666666663</c:v>
                </c:pt>
                <c:pt idx="4">
                  <c:v>0.66666666666666663</c:v>
                </c:pt>
                <c:pt idx="5">
                  <c:v>0.66666666666666663</c:v>
                </c:pt>
                <c:pt idx="6">
                  <c:v>0.66666666666666663</c:v>
                </c:pt>
                <c:pt idx="7">
                  <c:v>0.66666666666666663</c:v>
                </c:pt>
                <c:pt idx="8">
                  <c:v>0.66666666666666663</c:v>
                </c:pt>
                <c:pt idx="9">
                  <c:v>0.66666666666666663</c:v>
                </c:pt>
                <c:pt idx="10">
                  <c:v>0.66666666666666663</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pt idx="19">
                  <c:v>0.66666666666666663</c:v>
                </c:pt>
                <c:pt idx="20">
                  <c:v>0.66666666666666663</c:v>
                </c:pt>
                <c:pt idx="21">
                  <c:v>0.66666666666666663</c:v>
                </c:pt>
                <c:pt idx="22">
                  <c:v>0.66666666666666663</c:v>
                </c:pt>
                <c:pt idx="23">
                  <c:v>0.66666666666666663</c:v>
                </c:pt>
                <c:pt idx="24">
                  <c:v>0.66666666666666663</c:v>
                </c:pt>
                <c:pt idx="25">
                  <c:v>0.66666666666666663</c:v>
                </c:pt>
                <c:pt idx="26">
                  <c:v>0.66666666666666663</c:v>
                </c:pt>
                <c:pt idx="27">
                  <c:v>0.66666666666666663</c:v>
                </c:pt>
                <c:pt idx="28">
                  <c:v>0.66666666666666663</c:v>
                </c:pt>
                <c:pt idx="29">
                  <c:v>0.66666666666666663</c:v>
                </c:pt>
                <c:pt idx="30">
                  <c:v>0.66666666666666663</c:v>
                </c:pt>
                <c:pt idx="31">
                  <c:v>0.66666666666666663</c:v>
                </c:pt>
                <c:pt idx="32">
                  <c:v>0.66666666666666663</c:v>
                </c:pt>
                <c:pt idx="33">
                  <c:v>0.66666666666666663</c:v>
                </c:pt>
                <c:pt idx="34">
                  <c:v>0.66666666666666663</c:v>
                </c:pt>
                <c:pt idx="35">
                  <c:v>0.66666666666666663</c:v>
                </c:pt>
                <c:pt idx="36">
                  <c:v>0.66666666666666663</c:v>
                </c:pt>
                <c:pt idx="37">
                  <c:v>0.66666666666666663</c:v>
                </c:pt>
                <c:pt idx="38">
                  <c:v>0.66666666666666663</c:v>
                </c:pt>
                <c:pt idx="39">
                  <c:v>0.66666666666666663</c:v>
                </c:pt>
                <c:pt idx="40">
                  <c:v>0.66666666666666663</c:v>
                </c:pt>
                <c:pt idx="41">
                  <c:v>0.66666666666666663</c:v>
                </c:pt>
                <c:pt idx="42">
                  <c:v>0.66666666666666663</c:v>
                </c:pt>
                <c:pt idx="43">
                  <c:v>0.66666666666666663</c:v>
                </c:pt>
                <c:pt idx="44">
                  <c:v>0.66666666666666663</c:v>
                </c:pt>
                <c:pt idx="45">
                  <c:v>0.66666666666666663</c:v>
                </c:pt>
                <c:pt idx="46">
                  <c:v>0.66666666666666663</c:v>
                </c:pt>
                <c:pt idx="47">
                  <c:v>0.66666666666666663</c:v>
                </c:pt>
                <c:pt idx="48">
                  <c:v>0.66666666666666663</c:v>
                </c:pt>
                <c:pt idx="49">
                  <c:v>0.66666666666666663</c:v>
                </c:pt>
                <c:pt idx="50">
                  <c:v>0.66666666666666663</c:v>
                </c:pt>
              </c:numCache>
            </c:numRef>
          </c:yVal>
          <c:smooth val="1"/>
          <c:extLst>
            <c:ext xmlns:c16="http://schemas.microsoft.com/office/drawing/2014/chart" uri="{C3380CC4-5D6E-409C-BE32-E72D297353CC}">
              <c16:uniqueId val="{00000000-B177-4C92-8B7B-E9995D074EE2}"/>
            </c:ext>
          </c:extLst>
        </c:ser>
        <c:ser>
          <c:idx val="1"/>
          <c:order val="1"/>
          <c:tx>
            <c:v>HV Port Nom</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Calculations!$T$6:$T$56</c:f>
              <c:numCache>
                <c:formatCode>General</c:formatCode>
                <c:ptCount val="51"/>
                <c:pt idx="0">
                  <c:v>0</c:v>
                </c:pt>
                <c:pt idx="1">
                  <c:v>0.22390474164995552</c:v>
                </c:pt>
                <c:pt idx="2">
                  <c:v>0.31664912232101111</c:v>
                </c:pt>
                <c:pt idx="3">
                  <c:v>0.3878143885933063</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pt idx="48">
                  <c:v>0.4</c:v>
                </c:pt>
                <c:pt idx="49">
                  <c:v>0.4</c:v>
                </c:pt>
                <c:pt idx="50">
                  <c:v>0.4</c:v>
                </c:pt>
              </c:numCache>
            </c:numRef>
          </c:yVal>
          <c:smooth val="1"/>
          <c:extLst>
            <c:ext xmlns:c16="http://schemas.microsoft.com/office/drawing/2014/chart" uri="{C3380CC4-5D6E-409C-BE32-E72D297353CC}">
              <c16:uniqueId val="{00000001-B177-4C92-8B7B-E9995D074EE2}"/>
            </c:ext>
          </c:extLst>
        </c:ser>
        <c:ser>
          <c:idx val="2"/>
          <c:order val="2"/>
          <c:tx>
            <c:v>HV Port Max</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Calculations!$X$6:$X$56</c:f>
              <c:numCache>
                <c:formatCode>General</c:formatCode>
                <c:ptCount val="51"/>
                <c:pt idx="0">
                  <c:v>0</c:v>
                </c:pt>
                <c:pt idx="1">
                  <c:v>0.11666558930767369</c:v>
                </c:pt>
                <c:pt idx="2">
                  <c:v>0.16499005866116168</c:v>
                </c:pt>
                <c:pt idx="3">
                  <c:v>0.2020707281758552</c:v>
                </c:pt>
                <c:pt idx="4">
                  <c:v>0.23333117861534738</c:v>
                </c:pt>
                <c:pt idx="5">
                  <c:v>0.23529411764705882</c:v>
                </c:pt>
                <c:pt idx="6">
                  <c:v>0.23529411764705882</c:v>
                </c:pt>
                <c:pt idx="7">
                  <c:v>0.23529411764705882</c:v>
                </c:pt>
                <c:pt idx="8">
                  <c:v>0.23529411764705882</c:v>
                </c:pt>
                <c:pt idx="9">
                  <c:v>0.23529411764705882</c:v>
                </c:pt>
                <c:pt idx="10">
                  <c:v>0.23529411764705882</c:v>
                </c:pt>
                <c:pt idx="11">
                  <c:v>0.23529411764705882</c:v>
                </c:pt>
                <c:pt idx="12">
                  <c:v>0.23529411764705882</c:v>
                </c:pt>
                <c:pt idx="13">
                  <c:v>0.23529411764705882</c:v>
                </c:pt>
                <c:pt idx="14">
                  <c:v>0.23529411764705882</c:v>
                </c:pt>
                <c:pt idx="15">
                  <c:v>0.23529411764705882</c:v>
                </c:pt>
                <c:pt idx="16">
                  <c:v>0.23529411764705882</c:v>
                </c:pt>
                <c:pt idx="17">
                  <c:v>0.23529411764705882</c:v>
                </c:pt>
                <c:pt idx="18">
                  <c:v>0.23529411764705882</c:v>
                </c:pt>
                <c:pt idx="19">
                  <c:v>0.23529411764705882</c:v>
                </c:pt>
                <c:pt idx="20">
                  <c:v>0.23529411764705882</c:v>
                </c:pt>
                <c:pt idx="21">
                  <c:v>0.23529411764705882</c:v>
                </c:pt>
                <c:pt idx="22">
                  <c:v>0.23529411764705882</c:v>
                </c:pt>
                <c:pt idx="23">
                  <c:v>0.23529411764705882</c:v>
                </c:pt>
                <c:pt idx="24">
                  <c:v>0.23529411764705882</c:v>
                </c:pt>
                <c:pt idx="25">
                  <c:v>0.23529411764705882</c:v>
                </c:pt>
                <c:pt idx="26">
                  <c:v>0.23529411764705882</c:v>
                </c:pt>
                <c:pt idx="27">
                  <c:v>0.23529411764705882</c:v>
                </c:pt>
                <c:pt idx="28">
                  <c:v>0.23529411764705882</c:v>
                </c:pt>
                <c:pt idx="29">
                  <c:v>0.23529411764705882</c:v>
                </c:pt>
                <c:pt idx="30">
                  <c:v>0.23529411764705882</c:v>
                </c:pt>
                <c:pt idx="31">
                  <c:v>0.23529411764705882</c:v>
                </c:pt>
                <c:pt idx="32">
                  <c:v>0.23529411764705882</c:v>
                </c:pt>
                <c:pt idx="33">
                  <c:v>0.23529411764705882</c:v>
                </c:pt>
                <c:pt idx="34">
                  <c:v>0.23529411764705882</c:v>
                </c:pt>
                <c:pt idx="35">
                  <c:v>0.23529411764705882</c:v>
                </c:pt>
                <c:pt idx="36">
                  <c:v>0.23529411764705882</c:v>
                </c:pt>
                <c:pt idx="37">
                  <c:v>0.23529411764705882</c:v>
                </c:pt>
                <c:pt idx="38">
                  <c:v>0.23529411764705882</c:v>
                </c:pt>
                <c:pt idx="39">
                  <c:v>0.23529411764705882</c:v>
                </c:pt>
                <c:pt idx="40">
                  <c:v>0.23529411764705882</c:v>
                </c:pt>
                <c:pt idx="41">
                  <c:v>0.23529411764705882</c:v>
                </c:pt>
                <c:pt idx="42">
                  <c:v>0.23529411764705882</c:v>
                </c:pt>
                <c:pt idx="43">
                  <c:v>0.23529411764705882</c:v>
                </c:pt>
                <c:pt idx="44">
                  <c:v>0.23529411764705882</c:v>
                </c:pt>
                <c:pt idx="45">
                  <c:v>0.23529411764705882</c:v>
                </c:pt>
                <c:pt idx="46">
                  <c:v>0.23529411764705882</c:v>
                </c:pt>
                <c:pt idx="47">
                  <c:v>0.23529411764705882</c:v>
                </c:pt>
                <c:pt idx="48">
                  <c:v>0.23529411764705882</c:v>
                </c:pt>
                <c:pt idx="49">
                  <c:v>0.23529411764705882</c:v>
                </c:pt>
                <c:pt idx="50">
                  <c:v>0.23529411764705882</c:v>
                </c:pt>
              </c:numCache>
            </c:numRef>
          </c:yVal>
          <c:smooth val="1"/>
          <c:extLst>
            <c:ext xmlns:c16="http://schemas.microsoft.com/office/drawing/2014/chart" uri="{C3380CC4-5D6E-409C-BE32-E72D297353CC}">
              <c16:uniqueId val="{00000002-B177-4C92-8B7B-E9995D074EE2}"/>
            </c:ext>
          </c:extLst>
        </c:ser>
        <c:ser>
          <c:idx val="3"/>
          <c:order val="3"/>
          <c:tx>
            <c:v>HV MIN</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Calculations!$B$42</c:f>
              <c:numCache>
                <c:formatCode>0.000</c:formatCode>
                <c:ptCount val="1"/>
                <c:pt idx="0">
                  <c:v>1.7730496453900708</c:v>
                </c:pt>
              </c:numCache>
            </c:numRef>
          </c:xVal>
          <c:yVal>
            <c:numRef>
              <c:f>Calculations!$B$43</c:f>
              <c:numCache>
                <c:formatCode>General</c:formatCode>
                <c:ptCount val="1"/>
                <c:pt idx="0">
                  <c:v>0.66666666666666663</c:v>
                </c:pt>
              </c:numCache>
            </c:numRef>
          </c:yVal>
          <c:smooth val="1"/>
          <c:extLst>
            <c:ext xmlns:c16="http://schemas.microsoft.com/office/drawing/2014/chart" uri="{C3380CC4-5D6E-409C-BE32-E72D297353CC}">
              <c16:uniqueId val="{00000003-B177-4C92-8B7B-E9995D074EE2}"/>
            </c:ext>
          </c:extLst>
        </c:ser>
        <c:ser>
          <c:idx val="4"/>
          <c:order val="4"/>
          <c:tx>
            <c:v>HV Nom</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Calculations!$B$45</c:f>
              <c:numCache>
                <c:formatCode>0.000</c:formatCode>
                <c:ptCount val="1"/>
                <c:pt idx="0">
                  <c:v>3.191489361702128</c:v>
                </c:pt>
              </c:numCache>
            </c:numRef>
          </c:xVal>
          <c:yVal>
            <c:numRef>
              <c:f>Calculations!$B$46</c:f>
              <c:numCache>
                <c:formatCode>0.0000</c:formatCode>
                <c:ptCount val="1"/>
                <c:pt idx="0">
                  <c:v>0.4</c:v>
                </c:pt>
              </c:numCache>
            </c:numRef>
          </c:yVal>
          <c:smooth val="1"/>
          <c:extLst>
            <c:ext xmlns:c16="http://schemas.microsoft.com/office/drawing/2014/chart" uri="{C3380CC4-5D6E-409C-BE32-E72D297353CC}">
              <c16:uniqueId val="{00000004-B177-4C92-8B7B-E9995D074EE2}"/>
            </c:ext>
          </c:extLst>
        </c:ser>
        <c:ser>
          <c:idx val="5"/>
          <c:order val="5"/>
          <c:tx>
            <c:v>HV Max</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Calculations!$B$48</c:f>
              <c:numCache>
                <c:formatCode>0.000</c:formatCode>
                <c:ptCount val="1"/>
                <c:pt idx="0">
                  <c:v>4.0675844806007513</c:v>
                </c:pt>
              </c:numCache>
            </c:numRef>
          </c:xVal>
          <c:yVal>
            <c:numRef>
              <c:f>Calculations!$B$49</c:f>
              <c:numCache>
                <c:formatCode>0.000</c:formatCode>
                <c:ptCount val="1"/>
                <c:pt idx="0">
                  <c:v>0.23529411764705882</c:v>
                </c:pt>
              </c:numCache>
            </c:numRef>
          </c:yVal>
          <c:smooth val="1"/>
          <c:extLst>
            <c:ext xmlns:c16="http://schemas.microsoft.com/office/drawing/2014/chart" uri="{C3380CC4-5D6E-409C-BE32-E72D297353CC}">
              <c16:uniqueId val="{00000005-B177-4C92-8B7B-E9995D074EE2}"/>
            </c:ext>
          </c:extLst>
        </c:ser>
        <c:dLbls>
          <c:showLegendKey val="0"/>
          <c:showVal val="0"/>
          <c:showCatName val="0"/>
          <c:showSerName val="0"/>
          <c:showPercent val="0"/>
          <c:showBubbleSize val="0"/>
        </c:dLbls>
        <c:axId val="187404288"/>
        <c:axId val="187406208"/>
      </c:scatterChart>
      <c:valAx>
        <c:axId val="187404288"/>
        <c:scaling>
          <c:orientation val="minMax"/>
        </c:scaling>
        <c:delete val="0"/>
        <c:axPos val="b"/>
        <c:majorGridlines/>
        <c:title>
          <c:tx>
            <c:rich>
              <a:bodyPr/>
              <a:lstStyle/>
              <a:p>
                <a:pPr>
                  <a:defRPr/>
                </a:pPr>
                <a:r>
                  <a:rPr lang="en-US"/>
                  <a:t>Per</a:t>
                </a:r>
                <a:r>
                  <a:rPr lang="en-US" baseline="0"/>
                  <a:t> Phase Average Inductor Current (A)</a:t>
                </a:r>
                <a:endParaRPr lang="en-US"/>
              </a:p>
            </c:rich>
          </c:tx>
          <c:overlay val="0"/>
        </c:title>
        <c:numFmt formatCode="General" sourceLinked="1"/>
        <c:majorTickMark val="out"/>
        <c:minorTickMark val="none"/>
        <c:tickLblPos val="nextTo"/>
        <c:crossAx val="187406208"/>
        <c:crosses val="autoZero"/>
        <c:crossBetween val="midCat"/>
      </c:valAx>
      <c:valAx>
        <c:axId val="187406208"/>
        <c:scaling>
          <c:orientation val="minMax"/>
          <c:max val="1"/>
          <c:min val="0"/>
        </c:scaling>
        <c:delete val="0"/>
        <c:axPos val="l"/>
        <c:majorGridlines/>
        <c:title>
          <c:tx>
            <c:rich>
              <a:bodyPr rot="-5400000" vert="horz"/>
              <a:lstStyle/>
              <a:p>
                <a:pPr>
                  <a:defRPr/>
                </a:pPr>
                <a:r>
                  <a:rPr lang="en-US"/>
                  <a:t>HO</a:t>
                </a:r>
                <a:r>
                  <a:rPr lang="en-US" baseline="0"/>
                  <a:t> Duty Cycle</a:t>
                </a:r>
                <a:endParaRPr lang="en-US"/>
              </a:p>
            </c:rich>
          </c:tx>
          <c:overlay val="0"/>
        </c:title>
        <c:numFmt formatCode="General" sourceLinked="1"/>
        <c:majorTickMark val="out"/>
        <c:minorTickMark val="none"/>
        <c:tickLblPos val="nextTo"/>
        <c:crossAx val="187404288"/>
        <c:crosses val="autoZero"/>
        <c:crossBetween val="midCat"/>
      </c:valAx>
    </c:plotArea>
    <c:legend>
      <c:legendPos val="b"/>
      <c:legendEntry>
        <c:idx val="3"/>
        <c:delete val="1"/>
      </c:legendEntry>
      <c:legendEntry>
        <c:idx val="4"/>
        <c:delete val="1"/>
      </c:legendEntry>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Buck Mode Voltage Loop</a:t>
            </a:r>
            <a:endParaRPr lang="en-US"/>
          </a:p>
        </c:rich>
      </c:tx>
      <c:overlay val="0"/>
    </c:title>
    <c:autoTitleDeleted val="0"/>
    <c:plotArea>
      <c:layout/>
      <c:scatterChart>
        <c:scatterStyle val="lineMarker"/>
        <c:varyColors val="0"/>
        <c:ser>
          <c:idx val="0"/>
          <c:order val="0"/>
          <c:tx>
            <c:v>Gain</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Compensation!$Y$79:$Y$133</c:f>
              <c:numCache>
                <c:formatCode>General</c:formatCode>
                <c:ptCount val="55"/>
                <c:pt idx="0">
                  <c:v>73.116294935784993</c:v>
                </c:pt>
                <c:pt idx="1">
                  <c:v>67.095524586663132</c:v>
                </c:pt>
                <c:pt idx="2">
                  <c:v>63.573415371367346</c:v>
                </c:pt>
                <c:pt idx="3">
                  <c:v>61.074243045001822</c:v>
                </c:pt>
                <c:pt idx="4">
                  <c:v>59.135531684255426</c:v>
                </c:pt>
                <c:pt idx="5">
                  <c:v>57.551282225253019</c:v>
                </c:pt>
                <c:pt idx="6">
                  <c:v>56.211608541311627</c:v>
                </c:pt>
                <c:pt idx="7">
                  <c:v>55.05091845656785</c:v>
                </c:pt>
                <c:pt idx="8">
                  <c:v>54.026903723184077</c:v>
                </c:pt>
                <c:pt idx="9">
                  <c:v>53.110676618058022</c:v>
                </c:pt>
                <c:pt idx="10">
                  <c:v>47.073127517498946</c:v>
                </c:pt>
                <c:pt idx="11">
                  <c:v>43.523304947456687</c:v>
                </c:pt>
                <c:pt idx="12">
                  <c:v>40.985852000365895</c:v>
                </c:pt>
                <c:pt idx="13">
                  <c:v>38.998788711974115</c:v>
                </c:pt>
                <c:pt idx="14">
                  <c:v>37.356723844606208</c:v>
                </c:pt>
                <c:pt idx="15">
                  <c:v>35.950471443099168</c:v>
                </c:pt>
                <c:pt idx="16">
                  <c:v>34.715210751760843</c:v>
                </c:pt>
                <c:pt idx="17">
                  <c:v>33.609454687888061</c:v>
                </c:pt>
                <c:pt idx="18">
                  <c:v>32.605165574536777</c:v>
                </c:pt>
                <c:pt idx="19">
                  <c:v>25.515430309385003</c:v>
                </c:pt>
                <c:pt idx="20">
                  <c:v>20.983910926250022</c:v>
                </c:pt>
                <c:pt idx="21">
                  <c:v>17.745609061253891</c:v>
                </c:pt>
                <c:pt idx="22">
                  <c:v>15.326674965889035</c:v>
                </c:pt>
                <c:pt idx="23">
                  <c:v>13.458471328364539</c:v>
                </c:pt>
                <c:pt idx="24">
                  <c:v>11.972931864177671</c:v>
                </c:pt>
                <c:pt idx="25">
                  <c:v>10.760923297687635</c:v>
                </c:pt>
                <c:pt idx="26">
                  <c:v>9.7495401802395971</c:v>
                </c:pt>
                <c:pt idx="27">
                  <c:v>8.8887517003955878</c:v>
                </c:pt>
                <c:pt idx="28">
                  <c:v>3.9638037628540737</c:v>
                </c:pt>
                <c:pt idx="29">
                  <c:v>1.2430615473677529</c:v>
                </c:pt>
                <c:pt idx="30">
                  <c:v>-0.80545430037258237</c:v>
                </c:pt>
                <c:pt idx="31">
                  <c:v>-2.4852620531439364</c:v>
                </c:pt>
                <c:pt idx="32">
                  <c:v>-3.9129067161460416</c:v>
                </c:pt>
                <c:pt idx="33">
                  <c:v>-5.153381222703004</c:v>
                </c:pt>
                <c:pt idx="34">
                  <c:v>-6.2491051534918576</c:v>
                </c:pt>
                <c:pt idx="35">
                  <c:v>-7.2297890982826472</c:v>
                </c:pt>
                <c:pt idx="36">
                  <c:v>-8.117108383481547</c:v>
                </c:pt>
                <c:pt idx="37">
                  <c:v>-14.176213626880678</c:v>
                </c:pt>
                <c:pt idx="38">
                  <c:v>-18.019802206739254</c:v>
                </c:pt>
                <c:pt idx="39">
                  <c:v>-21.117596885535882</c:v>
                </c:pt>
                <c:pt idx="40">
                  <c:v>-23.95819148497602</c:v>
                </c:pt>
                <c:pt idx="41">
                  <c:v>-26.711991924808615</c:v>
                </c:pt>
                <c:pt idx="42">
                  <c:v>-29.403663238332118</c:v>
                </c:pt>
                <c:pt idx="43">
                  <c:v>-32.005558409166184</c:v>
                </c:pt>
                <c:pt idx="44">
                  <c:v>-34.487359241121148</c:v>
                </c:pt>
                <c:pt idx="45">
                  <c:v>-36.832078164093673</c:v>
                </c:pt>
                <c:pt idx="46">
                  <c:v>-53.846231674008244</c:v>
                </c:pt>
                <c:pt idx="47">
                  <c:v>-64.277759526123276</c:v>
                </c:pt>
                <c:pt idx="48">
                  <c:v>-71.732937605110891</c:v>
                </c:pt>
                <c:pt idx="49">
                  <c:v>-77.529546096984973</c:v>
                </c:pt>
                <c:pt idx="50">
                  <c:v>-82.270930963279142</c:v>
                </c:pt>
                <c:pt idx="51">
                  <c:v>-86.28211350839166</c:v>
                </c:pt>
                <c:pt idx="52">
                  <c:v>-89.758018931002098</c:v>
                </c:pt>
                <c:pt idx="53">
                  <c:v>-92.824712258247217</c:v>
                </c:pt>
                <c:pt idx="54">
                  <c:v>-95.568412455175007</c:v>
                </c:pt>
              </c:numCache>
            </c:numRef>
          </c:yVal>
          <c:smooth val="0"/>
          <c:extLst>
            <c:ext xmlns:c16="http://schemas.microsoft.com/office/drawing/2014/chart" uri="{C3380CC4-5D6E-409C-BE32-E72D297353CC}">
              <c16:uniqueId val="{00000000-78F6-4F9E-A5CC-2AB5793821F1}"/>
            </c:ext>
          </c:extLst>
        </c:ser>
        <c:ser>
          <c:idx val="2"/>
          <c:order val="2"/>
          <c:tx>
            <c:v>FPPlant</c:v>
          </c:tx>
          <c:spPr>
            <a:ln>
              <a:solidFill>
                <a:schemeClr val="tx1"/>
              </a:solidFill>
            </a:ln>
          </c:spPr>
          <c:marker>
            <c:symbol val="x"/>
            <c:size val="9"/>
            <c:spPr>
              <a:noFill/>
              <a:ln w="31750">
                <a:solidFill>
                  <a:srgbClr val="FF0000"/>
                </a:solidFill>
              </a:ln>
            </c:spPr>
          </c:marker>
          <c:dPt>
            <c:idx val="0"/>
            <c:marker>
              <c:symbol val="x"/>
              <c:size val="12"/>
            </c:marker>
            <c:bubble3D val="0"/>
            <c:spPr>
              <a:ln w="25400">
                <a:solidFill>
                  <a:schemeClr val="tx1"/>
                </a:solidFill>
              </a:ln>
            </c:spPr>
            <c:extLst>
              <c:ext xmlns:c16="http://schemas.microsoft.com/office/drawing/2014/chart" uri="{C3380CC4-5D6E-409C-BE32-E72D297353CC}">
                <c16:uniqueId val="{00000002-78F6-4F9E-A5CC-2AB5793821F1}"/>
              </c:ext>
            </c:extLst>
          </c:dPt>
          <c:dLbls>
            <c:dLbl>
              <c:idx val="0"/>
              <c:tx>
                <c:rich>
                  <a:bodyPr/>
                  <a:lstStyle/>
                  <a:p>
                    <a:r>
                      <a:rPr lang="en-US" sz="1400" b="1"/>
                      <a:t>F</a:t>
                    </a:r>
                    <a:r>
                      <a:rPr lang="en-US" sz="1400" b="1" baseline="-25000"/>
                      <a:t>Pplant</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8F6-4F9E-A5CC-2AB5793821F1}"/>
                </c:ext>
              </c:extLst>
            </c:dLbl>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Compensation!$B$137</c:f>
              <c:numCache>
                <c:formatCode>0.00</c:formatCode>
                <c:ptCount val="1"/>
                <c:pt idx="0">
                  <c:v>381.93112410064475</c:v>
                </c:pt>
              </c:numCache>
            </c:numRef>
          </c:xVal>
          <c:yVal>
            <c:numRef>
              <c:f>Compensation!$Y$137</c:f>
              <c:numCache>
                <c:formatCode>General</c:formatCode>
                <c:ptCount val="1"/>
                <c:pt idx="0">
                  <c:v>18.259992896373916</c:v>
                </c:pt>
              </c:numCache>
            </c:numRef>
          </c:yVal>
          <c:smooth val="0"/>
          <c:extLst>
            <c:ext xmlns:c16="http://schemas.microsoft.com/office/drawing/2014/chart" uri="{C3380CC4-5D6E-409C-BE32-E72D297353CC}">
              <c16:uniqueId val="{00000003-78F6-4F9E-A5CC-2AB5793821F1}"/>
            </c:ext>
          </c:extLst>
        </c:ser>
        <c:ser>
          <c:idx val="3"/>
          <c:order val="3"/>
          <c:tx>
            <c:v>Fzcomp</c:v>
          </c:tx>
          <c:marker>
            <c:symbol val="circle"/>
            <c:size val="9"/>
            <c:spPr>
              <a:noFill/>
              <a:ln w="22225">
                <a:solidFill>
                  <a:schemeClr val="tx1"/>
                </a:solidFill>
              </a:ln>
            </c:spPr>
          </c:marker>
          <c:dLbls>
            <c:dLbl>
              <c:idx val="0"/>
              <c:tx>
                <c:rich>
                  <a:bodyPr/>
                  <a:lstStyle/>
                  <a:p>
                    <a:r>
                      <a:rPr lang="en-US" sz="1400" b="1"/>
                      <a:t>F</a:t>
                    </a:r>
                    <a:r>
                      <a:rPr lang="en-US" sz="1400" b="1" baseline="-25000"/>
                      <a:t>Zcomp</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8F6-4F9E-A5CC-2AB5793821F1}"/>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Compensation!$B$135</c:f>
              <c:numCache>
                <c:formatCode>General</c:formatCode>
                <c:ptCount val="1"/>
                <c:pt idx="0">
                  <c:v>497.35919716217302</c:v>
                </c:pt>
              </c:numCache>
            </c:numRef>
          </c:xVal>
          <c:yVal>
            <c:numRef>
              <c:f>Compensation!$Y$135</c:f>
              <c:numCache>
                <c:formatCode>General</c:formatCode>
                <c:ptCount val="1"/>
                <c:pt idx="0">
                  <c:v>15.382560505112263</c:v>
                </c:pt>
              </c:numCache>
            </c:numRef>
          </c:yVal>
          <c:smooth val="0"/>
          <c:extLst>
            <c:ext xmlns:c16="http://schemas.microsoft.com/office/drawing/2014/chart" uri="{C3380CC4-5D6E-409C-BE32-E72D297353CC}">
              <c16:uniqueId val="{00000005-78F6-4F9E-A5CC-2AB5793821F1}"/>
            </c:ext>
          </c:extLst>
        </c:ser>
        <c:ser>
          <c:idx val="4"/>
          <c:order val="4"/>
          <c:tx>
            <c:v>Fpcomp</c:v>
          </c:tx>
          <c:marker>
            <c:symbol val="x"/>
            <c:size val="10"/>
            <c:spPr>
              <a:ln w="25400">
                <a:solidFill>
                  <a:schemeClr val="tx1"/>
                </a:solidFill>
              </a:ln>
            </c:spPr>
          </c:marker>
          <c:dLbls>
            <c:dLbl>
              <c:idx val="0"/>
              <c:tx>
                <c:rich>
                  <a:bodyPr/>
                  <a:lstStyle/>
                  <a:p>
                    <a:r>
                      <a:rPr lang="en-US" sz="1200" b="1"/>
                      <a:t>F</a:t>
                    </a:r>
                    <a:r>
                      <a:rPr lang="en-US" sz="1200" b="1" baseline="-25000"/>
                      <a:t>Pcomp</a:t>
                    </a:r>
                    <a:endParaRPr lang="en-US" b="1"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8F6-4F9E-A5CC-2AB5793821F1}"/>
                </c:ext>
              </c:extLst>
            </c:dLbl>
            <c:spPr>
              <a:noFill/>
              <a:ln>
                <a:noFill/>
              </a:ln>
              <a:effectLst/>
            </c:spPr>
            <c:txPr>
              <a:bodyPr/>
              <a:lstStyle/>
              <a:p>
                <a:pPr>
                  <a:defRPr sz="12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Compensation!$B$136</c:f>
              <c:numCache>
                <c:formatCode>General</c:formatCode>
                <c:ptCount val="1"/>
                <c:pt idx="0">
                  <c:v>1989.4367886486921</c:v>
                </c:pt>
              </c:numCache>
            </c:numRef>
          </c:xVal>
          <c:yVal>
            <c:numRef>
              <c:f>Compensation!$Y$136</c:f>
              <c:numCache>
                <c:formatCode>General</c:formatCode>
                <c:ptCount val="1"/>
                <c:pt idx="0">
                  <c:v>3.9988691368865843</c:v>
                </c:pt>
              </c:numCache>
            </c:numRef>
          </c:yVal>
          <c:smooth val="0"/>
          <c:extLst>
            <c:ext xmlns:c16="http://schemas.microsoft.com/office/drawing/2014/chart" uri="{C3380CC4-5D6E-409C-BE32-E72D297353CC}">
              <c16:uniqueId val="{00000007-78F6-4F9E-A5CC-2AB5793821F1}"/>
            </c:ext>
          </c:extLst>
        </c:ser>
        <c:dLbls>
          <c:showLegendKey val="0"/>
          <c:showVal val="0"/>
          <c:showCatName val="0"/>
          <c:showSerName val="0"/>
          <c:showPercent val="0"/>
          <c:showBubbleSize val="0"/>
        </c:dLbls>
        <c:axId val="187990400"/>
        <c:axId val="187992320"/>
      </c:scatterChart>
      <c:scatterChart>
        <c:scatterStyle val="lineMarker"/>
        <c:varyColors val="0"/>
        <c:ser>
          <c:idx val="1"/>
          <c:order val="1"/>
          <c:tx>
            <c:v>Phase</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Compensation!$Z$79:$Z$133</c:f>
              <c:numCache>
                <c:formatCode>General</c:formatCode>
                <c:ptCount val="55"/>
                <c:pt idx="0">
                  <c:v>89.894958890472466</c:v>
                </c:pt>
                <c:pt idx="1">
                  <c:v>89.789925273429446</c:v>
                </c:pt>
                <c:pt idx="2">
                  <c:v>89.684906639604193</c:v>
                </c:pt>
                <c:pt idx="3">
                  <c:v>89.579910476228434</c:v>
                </c:pt>
                <c:pt idx="4">
                  <c:v>89.474944265283924</c:v>
                </c:pt>
                <c:pt idx="5">
                  <c:v>89.370015481756894</c:v>
                </c:pt>
                <c:pt idx="6">
                  <c:v>89.265131591896235</c:v>
                </c:pt>
                <c:pt idx="7">
                  <c:v>89.160300051476412</c:v>
                </c:pt>
                <c:pt idx="8">
                  <c:v>89.055528304065987</c:v>
                </c:pt>
                <c:pt idx="9">
                  <c:v>88.95082377930278</c:v>
                </c:pt>
                <c:pt idx="10">
                  <c:v>87.90909692713582</c:v>
                </c:pt>
                <c:pt idx="11">
                  <c:v>86.882096764145473</c:v>
                </c:pt>
                <c:pt idx="12">
                  <c:v>85.876765595248656</c:v>
                </c:pt>
                <c:pt idx="13">
                  <c:v>84.899565033798581</c:v>
                </c:pt>
                <c:pt idx="14">
                  <c:v>83.956354224222366</c:v>
                </c:pt>
                <c:pt idx="15">
                  <c:v>83.052296459631734</c:v>
                </c:pt>
                <c:pt idx="16">
                  <c:v>82.191796363683551</c:v>
                </c:pt>
                <c:pt idx="17">
                  <c:v>81.378467547927272</c:v>
                </c:pt>
                <c:pt idx="18">
                  <c:v>80.615128705012367</c:v>
                </c:pt>
                <c:pt idx="19">
                  <c:v>75.870201452785366</c:v>
                </c:pt>
                <c:pt idx="20">
                  <c:v>75.374039255772786</c:v>
                </c:pt>
                <c:pt idx="21">
                  <c:v>77.092165454603489</c:v>
                </c:pt>
                <c:pt idx="22">
                  <c:v>79.632085999640566</c:v>
                </c:pt>
                <c:pt idx="23">
                  <c:v>82.303533753361222</c:v>
                </c:pt>
                <c:pt idx="24">
                  <c:v>84.809339229855155</c:v>
                </c:pt>
                <c:pt idx="25">
                  <c:v>87.040428667690364</c:v>
                </c:pt>
                <c:pt idx="26">
                  <c:v>88.972372987022283</c:v>
                </c:pt>
                <c:pt idx="27">
                  <c:v>90.616874464314691</c:v>
                </c:pt>
                <c:pt idx="28">
                  <c:v>96.944903780339274</c:v>
                </c:pt>
                <c:pt idx="29">
                  <c:v>95.972924895182558</c:v>
                </c:pt>
                <c:pt idx="30">
                  <c:v>93.588446562375623</c:v>
                </c:pt>
                <c:pt idx="31">
                  <c:v>91.088318069374679</c:v>
                </c:pt>
                <c:pt idx="32">
                  <c:v>88.730535868390049</c:v>
                </c:pt>
                <c:pt idx="33">
                  <c:v>86.539155541884227</c:v>
                </c:pt>
                <c:pt idx="34">
                  <c:v>84.489584647995841</c:v>
                </c:pt>
                <c:pt idx="35">
                  <c:v>82.552254276685716</c:v>
                </c:pt>
                <c:pt idx="36">
                  <c:v>80.702077461729147</c:v>
                </c:pt>
                <c:pt idx="37">
                  <c:v>64.294697594849637</c:v>
                </c:pt>
                <c:pt idx="38">
                  <c:v>48.871042550816298</c:v>
                </c:pt>
                <c:pt idx="39">
                  <c:v>33.689385316235608</c:v>
                </c:pt>
                <c:pt idx="40">
                  <c:v>19.179992358315211</c:v>
                </c:pt>
                <c:pt idx="41">
                  <c:v>5.9803799006925349</c:v>
                </c:pt>
                <c:pt idx="42">
                  <c:v>-5.4970418344836505</c:v>
                </c:pt>
                <c:pt idx="43">
                  <c:v>-15.1814381590357</c:v>
                </c:pt>
                <c:pt idx="44">
                  <c:v>-23.237501298809928</c:v>
                </c:pt>
                <c:pt idx="45">
                  <c:v>-29.921828193238454</c:v>
                </c:pt>
                <c:pt idx="46">
                  <c:v>-60.6519900221233</c:v>
                </c:pt>
                <c:pt idx="47">
                  <c:v>-70.611528409218849</c:v>
                </c:pt>
                <c:pt idx="48">
                  <c:v>-75.510610949357158</c:v>
                </c:pt>
                <c:pt idx="49">
                  <c:v>-78.428511585453251</c:v>
                </c:pt>
                <c:pt idx="50">
                  <c:v>-80.366329475932119</c:v>
                </c:pt>
                <c:pt idx="51">
                  <c:v>-81.74739215181647</c:v>
                </c:pt>
                <c:pt idx="52">
                  <c:v>-82.78172546730103</c:v>
                </c:pt>
                <c:pt idx="53">
                  <c:v>-83.585443508991347</c:v>
                </c:pt>
                <c:pt idx="54">
                  <c:v>-84.227988753171985</c:v>
                </c:pt>
              </c:numCache>
            </c:numRef>
          </c:yVal>
          <c:smooth val="0"/>
          <c:extLst>
            <c:ext xmlns:c16="http://schemas.microsoft.com/office/drawing/2014/chart" uri="{C3380CC4-5D6E-409C-BE32-E72D297353CC}">
              <c16:uniqueId val="{00000008-78F6-4F9E-A5CC-2AB5793821F1}"/>
            </c:ext>
          </c:extLst>
        </c:ser>
        <c:dLbls>
          <c:showLegendKey val="0"/>
          <c:showVal val="0"/>
          <c:showCatName val="0"/>
          <c:showSerName val="0"/>
          <c:showPercent val="0"/>
          <c:showBubbleSize val="0"/>
        </c:dLbls>
        <c:axId val="195000960"/>
        <c:axId val="188226176"/>
      </c:scatterChart>
      <c:valAx>
        <c:axId val="187990400"/>
        <c:scaling>
          <c:logBase val="10"/>
          <c:orientation val="minMax"/>
          <c:min val="10"/>
        </c:scaling>
        <c:delete val="0"/>
        <c:axPos val="b"/>
        <c:majorGridlines/>
        <c:minorGridlines/>
        <c:title>
          <c:tx>
            <c:rich>
              <a:bodyPr/>
              <a:lstStyle/>
              <a:p>
                <a:pPr>
                  <a:defRPr/>
                </a:pPr>
                <a:r>
                  <a:rPr lang="en-US"/>
                  <a:t>Frequency</a:t>
                </a:r>
                <a:r>
                  <a:rPr lang="en-US" baseline="0"/>
                  <a:t> (Hz)</a:t>
                </a:r>
                <a:endParaRPr lang="en-US"/>
              </a:p>
            </c:rich>
          </c:tx>
          <c:overlay val="0"/>
        </c:title>
        <c:numFmt formatCode="General" sourceLinked="1"/>
        <c:majorTickMark val="out"/>
        <c:minorTickMark val="cross"/>
        <c:tickLblPos val="low"/>
        <c:crossAx val="187992320"/>
        <c:crosses val="autoZero"/>
        <c:crossBetween val="midCat"/>
      </c:valAx>
      <c:valAx>
        <c:axId val="187992320"/>
        <c:scaling>
          <c:orientation val="minMax"/>
          <c:max val="60"/>
          <c:min val="-40"/>
        </c:scaling>
        <c:delete val="0"/>
        <c:axPos val="l"/>
        <c:majorGridlines/>
        <c:title>
          <c:tx>
            <c:rich>
              <a:bodyPr rot="-5400000" vert="horz"/>
              <a:lstStyle/>
              <a:p>
                <a:pPr>
                  <a:defRPr/>
                </a:pPr>
                <a:r>
                  <a:rPr lang="en-US"/>
                  <a:t>Loop Gain (dB)</a:t>
                </a:r>
              </a:p>
            </c:rich>
          </c:tx>
          <c:overlay val="0"/>
        </c:title>
        <c:numFmt formatCode="General" sourceLinked="1"/>
        <c:majorTickMark val="out"/>
        <c:minorTickMark val="none"/>
        <c:tickLblPos val="nextTo"/>
        <c:crossAx val="187990400"/>
        <c:crosses val="autoZero"/>
        <c:crossBetween val="midCat"/>
        <c:majorUnit val="20"/>
      </c:valAx>
      <c:valAx>
        <c:axId val="188226176"/>
        <c:scaling>
          <c:orientation val="minMax"/>
          <c:max val="180"/>
          <c:min val="-180"/>
        </c:scaling>
        <c:delete val="0"/>
        <c:axPos val="r"/>
        <c:title>
          <c:tx>
            <c:rich>
              <a:bodyPr rot="-5400000" vert="horz"/>
              <a:lstStyle/>
              <a:p>
                <a:pPr>
                  <a:defRPr/>
                </a:pPr>
                <a:r>
                  <a:rPr lang="en-US"/>
                  <a:t>Loop Phase Margin (deg)</a:t>
                </a:r>
              </a:p>
            </c:rich>
          </c:tx>
          <c:overlay val="0"/>
        </c:title>
        <c:numFmt formatCode="General" sourceLinked="1"/>
        <c:majorTickMark val="out"/>
        <c:minorTickMark val="none"/>
        <c:tickLblPos val="nextTo"/>
        <c:crossAx val="195000960"/>
        <c:crosses val="max"/>
        <c:crossBetween val="midCat"/>
        <c:majorUnit val="45"/>
      </c:valAx>
      <c:valAx>
        <c:axId val="195000960"/>
        <c:scaling>
          <c:logBase val="10"/>
          <c:orientation val="minMax"/>
        </c:scaling>
        <c:delete val="1"/>
        <c:axPos val="b"/>
        <c:numFmt formatCode="General" sourceLinked="1"/>
        <c:majorTickMark val="out"/>
        <c:minorTickMark val="none"/>
        <c:tickLblPos val="nextTo"/>
        <c:crossAx val="188226176"/>
        <c:crosses val="autoZero"/>
        <c:crossBetween val="midCat"/>
      </c:valAx>
    </c:plotArea>
    <c:legend>
      <c:legendPos val="l"/>
      <c:legendEntry>
        <c:idx val="1"/>
        <c:delete val="1"/>
      </c:legendEntry>
      <c:legendEntry>
        <c:idx val="2"/>
        <c:delete val="1"/>
      </c:legendEntry>
      <c:legendEntry>
        <c:idx val="3"/>
        <c:delete val="1"/>
      </c:legendEntry>
      <c:layout>
        <c:manualLayout>
          <c:xMode val="edge"/>
          <c:yMode val="edge"/>
          <c:x val="0.79304241813100085"/>
          <c:y val="2.6664513567886527E-2"/>
          <c:w val="0.11678001490904641"/>
          <c:h val="9.5033720657239265E-2"/>
        </c:manualLayout>
      </c:layout>
      <c:overlay val="1"/>
      <c:spPr>
        <a:noFill/>
      </c:sp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Boost Mode Voltage Loop  </a:t>
            </a:r>
            <a:endParaRPr lang="en-US"/>
          </a:p>
        </c:rich>
      </c:tx>
      <c:overlay val="0"/>
    </c:title>
    <c:autoTitleDeleted val="0"/>
    <c:plotArea>
      <c:layout/>
      <c:scatterChart>
        <c:scatterStyle val="lineMarker"/>
        <c:varyColors val="0"/>
        <c:ser>
          <c:idx val="0"/>
          <c:order val="0"/>
          <c:tx>
            <c:v>Gain</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Compensation!$Y$169:$Y$223</c:f>
              <c:numCache>
                <c:formatCode>General</c:formatCode>
                <c:ptCount val="55"/>
                <c:pt idx="0">
                  <c:v>74.602017853095944</c:v>
                </c:pt>
                <c:pt idx="1">
                  <c:v>68.581195331740176</c:v>
                </c:pt>
                <c:pt idx="2">
                  <c:v>65.058999267678345</c:v>
                </c:pt>
                <c:pt idx="3">
                  <c:v>62.559705573279665</c:v>
                </c:pt>
                <c:pt idx="4">
                  <c:v>60.620838545061773</c:v>
                </c:pt>
                <c:pt idx="5">
                  <c:v>59.036399401201002</c:v>
                </c:pt>
                <c:pt idx="6">
                  <c:v>57.696502358851461</c:v>
                </c:pt>
                <c:pt idx="7">
                  <c:v>56.535555647240976</c:v>
                </c:pt>
                <c:pt idx="8">
                  <c:v>55.511251484251773</c:v>
                </c:pt>
                <c:pt idx="9">
                  <c:v>54.594702672413376</c:v>
                </c:pt>
                <c:pt idx="10">
                  <c:v>48.552317868445165</c:v>
                </c:pt>
                <c:pt idx="11">
                  <c:v>44.99541345512776</c:v>
                </c:pt>
                <c:pt idx="12">
                  <c:v>42.449949285824758</c:v>
                </c:pt>
                <c:pt idx="13">
                  <c:v>40.455525442536839</c:v>
                </c:pt>
                <c:pt idx="14">
                  <c:v>38.808401749546221</c:v>
                </c:pt>
                <c:pt idx="15">
                  <c:v>37.400941910236646</c:v>
                </c:pt>
                <c:pt idx="16">
                  <c:v>36.16964350783126</c:v>
                </c:pt>
                <c:pt idx="17">
                  <c:v>35.074027979447997</c:v>
                </c:pt>
                <c:pt idx="18">
                  <c:v>34.086726589012891</c:v>
                </c:pt>
                <c:pt idx="19">
                  <c:v>27.512018145571279</c:v>
                </c:pt>
                <c:pt idx="20">
                  <c:v>23.742329519593547</c:v>
                </c:pt>
                <c:pt idx="21">
                  <c:v>21.151627358532046</c:v>
                </c:pt>
                <c:pt idx="22">
                  <c:v>19.192081118558207</c:v>
                </c:pt>
                <c:pt idx="23">
                  <c:v>17.621029330827547</c:v>
                </c:pt>
                <c:pt idx="24">
                  <c:v>16.31167647126642</c:v>
                </c:pt>
                <c:pt idx="25">
                  <c:v>15.189913495054178</c:v>
                </c:pt>
                <c:pt idx="26">
                  <c:v>14.208904912008</c:v>
                </c:pt>
                <c:pt idx="27">
                  <c:v>13.337320913734153</c:v>
                </c:pt>
                <c:pt idx="28">
                  <c:v>7.7342261887655184</c:v>
                </c:pt>
                <c:pt idx="29">
                  <c:v>4.6457548713280588</c:v>
                </c:pt>
                <c:pt idx="30">
                  <c:v>2.6483359864251459</c:v>
                </c:pt>
                <c:pt idx="31">
                  <c:v>1.2745192290298692</c:v>
                </c:pt>
                <c:pt idx="32">
                  <c:v>0.30006616788602813</c:v>
                </c:pt>
                <c:pt idx="33">
                  <c:v>-0.40277773300538544</c:v>
                </c:pt>
                <c:pt idx="34">
                  <c:v>-0.91383561146473224</c:v>
                </c:pt>
                <c:pt idx="35">
                  <c:v>-1.2857653509531353</c:v>
                </c:pt>
                <c:pt idx="36">
                  <c:v>-1.5545688663125508</c:v>
                </c:pt>
                <c:pt idx="37">
                  <c:v>-1.8608187468798305</c:v>
                </c:pt>
                <c:pt idx="38">
                  <c:v>-1.0882294180940275</c:v>
                </c:pt>
                <c:pt idx="39">
                  <c:v>-0.46826953881261701</c:v>
                </c:pt>
                <c:pt idx="40">
                  <c:v>-0.25439295355782554</c:v>
                </c:pt>
                <c:pt idx="41">
                  <c:v>-0.43318666079938906</c:v>
                </c:pt>
                <c:pt idx="42">
                  <c:v>-0.89614526533353733</c:v>
                </c:pt>
                <c:pt idx="43">
                  <c:v>-1.5295625894919516</c:v>
                </c:pt>
                <c:pt idx="44">
                  <c:v>-2.2496417357292047</c:v>
                </c:pt>
                <c:pt idx="45">
                  <c:v>-3.0042135978351587</c:v>
                </c:pt>
                <c:pt idx="46">
                  <c:v>-9.7593703468982245</c:v>
                </c:pt>
                <c:pt idx="47">
                  <c:v>-14.83256833810583</c:v>
                </c:pt>
                <c:pt idx="48">
                  <c:v>-18.883548441760077</c:v>
                </c:pt>
                <c:pt idx="49">
                  <c:v>-22.245065036849926</c:v>
                </c:pt>
                <c:pt idx="50">
                  <c:v>-25.105905309538045</c:v>
                </c:pt>
                <c:pt idx="51">
                  <c:v>-27.58839909242052</c:v>
                </c:pt>
                <c:pt idx="52">
                  <c:v>-29.776557850870301</c:v>
                </c:pt>
                <c:pt idx="53">
                  <c:v>-31.730204946158366</c:v>
                </c:pt>
                <c:pt idx="54">
                  <c:v>-33.493180872347956</c:v>
                </c:pt>
              </c:numCache>
            </c:numRef>
          </c:yVal>
          <c:smooth val="1"/>
          <c:extLst>
            <c:ext xmlns:c16="http://schemas.microsoft.com/office/drawing/2014/chart" uri="{C3380CC4-5D6E-409C-BE32-E72D297353CC}">
              <c16:uniqueId val="{00000000-9C3C-42EA-A958-A538A5401C57}"/>
            </c:ext>
          </c:extLst>
        </c:ser>
        <c:ser>
          <c:idx val="2"/>
          <c:order val="2"/>
          <c:tx>
            <c:v>FPPlant</c:v>
          </c:tx>
          <c:spPr>
            <a:ln>
              <a:solidFill>
                <a:schemeClr val="tx1"/>
              </a:solidFill>
            </a:ln>
          </c:spPr>
          <c:marker>
            <c:symbol val="x"/>
            <c:size val="9"/>
            <c:spPr>
              <a:noFill/>
              <a:ln w="31750">
                <a:solidFill>
                  <a:srgbClr val="FF0000"/>
                </a:solidFill>
              </a:ln>
            </c:spPr>
          </c:marker>
          <c:dPt>
            <c:idx val="0"/>
            <c:marker>
              <c:symbol val="x"/>
              <c:size val="12"/>
            </c:marker>
            <c:bubble3D val="0"/>
            <c:spPr>
              <a:ln w="25400">
                <a:solidFill>
                  <a:schemeClr val="tx1"/>
                </a:solidFill>
              </a:ln>
            </c:spPr>
            <c:extLst>
              <c:ext xmlns:c16="http://schemas.microsoft.com/office/drawing/2014/chart" uri="{C3380CC4-5D6E-409C-BE32-E72D297353CC}">
                <c16:uniqueId val="{00000002-9C3C-42EA-A958-A538A5401C57}"/>
              </c:ext>
            </c:extLst>
          </c:dPt>
          <c:dLbls>
            <c:dLbl>
              <c:idx val="0"/>
              <c:tx>
                <c:rich>
                  <a:bodyPr/>
                  <a:lstStyle/>
                  <a:p>
                    <a:r>
                      <a:rPr lang="en-US" sz="1400" b="1"/>
                      <a:t>F</a:t>
                    </a:r>
                    <a:r>
                      <a:rPr lang="en-US" sz="1400" b="1" baseline="-25000"/>
                      <a:t>Pplant</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3C-42EA-A958-A538A5401C57}"/>
                </c:ext>
              </c:extLst>
            </c:dLbl>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Compensation!$B$227</c:f>
              <c:numCache>
                <c:formatCode>General</c:formatCode>
                <c:ptCount val="1"/>
                <c:pt idx="0">
                  <c:v>150.35062709106711</c:v>
                </c:pt>
              </c:numCache>
            </c:numRef>
          </c:xVal>
          <c:yVal>
            <c:numRef>
              <c:f>Compensation!$Y$227</c:f>
              <c:numCache>
                <c:formatCode>General</c:formatCode>
                <c:ptCount val="1"/>
                <c:pt idx="0">
                  <c:v>30.22024873513876</c:v>
                </c:pt>
              </c:numCache>
            </c:numRef>
          </c:yVal>
          <c:smooth val="0"/>
          <c:extLst>
            <c:ext xmlns:c16="http://schemas.microsoft.com/office/drawing/2014/chart" uri="{C3380CC4-5D6E-409C-BE32-E72D297353CC}">
              <c16:uniqueId val="{00000003-9C3C-42EA-A958-A538A5401C57}"/>
            </c:ext>
          </c:extLst>
        </c:ser>
        <c:ser>
          <c:idx val="3"/>
          <c:order val="3"/>
          <c:tx>
            <c:v>Fzcomp</c:v>
          </c:tx>
          <c:marker>
            <c:symbol val="circle"/>
            <c:size val="9"/>
            <c:spPr>
              <a:noFill/>
              <a:ln w="22225">
                <a:solidFill>
                  <a:schemeClr val="tx1"/>
                </a:solidFill>
              </a:ln>
            </c:spPr>
          </c:marker>
          <c:dLbls>
            <c:dLbl>
              <c:idx val="0"/>
              <c:tx>
                <c:rich>
                  <a:bodyPr/>
                  <a:lstStyle/>
                  <a:p>
                    <a:r>
                      <a:rPr lang="en-US" sz="1400" b="1"/>
                      <a:t>F</a:t>
                    </a:r>
                    <a:r>
                      <a:rPr lang="en-US" sz="1400" b="1" baseline="-25000"/>
                      <a:t>Zcomp</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3C-42EA-A958-A538A5401C57}"/>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Compensation!$B$225</c:f>
              <c:numCache>
                <c:formatCode>0.00</c:formatCode>
                <c:ptCount val="1"/>
                <c:pt idx="0">
                  <c:v>169.31376924669715</c:v>
                </c:pt>
              </c:numCache>
            </c:numRef>
          </c:xVal>
          <c:yVal>
            <c:numRef>
              <c:f>Compensation!$Y$225</c:f>
              <c:numCache>
                <c:formatCode>General</c:formatCode>
                <c:ptCount val="1"/>
                <c:pt idx="0">
                  <c:v>29.090088861729381</c:v>
                </c:pt>
              </c:numCache>
            </c:numRef>
          </c:yVal>
          <c:smooth val="0"/>
          <c:extLst>
            <c:ext xmlns:c16="http://schemas.microsoft.com/office/drawing/2014/chart" uri="{C3380CC4-5D6E-409C-BE32-E72D297353CC}">
              <c16:uniqueId val="{00000005-9C3C-42EA-A958-A538A5401C57}"/>
            </c:ext>
          </c:extLst>
        </c:ser>
        <c:ser>
          <c:idx val="4"/>
          <c:order val="4"/>
          <c:tx>
            <c:v>Fpcomp</c:v>
          </c:tx>
          <c:marker>
            <c:symbol val="x"/>
            <c:size val="10"/>
            <c:spPr>
              <a:ln w="25400">
                <a:solidFill>
                  <a:schemeClr val="tx1"/>
                </a:solidFill>
              </a:ln>
            </c:spPr>
          </c:marker>
          <c:dLbls>
            <c:dLbl>
              <c:idx val="0"/>
              <c:tx>
                <c:rich>
                  <a:bodyPr/>
                  <a:lstStyle/>
                  <a:p>
                    <a:r>
                      <a:rPr lang="en-US" sz="1200" b="1"/>
                      <a:t>F</a:t>
                    </a:r>
                    <a:r>
                      <a:rPr lang="en-US" sz="1200" b="1" baseline="-25000"/>
                      <a:t>Pcomp</a:t>
                    </a:r>
                    <a:endParaRPr lang="en-US" b="1"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3C-42EA-A958-A538A5401C57}"/>
                </c:ext>
              </c:extLst>
            </c:dLbl>
            <c:spPr>
              <a:noFill/>
              <a:ln>
                <a:noFill/>
              </a:ln>
              <a:effectLst/>
            </c:spPr>
            <c:txPr>
              <a:bodyPr/>
              <a:lstStyle/>
              <a:p>
                <a:pPr>
                  <a:defRPr sz="12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Compensation!$B$226</c:f>
              <c:numCache>
                <c:formatCode>General</c:formatCode>
                <c:ptCount val="1"/>
                <c:pt idx="0">
                  <c:v>265258.23848649225</c:v>
                </c:pt>
              </c:numCache>
            </c:numRef>
          </c:xVal>
          <c:yVal>
            <c:numRef>
              <c:f>Compensation!$Y$226</c:f>
              <c:numCache>
                <c:formatCode>General</c:formatCode>
                <c:ptCount val="1"/>
                <c:pt idx="0">
                  <c:v>-13.210616407993268</c:v>
                </c:pt>
              </c:numCache>
            </c:numRef>
          </c:yVal>
          <c:smooth val="0"/>
          <c:extLst>
            <c:ext xmlns:c16="http://schemas.microsoft.com/office/drawing/2014/chart" uri="{C3380CC4-5D6E-409C-BE32-E72D297353CC}">
              <c16:uniqueId val="{00000007-9C3C-42EA-A958-A538A5401C57}"/>
            </c:ext>
          </c:extLst>
        </c:ser>
        <c:ser>
          <c:idx val="5"/>
          <c:order val="5"/>
          <c:tx>
            <c:v>FRHPZERO</c:v>
          </c:tx>
          <c:spPr>
            <a:ln>
              <a:solidFill>
                <a:srgbClr val="FFC000"/>
              </a:solidFill>
            </a:ln>
          </c:spPr>
          <c:marker>
            <c:symbol val="circle"/>
            <c:size val="10"/>
            <c:spPr>
              <a:noFill/>
              <a:ln w="28575">
                <a:solidFill>
                  <a:srgbClr val="FF0000"/>
                </a:solidFill>
              </a:ln>
            </c:spPr>
          </c:marker>
          <c:dLbls>
            <c:dLbl>
              <c:idx val="0"/>
              <c:tx>
                <c:rich>
                  <a:bodyPr/>
                  <a:lstStyle/>
                  <a:p>
                    <a:r>
                      <a:rPr lang="en-US" sz="1400" b="1"/>
                      <a:t>F</a:t>
                    </a:r>
                    <a:r>
                      <a:rPr lang="en-US" sz="1400" b="1" baseline="-25000"/>
                      <a:t>RHPzero</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3C-42EA-A958-A538A5401C57}"/>
                </c:ext>
              </c:extLst>
            </c:dLbl>
            <c:spPr>
              <a:noFill/>
              <a:ln>
                <a:noFill/>
              </a:ln>
              <a:effectLst/>
            </c:spPr>
            <c:txPr>
              <a:bodyPr/>
              <a:lstStyle/>
              <a:p>
                <a:pPr>
                  <a:defRPr sz="14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Compensation!$B$228</c:f>
              <c:numCache>
                <c:formatCode>General</c:formatCode>
                <c:ptCount val="1"/>
                <c:pt idx="0">
                  <c:v>27842.708720567978</c:v>
                </c:pt>
              </c:numCache>
            </c:numRef>
          </c:xVal>
          <c:yVal>
            <c:numRef>
              <c:f>Compensation!$Y$228</c:f>
              <c:numCache>
                <c:formatCode>General</c:formatCode>
                <c:ptCount val="1"/>
                <c:pt idx="0">
                  <c:v>-1.2593992555334133</c:v>
                </c:pt>
              </c:numCache>
            </c:numRef>
          </c:yVal>
          <c:smooth val="0"/>
          <c:extLst>
            <c:ext xmlns:c16="http://schemas.microsoft.com/office/drawing/2014/chart" uri="{C3380CC4-5D6E-409C-BE32-E72D297353CC}">
              <c16:uniqueId val="{00000009-9C3C-42EA-A958-A538A5401C57}"/>
            </c:ext>
          </c:extLst>
        </c:ser>
        <c:dLbls>
          <c:showLegendKey val="0"/>
          <c:showVal val="0"/>
          <c:showCatName val="0"/>
          <c:showSerName val="0"/>
          <c:showPercent val="0"/>
          <c:showBubbleSize val="0"/>
        </c:dLbls>
        <c:axId val="205768960"/>
        <c:axId val="205775616"/>
      </c:scatterChart>
      <c:scatterChart>
        <c:scatterStyle val="lineMarker"/>
        <c:varyColors val="0"/>
        <c:ser>
          <c:idx val="1"/>
          <c:order val="1"/>
          <c:tx>
            <c:v>Phase</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Compensation!$Z$169:$Z$223</c:f>
              <c:numCache>
                <c:formatCode>General</c:formatCode>
                <c:ptCount val="55"/>
                <c:pt idx="0">
                  <c:v>89.933222794453101</c:v>
                </c:pt>
                <c:pt idx="1">
                  <c:v>89.86646511400545</c:v>
                </c:pt>
                <c:pt idx="2">
                  <c:v>89.79974646663031</c:v>
                </c:pt>
                <c:pt idx="3">
                  <c:v>89.733086326081036</c:v>
                </c:pt>
                <c:pt idx="4">
                  <c:v>89.666504114860658</c:v>
                </c:pt>
                <c:pt idx="5">
                  <c:v>89.600019187286932</c:v>
                </c:pt>
                <c:pt idx="6">
                  <c:v>89.533650812683476</c:v>
                </c:pt>
                <c:pt idx="7">
                  <c:v>89.467418158729416</c:v>
                </c:pt>
                <c:pt idx="8">
                  <c:v>89.401340274994951</c:v>
                </c:pt>
                <c:pt idx="9">
                  <c:v>89.335436076696993</c:v>
                </c:pt>
                <c:pt idx="10">
                  <c:v>88.689980963840497</c:v>
                </c:pt>
                <c:pt idx="11">
                  <c:v>88.081131465359547</c:v>
                </c:pt>
                <c:pt idx="12">
                  <c:v>87.523440487891904</c:v>
                </c:pt>
                <c:pt idx="13">
                  <c:v>87.027664127018113</c:v>
                </c:pt>
                <c:pt idx="14">
                  <c:v>86.600458866201762</c:v>
                </c:pt>
                <c:pt idx="15">
                  <c:v>86.244575143948097</c:v>
                </c:pt>
                <c:pt idx="16">
                  <c:v>85.959409982568488</c:v>
                </c:pt>
                <c:pt idx="17">
                  <c:v>85.741752632374087</c:v>
                </c:pt>
                <c:pt idx="18">
                  <c:v>85.586573924414878</c:v>
                </c:pt>
                <c:pt idx="19">
                  <c:v>86.131241882970755</c:v>
                </c:pt>
                <c:pt idx="20">
                  <c:v>87.79976072681913</c:v>
                </c:pt>
                <c:pt idx="21">
                  <c:v>89.327661033977805</c:v>
                </c:pt>
                <c:pt idx="22">
                  <c:v>90.588950712032059</c:v>
                </c:pt>
                <c:pt idx="23">
                  <c:v>91.626874828321405</c:v>
                </c:pt>
                <c:pt idx="24">
                  <c:v>92.493694410071242</c:v>
                </c:pt>
                <c:pt idx="25">
                  <c:v>93.231072039731131</c:v>
                </c:pt>
                <c:pt idx="26">
                  <c:v>93.87045790358826</c:v>
                </c:pt>
                <c:pt idx="27">
                  <c:v>94.435450332599402</c:v>
                </c:pt>
                <c:pt idx="28">
                  <c:v>98.359876641741749</c:v>
                </c:pt>
                <c:pt idx="29">
                  <c:v>101.28858625567783</c:v>
                </c:pt>
                <c:pt idx="30">
                  <c:v>103.6606208400145</c:v>
                </c:pt>
                <c:pt idx="31">
                  <c:v>105.44591847174294</c:v>
                </c:pt>
                <c:pt idx="32">
                  <c:v>106.64060102029283</c:v>
                </c:pt>
                <c:pt idx="33">
                  <c:v>107.28062244452782</c:v>
                </c:pt>
                <c:pt idx="34">
                  <c:v>107.42376158015736</c:v>
                </c:pt>
                <c:pt idx="35">
                  <c:v>107.13518635375145</c:v>
                </c:pt>
                <c:pt idx="36">
                  <c:v>106.47887025055255</c:v>
                </c:pt>
                <c:pt idx="37">
                  <c:v>89.288788016000936</c:v>
                </c:pt>
                <c:pt idx="38">
                  <c:v>66.451167387536088</c:v>
                </c:pt>
                <c:pt idx="39">
                  <c:v>43.992107057565015</c:v>
                </c:pt>
                <c:pt idx="40">
                  <c:v>23.396610782762245</c:v>
                </c:pt>
                <c:pt idx="41">
                  <c:v>5.2976276053459666</c:v>
                </c:pt>
                <c:pt idx="42">
                  <c:v>-10.159632609740862</c:v>
                </c:pt>
                <c:pt idx="43">
                  <c:v>-23.19291393856394</c:v>
                </c:pt>
                <c:pt idx="44">
                  <c:v>-34.183113482555115</c:v>
                </c:pt>
                <c:pt idx="45">
                  <c:v>-43.52312831209764</c:v>
                </c:pt>
                <c:pt idx="46">
                  <c:v>-93.894060798137332</c:v>
                </c:pt>
                <c:pt idx="47">
                  <c:v>-116.55171889755469</c:v>
                </c:pt>
                <c:pt idx="48">
                  <c:v>-130.00857699725319</c:v>
                </c:pt>
                <c:pt idx="49">
                  <c:v>-138.91253443262428</c:v>
                </c:pt>
                <c:pt idx="50">
                  <c:v>-145.20477211322415</c:v>
                </c:pt>
                <c:pt idx="51">
                  <c:v>-149.86754902091425</c:v>
                </c:pt>
                <c:pt idx="52">
                  <c:v>-153.45108561178222</c:v>
                </c:pt>
                <c:pt idx="53">
                  <c:v>-156.28591275785729</c:v>
                </c:pt>
                <c:pt idx="54">
                  <c:v>-158.58159856341337</c:v>
                </c:pt>
              </c:numCache>
            </c:numRef>
          </c:yVal>
          <c:smooth val="1"/>
          <c:extLst>
            <c:ext xmlns:c16="http://schemas.microsoft.com/office/drawing/2014/chart" uri="{C3380CC4-5D6E-409C-BE32-E72D297353CC}">
              <c16:uniqueId val="{0000000A-9C3C-42EA-A958-A538A5401C57}"/>
            </c:ext>
          </c:extLst>
        </c:ser>
        <c:dLbls>
          <c:showLegendKey val="0"/>
          <c:showVal val="0"/>
          <c:showCatName val="0"/>
          <c:showSerName val="0"/>
          <c:showPercent val="0"/>
          <c:showBubbleSize val="0"/>
        </c:dLbls>
        <c:axId val="205821440"/>
        <c:axId val="205777920"/>
      </c:scatterChart>
      <c:valAx>
        <c:axId val="205768960"/>
        <c:scaling>
          <c:logBase val="10"/>
          <c:orientation val="minMax"/>
          <c:min val="10"/>
        </c:scaling>
        <c:delete val="0"/>
        <c:axPos val="b"/>
        <c:majorGridlines/>
        <c:minorGridlines/>
        <c:title>
          <c:tx>
            <c:rich>
              <a:bodyPr/>
              <a:lstStyle/>
              <a:p>
                <a:pPr>
                  <a:defRPr/>
                </a:pPr>
                <a:r>
                  <a:rPr lang="en-US"/>
                  <a:t>Frequency</a:t>
                </a:r>
                <a:r>
                  <a:rPr lang="en-US" baseline="0"/>
                  <a:t> (Hz)</a:t>
                </a:r>
                <a:endParaRPr lang="en-US"/>
              </a:p>
            </c:rich>
          </c:tx>
          <c:overlay val="0"/>
        </c:title>
        <c:numFmt formatCode="General" sourceLinked="1"/>
        <c:majorTickMark val="out"/>
        <c:minorTickMark val="cross"/>
        <c:tickLblPos val="low"/>
        <c:crossAx val="205775616"/>
        <c:crosses val="autoZero"/>
        <c:crossBetween val="midCat"/>
      </c:valAx>
      <c:valAx>
        <c:axId val="205775616"/>
        <c:scaling>
          <c:orientation val="minMax"/>
          <c:max val="60"/>
          <c:min val="-40"/>
        </c:scaling>
        <c:delete val="0"/>
        <c:axPos val="l"/>
        <c:majorGridlines/>
        <c:title>
          <c:tx>
            <c:rich>
              <a:bodyPr rot="-5400000" vert="horz"/>
              <a:lstStyle/>
              <a:p>
                <a:pPr>
                  <a:defRPr/>
                </a:pPr>
                <a:r>
                  <a:rPr lang="en-US"/>
                  <a:t>Loop Gain (dB)</a:t>
                </a:r>
              </a:p>
            </c:rich>
          </c:tx>
          <c:overlay val="0"/>
        </c:title>
        <c:numFmt formatCode="General" sourceLinked="1"/>
        <c:majorTickMark val="out"/>
        <c:minorTickMark val="none"/>
        <c:tickLblPos val="nextTo"/>
        <c:crossAx val="205768960"/>
        <c:crosses val="autoZero"/>
        <c:crossBetween val="midCat"/>
        <c:majorUnit val="20"/>
      </c:valAx>
      <c:valAx>
        <c:axId val="205777920"/>
        <c:scaling>
          <c:orientation val="minMax"/>
          <c:max val="180"/>
          <c:min val="-180"/>
        </c:scaling>
        <c:delete val="0"/>
        <c:axPos val="r"/>
        <c:title>
          <c:tx>
            <c:rich>
              <a:bodyPr rot="-5400000" vert="horz"/>
              <a:lstStyle/>
              <a:p>
                <a:pPr>
                  <a:defRPr/>
                </a:pPr>
                <a:r>
                  <a:rPr lang="en-US"/>
                  <a:t>Loop Phase Margin (deg)</a:t>
                </a:r>
              </a:p>
            </c:rich>
          </c:tx>
          <c:overlay val="0"/>
        </c:title>
        <c:numFmt formatCode="General" sourceLinked="1"/>
        <c:majorTickMark val="out"/>
        <c:minorTickMark val="none"/>
        <c:tickLblPos val="nextTo"/>
        <c:crossAx val="205821440"/>
        <c:crosses val="max"/>
        <c:crossBetween val="midCat"/>
        <c:majorUnit val="45"/>
      </c:valAx>
      <c:valAx>
        <c:axId val="205821440"/>
        <c:scaling>
          <c:logBase val="10"/>
          <c:orientation val="minMax"/>
        </c:scaling>
        <c:delete val="1"/>
        <c:axPos val="b"/>
        <c:numFmt formatCode="General" sourceLinked="1"/>
        <c:majorTickMark val="out"/>
        <c:minorTickMark val="none"/>
        <c:tickLblPos val="nextTo"/>
        <c:crossAx val="205777920"/>
        <c:crosses val="autoZero"/>
        <c:crossBetween val="midCat"/>
      </c:valAx>
    </c:plotArea>
    <c:legend>
      <c:legendPos val="l"/>
      <c:legendEntry>
        <c:idx val="1"/>
        <c:delete val="1"/>
      </c:legendEntry>
      <c:legendEntry>
        <c:idx val="2"/>
        <c:delete val="1"/>
      </c:legendEntry>
      <c:legendEntry>
        <c:idx val="3"/>
        <c:delete val="1"/>
      </c:legendEntry>
      <c:legendEntry>
        <c:idx val="4"/>
        <c:delete val="1"/>
      </c:legendEntry>
      <c:layout>
        <c:manualLayout>
          <c:xMode val="edge"/>
          <c:yMode val="edge"/>
          <c:x val="0.79304241813100085"/>
          <c:y val="2.6664513567886527E-2"/>
          <c:w val="9.4543330754408461E-2"/>
          <c:h val="0.12361639853858421"/>
        </c:manualLayout>
      </c:layout>
      <c:overlay val="1"/>
      <c:spPr>
        <a:noFill/>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Boost Mode Duty Cycle</a:t>
            </a:r>
          </a:p>
        </c:rich>
      </c:tx>
      <c:overlay val="0"/>
    </c:title>
    <c:autoTitleDeleted val="0"/>
    <c:plotArea>
      <c:layout/>
      <c:scatterChart>
        <c:scatterStyle val="smoothMarker"/>
        <c:varyColors val="0"/>
        <c:ser>
          <c:idx val="0"/>
          <c:order val="0"/>
          <c:tx>
            <c:v>LV Port Min</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Calculations!$AC$6:$AC$56</c:f>
              <c:numCache>
                <c:formatCode>General</c:formatCode>
                <c:ptCount val="51"/>
                <c:pt idx="0">
                  <c:v>0</c:v>
                </c:pt>
                <c:pt idx="1">
                  <c:v>0.35783130556624476</c:v>
                </c:pt>
                <c:pt idx="2">
                  <c:v>0.50604988537345452</c:v>
                </c:pt>
                <c:pt idx="3">
                  <c:v>0.61978200177943998</c:v>
                </c:pt>
                <c:pt idx="4">
                  <c:v>0.63</c:v>
                </c:pt>
                <c:pt idx="5">
                  <c:v>0.63</c:v>
                </c:pt>
                <c:pt idx="6">
                  <c:v>0.63</c:v>
                </c:pt>
                <c:pt idx="7">
                  <c:v>0.63</c:v>
                </c:pt>
                <c:pt idx="8">
                  <c:v>0.63</c:v>
                </c:pt>
                <c:pt idx="9">
                  <c:v>0.63</c:v>
                </c:pt>
                <c:pt idx="10">
                  <c:v>0.63</c:v>
                </c:pt>
                <c:pt idx="11">
                  <c:v>0.63</c:v>
                </c:pt>
                <c:pt idx="12">
                  <c:v>0.63</c:v>
                </c:pt>
                <c:pt idx="13">
                  <c:v>0.63</c:v>
                </c:pt>
                <c:pt idx="14">
                  <c:v>0.63</c:v>
                </c:pt>
                <c:pt idx="15">
                  <c:v>0.63</c:v>
                </c:pt>
                <c:pt idx="16">
                  <c:v>0.63</c:v>
                </c:pt>
                <c:pt idx="17">
                  <c:v>0.63</c:v>
                </c:pt>
                <c:pt idx="18">
                  <c:v>0.63</c:v>
                </c:pt>
                <c:pt idx="19">
                  <c:v>0.63</c:v>
                </c:pt>
                <c:pt idx="20">
                  <c:v>0.63</c:v>
                </c:pt>
                <c:pt idx="21">
                  <c:v>0.63</c:v>
                </c:pt>
                <c:pt idx="22">
                  <c:v>0.63</c:v>
                </c:pt>
                <c:pt idx="23">
                  <c:v>0.63</c:v>
                </c:pt>
                <c:pt idx="24">
                  <c:v>0.63</c:v>
                </c:pt>
                <c:pt idx="25">
                  <c:v>0.63</c:v>
                </c:pt>
                <c:pt idx="26">
                  <c:v>0.63</c:v>
                </c:pt>
                <c:pt idx="27">
                  <c:v>0.63</c:v>
                </c:pt>
                <c:pt idx="28">
                  <c:v>0.63</c:v>
                </c:pt>
                <c:pt idx="29">
                  <c:v>0.63</c:v>
                </c:pt>
                <c:pt idx="30">
                  <c:v>0.63</c:v>
                </c:pt>
                <c:pt idx="31">
                  <c:v>0.63</c:v>
                </c:pt>
                <c:pt idx="32">
                  <c:v>0.63</c:v>
                </c:pt>
                <c:pt idx="33">
                  <c:v>0.63</c:v>
                </c:pt>
                <c:pt idx="34">
                  <c:v>0.63</c:v>
                </c:pt>
                <c:pt idx="35">
                  <c:v>0.63</c:v>
                </c:pt>
                <c:pt idx="36">
                  <c:v>0.63</c:v>
                </c:pt>
                <c:pt idx="37">
                  <c:v>0.63</c:v>
                </c:pt>
                <c:pt idx="38">
                  <c:v>0.63</c:v>
                </c:pt>
                <c:pt idx="39">
                  <c:v>0.63</c:v>
                </c:pt>
                <c:pt idx="40">
                  <c:v>0.63</c:v>
                </c:pt>
                <c:pt idx="41">
                  <c:v>0.63</c:v>
                </c:pt>
                <c:pt idx="42">
                  <c:v>0.63</c:v>
                </c:pt>
                <c:pt idx="43">
                  <c:v>0.63</c:v>
                </c:pt>
                <c:pt idx="44">
                  <c:v>0.63</c:v>
                </c:pt>
                <c:pt idx="45">
                  <c:v>0.63</c:v>
                </c:pt>
                <c:pt idx="46">
                  <c:v>0.63</c:v>
                </c:pt>
                <c:pt idx="47">
                  <c:v>0.63</c:v>
                </c:pt>
                <c:pt idx="48">
                  <c:v>0.63</c:v>
                </c:pt>
                <c:pt idx="49">
                  <c:v>0.63</c:v>
                </c:pt>
                <c:pt idx="50">
                  <c:v>0.63</c:v>
                </c:pt>
              </c:numCache>
            </c:numRef>
          </c:yVal>
          <c:smooth val="1"/>
          <c:extLst>
            <c:ext xmlns:c16="http://schemas.microsoft.com/office/drawing/2014/chart" uri="{C3380CC4-5D6E-409C-BE32-E72D297353CC}">
              <c16:uniqueId val="{00000000-E15A-46CF-BEE3-95231DA2F085}"/>
            </c:ext>
          </c:extLst>
        </c:ser>
        <c:ser>
          <c:idx val="1"/>
          <c:order val="1"/>
          <c:tx>
            <c:v>LV Port Nom</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Calculations!$AG$6:$AG$56</c:f>
              <c:numCache>
                <c:formatCode>General</c:formatCode>
                <c:ptCount val="51"/>
                <c:pt idx="0">
                  <c:v>0</c:v>
                </c:pt>
                <c:pt idx="1">
                  <c:v>0.33585711247493327</c:v>
                </c:pt>
                <c:pt idx="2">
                  <c:v>0.4749736834815167</c:v>
                </c:pt>
                <c:pt idx="3">
                  <c:v>0.58172158288995945</c:v>
                </c:pt>
                <c:pt idx="4">
                  <c:v>0.6</c:v>
                </c:pt>
                <c:pt idx="5">
                  <c:v>0.6</c:v>
                </c:pt>
                <c:pt idx="6">
                  <c:v>0.6</c:v>
                </c:pt>
                <c:pt idx="7">
                  <c:v>0.6</c:v>
                </c:pt>
                <c:pt idx="8">
                  <c:v>0.6</c:v>
                </c:pt>
                <c:pt idx="9">
                  <c:v>0.6</c:v>
                </c:pt>
                <c:pt idx="10">
                  <c:v>0.6</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pt idx="48">
                  <c:v>0.6</c:v>
                </c:pt>
                <c:pt idx="49">
                  <c:v>0.6</c:v>
                </c:pt>
                <c:pt idx="50">
                  <c:v>0.6</c:v>
                </c:pt>
              </c:numCache>
            </c:numRef>
          </c:yVal>
          <c:smooth val="1"/>
          <c:extLst>
            <c:ext xmlns:c16="http://schemas.microsoft.com/office/drawing/2014/chart" uri="{C3380CC4-5D6E-409C-BE32-E72D297353CC}">
              <c16:uniqueId val="{00000001-E15A-46CF-BEE3-95231DA2F085}"/>
            </c:ext>
          </c:extLst>
        </c:ser>
        <c:ser>
          <c:idx val="2"/>
          <c:order val="2"/>
          <c:tx>
            <c:v>LV Port Max</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Calculations!$AK$6:$AK$56</c:f>
              <c:numCache>
                <c:formatCode>General</c:formatCode>
                <c:ptCount val="51"/>
                <c:pt idx="0">
                  <c:v>0</c:v>
                </c:pt>
                <c:pt idx="1">
                  <c:v>0.26346799542901717</c:v>
                </c:pt>
                <c:pt idx="2">
                  <c:v>0.37260001238696872</c:v>
                </c:pt>
                <c:pt idx="3">
                  <c:v>0.45633995425138252</c:v>
                </c:pt>
                <c:pt idx="4">
                  <c:v>0.48</c:v>
                </c:pt>
                <c:pt idx="5">
                  <c:v>0.48</c:v>
                </c:pt>
                <c:pt idx="6">
                  <c:v>0.48</c:v>
                </c:pt>
                <c:pt idx="7">
                  <c:v>0.48</c:v>
                </c:pt>
                <c:pt idx="8">
                  <c:v>0.48</c:v>
                </c:pt>
                <c:pt idx="9">
                  <c:v>0.48</c:v>
                </c:pt>
                <c:pt idx="10">
                  <c:v>0.48</c:v>
                </c:pt>
                <c:pt idx="11">
                  <c:v>0.48</c:v>
                </c:pt>
                <c:pt idx="12">
                  <c:v>0.48</c:v>
                </c:pt>
                <c:pt idx="13">
                  <c:v>0.48</c:v>
                </c:pt>
                <c:pt idx="14">
                  <c:v>0.48</c:v>
                </c:pt>
                <c:pt idx="15">
                  <c:v>0.48</c:v>
                </c:pt>
                <c:pt idx="16">
                  <c:v>0.48</c:v>
                </c:pt>
                <c:pt idx="17">
                  <c:v>0.48</c:v>
                </c:pt>
                <c:pt idx="18">
                  <c:v>0.48</c:v>
                </c:pt>
                <c:pt idx="19">
                  <c:v>0.48</c:v>
                </c:pt>
                <c:pt idx="20">
                  <c:v>0.48</c:v>
                </c:pt>
                <c:pt idx="21">
                  <c:v>0.48</c:v>
                </c:pt>
                <c:pt idx="22">
                  <c:v>0.48</c:v>
                </c:pt>
                <c:pt idx="23">
                  <c:v>0.48</c:v>
                </c:pt>
                <c:pt idx="24">
                  <c:v>0.48</c:v>
                </c:pt>
                <c:pt idx="25">
                  <c:v>0.48</c:v>
                </c:pt>
                <c:pt idx="26">
                  <c:v>0.48</c:v>
                </c:pt>
                <c:pt idx="27">
                  <c:v>0.48</c:v>
                </c:pt>
                <c:pt idx="28">
                  <c:v>0.48</c:v>
                </c:pt>
                <c:pt idx="29">
                  <c:v>0.48</c:v>
                </c:pt>
                <c:pt idx="30">
                  <c:v>0.48</c:v>
                </c:pt>
                <c:pt idx="31">
                  <c:v>0.48</c:v>
                </c:pt>
                <c:pt idx="32">
                  <c:v>0.48</c:v>
                </c:pt>
                <c:pt idx="33">
                  <c:v>0.48</c:v>
                </c:pt>
                <c:pt idx="34">
                  <c:v>0.48</c:v>
                </c:pt>
                <c:pt idx="35">
                  <c:v>0.48</c:v>
                </c:pt>
                <c:pt idx="36">
                  <c:v>0.48</c:v>
                </c:pt>
                <c:pt idx="37">
                  <c:v>0.48</c:v>
                </c:pt>
                <c:pt idx="38">
                  <c:v>0.48</c:v>
                </c:pt>
                <c:pt idx="39">
                  <c:v>0.48</c:v>
                </c:pt>
                <c:pt idx="40">
                  <c:v>0.48</c:v>
                </c:pt>
                <c:pt idx="41">
                  <c:v>0.48</c:v>
                </c:pt>
                <c:pt idx="42">
                  <c:v>0.48</c:v>
                </c:pt>
                <c:pt idx="43">
                  <c:v>0.48</c:v>
                </c:pt>
                <c:pt idx="44">
                  <c:v>0.48</c:v>
                </c:pt>
                <c:pt idx="45">
                  <c:v>0.48</c:v>
                </c:pt>
                <c:pt idx="46">
                  <c:v>0.48</c:v>
                </c:pt>
                <c:pt idx="47">
                  <c:v>0.48</c:v>
                </c:pt>
                <c:pt idx="48">
                  <c:v>0.48</c:v>
                </c:pt>
                <c:pt idx="49">
                  <c:v>0.48</c:v>
                </c:pt>
                <c:pt idx="50">
                  <c:v>0.48</c:v>
                </c:pt>
              </c:numCache>
            </c:numRef>
          </c:yVal>
          <c:smooth val="1"/>
          <c:extLst>
            <c:ext xmlns:c16="http://schemas.microsoft.com/office/drawing/2014/chart" uri="{C3380CC4-5D6E-409C-BE32-E72D297353CC}">
              <c16:uniqueId val="{00000002-E15A-46CF-BEE3-95231DA2F085}"/>
            </c:ext>
          </c:extLst>
        </c:ser>
        <c:ser>
          <c:idx val="3"/>
          <c:order val="3"/>
          <c:tx>
            <c:v>LV Min</c:v>
          </c:tx>
          <c:marker>
            <c:symbol val="circle"/>
            <c:size val="11"/>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Calculations!$B$51</c:f>
              <c:numCache>
                <c:formatCode>0.000</c:formatCode>
                <c:ptCount val="1"/>
                <c:pt idx="0">
                  <c:v>3.0997340425531914</c:v>
                </c:pt>
              </c:numCache>
            </c:numRef>
          </c:xVal>
          <c:yVal>
            <c:numRef>
              <c:f>Calculations!$B$52</c:f>
              <c:numCache>
                <c:formatCode>General</c:formatCode>
                <c:ptCount val="1"/>
                <c:pt idx="0">
                  <c:v>0.63</c:v>
                </c:pt>
              </c:numCache>
            </c:numRef>
          </c:yVal>
          <c:smooth val="0"/>
          <c:extLst>
            <c:ext xmlns:c16="http://schemas.microsoft.com/office/drawing/2014/chart" uri="{C3380CC4-5D6E-409C-BE32-E72D297353CC}">
              <c16:uniqueId val="{00000003-E15A-46CF-BEE3-95231DA2F085}"/>
            </c:ext>
          </c:extLst>
        </c:ser>
        <c:ser>
          <c:idx val="4"/>
          <c:order val="4"/>
          <c:tx>
            <c:v>LV Nom</c:v>
          </c:tx>
          <c:spPr>
            <a:ln w="47625"/>
          </c:spPr>
          <c:marker>
            <c:symbol val="circle"/>
            <c:size val="11"/>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Calculations!$B$54</c:f>
              <c:numCache>
                <c:formatCode>0.000</c:formatCode>
                <c:ptCount val="1"/>
                <c:pt idx="0">
                  <c:v>3.191489361702128</c:v>
                </c:pt>
              </c:numCache>
            </c:numRef>
          </c:xVal>
          <c:yVal>
            <c:numRef>
              <c:f>Calculations!$B$55</c:f>
              <c:numCache>
                <c:formatCode>0.000</c:formatCode>
                <c:ptCount val="1"/>
                <c:pt idx="0">
                  <c:v>0.6</c:v>
                </c:pt>
              </c:numCache>
            </c:numRef>
          </c:yVal>
          <c:smooth val="0"/>
          <c:extLst>
            <c:ext xmlns:c16="http://schemas.microsoft.com/office/drawing/2014/chart" uri="{C3380CC4-5D6E-409C-BE32-E72D297353CC}">
              <c16:uniqueId val="{00000004-E15A-46CF-BEE3-95231DA2F085}"/>
            </c:ext>
          </c:extLst>
        </c:ser>
        <c:ser>
          <c:idx val="5"/>
          <c:order val="5"/>
          <c:tx>
            <c:v>LV Max</c:v>
          </c:tx>
          <c:marker>
            <c:symbol val="circle"/>
            <c:size val="11"/>
            <c:spPr>
              <a:noFill/>
              <a:ln w="25400">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Calculations!$B$57</c:f>
              <c:numCache>
                <c:formatCode>0.000</c:formatCode>
                <c:ptCount val="1"/>
                <c:pt idx="0">
                  <c:v>3.3191489361702136</c:v>
                </c:pt>
              </c:numCache>
            </c:numRef>
          </c:xVal>
          <c:yVal>
            <c:numRef>
              <c:f>Calculations!$B$58</c:f>
              <c:numCache>
                <c:formatCode>General</c:formatCode>
                <c:ptCount val="1"/>
                <c:pt idx="0">
                  <c:v>0.48</c:v>
                </c:pt>
              </c:numCache>
            </c:numRef>
          </c:yVal>
          <c:smooth val="1"/>
          <c:extLst>
            <c:ext xmlns:c16="http://schemas.microsoft.com/office/drawing/2014/chart" uri="{C3380CC4-5D6E-409C-BE32-E72D297353CC}">
              <c16:uniqueId val="{00000005-E15A-46CF-BEE3-95231DA2F085}"/>
            </c:ext>
          </c:extLst>
        </c:ser>
        <c:dLbls>
          <c:showLegendKey val="0"/>
          <c:showVal val="0"/>
          <c:showCatName val="0"/>
          <c:showSerName val="0"/>
          <c:showPercent val="0"/>
          <c:showBubbleSize val="0"/>
        </c:dLbls>
        <c:axId val="206991744"/>
        <c:axId val="207034624"/>
      </c:scatterChart>
      <c:valAx>
        <c:axId val="206991744"/>
        <c:scaling>
          <c:orientation val="minMax"/>
        </c:scaling>
        <c:delete val="0"/>
        <c:axPos val="b"/>
        <c:majorGridlines/>
        <c:title>
          <c:tx>
            <c:rich>
              <a:bodyPr/>
              <a:lstStyle/>
              <a:p>
                <a:pPr>
                  <a:defRPr/>
                </a:pPr>
                <a:r>
                  <a:rPr lang="en-US"/>
                  <a:t>Per Phase Average Inductor Current  (A)</a:t>
                </a:r>
              </a:p>
            </c:rich>
          </c:tx>
          <c:overlay val="0"/>
        </c:title>
        <c:numFmt formatCode="General" sourceLinked="1"/>
        <c:majorTickMark val="out"/>
        <c:minorTickMark val="none"/>
        <c:tickLblPos val="nextTo"/>
        <c:crossAx val="207034624"/>
        <c:crosses val="autoZero"/>
        <c:crossBetween val="midCat"/>
      </c:valAx>
      <c:valAx>
        <c:axId val="207034624"/>
        <c:scaling>
          <c:orientation val="minMax"/>
          <c:max val="1"/>
          <c:min val="0"/>
        </c:scaling>
        <c:delete val="0"/>
        <c:axPos val="l"/>
        <c:majorGridlines/>
        <c:title>
          <c:tx>
            <c:rich>
              <a:bodyPr rot="-5400000" vert="horz"/>
              <a:lstStyle/>
              <a:p>
                <a:pPr>
                  <a:defRPr/>
                </a:pPr>
                <a:r>
                  <a:rPr lang="en-US"/>
                  <a:t>LO</a:t>
                </a:r>
                <a:r>
                  <a:rPr lang="en-US" baseline="0"/>
                  <a:t> Duty Cycle</a:t>
                </a:r>
                <a:endParaRPr lang="en-US"/>
              </a:p>
            </c:rich>
          </c:tx>
          <c:overlay val="0"/>
        </c:title>
        <c:numFmt formatCode="General" sourceLinked="1"/>
        <c:majorTickMark val="out"/>
        <c:minorTickMark val="none"/>
        <c:tickLblPos val="nextTo"/>
        <c:crossAx val="206991744"/>
        <c:crosses val="autoZero"/>
        <c:crossBetween val="midCat"/>
      </c:valAx>
    </c:plotArea>
    <c:legend>
      <c:legendPos val="b"/>
      <c:legendEntry>
        <c:idx val="3"/>
        <c:delete val="1"/>
      </c:legendEntry>
      <c:legendEntry>
        <c:idx val="4"/>
        <c:delete val="1"/>
      </c:legendEntry>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Buck Mode Duty Cycle</a:t>
            </a:r>
          </a:p>
        </c:rich>
      </c:tx>
      <c:overlay val="0"/>
    </c:title>
    <c:autoTitleDeleted val="0"/>
    <c:plotArea>
      <c:layout/>
      <c:scatterChart>
        <c:scatterStyle val="smoothMarker"/>
        <c:varyColors val="0"/>
        <c:ser>
          <c:idx val="0"/>
          <c:order val="0"/>
          <c:tx>
            <c:v>HV Port Min</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Calculations!$P$6:$P$56</c:f>
              <c:numCache>
                <c:formatCode>General</c:formatCode>
                <c:ptCount val="51"/>
                <c:pt idx="0">
                  <c:v>0</c:v>
                </c:pt>
                <c:pt idx="1">
                  <c:v>0.500666222813829</c:v>
                </c:pt>
                <c:pt idx="2">
                  <c:v>0.66666666666666663</c:v>
                </c:pt>
                <c:pt idx="3">
                  <c:v>0.66666666666666663</c:v>
                </c:pt>
                <c:pt idx="4">
                  <c:v>0.66666666666666663</c:v>
                </c:pt>
                <c:pt idx="5">
                  <c:v>0.66666666666666663</c:v>
                </c:pt>
                <c:pt idx="6">
                  <c:v>0.66666666666666663</c:v>
                </c:pt>
                <c:pt idx="7">
                  <c:v>0.66666666666666663</c:v>
                </c:pt>
                <c:pt idx="8">
                  <c:v>0.66666666666666663</c:v>
                </c:pt>
                <c:pt idx="9">
                  <c:v>0.66666666666666663</c:v>
                </c:pt>
                <c:pt idx="10">
                  <c:v>0.66666666666666663</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pt idx="19">
                  <c:v>0.66666666666666663</c:v>
                </c:pt>
                <c:pt idx="20">
                  <c:v>0.66666666666666663</c:v>
                </c:pt>
                <c:pt idx="21">
                  <c:v>0.66666666666666663</c:v>
                </c:pt>
                <c:pt idx="22">
                  <c:v>0.66666666666666663</c:v>
                </c:pt>
                <c:pt idx="23">
                  <c:v>0.66666666666666663</c:v>
                </c:pt>
                <c:pt idx="24">
                  <c:v>0.66666666666666663</c:v>
                </c:pt>
                <c:pt idx="25">
                  <c:v>0.66666666666666663</c:v>
                </c:pt>
                <c:pt idx="26">
                  <c:v>0.66666666666666663</c:v>
                </c:pt>
                <c:pt idx="27">
                  <c:v>0.66666666666666663</c:v>
                </c:pt>
                <c:pt idx="28">
                  <c:v>0.66666666666666663</c:v>
                </c:pt>
                <c:pt idx="29">
                  <c:v>0.66666666666666663</c:v>
                </c:pt>
                <c:pt idx="30">
                  <c:v>0.66666666666666663</c:v>
                </c:pt>
                <c:pt idx="31">
                  <c:v>0.66666666666666663</c:v>
                </c:pt>
                <c:pt idx="32">
                  <c:v>0.66666666666666663</c:v>
                </c:pt>
                <c:pt idx="33">
                  <c:v>0.66666666666666663</c:v>
                </c:pt>
                <c:pt idx="34">
                  <c:v>0.66666666666666663</c:v>
                </c:pt>
                <c:pt idx="35">
                  <c:v>0.66666666666666663</c:v>
                </c:pt>
                <c:pt idx="36">
                  <c:v>0.66666666666666663</c:v>
                </c:pt>
                <c:pt idx="37">
                  <c:v>0.66666666666666663</c:v>
                </c:pt>
                <c:pt idx="38">
                  <c:v>0.66666666666666663</c:v>
                </c:pt>
                <c:pt idx="39">
                  <c:v>0.66666666666666663</c:v>
                </c:pt>
                <c:pt idx="40">
                  <c:v>0.66666666666666663</c:v>
                </c:pt>
                <c:pt idx="41">
                  <c:v>0.66666666666666663</c:v>
                </c:pt>
                <c:pt idx="42">
                  <c:v>0.66666666666666663</c:v>
                </c:pt>
                <c:pt idx="43">
                  <c:v>0.66666666666666663</c:v>
                </c:pt>
                <c:pt idx="44">
                  <c:v>0.66666666666666663</c:v>
                </c:pt>
                <c:pt idx="45">
                  <c:v>0.66666666666666663</c:v>
                </c:pt>
                <c:pt idx="46">
                  <c:v>0.66666666666666663</c:v>
                </c:pt>
                <c:pt idx="47">
                  <c:v>0.66666666666666663</c:v>
                </c:pt>
                <c:pt idx="48">
                  <c:v>0.66666666666666663</c:v>
                </c:pt>
                <c:pt idx="49">
                  <c:v>0.66666666666666663</c:v>
                </c:pt>
                <c:pt idx="50">
                  <c:v>0.66666666666666663</c:v>
                </c:pt>
              </c:numCache>
            </c:numRef>
          </c:yVal>
          <c:smooth val="1"/>
          <c:extLst>
            <c:ext xmlns:c16="http://schemas.microsoft.com/office/drawing/2014/chart" uri="{C3380CC4-5D6E-409C-BE32-E72D297353CC}">
              <c16:uniqueId val="{00000000-FF23-4024-97EC-227F4BDB9620}"/>
            </c:ext>
          </c:extLst>
        </c:ser>
        <c:ser>
          <c:idx val="1"/>
          <c:order val="1"/>
          <c:tx>
            <c:v>HV Port Nom</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Calculations!$T$6:$T$56</c:f>
              <c:numCache>
                <c:formatCode>General</c:formatCode>
                <c:ptCount val="51"/>
                <c:pt idx="0">
                  <c:v>0</c:v>
                </c:pt>
                <c:pt idx="1">
                  <c:v>0.22390474164995552</c:v>
                </c:pt>
                <c:pt idx="2">
                  <c:v>0.31664912232101111</c:v>
                </c:pt>
                <c:pt idx="3">
                  <c:v>0.3878143885933063</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pt idx="48">
                  <c:v>0.4</c:v>
                </c:pt>
                <c:pt idx="49">
                  <c:v>0.4</c:v>
                </c:pt>
                <c:pt idx="50">
                  <c:v>0.4</c:v>
                </c:pt>
              </c:numCache>
            </c:numRef>
          </c:yVal>
          <c:smooth val="1"/>
          <c:extLst>
            <c:ext xmlns:c16="http://schemas.microsoft.com/office/drawing/2014/chart" uri="{C3380CC4-5D6E-409C-BE32-E72D297353CC}">
              <c16:uniqueId val="{00000001-FF23-4024-97EC-227F4BDB9620}"/>
            </c:ext>
          </c:extLst>
        </c:ser>
        <c:ser>
          <c:idx val="2"/>
          <c:order val="2"/>
          <c:tx>
            <c:v>HV Port Max</c:v>
          </c:tx>
          <c:marker>
            <c:symbol val="none"/>
          </c:marker>
          <c:xVal>
            <c:numRef>
              <c:f>Calculations!$O$6:$O$56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42.999999999999993</c:v>
                </c:pt>
                <c:pt idx="44">
                  <c:v>44</c:v>
                </c:pt>
                <c:pt idx="45">
                  <c:v>45</c:v>
                </c:pt>
                <c:pt idx="46">
                  <c:v>46</c:v>
                </c:pt>
                <c:pt idx="47">
                  <c:v>47</c:v>
                </c:pt>
                <c:pt idx="48">
                  <c:v>48</c:v>
                </c:pt>
                <c:pt idx="49">
                  <c:v>49</c:v>
                </c:pt>
                <c:pt idx="50">
                  <c:v>50</c:v>
                </c:pt>
              </c:numCache>
            </c:numRef>
          </c:xVal>
          <c:yVal>
            <c:numRef>
              <c:f>Calculations!$X$6:$X$56</c:f>
              <c:numCache>
                <c:formatCode>General</c:formatCode>
                <c:ptCount val="51"/>
                <c:pt idx="0">
                  <c:v>0</c:v>
                </c:pt>
                <c:pt idx="1">
                  <c:v>0.11666558930767369</c:v>
                </c:pt>
                <c:pt idx="2">
                  <c:v>0.16499005866116168</c:v>
                </c:pt>
                <c:pt idx="3">
                  <c:v>0.2020707281758552</c:v>
                </c:pt>
                <c:pt idx="4">
                  <c:v>0.23333117861534738</c:v>
                </c:pt>
                <c:pt idx="5">
                  <c:v>0.23529411764705882</c:v>
                </c:pt>
                <c:pt idx="6">
                  <c:v>0.23529411764705882</c:v>
                </c:pt>
                <c:pt idx="7">
                  <c:v>0.23529411764705882</c:v>
                </c:pt>
                <c:pt idx="8">
                  <c:v>0.23529411764705882</c:v>
                </c:pt>
                <c:pt idx="9">
                  <c:v>0.23529411764705882</c:v>
                </c:pt>
                <c:pt idx="10">
                  <c:v>0.23529411764705882</c:v>
                </c:pt>
                <c:pt idx="11">
                  <c:v>0.23529411764705882</c:v>
                </c:pt>
                <c:pt idx="12">
                  <c:v>0.23529411764705882</c:v>
                </c:pt>
                <c:pt idx="13">
                  <c:v>0.23529411764705882</c:v>
                </c:pt>
                <c:pt idx="14">
                  <c:v>0.23529411764705882</c:v>
                </c:pt>
                <c:pt idx="15">
                  <c:v>0.23529411764705882</c:v>
                </c:pt>
                <c:pt idx="16">
                  <c:v>0.23529411764705882</c:v>
                </c:pt>
                <c:pt idx="17">
                  <c:v>0.23529411764705882</c:v>
                </c:pt>
                <c:pt idx="18">
                  <c:v>0.23529411764705882</c:v>
                </c:pt>
                <c:pt idx="19">
                  <c:v>0.23529411764705882</c:v>
                </c:pt>
                <c:pt idx="20">
                  <c:v>0.23529411764705882</c:v>
                </c:pt>
                <c:pt idx="21">
                  <c:v>0.23529411764705882</c:v>
                </c:pt>
                <c:pt idx="22">
                  <c:v>0.23529411764705882</c:v>
                </c:pt>
                <c:pt idx="23">
                  <c:v>0.23529411764705882</c:v>
                </c:pt>
                <c:pt idx="24">
                  <c:v>0.23529411764705882</c:v>
                </c:pt>
                <c:pt idx="25">
                  <c:v>0.23529411764705882</c:v>
                </c:pt>
                <c:pt idx="26">
                  <c:v>0.23529411764705882</c:v>
                </c:pt>
                <c:pt idx="27">
                  <c:v>0.23529411764705882</c:v>
                </c:pt>
                <c:pt idx="28">
                  <c:v>0.23529411764705882</c:v>
                </c:pt>
                <c:pt idx="29">
                  <c:v>0.23529411764705882</c:v>
                </c:pt>
                <c:pt idx="30">
                  <c:v>0.23529411764705882</c:v>
                </c:pt>
                <c:pt idx="31">
                  <c:v>0.23529411764705882</c:v>
                </c:pt>
                <c:pt idx="32">
                  <c:v>0.23529411764705882</c:v>
                </c:pt>
                <c:pt idx="33">
                  <c:v>0.23529411764705882</c:v>
                </c:pt>
                <c:pt idx="34">
                  <c:v>0.23529411764705882</c:v>
                </c:pt>
                <c:pt idx="35">
                  <c:v>0.23529411764705882</c:v>
                </c:pt>
                <c:pt idx="36">
                  <c:v>0.23529411764705882</c:v>
                </c:pt>
                <c:pt idx="37">
                  <c:v>0.23529411764705882</c:v>
                </c:pt>
                <c:pt idx="38">
                  <c:v>0.23529411764705882</c:v>
                </c:pt>
                <c:pt idx="39">
                  <c:v>0.23529411764705882</c:v>
                </c:pt>
                <c:pt idx="40">
                  <c:v>0.23529411764705882</c:v>
                </c:pt>
                <c:pt idx="41">
                  <c:v>0.23529411764705882</c:v>
                </c:pt>
                <c:pt idx="42">
                  <c:v>0.23529411764705882</c:v>
                </c:pt>
                <c:pt idx="43">
                  <c:v>0.23529411764705882</c:v>
                </c:pt>
                <c:pt idx="44">
                  <c:v>0.23529411764705882</c:v>
                </c:pt>
                <c:pt idx="45">
                  <c:v>0.23529411764705882</c:v>
                </c:pt>
                <c:pt idx="46">
                  <c:v>0.23529411764705882</c:v>
                </c:pt>
                <c:pt idx="47">
                  <c:v>0.23529411764705882</c:v>
                </c:pt>
                <c:pt idx="48">
                  <c:v>0.23529411764705882</c:v>
                </c:pt>
                <c:pt idx="49">
                  <c:v>0.23529411764705882</c:v>
                </c:pt>
                <c:pt idx="50">
                  <c:v>0.23529411764705882</c:v>
                </c:pt>
              </c:numCache>
            </c:numRef>
          </c:yVal>
          <c:smooth val="1"/>
          <c:extLst>
            <c:ext xmlns:c16="http://schemas.microsoft.com/office/drawing/2014/chart" uri="{C3380CC4-5D6E-409C-BE32-E72D297353CC}">
              <c16:uniqueId val="{00000002-FF23-4024-97EC-227F4BDB9620}"/>
            </c:ext>
          </c:extLst>
        </c:ser>
        <c:ser>
          <c:idx val="3"/>
          <c:order val="3"/>
          <c:tx>
            <c:v>HV MIN</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Calculations!$B$42</c:f>
              <c:numCache>
                <c:formatCode>0.000</c:formatCode>
                <c:ptCount val="1"/>
                <c:pt idx="0">
                  <c:v>1.7730496453900708</c:v>
                </c:pt>
              </c:numCache>
            </c:numRef>
          </c:xVal>
          <c:yVal>
            <c:numRef>
              <c:f>Calculations!$B$43</c:f>
              <c:numCache>
                <c:formatCode>General</c:formatCode>
                <c:ptCount val="1"/>
                <c:pt idx="0">
                  <c:v>0.66666666666666663</c:v>
                </c:pt>
              </c:numCache>
            </c:numRef>
          </c:yVal>
          <c:smooth val="1"/>
          <c:extLst>
            <c:ext xmlns:c16="http://schemas.microsoft.com/office/drawing/2014/chart" uri="{C3380CC4-5D6E-409C-BE32-E72D297353CC}">
              <c16:uniqueId val="{00000003-FF23-4024-97EC-227F4BDB9620}"/>
            </c:ext>
          </c:extLst>
        </c:ser>
        <c:ser>
          <c:idx val="4"/>
          <c:order val="4"/>
          <c:tx>
            <c:v>HV Nom</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Calculations!$B$45</c:f>
              <c:numCache>
                <c:formatCode>0.000</c:formatCode>
                <c:ptCount val="1"/>
                <c:pt idx="0">
                  <c:v>3.191489361702128</c:v>
                </c:pt>
              </c:numCache>
            </c:numRef>
          </c:xVal>
          <c:yVal>
            <c:numRef>
              <c:f>Calculations!$B$46</c:f>
              <c:numCache>
                <c:formatCode>0.0000</c:formatCode>
                <c:ptCount val="1"/>
                <c:pt idx="0">
                  <c:v>0.4</c:v>
                </c:pt>
              </c:numCache>
            </c:numRef>
          </c:yVal>
          <c:smooth val="1"/>
          <c:extLst>
            <c:ext xmlns:c16="http://schemas.microsoft.com/office/drawing/2014/chart" uri="{C3380CC4-5D6E-409C-BE32-E72D297353CC}">
              <c16:uniqueId val="{00000004-FF23-4024-97EC-227F4BDB9620}"/>
            </c:ext>
          </c:extLst>
        </c:ser>
        <c:ser>
          <c:idx val="5"/>
          <c:order val="5"/>
          <c:tx>
            <c:v>HV Max</c:v>
          </c:tx>
          <c:marker>
            <c:symbol val="circle"/>
            <c:size val="10"/>
            <c:spPr>
              <a:noFill/>
              <a:ln w="22225">
                <a:solidFill>
                  <a:srgbClr val="FF0000"/>
                </a:solidFill>
              </a:ln>
            </c:spPr>
          </c:marker>
          <c:dLbls>
            <c:numFmt formatCode="#,##0.00\A" sourceLinked="0"/>
            <c:spPr>
              <a:noFill/>
              <a:ln>
                <a:noFill/>
              </a:ln>
              <a:effectLst/>
            </c:spPr>
            <c:txPr>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Calculations!$B$48</c:f>
              <c:numCache>
                <c:formatCode>0.000</c:formatCode>
                <c:ptCount val="1"/>
                <c:pt idx="0">
                  <c:v>4.0675844806007513</c:v>
                </c:pt>
              </c:numCache>
            </c:numRef>
          </c:xVal>
          <c:yVal>
            <c:numRef>
              <c:f>Calculations!$B$49</c:f>
              <c:numCache>
                <c:formatCode>0.000</c:formatCode>
                <c:ptCount val="1"/>
                <c:pt idx="0">
                  <c:v>0.23529411764705882</c:v>
                </c:pt>
              </c:numCache>
            </c:numRef>
          </c:yVal>
          <c:smooth val="1"/>
          <c:extLst>
            <c:ext xmlns:c16="http://schemas.microsoft.com/office/drawing/2014/chart" uri="{C3380CC4-5D6E-409C-BE32-E72D297353CC}">
              <c16:uniqueId val="{00000005-FF23-4024-97EC-227F4BDB9620}"/>
            </c:ext>
          </c:extLst>
        </c:ser>
        <c:dLbls>
          <c:showLegendKey val="0"/>
          <c:showVal val="0"/>
          <c:showCatName val="0"/>
          <c:showSerName val="0"/>
          <c:showPercent val="0"/>
          <c:showBubbleSize val="0"/>
        </c:dLbls>
        <c:axId val="207993472"/>
        <c:axId val="208188928"/>
      </c:scatterChart>
      <c:valAx>
        <c:axId val="207993472"/>
        <c:scaling>
          <c:orientation val="minMax"/>
        </c:scaling>
        <c:delete val="0"/>
        <c:axPos val="b"/>
        <c:majorGridlines/>
        <c:title>
          <c:tx>
            <c:rich>
              <a:bodyPr/>
              <a:lstStyle/>
              <a:p>
                <a:pPr>
                  <a:defRPr/>
                </a:pPr>
                <a:r>
                  <a:rPr lang="en-US"/>
                  <a:t>Per</a:t>
                </a:r>
                <a:r>
                  <a:rPr lang="en-US" baseline="0"/>
                  <a:t> Phase Average Inductor Current (A)</a:t>
                </a:r>
                <a:endParaRPr lang="en-US"/>
              </a:p>
            </c:rich>
          </c:tx>
          <c:overlay val="0"/>
        </c:title>
        <c:numFmt formatCode="General" sourceLinked="1"/>
        <c:majorTickMark val="out"/>
        <c:minorTickMark val="none"/>
        <c:tickLblPos val="nextTo"/>
        <c:crossAx val="208188928"/>
        <c:crosses val="autoZero"/>
        <c:crossBetween val="midCat"/>
      </c:valAx>
      <c:valAx>
        <c:axId val="208188928"/>
        <c:scaling>
          <c:orientation val="minMax"/>
          <c:max val="1"/>
          <c:min val="0"/>
        </c:scaling>
        <c:delete val="0"/>
        <c:axPos val="l"/>
        <c:majorGridlines/>
        <c:title>
          <c:tx>
            <c:rich>
              <a:bodyPr rot="-5400000" vert="horz"/>
              <a:lstStyle/>
              <a:p>
                <a:pPr>
                  <a:defRPr/>
                </a:pPr>
                <a:r>
                  <a:rPr lang="en-US"/>
                  <a:t>HO</a:t>
                </a:r>
                <a:r>
                  <a:rPr lang="en-US" baseline="0"/>
                  <a:t> Duty Cycle</a:t>
                </a:r>
                <a:endParaRPr lang="en-US"/>
              </a:p>
            </c:rich>
          </c:tx>
          <c:overlay val="0"/>
        </c:title>
        <c:numFmt formatCode="General" sourceLinked="1"/>
        <c:majorTickMark val="out"/>
        <c:minorTickMark val="none"/>
        <c:tickLblPos val="nextTo"/>
        <c:crossAx val="207993472"/>
        <c:crosses val="autoZero"/>
        <c:crossBetween val="midCat"/>
      </c:valAx>
    </c:plotArea>
    <c:legend>
      <c:legendPos val="b"/>
      <c:legendEntry>
        <c:idx val="3"/>
        <c:delete val="1"/>
      </c:legendEntry>
      <c:legendEntry>
        <c:idx val="4"/>
        <c:delete val="1"/>
      </c:legendEntry>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Loop Power Plant</a:t>
            </a:r>
          </a:p>
        </c:rich>
      </c:tx>
      <c:overlay val="0"/>
    </c:title>
    <c:autoTitleDeleted val="0"/>
    <c:plotArea>
      <c:layout/>
      <c:scatterChart>
        <c:scatterStyle val="lineMarker"/>
        <c:varyColors val="0"/>
        <c:ser>
          <c:idx val="0"/>
          <c:order val="0"/>
          <c:tx>
            <c:v>Power Plant Gain</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Compensation!$E$8:$E$62</c:f>
              <c:numCache>
                <c:formatCode>General</c:formatCode>
                <c:ptCount val="55"/>
                <c:pt idx="0">
                  <c:v>51.345952098734102</c:v>
                </c:pt>
                <c:pt idx="1">
                  <c:v>51.34593529085474</c:v>
                </c:pt>
                <c:pt idx="2">
                  <c:v>51.345907277867028</c:v>
                </c:pt>
                <c:pt idx="3">
                  <c:v>51.345868059987822</c:v>
                </c:pt>
                <c:pt idx="4">
                  <c:v>51.345817637520632</c:v>
                </c:pt>
                <c:pt idx="5">
                  <c:v>51.345756010855709</c:v>
                </c:pt>
                <c:pt idx="6">
                  <c:v>51.345683180470054</c:v>
                </c:pt>
                <c:pt idx="7">
                  <c:v>51.345599146927306</c:v>
                </c:pt>
                <c:pt idx="8">
                  <c:v>51.345503910877795</c:v>
                </c:pt>
                <c:pt idx="9">
                  <c:v>51.345397473058554</c:v>
                </c:pt>
                <c:pt idx="10">
                  <c:v>51.343717221586516</c:v>
                </c:pt>
                <c:pt idx="11">
                  <c:v>51.34091824627339</c:v>
                </c:pt>
                <c:pt idx="12">
                  <c:v>51.337002708924729</c:v>
                </c:pt>
                <c:pt idx="13">
                  <c:v>51.331973628280451</c:v>
                </c:pt>
                <c:pt idx="14">
                  <c:v>51.325834872277312</c:v>
                </c:pt>
                <c:pt idx="15">
                  <c:v>51.31859114817216</c:v>
                </c:pt>
                <c:pt idx="16">
                  <c:v>51.310247990578823</c:v>
                </c:pt>
                <c:pt idx="17">
                  <c:v>51.300811747482122</c:v>
                </c:pt>
                <c:pt idx="18">
                  <c:v>51.290289564302178</c:v>
                </c:pt>
                <c:pt idx="19">
                  <c:v>51.127442581158924</c:v>
                </c:pt>
                <c:pt idx="20">
                  <c:v>50.868906807073373</c:v>
                </c:pt>
                <c:pt idx="21">
                  <c:v>50.531011829600857</c:v>
                </c:pt>
                <c:pt idx="22">
                  <c:v>50.131954447809903</c:v>
                </c:pt>
                <c:pt idx="23">
                  <c:v>49.689300097368758</c:v>
                </c:pt>
                <c:pt idx="24">
                  <c:v>49.21841628748102</c:v>
                </c:pt>
                <c:pt idx="25">
                  <c:v>48.731815295375192</c:v>
                </c:pt>
                <c:pt idx="26">
                  <c:v>48.239139628286985</c:v>
                </c:pt>
                <c:pt idx="27">
                  <c:v>47.747495585300932</c:v>
                </c:pt>
                <c:pt idx="28">
                  <c:v>43.449991035089141</c:v>
                </c:pt>
                <c:pt idx="29">
                  <c:v>40.338631476032248</c:v>
                </c:pt>
                <c:pt idx="30">
                  <c:v>37.993203474831944</c:v>
                </c:pt>
                <c:pt idx="31">
                  <c:v>36.127856469618727</c:v>
                </c:pt>
                <c:pt idx="32">
                  <c:v>34.584324449087553</c:v>
                </c:pt>
                <c:pt idx="33">
                  <c:v>33.269743504936862</c:v>
                </c:pt>
                <c:pt idx="34">
                  <c:v>32.125785204136839</c:v>
                </c:pt>
                <c:pt idx="35">
                  <c:v>31.113656120091147</c:v>
                </c:pt>
                <c:pt idx="36">
                  <c:v>30.206335179910543</c:v>
                </c:pt>
                <c:pt idx="37">
                  <c:v>24.210862175361015</c:v>
                </c:pt>
                <c:pt idx="38">
                  <c:v>20.693706121270495</c:v>
                </c:pt>
                <c:pt idx="39">
                  <c:v>18.196566770215124</c:v>
                </c:pt>
                <c:pt idx="40">
                  <c:v>16.259123666416627</c:v>
                </c:pt>
                <c:pt idx="41">
                  <c:v>14.675910095613659</c:v>
                </c:pt>
                <c:pt idx="42">
                  <c:v>13.337222352998046</c:v>
                </c:pt>
                <c:pt idx="43">
                  <c:v>12.177544415014518</c:v>
                </c:pt>
                <c:pt idx="44">
                  <c:v>11.154604351662238</c:v>
                </c:pt>
                <c:pt idx="45">
                  <c:v>10.239533500337021</c:v>
                </c:pt>
                <c:pt idx="46">
                  <c:v>4.2191860605443896</c:v>
                </c:pt>
                <c:pt idx="47">
                  <c:v>0.69740763539091033</c:v>
                </c:pt>
                <c:pt idx="48">
                  <c:v>-1.8013507320701041</c:v>
                </c:pt>
                <c:pt idx="49">
                  <c:v>-3.7395434176897728</c:v>
                </c:pt>
                <c:pt idx="50">
                  <c:v>-5.3231642240709789</c:v>
                </c:pt>
                <c:pt idx="51">
                  <c:v>-6.6620975357246479</c:v>
                </c:pt>
                <c:pt idx="52">
                  <c:v>-7.8219348650401175</c:v>
                </c:pt>
                <c:pt idx="53">
                  <c:v>-8.8449842100133349</c:v>
                </c:pt>
                <c:pt idx="54">
                  <c:v>-9.7601332315602605</c:v>
                </c:pt>
              </c:numCache>
            </c:numRef>
          </c:yVal>
          <c:smooth val="0"/>
          <c:extLst>
            <c:ext xmlns:c16="http://schemas.microsoft.com/office/drawing/2014/chart" uri="{C3380CC4-5D6E-409C-BE32-E72D297353CC}">
              <c16:uniqueId val="{00000000-9FA7-4C6D-87EC-649F76AFEECF}"/>
            </c:ext>
          </c:extLst>
        </c:ser>
        <c:dLbls>
          <c:showLegendKey val="0"/>
          <c:showVal val="0"/>
          <c:showCatName val="0"/>
          <c:showSerName val="0"/>
          <c:showPercent val="0"/>
          <c:showBubbleSize val="0"/>
        </c:dLbls>
        <c:axId val="220836608"/>
        <c:axId val="220838528"/>
      </c:scatterChart>
      <c:scatterChart>
        <c:scatterStyle val="lineMarker"/>
        <c:varyColors val="0"/>
        <c:ser>
          <c:idx val="1"/>
          <c:order val="1"/>
          <c:tx>
            <c:v>Power Plant Phase</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Compensation!$F$8:$F$62</c:f>
              <c:numCache>
                <c:formatCode>General</c:formatCode>
                <c:ptCount val="55"/>
                <c:pt idx="0">
                  <c:v>-6.5076895092640766E-2</c:v>
                </c:pt>
                <c:pt idx="1">
                  <c:v>-0.13015362228010594</c:v>
                </c:pt>
                <c:pt idx="2">
                  <c:v>-0.19523001365982051</c:v>
                </c:pt>
                <c:pt idx="3">
                  <c:v>-0.26030590133440634</c:v>
                </c:pt>
                <c:pt idx="4">
                  <c:v>-0.32538111741428183</c:v>
                </c:pt>
                <c:pt idx="5">
                  <c:v>-0.39045549402026641</c:v>
                </c:pt>
                <c:pt idx="6">
                  <c:v>-0.4555288632861676</c:v>
                </c:pt>
                <c:pt idx="7">
                  <c:v>-0.52060105736138751</c:v>
                </c:pt>
                <c:pt idx="8">
                  <c:v>-0.58567190841351979</c:v>
                </c:pt>
                <c:pt idx="9">
                  <c:v>-0.65074124863094418</c:v>
                </c:pt>
                <c:pt idx="10">
                  <c:v>-1.3013146563941138</c:v>
                </c:pt>
                <c:pt idx="11">
                  <c:v>-1.9515526420164087</c:v>
                </c:pt>
                <c:pt idx="12">
                  <c:v>-2.601288142411057</c:v>
                </c:pt>
                <c:pt idx="13">
                  <c:v>-3.2503548692706445</c:v>
                </c:pt>
                <c:pt idx="14">
                  <c:v>-3.8985875626800706</c:v>
                </c:pt>
                <c:pt idx="15">
                  <c:v>-4.545822240789585</c:v>
                </c:pt>
                <c:pt idx="16">
                  <c:v>-5.1918964446156428</c:v>
                </c:pt>
                <c:pt idx="17">
                  <c:v>-5.8366494770724833</c:v>
                </c:pt>
                <c:pt idx="18">
                  <c:v>-6.4799226353771768</c:v>
                </c:pt>
                <c:pt idx="19">
                  <c:v>-12.79819599264974</c:v>
                </c:pt>
                <c:pt idx="20">
                  <c:v>-18.816131350201932</c:v>
                </c:pt>
                <c:pt idx="21">
                  <c:v>-24.433373095750845</c:v>
                </c:pt>
                <c:pt idx="22">
                  <c:v>-29.592385294176545</c:v>
                </c:pt>
                <c:pt idx="23">
                  <c:v>-34.273801914058431</c:v>
                </c:pt>
                <c:pt idx="24">
                  <c:v>-38.486967382384705</c:v>
                </c:pt>
                <c:pt idx="25">
                  <c:v>-42.259705847696146</c:v>
                </c:pt>
                <c:pt idx="26">
                  <c:v>-45.629702137707604</c:v>
                </c:pt>
                <c:pt idx="27">
                  <c:v>-48.638289298201457</c:v>
                </c:pt>
                <c:pt idx="28">
                  <c:v>-66.240147390567344</c:v>
                </c:pt>
                <c:pt idx="29">
                  <c:v>-73.64423886080391</c:v>
                </c:pt>
                <c:pt idx="30">
                  <c:v>-77.586684795950404</c:v>
                </c:pt>
                <c:pt idx="31">
                  <c:v>-80.013373607633923</c:v>
                </c:pt>
                <c:pt idx="32">
                  <c:v>-81.652073771038275</c:v>
                </c:pt>
                <c:pt idx="33">
                  <c:v>-82.831213561251147</c:v>
                </c:pt>
                <c:pt idx="34">
                  <c:v>-83.719647375662532</c:v>
                </c:pt>
                <c:pt idx="35">
                  <c:v>-84.412776104330575</c:v>
                </c:pt>
                <c:pt idx="36">
                  <c:v>-84.968472544019519</c:v>
                </c:pt>
                <c:pt idx="37">
                  <c:v>-87.479376655932839</c:v>
                </c:pt>
                <c:pt idx="38">
                  <c:v>-88.318982008631139</c:v>
                </c:pt>
                <c:pt idx="39">
                  <c:v>-88.739078231137967</c:v>
                </c:pt>
                <c:pt idx="40">
                  <c:v>-88.991203958438604</c:v>
                </c:pt>
                <c:pt idx="41">
                  <c:v>-89.159310089015364</c:v>
                </c:pt>
                <c:pt idx="42">
                  <c:v>-89.279394928247399</c:v>
                </c:pt>
                <c:pt idx="43">
                  <c:v>-89.369462770364692</c:v>
                </c:pt>
                <c:pt idx="44">
                  <c:v>-89.439517713863523</c:v>
                </c:pt>
                <c:pt idx="45">
                  <c:v>-89.495562885362773</c:v>
                </c:pt>
                <c:pt idx="46">
                  <c:v>-89.747776555097062</c:v>
                </c:pt>
                <c:pt idx="47">
                  <c:v>-89.831850433300971</c:v>
                </c:pt>
                <c:pt idx="48">
                  <c:v>-89.87388766657385</c:v>
                </c:pt>
                <c:pt idx="49">
                  <c:v>-89.899110074604948</c:v>
                </c:pt>
                <c:pt idx="50">
                  <c:v>-89.915925035619495</c:v>
                </c:pt>
                <c:pt idx="51">
                  <c:v>-89.92793573109418</c:v>
                </c:pt>
                <c:pt idx="52">
                  <c:v>-89.93694375691426</c:v>
                </c:pt>
                <c:pt idx="53">
                  <c:v>-89.943950001396715</c:v>
                </c:pt>
                <c:pt idx="54">
                  <c:v>-89.949554998199616</c:v>
                </c:pt>
              </c:numCache>
            </c:numRef>
          </c:yVal>
          <c:smooth val="0"/>
          <c:extLst>
            <c:ext xmlns:c16="http://schemas.microsoft.com/office/drawing/2014/chart" uri="{C3380CC4-5D6E-409C-BE32-E72D297353CC}">
              <c16:uniqueId val="{00000001-9FA7-4C6D-87EC-649F76AFEECF}"/>
            </c:ext>
          </c:extLst>
        </c:ser>
        <c:dLbls>
          <c:showLegendKey val="0"/>
          <c:showVal val="0"/>
          <c:showCatName val="0"/>
          <c:showSerName val="0"/>
          <c:showPercent val="0"/>
          <c:showBubbleSize val="0"/>
        </c:dLbls>
        <c:axId val="220887680"/>
        <c:axId val="220886144"/>
      </c:scatterChart>
      <c:valAx>
        <c:axId val="220836608"/>
        <c:scaling>
          <c:logBase val="10"/>
          <c:orientation val="minMax"/>
          <c:min val="10"/>
        </c:scaling>
        <c:delete val="0"/>
        <c:axPos val="b"/>
        <c:majorGridlines/>
        <c:minorGridlines/>
        <c:numFmt formatCode="General" sourceLinked="1"/>
        <c:majorTickMark val="out"/>
        <c:minorTickMark val="cross"/>
        <c:tickLblPos val="low"/>
        <c:crossAx val="220838528"/>
        <c:crosses val="autoZero"/>
        <c:crossBetween val="midCat"/>
      </c:valAx>
      <c:valAx>
        <c:axId val="220838528"/>
        <c:scaling>
          <c:orientation val="minMax"/>
          <c:max val="60"/>
          <c:min val="-40"/>
        </c:scaling>
        <c:delete val="0"/>
        <c:axPos val="l"/>
        <c:majorGridlines/>
        <c:numFmt formatCode="General" sourceLinked="1"/>
        <c:majorTickMark val="out"/>
        <c:minorTickMark val="none"/>
        <c:tickLblPos val="nextTo"/>
        <c:crossAx val="220836608"/>
        <c:crosses val="autoZero"/>
        <c:crossBetween val="midCat"/>
        <c:majorUnit val="20"/>
      </c:valAx>
      <c:valAx>
        <c:axId val="220886144"/>
        <c:scaling>
          <c:orientation val="minMax"/>
          <c:max val="180"/>
          <c:min val="-180"/>
        </c:scaling>
        <c:delete val="0"/>
        <c:axPos val="r"/>
        <c:numFmt formatCode="General" sourceLinked="1"/>
        <c:majorTickMark val="out"/>
        <c:minorTickMark val="none"/>
        <c:tickLblPos val="nextTo"/>
        <c:crossAx val="220887680"/>
        <c:crosses val="max"/>
        <c:crossBetween val="midCat"/>
        <c:majorUnit val="45"/>
      </c:valAx>
      <c:valAx>
        <c:axId val="220887680"/>
        <c:scaling>
          <c:logBase val="10"/>
          <c:orientation val="minMax"/>
        </c:scaling>
        <c:delete val="1"/>
        <c:axPos val="b"/>
        <c:numFmt formatCode="General" sourceLinked="1"/>
        <c:majorTickMark val="out"/>
        <c:minorTickMark val="none"/>
        <c:tickLblPos val="nextTo"/>
        <c:crossAx val="220886144"/>
        <c:crosses val="autoZero"/>
        <c:crossBetween val="midCat"/>
      </c:valAx>
    </c:plotArea>
    <c:legend>
      <c:legendPos val="l"/>
      <c:layout>
        <c:manualLayout>
          <c:xMode val="edge"/>
          <c:yMode val="edge"/>
          <c:x val="0.69820093925399296"/>
          <c:y val="0.16336876104743336"/>
          <c:w val="0.22001818778535392"/>
          <c:h val="0.13077712429615321"/>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Loop Compensation</a:t>
            </a:r>
          </a:p>
        </c:rich>
      </c:tx>
      <c:overlay val="0"/>
    </c:title>
    <c:autoTitleDeleted val="0"/>
    <c:plotArea>
      <c:layout/>
      <c:scatterChart>
        <c:scatterStyle val="lineMarker"/>
        <c:varyColors val="0"/>
        <c:ser>
          <c:idx val="0"/>
          <c:order val="0"/>
          <c:tx>
            <c:v>Compensation Gain</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Compensation!$H$8:$H$62</c:f>
              <c:numCache>
                <c:formatCode>General</c:formatCode>
                <c:ptCount val="55"/>
                <c:pt idx="0">
                  <c:v>41.027419282220841</c:v>
                </c:pt>
                <c:pt idx="1">
                  <c:v>35.006833884711327</c:v>
                </c:pt>
                <c:pt idx="2">
                  <c:v>31.485032896439989</c:v>
                </c:pt>
                <c:pt idx="3">
                  <c:v>28.986292034026771</c:v>
                </c:pt>
                <c:pt idx="4">
                  <c:v>27.048135320302404</c:v>
                </c:pt>
                <c:pt idx="5">
                  <c:v>25.464563622179522</c:v>
                </c:pt>
                <c:pt idx="6">
                  <c:v>24.125690728433959</c:v>
                </c:pt>
                <c:pt idx="7">
                  <c:v>22.965924363363452</c:v>
                </c:pt>
                <c:pt idx="8">
                  <c:v>21.942956164030413</c:v>
                </c:pt>
                <c:pt idx="9">
                  <c:v>21.027898277013101</c:v>
                </c:pt>
                <c:pt idx="10">
                  <c:v>15.00874954051935</c:v>
                </c:pt>
                <c:pt idx="11">
                  <c:v>11.489341910124939</c:v>
                </c:pt>
                <c:pt idx="12">
                  <c:v>8.9939494892427181</c:v>
                </c:pt>
                <c:pt idx="13">
                  <c:v>7.0600940472352569</c:v>
                </c:pt>
                <c:pt idx="14">
                  <c:v>5.4817735622799901</c:v>
                </c:pt>
                <c:pt idx="15">
                  <c:v>4.1490983055308908</c:v>
                </c:pt>
                <c:pt idx="16">
                  <c:v>2.9964718625155355</c:v>
                </c:pt>
                <c:pt idx="17">
                  <c:v>1.9815811194374902</c:v>
                </c:pt>
                <c:pt idx="18">
                  <c:v>1.0755328702682743</c:v>
                </c:pt>
                <c:pt idx="19">
                  <c:v>-4.8038308097981437</c:v>
                </c:pt>
                <c:pt idx="20">
                  <c:v>-8.1000152464728874</c:v>
                </c:pt>
                <c:pt idx="21">
                  <c:v>-10.301382791726832</c:v>
                </c:pt>
                <c:pt idx="22">
                  <c:v>-11.884894070855861</c:v>
                </c:pt>
                <c:pt idx="23">
                  <c:v>-13.071009447546309</c:v>
                </c:pt>
                <c:pt idx="24">
                  <c:v>-13.982748394065636</c:v>
                </c:pt>
                <c:pt idx="25">
                  <c:v>-14.696829107782367</c:v>
                </c:pt>
                <c:pt idx="26">
                  <c:v>-15.264496900359848</c:v>
                </c:pt>
                <c:pt idx="27">
                  <c:v>-15.721519396957159</c:v>
                </c:pt>
                <c:pt idx="28">
                  <c:v>-17.625578477035006</c:v>
                </c:pt>
                <c:pt idx="29">
                  <c:v>-18.094251371956044</c:v>
                </c:pt>
                <c:pt idx="30">
                  <c:v>-18.273367947712238</c:v>
                </c:pt>
                <c:pt idx="31">
                  <c:v>-18.361471804687085</c:v>
                </c:pt>
                <c:pt idx="32">
                  <c:v>-18.412905187073399</c:v>
                </c:pt>
                <c:pt idx="33">
                  <c:v>-18.44716007014264</c:v>
                </c:pt>
                <c:pt idx="34">
                  <c:v>-18.472578627732595</c:v>
                </c:pt>
                <c:pt idx="35">
                  <c:v>-18.493202915686343</c:v>
                </c:pt>
                <c:pt idx="36">
                  <c:v>-18.511179719162772</c:v>
                </c:pt>
                <c:pt idx="37">
                  <c:v>-18.678790148061097</c:v>
                </c:pt>
                <c:pt idx="38">
                  <c:v>-18.905705762824486</c:v>
                </c:pt>
                <c:pt idx="39">
                  <c:v>-19.199878776519444</c:v>
                </c:pt>
                <c:pt idx="40">
                  <c:v>-19.549769973495426</c:v>
                </c:pt>
                <c:pt idx="41">
                  <c:v>-19.941923931058572</c:v>
                </c:pt>
                <c:pt idx="42">
                  <c:v>-20.363710933975749</c:v>
                </c:pt>
                <c:pt idx="43">
                  <c:v>-20.804285160373045</c:v>
                </c:pt>
                <c:pt idx="44">
                  <c:v>-21.254858907131535</c:v>
                </c:pt>
                <c:pt idx="45">
                  <c:v>-21.708619042266779</c:v>
                </c:pt>
                <c:pt idx="46">
                  <c:v>-25.801749003096152</c:v>
                </c:pt>
                <c:pt idx="47">
                  <c:v>-28.849266593143724</c:v>
                </c:pt>
                <c:pt idx="48">
                  <c:v>-31.16898541598654</c:v>
                </c:pt>
                <c:pt idx="49">
                  <c:v>-33.021740567577361</c:v>
                </c:pt>
                <c:pt idx="50">
                  <c:v>-34.558236317116567</c:v>
                </c:pt>
                <c:pt idx="51">
                  <c:v>-35.868505502546718</c:v>
                </c:pt>
                <c:pt idx="52">
                  <c:v>-37.009636915911472</c:v>
                </c:pt>
                <c:pt idx="53">
                  <c:v>-38.019814815073175</c:v>
                </c:pt>
                <c:pt idx="54">
                  <c:v>-38.925733499539952</c:v>
                </c:pt>
              </c:numCache>
            </c:numRef>
          </c:yVal>
          <c:smooth val="0"/>
          <c:extLst>
            <c:ext xmlns:c16="http://schemas.microsoft.com/office/drawing/2014/chart" uri="{C3380CC4-5D6E-409C-BE32-E72D297353CC}">
              <c16:uniqueId val="{00000000-6079-4A5C-B7BF-9412C455575C}"/>
            </c:ext>
          </c:extLst>
        </c:ser>
        <c:dLbls>
          <c:showLegendKey val="0"/>
          <c:showVal val="0"/>
          <c:showCatName val="0"/>
          <c:showSerName val="0"/>
          <c:showPercent val="0"/>
          <c:showBubbleSize val="0"/>
        </c:dLbls>
        <c:axId val="220981120"/>
        <c:axId val="221385088"/>
      </c:scatterChart>
      <c:scatterChart>
        <c:scatterStyle val="lineMarker"/>
        <c:varyColors val="0"/>
        <c:ser>
          <c:idx val="1"/>
          <c:order val="1"/>
          <c:tx>
            <c:v>Compensation Phase</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Compensation!$I$8:$I$62</c:f>
              <c:numCache>
                <c:formatCode>General</c:formatCode>
                <c:ptCount val="55"/>
                <c:pt idx="0">
                  <c:v>90.059881165655796</c:v>
                </c:pt>
                <c:pt idx="1">
                  <c:v>90.119762196533827</c:v>
                </c:pt>
                <c:pt idx="2">
                  <c:v>90.179642957858178</c:v>
                </c:pt>
                <c:pt idx="3">
                  <c:v>90.23952331485647</c:v>
                </c:pt>
                <c:pt idx="4">
                  <c:v>90.299403132761782</c:v>
                </c:pt>
                <c:pt idx="5">
                  <c:v>90.359282276814383</c:v>
                </c:pt>
                <c:pt idx="6">
                  <c:v>90.419160612263553</c:v>
                </c:pt>
                <c:pt idx="7">
                  <c:v>90.479038004369372</c:v>
                </c:pt>
                <c:pt idx="8">
                  <c:v>90.538914318404537</c:v>
                </c:pt>
                <c:pt idx="9">
                  <c:v>90.598789419656171</c:v>
                </c:pt>
                <c:pt idx="10">
                  <c:v>91.197444106148353</c:v>
                </c:pt>
                <c:pt idx="11">
                  <c:v>91.795829506322249</c:v>
                </c:pt>
                <c:pt idx="12">
                  <c:v>92.393811426442156</c:v>
                </c:pt>
                <c:pt idx="13">
                  <c:v>92.991256210401787</c:v>
                </c:pt>
                <c:pt idx="14">
                  <c:v>93.588030916147844</c:v>
                </c:pt>
                <c:pt idx="15">
                  <c:v>94.184003489737037</c:v>
                </c:pt>
                <c:pt idx="16">
                  <c:v>94.779042936463355</c:v>
                </c:pt>
                <c:pt idx="17">
                  <c:v>95.373019488509073</c:v>
                </c:pt>
                <c:pt idx="18">
                  <c:v>95.965804768594481</c:v>
                </c:pt>
                <c:pt idx="19">
                  <c:v>101.80119109181959</c:v>
                </c:pt>
                <c:pt idx="20">
                  <c:v>107.39192162263257</c:v>
                </c:pt>
                <c:pt idx="21">
                  <c:v>112.6514090676655</c:v>
                </c:pt>
                <c:pt idx="22">
                  <c:v>117.52513179904075</c:v>
                </c:pt>
                <c:pt idx="23">
                  <c:v>121.98864139265082</c:v>
                </c:pt>
                <c:pt idx="24">
                  <c:v>126.04163034614822</c:v>
                </c:pt>
                <c:pt idx="25">
                  <c:v>129.70071936675993</c:v>
                </c:pt>
                <c:pt idx="26">
                  <c:v>132.99281507893298</c:v>
                </c:pt>
                <c:pt idx="27">
                  <c:v>135.94989813407162</c:v>
                </c:pt>
                <c:pt idx="28">
                  <c:v>153.45678575645775</c:v>
                </c:pt>
                <c:pt idx="29">
                  <c:v>160.67888942316881</c:v>
                </c:pt>
                <c:pt idx="30">
                  <c:v>164.28185340209458</c:v>
                </c:pt>
                <c:pt idx="31">
                  <c:v>166.27999649441304</c:v>
                </c:pt>
                <c:pt idx="32">
                  <c:v>167.43936403467035</c:v>
                </c:pt>
                <c:pt idx="33">
                  <c:v>168.10842663553532</c:v>
                </c:pt>
                <c:pt idx="34">
                  <c:v>168.4671712563686</c:v>
                </c:pt>
                <c:pt idx="35">
                  <c:v>168.61760785663651</c:v>
                </c:pt>
                <c:pt idx="36">
                  <c:v>168.62177244420891</c:v>
                </c:pt>
                <c:pt idx="37">
                  <c:v>165.48181413238098</c:v>
                </c:pt>
                <c:pt idx="38">
                  <c:v>160.78314717400769</c:v>
                </c:pt>
                <c:pt idx="39">
                  <c:v>155.95592889978093</c:v>
                </c:pt>
                <c:pt idx="40">
                  <c:v>151.32469006486753</c:v>
                </c:pt>
                <c:pt idx="41">
                  <c:v>147.00465254449242</c:v>
                </c:pt>
                <c:pt idx="42">
                  <c:v>143.0359231610035</c:v>
                </c:pt>
                <c:pt idx="43">
                  <c:v>139.42257582808224</c:v>
                </c:pt>
                <c:pt idx="44">
                  <c:v>136.14979455278444</c:v>
                </c:pt>
                <c:pt idx="45">
                  <c:v>133.19324736893566</c:v>
                </c:pt>
                <c:pt idx="46">
                  <c:v>115.29562636230865</c:v>
                </c:pt>
                <c:pt idx="47">
                  <c:v>107.50870809195946</c:v>
                </c:pt>
                <c:pt idx="48">
                  <c:v>103.3170174829781</c:v>
                </c:pt>
                <c:pt idx="49">
                  <c:v>100.72486657652355</c:v>
                </c:pt>
                <c:pt idx="50">
                  <c:v>98.970241034083671</c:v>
                </c:pt>
                <c:pt idx="51">
                  <c:v>97.705936118809518</c:v>
                </c:pt>
                <c:pt idx="52">
                  <c:v>96.752502403496436</c:v>
                </c:pt>
                <c:pt idx="53">
                  <c:v>96.008227888500457</c:v>
                </c:pt>
                <c:pt idx="54">
                  <c:v>95.411281790215497</c:v>
                </c:pt>
              </c:numCache>
            </c:numRef>
          </c:yVal>
          <c:smooth val="0"/>
          <c:extLst>
            <c:ext xmlns:c16="http://schemas.microsoft.com/office/drawing/2014/chart" uri="{C3380CC4-5D6E-409C-BE32-E72D297353CC}">
              <c16:uniqueId val="{00000001-6079-4A5C-B7BF-9412C455575C}"/>
            </c:ext>
          </c:extLst>
        </c:ser>
        <c:dLbls>
          <c:showLegendKey val="0"/>
          <c:showVal val="0"/>
          <c:showCatName val="0"/>
          <c:showSerName val="0"/>
          <c:showPercent val="0"/>
          <c:showBubbleSize val="0"/>
        </c:dLbls>
        <c:axId val="222761344"/>
        <c:axId val="221386624"/>
      </c:scatterChart>
      <c:valAx>
        <c:axId val="220981120"/>
        <c:scaling>
          <c:logBase val="10"/>
          <c:orientation val="minMax"/>
          <c:min val="10"/>
        </c:scaling>
        <c:delete val="0"/>
        <c:axPos val="b"/>
        <c:majorGridlines/>
        <c:minorGridlines/>
        <c:numFmt formatCode="General" sourceLinked="1"/>
        <c:majorTickMark val="out"/>
        <c:minorTickMark val="cross"/>
        <c:tickLblPos val="low"/>
        <c:crossAx val="221385088"/>
        <c:crosses val="autoZero"/>
        <c:crossBetween val="midCat"/>
      </c:valAx>
      <c:valAx>
        <c:axId val="221385088"/>
        <c:scaling>
          <c:orientation val="minMax"/>
          <c:max val="60"/>
          <c:min val="-40"/>
        </c:scaling>
        <c:delete val="0"/>
        <c:axPos val="l"/>
        <c:majorGridlines/>
        <c:numFmt formatCode="General" sourceLinked="1"/>
        <c:majorTickMark val="out"/>
        <c:minorTickMark val="none"/>
        <c:tickLblPos val="nextTo"/>
        <c:crossAx val="220981120"/>
        <c:crosses val="autoZero"/>
        <c:crossBetween val="midCat"/>
        <c:majorUnit val="20"/>
      </c:valAx>
      <c:valAx>
        <c:axId val="221386624"/>
        <c:scaling>
          <c:orientation val="minMax"/>
          <c:max val="180"/>
          <c:min val="-180"/>
        </c:scaling>
        <c:delete val="0"/>
        <c:axPos val="r"/>
        <c:numFmt formatCode="General" sourceLinked="1"/>
        <c:majorTickMark val="out"/>
        <c:minorTickMark val="none"/>
        <c:tickLblPos val="nextTo"/>
        <c:crossAx val="222761344"/>
        <c:crosses val="max"/>
        <c:crossBetween val="midCat"/>
        <c:majorUnit val="45"/>
      </c:valAx>
      <c:valAx>
        <c:axId val="222761344"/>
        <c:scaling>
          <c:logBase val="10"/>
          <c:orientation val="minMax"/>
        </c:scaling>
        <c:delete val="1"/>
        <c:axPos val="b"/>
        <c:numFmt formatCode="General" sourceLinked="1"/>
        <c:majorTickMark val="out"/>
        <c:minorTickMark val="none"/>
        <c:tickLblPos val="nextTo"/>
        <c:crossAx val="221386624"/>
        <c:crosses val="autoZero"/>
        <c:crossBetween val="midCat"/>
      </c:valAx>
    </c:plotArea>
    <c:legend>
      <c:legendPos val="l"/>
      <c:layout>
        <c:manualLayout>
          <c:xMode val="edge"/>
          <c:yMode val="edge"/>
          <c:x val="0.65602831874863543"/>
          <c:y val="0.38756332343240335"/>
          <c:w val="0.25624167236024714"/>
          <c:h val="0.1741696202416313"/>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Open-Loop Current  </a:t>
            </a:r>
            <a:endParaRPr lang="en-US"/>
          </a:p>
        </c:rich>
      </c:tx>
      <c:overlay val="0"/>
    </c:title>
    <c:autoTitleDeleted val="0"/>
    <c:plotArea>
      <c:layout/>
      <c:scatterChart>
        <c:scatterStyle val="lineMarker"/>
        <c:varyColors val="0"/>
        <c:ser>
          <c:idx val="0"/>
          <c:order val="0"/>
          <c:tx>
            <c:v>Current Loop Gain</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Compensation!$K$8:$K$62</c:f>
              <c:numCache>
                <c:formatCode>General</c:formatCode>
                <c:ptCount val="55"/>
                <c:pt idx="0">
                  <c:v>92.37337138095495</c:v>
                </c:pt>
                <c:pt idx="1">
                  <c:v>86.352769175566081</c:v>
                </c:pt>
                <c:pt idx="2">
                  <c:v>82.830940174307017</c:v>
                </c:pt>
                <c:pt idx="3">
                  <c:v>80.332160094014569</c:v>
                </c:pt>
                <c:pt idx="4">
                  <c:v>78.393952957823046</c:v>
                </c:pt>
                <c:pt idx="5">
                  <c:v>76.810319633035235</c:v>
                </c:pt>
                <c:pt idx="6">
                  <c:v>75.471373908904013</c:v>
                </c:pt>
                <c:pt idx="7">
                  <c:v>74.311523510290769</c:v>
                </c:pt>
                <c:pt idx="8">
                  <c:v>73.288460074908215</c:v>
                </c:pt>
                <c:pt idx="9">
                  <c:v>72.373295750071676</c:v>
                </c:pt>
                <c:pt idx="10">
                  <c:v>66.352466762105863</c:v>
                </c:pt>
                <c:pt idx="11">
                  <c:v>62.830260156398332</c:v>
                </c:pt>
                <c:pt idx="12">
                  <c:v>60.330952198167481</c:v>
                </c:pt>
                <c:pt idx="13">
                  <c:v>58.392067675515719</c:v>
                </c:pt>
                <c:pt idx="14">
                  <c:v>56.807608434557302</c:v>
                </c:pt>
                <c:pt idx="15">
                  <c:v>55.467689453703045</c:v>
                </c:pt>
                <c:pt idx="16">
                  <c:v>54.30671985309435</c:v>
                </c:pt>
                <c:pt idx="17">
                  <c:v>53.282392866919601</c:v>
                </c:pt>
                <c:pt idx="18">
                  <c:v>52.365822434570461</c:v>
                </c:pt>
                <c:pt idx="19">
                  <c:v>46.323611771360767</c:v>
                </c:pt>
                <c:pt idx="20">
                  <c:v>42.768891560600473</c:v>
                </c:pt>
                <c:pt idx="21">
                  <c:v>40.229629037874012</c:v>
                </c:pt>
                <c:pt idx="22">
                  <c:v>38.247060376954046</c:v>
                </c:pt>
                <c:pt idx="23">
                  <c:v>36.618290649822441</c:v>
                </c:pt>
                <c:pt idx="24">
                  <c:v>35.235667893415396</c:v>
                </c:pt>
                <c:pt idx="25">
                  <c:v>34.034986187592835</c:v>
                </c:pt>
                <c:pt idx="26">
                  <c:v>32.974642727927147</c:v>
                </c:pt>
                <c:pt idx="27">
                  <c:v>32.025976188343769</c:v>
                </c:pt>
                <c:pt idx="28">
                  <c:v>25.824412558054139</c:v>
                </c:pt>
                <c:pt idx="29">
                  <c:v>22.244380104076228</c:v>
                </c:pt>
                <c:pt idx="30">
                  <c:v>19.719835527119702</c:v>
                </c:pt>
                <c:pt idx="31">
                  <c:v>17.766384664931639</c:v>
                </c:pt>
                <c:pt idx="32">
                  <c:v>16.171419262014155</c:v>
                </c:pt>
                <c:pt idx="33">
                  <c:v>14.822583434794232</c:v>
                </c:pt>
                <c:pt idx="34">
                  <c:v>13.653206576404246</c:v>
                </c:pt>
                <c:pt idx="35">
                  <c:v>12.620453204404797</c:v>
                </c:pt>
                <c:pt idx="36">
                  <c:v>11.69515546074777</c:v>
                </c:pt>
                <c:pt idx="37">
                  <c:v>5.5320720272999155</c:v>
                </c:pt>
                <c:pt idx="38">
                  <c:v>1.7880003584460291</c:v>
                </c:pt>
                <c:pt idx="39">
                  <c:v>-1.0033120063043195</c:v>
                </c:pt>
                <c:pt idx="40">
                  <c:v>-3.2906463070787995</c:v>
                </c:pt>
                <c:pt idx="41">
                  <c:v>-5.2660138354449195</c:v>
                </c:pt>
                <c:pt idx="42">
                  <c:v>-7.0264885809776985</c:v>
                </c:pt>
                <c:pt idx="43">
                  <c:v>-8.626740745358525</c:v>
                </c:pt>
                <c:pt idx="44">
                  <c:v>-10.100254555469286</c:v>
                </c:pt>
                <c:pt idx="45">
                  <c:v>-11.469085541929751</c:v>
                </c:pt>
                <c:pt idx="46">
                  <c:v>-21.58256294255176</c:v>
                </c:pt>
                <c:pt idx="47">
                  <c:v>-28.151858957752825</c:v>
                </c:pt>
                <c:pt idx="48">
                  <c:v>-32.970336148056646</c:v>
                </c:pt>
                <c:pt idx="49">
                  <c:v>-36.761283985267134</c:v>
                </c:pt>
                <c:pt idx="50">
                  <c:v>-39.881400541187574</c:v>
                </c:pt>
                <c:pt idx="51">
                  <c:v>-42.530603038271366</c:v>
                </c:pt>
                <c:pt idx="52">
                  <c:v>-44.831571780951592</c:v>
                </c:pt>
                <c:pt idx="53">
                  <c:v>-46.864799025086505</c:v>
                </c:pt>
                <c:pt idx="54">
                  <c:v>-48.685866731100226</c:v>
                </c:pt>
              </c:numCache>
            </c:numRef>
          </c:yVal>
          <c:smooth val="0"/>
          <c:extLst>
            <c:ext xmlns:c16="http://schemas.microsoft.com/office/drawing/2014/chart" uri="{C3380CC4-5D6E-409C-BE32-E72D297353CC}">
              <c16:uniqueId val="{00000000-F3FC-4182-80D6-CCE6972AFF8F}"/>
            </c:ext>
          </c:extLst>
        </c:ser>
        <c:dLbls>
          <c:showLegendKey val="0"/>
          <c:showVal val="0"/>
          <c:showCatName val="0"/>
          <c:showSerName val="0"/>
          <c:showPercent val="0"/>
          <c:showBubbleSize val="0"/>
        </c:dLbls>
        <c:axId val="222780416"/>
        <c:axId val="222795648"/>
      </c:scatterChart>
      <c:scatterChart>
        <c:scatterStyle val="lineMarker"/>
        <c:varyColors val="0"/>
        <c:ser>
          <c:idx val="1"/>
          <c:order val="1"/>
          <c:tx>
            <c:v>Current Loop Phase</c:v>
          </c:tx>
          <c:marker>
            <c:symbol val="none"/>
          </c:marker>
          <c:xVal>
            <c:numRef>
              <c:f>Compensation!$B$8:$B$62</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Compensation!$L$8:$L$62</c:f>
              <c:numCache>
                <c:formatCode>General</c:formatCode>
                <c:ptCount val="55"/>
                <c:pt idx="0">
                  <c:v>89.994804270563165</c:v>
                </c:pt>
                <c:pt idx="1">
                  <c:v>89.989608574253737</c:v>
                </c:pt>
                <c:pt idx="2">
                  <c:v>89.984412944198354</c:v>
                </c:pt>
                <c:pt idx="3">
                  <c:v>89.979217413522079</c:v>
                </c:pt>
                <c:pt idx="4">
                  <c:v>89.974022015347515</c:v>
                </c:pt>
                <c:pt idx="5">
                  <c:v>89.968826782794125</c:v>
                </c:pt>
                <c:pt idx="6">
                  <c:v>89.963631748977392</c:v>
                </c:pt>
                <c:pt idx="7">
                  <c:v>89.958436947007982</c:v>
                </c:pt>
                <c:pt idx="8">
                  <c:v>89.95324240999102</c:v>
                </c:pt>
                <c:pt idx="9">
                  <c:v>89.948048171025221</c:v>
                </c:pt>
                <c:pt idx="10">
                  <c:v>89.896129449754241</c:v>
                </c:pt>
                <c:pt idx="11">
                  <c:v>89.84427686430584</c:v>
                </c:pt>
                <c:pt idx="12">
                  <c:v>89.792523284031105</c:v>
                </c:pt>
                <c:pt idx="13">
                  <c:v>89.740901341131149</c:v>
                </c:pt>
                <c:pt idx="14">
                  <c:v>89.689443353467766</c:v>
                </c:pt>
                <c:pt idx="15">
                  <c:v>89.638181248947447</c:v>
                </c:pt>
                <c:pt idx="16">
                  <c:v>89.587146491847719</c:v>
                </c:pt>
                <c:pt idx="17">
                  <c:v>89.536370011436603</c:v>
                </c:pt>
                <c:pt idx="18">
                  <c:v>89.485882133217316</c:v>
                </c:pt>
                <c:pt idx="19">
                  <c:v>89.002995099169837</c:v>
                </c:pt>
                <c:pt idx="20">
                  <c:v>88.575790272430652</c:v>
                </c:pt>
                <c:pt idx="21">
                  <c:v>88.218035971914659</c:v>
                </c:pt>
                <c:pt idx="22">
                  <c:v>87.932746504864227</c:v>
                </c:pt>
                <c:pt idx="23">
                  <c:v>87.714839478592395</c:v>
                </c:pt>
                <c:pt idx="24">
                  <c:v>87.554662963763519</c:v>
                </c:pt>
                <c:pt idx="25">
                  <c:v>87.441013519063787</c:v>
                </c:pt>
                <c:pt idx="26">
                  <c:v>87.363112941225396</c:v>
                </c:pt>
                <c:pt idx="27">
                  <c:v>87.311608835870189</c:v>
                </c:pt>
                <c:pt idx="28">
                  <c:v>87.216638365890404</c:v>
                </c:pt>
                <c:pt idx="29">
                  <c:v>87.034650562364931</c:v>
                </c:pt>
                <c:pt idx="30">
                  <c:v>86.695168606144193</c:v>
                </c:pt>
                <c:pt idx="31">
                  <c:v>86.266622886779146</c:v>
                </c:pt>
                <c:pt idx="32">
                  <c:v>85.787290263632102</c:v>
                </c:pt>
                <c:pt idx="33">
                  <c:v>85.277213074284191</c:v>
                </c:pt>
                <c:pt idx="34">
                  <c:v>84.747523880706055</c:v>
                </c:pt>
                <c:pt idx="35">
                  <c:v>84.20483175230595</c:v>
                </c:pt>
                <c:pt idx="36">
                  <c:v>83.653299900189396</c:v>
                </c:pt>
                <c:pt idx="37">
                  <c:v>78.002437476448151</c:v>
                </c:pt>
                <c:pt idx="38">
                  <c:v>72.464165165376599</c:v>
                </c:pt>
                <c:pt idx="39">
                  <c:v>67.216850668642977</c:v>
                </c:pt>
                <c:pt idx="40">
                  <c:v>62.333486106428929</c:v>
                </c:pt>
                <c:pt idx="41">
                  <c:v>57.845342455477052</c:v>
                </c:pt>
                <c:pt idx="42">
                  <c:v>53.756528232756132</c:v>
                </c:pt>
                <c:pt idx="43">
                  <c:v>50.05311305771766</c:v>
                </c:pt>
                <c:pt idx="44">
                  <c:v>46.710276838920862</c:v>
                </c:pt>
                <c:pt idx="45">
                  <c:v>43.697684483572949</c:v>
                </c:pt>
                <c:pt idx="46">
                  <c:v>25.547849807211566</c:v>
                </c:pt>
                <c:pt idx="47">
                  <c:v>17.676857658658555</c:v>
                </c:pt>
                <c:pt idx="48">
                  <c:v>13.443129816404278</c:v>
                </c:pt>
                <c:pt idx="49">
                  <c:v>10.825756501918624</c:v>
                </c:pt>
                <c:pt idx="50">
                  <c:v>9.0543159984642294</c:v>
                </c:pt>
                <c:pt idx="51">
                  <c:v>7.7780003877153518</c:v>
                </c:pt>
                <c:pt idx="52">
                  <c:v>6.8155586465821836</c:v>
                </c:pt>
                <c:pt idx="53">
                  <c:v>6.0642778871037422</c:v>
                </c:pt>
                <c:pt idx="54">
                  <c:v>5.4617267920158881</c:v>
                </c:pt>
              </c:numCache>
            </c:numRef>
          </c:yVal>
          <c:smooth val="0"/>
          <c:extLst>
            <c:ext xmlns:c16="http://schemas.microsoft.com/office/drawing/2014/chart" uri="{C3380CC4-5D6E-409C-BE32-E72D297353CC}">
              <c16:uniqueId val="{00000001-F3FC-4182-80D6-CCE6972AFF8F}"/>
            </c:ext>
          </c:extLst>
        </c:ser>
        <c:dLbls>
          <c:showLegendKey val="0"/>
          <c:showVal val="0"/>
          <c:showCatName val="0"/>
          <c:showSerName val="0"/>
          <c:showPercent val="0"/>
          <c:showBubbleSize val="0"/>
        </c:dLbls>
        <c:axId val="223315072"/>
        <c:axId val="222797184"/>
      </c:scatterChart>
      <c:valAx>
        <c:axId val="222780416"/>
        <c:scaling>
          <c:logBase val="10"/>
          <c:orientation val="minMax"/>
          <c:min val="10"/>
        </c:scaling>
        <c:delete val="0"/>
        <c:axPos val="b"/>
        <c:majorGridlines/>
        <c:minorGridlines/>
        <c:numFmt formatCode="General" sourceLinked="1"/>
        <c:majorTickMark val="out"/>
        <c:minorTickMark val="cross"/>
        <c:tickLblPos val="low"/>
        <c:crossAx val="222795648"/>
        <c:crosses val="autoZero"/>
        <c:crossBetween val="midCat"/>
      </c:valAx>
      <c:valAx>
        <c:axId val="222795648"/>
        <c:scaling>
          <c:orientation val="minMax"/>
          <c:max val="60"/>
          <c:min val="-40"/>
        </c:scaling>
        <c:delete val="0"/>
        <c:axPos val="l"/>
        <c:majorGridlines/>
        <c:numFmt formatCode="General" sourceLinked="1"/>
        <c:majorTickMark val="out"/>
        <c:minorTickMark val="none"/>
        <c:tickLblPos val="nextTo"/>
        <c:crossAx val="222780416"/>
        <c:crosses val="autoZero"/>
        <c:crossBetween val="midCat"/>
        <c:majorUnit val="20"/>
      </c:valAx>
      <c:valAx>
        <c:axId val="222797184"/>
        <c:scaling>
          <c:orientation val="minMax"/>
          <c:max val="180"/>
          <c:min val="-180"/>
        </c:scaling>
        <c:delete val="0"/>
        <c:axPos val="r"/>
        <c:numFmt formatCode="General" sourceLinked="1"/>
        <c:majorTickMark val="out"/>
        <c:minorTickMark val="none"/>
        <c:tickLblPos val="nextTo"/>
        <c:crossAx val="223315072"/>
        <c:crosses val="max"/>
        <c:crossBetween val="midCat"/>
        <c:majorUnit val="45"/>
      </c:valAx>
      <c:valAx>
        <c:axId val="223315072"/>
        <c:scaling>
          <c:logBase val="10"/>
          <c:orientation val="minMax"/>
        </c:scaling>
        <c:delete val="1"/>
        <c:axPos val="b"/>
        <c:numFmt formatCode="General" sourceLinked="1"/>
        <c:majorTickMark val="out"/>
        <c:minorTickMark val="none"/>
        <c:tickLblPos val="nextTo"/>
        <c:crossAx val="222797184"/>
        <c:crosses val="autoZero"/>
        <c:crossBetween val="midCat"/>
      </c:valAx>
    </c:plotArea>
    <c:legend>
      <c:legendPos val="l"/>
      <c:layout>
        <c:manualLayout>
          <c:xMode val="edge"/>
          <c:yMode val="edge"/>
          <c:x val="0.66446284284970702"/>
          <c:y val="0.15975271971864352"/>
          <c:w val="0.25624167236024714"/>
          <c:h val="0.1741696202416313"/>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6"/>
          <c:order val="0"/>
          <c:tx>
            <c:v>Gain_Boost_iL</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Compensation!$S$169:$S$223</c:f>
              <c:numCache>
                <c:formatCode>General</c:formatCode>
                <c:ptCount val="55"/>
                <c:pt idx="0">
                  <c:v>26.935524015940683</c:v>
                </c:pt>
                <c:pt idx="1">
                  <c:v>26.934846961156889</c:v>
                </c:pt>
                <c:pt idx="2">
                  <c:v>26.933718772687758</c:v>
                </c:pt>
                <c:pt idx="3">
                  <c:v>26.932139804530809</c:v>
                </c:pt>
                <c:pt idx="4">
                  <c:v>26.930110551766241</c:v>
                </c:pt>
                <c:pt idx="5">
                  <c:v>26.927631650041203</c:v>
                </c:pt>
                <c:pt idx="6">
                  <c:v>26.924703874910044</c:v>
                </c:pt>
                <c:pt idx="7">
                  <c:v>26.921328141029669</c:v>
                </c:pt>
                <c:pt idx="8">
                  <c:v>26.917505501213178</c:v>
                </c:pt>
                <c:pt idx="9">
                  <c:v>26.913237145344247</c:v>
                </c:pt>
                <c:pt idx="10">
                  <c:v>26.846396137916237</c:v>
                </c:pt>
                <c:pt idx="11">
                  <c:v>26.737246814976466</c:v>
                </c:pt>
                <c:pt idx="12">
                  <c:v>26.588936784373569</c:v>
                </c:pt>
                <c:pt idx="13">
                  <c:v>26.405457646071614</c:v>
                </c:pt>
                <c:pt idx="14">
                  <c:v>26.191323785156683</c:v>
                </c:pt>
                <c:pt idx="15">
                  <c:v>25.951261218399246</c:v>
                </c:pt>
                <c:pt idx="16">
                  <c:v>25.689941843904602</c:v>
                </c:pt>
                <c:pt idx="17">
                  <c:v>25.411781924846792</c:v>
                </c:pt>
                <c:pt idx="18">
                  <c:v>25.120808514496584</c:v>
                </c:pt>
                <c:pt idx="19">
                  <c:v>22.072633360085824</c:v>
                </c:pt>
                <c:pt idx="20">
                  <c:v>19.448958167094936</c:v>
                </c:pt>
                <c:pt idx="21">
                  <c:v>17.343377317508985</c:v>
                </c:pt>
                <c:pt idx="22">
                  <c:v>15.62814203470586</c:v>
                </c:pt>
                <c:pt idx="23">
                  <c:v>14.195801361627336</c:v>
                </c:pt>
                <c:pt idx="24">
                  <c:v>12.972283246606889</c:v>
                </c:pt>
                <c:pt idx="25">
                  <c:v>11.907156008683572</c:v>
                </c:pt>
                <c:pt idx="26">
                  <c:v>10.965411912666443</c:v>
                </c:pt>
                <c:pt idx="27">
                  <c:v>10.122137052962874</c:v>
                </c:pt>
                <c:pt idx="28">
                  <c:v>4.6109620127726885</c:v>
                </c:pt>
                <c:pt idx="29">
                  <c:v>1.5400015169230585</c:v>
                </c:pt>
                <c:pt idx="30">
                  <c:v>-0.45094888049646897</c:v>
                </c:pt>
                <c:pt idx="31">
                  <c:v>-1.8214138639244248</c:v>
                </c:pt>
                <c:pt idx="32">
                  <c:v>-2.7936689440357307</c:v>
                </c:pt>
                <c:pt idx="33">
                  <c:v>-3.4947950705850261</c:v>
                </c:pt>
                <c:pt idx="34">
                  <c:v>-4.0043338310574459</c:v>
                </c:pt>
                <c:pt idx="35">
                  <c:v>-4.374808584853807</c:v>
                </c:pt>
                <c:pt idx="36">
                  <c:v>-4.6421504195745644</c:v>
                </c:pt>
                <c:pt idx="37">
                  <c:v>-4.9290388189070509</c:v>
                </c:pt>
                <c:pt idx="38">
                  <c:v>-4.1257361208778063</c:v>
                </c:pt>
                <c:pt idx="39">
                  <c:v>-3.4633167011939476</c:v>
                </c:pt>
                <c:pt idx="40">
                  <c:v>-3.1955003208358934</c:v>
                </c:pt>
                <c:pt idx="41">
                  <c:v>-3.3092827242723661</c:v>
                </c:pt>
                <c:pt idx="42">
                  <c:v>-3.6966520224005683</c:v>
                </c:pt>
                <c:pt idx="43">
                  <c:v>-4.2444592483244943</c:v>
                </c:pt>
                <c:pt idx="44">
                  <c:v>-4.8695133201218388</c:v>
                </c:pt>
                <c:pt idx="45">
                  <c:v>-5.5202860026694207</c:v>
                </c:pt>
                <c:pt idx="46">
                  <c:v>-10.899062876223427</c:v>
                </c:pt>
                <c:pt idx="47">
                  <c:v>-14.350541003740599</c:v>
                </c:pt>
                <c:pt idx="48">
                  <c:v>-16.829165271720075</c:v>
                </c:pt>
                <c:pt idx="49">
                  <c:v>-18.758855402397266</c:v>
                </c:pt>
                <c:pt idx="50">
                  <c:v>-20.338077344316318</c:v>
                </c:pt>
                <c:pt idx="51">
                  <c:v>-21.674433600528118</c:v>
                </c:pt>
                <c:pt idx="52">
                  <c:v>-22.83262876971979</c:v>
                </c:pt>
                <c:pt idx="53">
                  <c:v>-23.854566139609208</c:v>
                </c:pt>
                <c:pt idx="54">
                  <c:v>-24.768926712750272</c:v>
                </c:pt>
              </c:numCache>
            </c:numRef>
          </c:yVal>
          <c:smooth val="1"/>
          <c:extLst>
            <c:ext xmlns:c16="http://schemas.microsoft.com/office/drawing/2014/chart" uri="{C3380CC4-5D6E-409C-BE32-E72D297353CC}">
              <c16:uniqueId val="{00000000-6D16-4FE1-8702-619082452D5B}"/>
            </c:ext>
          </c:extLst>
        </c:ser>
        <c:ser>
          <c:idx val="1"/>
          <c:order val="2"/>
          <c:tx>
            <c:v>Simplis_Gain</c:v>
          </c:tx>
          <c:marker>
            <c:symbol val="none"/>
          </c:marker>
          <c:xVal>
            <c:numRef>
              <c:f>Compensation!$AD$182:$AD$1243</c:f>
              <c:numCache>
                <c:formatCode>General</c:formatCode>
                <c:ptCount val="1062"/>
              </c:numCache>
            </c:numRef>
          </c:xVal>
          <c:yVal>
            <c:numRef>
              <c:f>Compensation!$AE$182:$AE$1243</c:f>
              <c:numCache>
                <c:formatCode>General</c:formatCode>
                <c:ptCount val="1062"/>
              </c:numCache>
            </c:numRef>
          </c:yVal>
          <c:smooth val="0"/>
          <c:extLst>
            <c:ext xmlns:c16="http://schemas.microsoft.com/office/drawing/2014/chart" uri="{C3380CC4-5D6E-409C-BE32-E72D297353CC}">
              <c16:uniqueId val="{00000001-6D16-4FE1-8702-619082452D5B}"/>
            </c:ext>
          </c:extLst>
        </c:ser>
        <c:dLbls>
          <c:showLegendKey val="0"/>
          <c:showVal val="0"/>
          <c:showCatName val="0"/>
          <c:showSerName val="0"/>
          <c:showPercent val="0"/>
          <c:showBubbleSize val="0"/>
        </c:dLbls>
        <c:axId val="224078080"/>
        <c:axId val="225329536"/>
      </c:scatterChart>
      <c:scatterChart>
        <c:scatterStyle val="lineMarker"/>
        <c:varyColors val="0"/>
        <c:ser>
          <c:idx val="0"/>
          <c:order val="1"/>
          <c:tx>
            <c:v>Phase_Boost_iL</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Compensation!$T$169:$T$223</c:f>
              <c:numCache>
                <c:formatCode>General</c:formatCode>
                <c:ptCount val="55"/>
                <c:pt idx="0">
                  <c:v>-0.40495740859660428</c:v>
                </c:pt>
                <c:pt idx="1">
                  <c:v>-0.80987168566212253</c:v>
                </c:pt>
                <c:pt idx="2">
                  <c:v>-1.2146997266706268</c:v>
                </c:pt>
                <c:pt idx="3">
                  <c:v>-1.6193984810641469</c:v>
                </c:pt>
                <c:pt idx="4">
                  <c:v>-2.0239249791312486</c:v>
                </c:pt>
                <c:pt idx="5">
                  <c:v>-2.4282363587592957</c:v>
                </c:pt>
                <c:pt idx="6">
                  <c:v>-2.8322898920194524</c:v>
                </c:pt>
                <c:pt idx="7">
                  <c:v>-3.2360430115419097</c:v>
                </c:pt>
                <c:pt idx="8">
                  <c:v>-3.6394533366439417</c:v>
                </c:pt>
                <c:pt idx="9">
                  <c:v>-4.0424786991665345</c:v>
                </c:pt>
                <c:pt idx="10">
                  <c:v>-8.0424841939122516</c:v>
                </c:pt>
                <c:pt idx="11">
                  <c:v>-11.960110031461685</c:v>
                </c:pt>
                <c:pt idx="12">
                  <c:v>-15.760207666916218</c:v>
                </c:pt>
                <c:pt idx="13">
                  <c:v>-19.413925026285781</c:v>
                </c:pt>
                <c:pt idx="14">
                  <c:v>-22.899472991267832</c:v>
                </c:pt>
                <c:pt idx="15">
                  <c:v>-26.202159588159709</c:v>
                </c:pt>
                <c:pt idx="16">
                  <c:v>-29.31384630220585</c:v>
                </c:pt>
                <c:pt idx="17">
                  <c:v>-32.232031892907571</c:v>
                </c:pt>
                <c:pt idx="18">
                  <c:v>-34.958763573035895</c:v>
                </c:pt>
                <c:pt idx="19">
                  <c:v>-53.575373517522571</c:v>
                </c:pt>
                <c:pt idx="20">
                  <c:v>-62.696000398953657</c:v>
                </c:pt>
                <c:pt idx="21">
                  <c:v>-67.643810543104863</c:v>
                </c:pt>
                <c:pt idx="22">
                  <c:v>-70.595602401761113</c:v>
                </c:pt>
                <c:pt idx="23">
                  <c:v>-72.485092812956623</c:v>
                </c:pt>
                <c:pt idx="24">
                  <c:v>-73.757835614044964</c:v>
                </c:pt>
                <c:pt idx="25">
                  <c:v>-74.646371814867393</c:v>
                </c:pt>
                <c:pt idx="26">
                  <c:v>-75.280943771787022</c:v>
                </c:pt>
                <c:pt idx="27">
                  <c:v>-75.73886123320456</c:v>
                </c:pt>
                <c:pt idx="28">
                  <c:v>-76.369462787830841</c:v>
                </c:pt>
                <c:pt idx="29">
                  <c:v>-74.833626648649798</c:v>
                </c:pt>
                <c:pt idx="30">
                  <c:v>-73.05220143286256</c:v>
                </c:pt>
                <c:pt idx="31">
                  <c:v>-71.535446297831214</c:v>
                </c:pt>
                <c:pt idx="32">
                  <c:v>-70.448047786034905</c:v>
                </c:pt>
                <c:pt idx="33">
                  <c:v>-69.823110324820917</c:v>
                </c:pt>
                <c:pt idx="34">
                  <c:v>-69.637423784339305</c:v>
                </c:pt>
                <c:pt idx="35">
                  <c:v>-69.845039938193111</c:v>
                </c:pt>
                <c:pt idx="36">
                  <c:v>-70.393524292665916</c:v>
                </c:pt>
                <c:pt idx="37">
                  <c:v>-85.917073906708467</c:v>
                </c:pt>
                <c:pt idx="38">
                  <c:v>-106.77697038197051</c:v>
                </c:pt>
                <c:pt idx="39">
                  <c:v>-127.19536988394194</c:v>
                </c:pt>
                <c:pt idx="40">
                  <c:v>-145.74127424461605</c:v>
                </c:pt>
                <c:pt idx="41">
                  <c:v>-161.80303688028016</c:v>
                </c:pt>
                <c:pt idx="42">
                  <c:v>-175.24707682234279</c:v>
                </c:pt>
                <c:pt idx="43">
                  <c:v>173.70118155613221</c:v>
                </c:pt>
                <c:pt idx="44">
                  <c:v>164.65521747832719</c:v>
                </c:pt>
                <c:pt idx="45">
                  <c:v>157.2178137726815</c:v>
                </c:pt>
                <c:pt idx="46">
                  <c:v>123.15251546466952</c:v>
                </c:pt>
                <c:pt idx="47">
                  <c:v>111.97954926272297</c:v>
                </c:pt>
                <c:pt idx="48">
                  <c:v>106.44866137021408</c:v>
                </c:pt>
                <c:pt idx="49">
                  <c:v>103.14504174038625</c:v>
                </c:pt>
                <c:pt idx="50">
                  <c:v>100.94779178126279</c:v>
                </c:pt>
                <c:pt idx="51">
                  <c:v>99.38047287694431</c:v>
                </c:pt>
                <c:pt idx="52">
                  <c:v>98.205999378660351</c:v>
                </c:pt>
                <c:pt idx="53">
                  <c:v>97.293049885397252</c:v>
                </c:pt>
                <c:pt idx="54">
                  <c:v>96.562988244155619</c:v>
                </c:pt>
              </c:numCache>
            </c:numRef>
          </c:yVal>
          <c:smooth val="1"/>
          <c:extLst>
            <c:ext xmlns:c16="http://schemas.microsoft.com/office/drawing/2014/chart" uri="{C3380CC4-5D6E-409C-BE32-E72D297353CC}">
              <c16:uniqueId val="{00000002-6D16-4FE1-8702-619082452D5B}"/>
            </c:ext>
          </c:extLst>
        </c:ser>
        <c:ser>
          <c:idx val="2"/>
          <c:order val="3"/>
          <c:tx>
            <c:v>Simplis_Phase</c:v>
          </c:tx>
          <c:marker>
            <c:symbol val="none"/>
          </c:marker>
          <c:xVal>
            <c:numRef>
              <c:f>Compensation!$AG$183:$AG$1244</c:f>
              <c:numCache>
                <c:formatCode>General</c:formatCode>
                <c:ptCount val="1062"/>
              </c:numCache>
            </c:numRef>
          </c:xVal>
          <c:yVal>
            <c:numRef>
              <c:f>Compensation!$AH$183:$AH$1244</c:f>
              <c:numCache>
                <c:formatCode>General</c:formatCode>
                <c:ptCount val="1062"/>
              </c:numCache>
            </c:numRef>
          </c:yVal>
          <c:smooth val="0"/>
          <c:extLst>
            <c:ext xmlns:c16="http://schemas.microsoft.com/office/drawing/2014/chart" uri="{C3380CC4-5D6E-409C-BE32-E72D297353CC}">
              <c16:uniqueId val="{00000003-6D16-4FE1-8702-619082452D5B}"/>
            </c:ext>
          </c:extLst>
        </c:ser>
        <c:dLbls>
          <c:showLegendKey val="0"/>
          <c:showVal val="0"/>
          <c:showCatName val="0"/>
          <c:showSerName val="0"/>
          <c:showPercent val="0"/>
          <c:showBubbleSize val="0"/>
        </c:dLbls>
        <c:axId val="281326720"/>
        <c:axId val="225331072"/>
      </c:scatterChart>
      <c:valAx>
        <c:axId val="224078080"/>
        <c:scaling>
          <c:logBase val="10"/>
          <c:orientation val="minMax"/>
        </c:scaling>
        <c:delete val="0"/>
        <c:axPos val="b"/>
        <c:majorGridlines/>
        <c:minorGridlines/>
        <c:numFmt formatCode="General" sourceLinked="1"/>
        <c:majorTickMark val="out"/>
        <c:minorTickMark val="cross"/>
        <c:tickLblPos val="low"/>
        <c:crossAx val="225329536"/>
        <c:crosses val="autoZero"/>
        <c:crossBetween val="midCat"/>
      </c:valAx>
      <c:valAx>
        <c:axId val="225329536"/>
        <c:scaling>
          <c:orientation val="minMax"/>
          <c:min val="-40"/>
        </c:scaling>
        <c:delete val="0"/>
        <c:axPos val="l"/>
        <c:majorGridlines/>
        <c:numFmt formatCode="General" sourceLinked="1"/>
        <c:majorTickMark val="out"/>
        <c:minorTickMark val="none"/>
        <c:tickLblPos val="nextTo"/>
        <c:crossAx val="224078080"/>
        <c:crosses val="autoZero"/>
        <c:crossBetween val="midCat"/>
        <c:majorUnit val="20"/>
      </c:valAx>
      <c:valAx>
        <c:axId val="225331072"/>
        <c:scaling>
          <c:orientation val="minMax"/>
          <c:max val="180"/>
          <c:min val="-180"/>
        </c:scaling>
        <c:delete val="0"/>
        <c:axPos val="r"/>
        <c:numFmt formatCode="General" sourceLinked="1"/>
        <c:majorTickMark val="out"/>
        <c:minorTickMark val="none"/>
        <c:tickLblPos val="nextTo"/>
        <c:crossAx val="281326720"/>
        <c:crosses val="max"/>
        <c:crossBetween val="midCat"/>
        <c:majorUnit val="45"/>
      </c:valAx>
      <c:valAx>
        <c:axId val="281326720"/>
        <c:scaling>
          <c:logBase val="10"/>
          <c:orientation val="minMax"/>
        </c:scaling>
        <c:delete val="1"/>
        <c:axPos val="b"/>
        <c:numFmt formatCode="General" sourceLinked="1"/>
        <c:majorTickMark val="out"/>
        <c:minorTickMark val="none"/>
        <c:tickLblPos val="nextTo"/>
        <c:crossAx val="225331072"/>
        <c:crosses val="autoZero"/>
        <c:crossBetween val="midCat"/>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6"/>
          <c:order val="0"/>
          <c:tx>
            <c:v>Gain_Buck</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Compensation!$S$79:$S$133</c:f>
              <c:numCache>
                <c:formatCode>General</c:formatCode>
                <c:ptCount val="55"/>
                <c:pt idx="0">
                  <c:v>24.997475795388922</c:v>
                </c:pt>
                <c:pt idx="1">
                  <c:v>24.99725479665214</c:v>
                </c:pt>
                <c:pt idx="2">
                  <c:v>24.996886492396257</c:v>
                </c:pt>
                <c:pt idx="3">
                  <c:v>24.996370923069449</c:v>
                </c:pt>
                <c:pt idx="4">
                  <c:v>24.995708145278989</c:v>
                </c:pt>
                <c:pt idx="5">
                  <c:v>24.994898231771469</c:v>
                </c:pt>
                <c:pt idx="6">
                  <c:v>24.993941271407042</c:v>
                </c:pt>
                <c:pt idx="7">
                  <c:v>24.992837369128104</c:v>
                </c:pt>
                <c:pt idx="8">
                  <c:v>24.991586645922045</c:v>
                </c:pt>
                <c:pt idx="9">
                  <c:v>24.990189238779202</c:v>
                </c:pt>
                <c:pt idx="10">
                  <c:v>24.968189017470724</c:v>
                </c:pt>
                <c:pt idx="11">
                  <c:v>24.931787357340831</c:v>
                </c:pt>
                <c:pt idx="12">
                  <c:v>24.881372692902662</c:v>
                </c:pt>
                <c:pt idx="13">
                  <c:v>24.817470282496608</c:v>
                </c:pt>
                <c:pt idx="14">
                  <c:v>24.740725221694355</c:v>
                </c:pt>
                <c:pt idx="15">
                  <c:v>24.651882629831693</c:v>
                </c:pt>
                <c:pt idx="16">
                  <c:v>24.551766206786361</c:v>
                </c:pt>
                <c:pt idx="17">
                  <c:v>24.441256333334849</c:v>
                </c:pt>
                <c:pt idx="18">
                  <c:v>24.321268767987767</c:v>
                </c:pt>
                <c:pt idx="19">
                  <c:v>22.79427492478014</c:v>
                </c:pt>
                <c:pt idx="20">
                  <c:v>21.122670260822591</c:v>
                </c:pt>
                <c:pt idx="21">
                  <c:v>19.612494260314385</c:v>
                </c:pt>
                <c:pt idx="22">
                  <c:v>18.326024951454151</c:v>
                </c:pt>
                <c:pt idx="23">
                  <c:v>17.24732326406323</c:v>
                </c:pt>
                <c:pt idx="24">
                  <c:v>16.343820613601579</c:v>
                </c:pt>
                <c:pt idx="25">
                  <c:v>15.583980348211195</c:v>
                </c:pt>
                <c:pt idx="26">
                  <c:v>14.94128595628947</c:v>
                </c:pt>
                <c:pt idx="27">
                  <c:v>14.394366210635132</c:v>
                </c:pt>
                <c:pt idx="28">
                  <c:v>11.684253962665512</c:v>
                </c:pt>
                <c:pt idx="29">
                  <c:v>10.841009796906906</c:v>
                </c:pt>
                <c:pt idx="30">
                  <c:v>10.490142237560642</c:v>
                </c:pt>
                <c:pt idx="31">
                  <c:v>10.313114576129621</c:v>
                </c:pt>
                <c:pt idx="32">
                  <c:v>10.21064483430713</c:v>
                </c:pt>
                <c:pt idx="33">
                  <c:v>10.14469102965117</c:v>
                </c:pt>
                <c:pt idx="34">
                  <c:v>10.098329639510515</c:v>
                </c:pt>
                <c:pt idx="35">
                  <c:v>10.063141396630977</c:v>
                </c:pt>
                <c:pt idx="36">
                  <c:v>10.03455665663688</c:v>
                </c:pt>
                <c:pt idx="37">
                  <c:v>9.8101288570476104</c:v>
                </c:pt>
                <c:pt idx="38">
                  <c:v>9.4529665580175468</c:v>
                </c:pt>
                <c:pt idx="39">
                  <c:v>8.8414827284906305</c:v>
                </c:pt>
                <c:pt idx="40">
                  <c:v>7.9333062422082197</c:v>
                </c:pt>
                <c:pt idx="41">
                  <c:v>6.7599863041589492</c:v>
                </c:pt>
                <c:pt idx="42">
                  <c:v>5.4053536048854909</c:v>
                </c:pt>
                <c:pt idx="43">
                  <c:v>3.9620655511878451</c:v>
                </c:pt>
                <c:pt idx="44">
                  <c:v>2.5024704160077542</c:v>
                </c:pt>
                <c:pt idx="45">
                  <c:v>1.0722969487616354</c:v>
                </c:pt>
                <c:pt idx="46">
                  <c:v>-9.9231896066416585</c:v>
                </c:pt>
                <c:pt idx="47">
                  <c:v>-16.83325033527402</c:v>
                </c:pt>
                <c:pt idx="48">
                  <c:v>-21.789779009822283</c:v>
                </c:pt>
                <c:pt idx="49">
                  <c:v>-25.64824525169518</c:v>
                </c:pt>
                <c:pt idx="50">
                  <c:v>-28.806036709080537</c:v>
                </c:pt>
                <c:pt idx="51">
                  <c:v>-31.478302462468939</c:v>
                </c:pt>
                <c:pt idx="52">
                  <c:v>-33.794381277881058</c:v>
                </c:pt>
                <c:pt idx="53">
                  <c:v>-35.838032611222715</c:v>
                </c:pt>
                <c:pt idx="54">
                  <c:v>-37.666589044791408</c:v>
                </c:pt>
              </c:numCache>
            </c:numRef>
          </c:yVal>
          <c:smooth val="1"/>
          <c:extLst>
            <c:ext xmlns:c16="http://schemas.microsoft.com/office/drawing/2014/chart" uri="{C3380CC4-5D6E-409C-BE32-E72D297353CC}">
              <c16:uniqueId val="{00000000-5E18-4167-8361-43420AF8C5B9}"/>
            </c:ext>
          </c:extLst>
        </c:ser>
        <c:ser>
          <c:idx val="1"/>
          <c:order val="2"/>
          <c:tx>
            <c:v>Simplis_Gain</c:v>
          </c:tx>
          <c:marker>
            <c:symbol val="none"/>
          </c:marker>
          <c:xVal>
            <c:numRef>
              <c:f>Compensation!$AQ$84:$AQ$1284</c:f>
              <c:numCache>
                <c:formatCode>General</c:formatCode>
                <c:ptCount val="1201"/>
              </c:numCache>
            </c:numRef>
          </c:xVal>
          <c:yVal>
            <c:numRef>
              <c:f>Compensation!$AR$84:$AR$1284</c:f>
              <c:numCache>
                <c:formatCode>General</c:formatCode>
                <c:ptCount val="1201"/>
              </c:numCache>
            </c:numRef>
          </c:yVal>
          <c:smooth val="0"/>
          <c:extLst>
            <c:ext xmlns:c16="http://schemas.microsoft.com/office/drawing/2014/chart" uri="{C3380CC4-5D6E-409C-BE32-E72D297353CC}">
              <c16:uniqueId val="{00000001-5E18-4167-8361-43420AF8C5B9}"/>
            </c:ext>
          </c:extLst>
        </c:ser>
        <c:dLbls>
          <c:showLegendKey val="0"/>
          <c:showVal val="0"/>
          <c:showCatName val="0"/>
          <c:showSerName val="0"/>
          <c:showPercent val="0"/>
          <c:showBubbleSize val="0"/>
        </c:dLbls>
        <c:axId val="283349376"/>
        <c:axId val="283350912"/>
      </c:scatterChart>
      <c:scatterChart>
        <c:scatterStyle val="lineMarker"/>
        <c:varyColors val="0"/>
        <c:ser>
          <c:idx val="0"/>
          <c:order val="1"/>
          <c:tx>
            <c:v>Phase_Buck</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Compensation!$T$79:$T$133</c:f>
              <c:numCache>
                <c:formatCode>General</c:formatCode>
                <c:ptCount val="55"/>
                <c:pt idx="0">
                  <c:v>-0.1972009555343392</c:v>
                </c:pt>
                <c:pt idx="1">
                  <c:v>-0.39439349463403506</c:v>
                </c:pt>
                <c:pt idx="2">
                  <c:v>-0.59156920266086155</c:v>
                </c:pt>
                <c:pt idx="3">
                  <c:v>-0.78871966856845277</c:v>
                </c:pt>
                <c:pt idx="4">
                  <c:v>-0.98583648669591306</c:v>
                </c:pt>
                <c:pt idx="5">
                  <c:v>-1.1829112585584598</c:v>
                </c:pt>
                <c:pt idx="6">
                  <c:v>-1.3799355946343954</c:v>
                </c:pt>
                <c:pt idx="7">
                  <c:v>-1.576901116147243</c:v>
                </c:pt>
                <c:pt idx="8">
                  <c:v>-1.7737994568423288</c:v>
                </c:pt>
                <c:pt idx="9">
                  <c:v>-1.9706222647565812</c:v>
                </c:pt>
                <c:pt idx="10">
                  <c:v>-3.9328723274235711</c:v>
                </c:pt>
                <c:pt idx="11">
                  <c:v>-5.8785545325274899</c:v>
                </c:pt>
                <c:pt idx="12">
                  <c:v>-7.7998171835047758</c:v>
                </c:pt>
                <c:pt idx="13">
                  <c:v>-9.6893025556348391</c:v>
                </c:pt>
                <c:pt idx="14">
                  <c:v>-11.540272852479049</c:v>
                </c:pt>
                <c:pt idx="15">
                  <c:v>-13.346707562133037</c:v>
                </c:pt>
                <c:pt idx="16">
                  <c:v>-15.103370001274328</c:v>
                </c:pt>
                <c:pt idx="17">
                  <c:v>-16.805843098289426</c:v>
                </c:pt>
                <c:pt idx="18">
                  <c:v>-18.450536423528185</c:v>
                </c:pt>
                <c:pt idx="19">
                  <c:v>-31.437931450691064</c:v>
                </c:pt>
                <c:pt idx="20">
                  <c:v>-38.84498465536101</c:v>
                </c:pt>
                <c:pt idx="21">
                  <c:v>-42.578004934047861</c:v>
                </c:pt>
                <c:pt idx="22">
                  <c:v>-44.151196684108228</c:v>
                </c:pt>
                <c:pt idx="23">
                  <c:v>-44.475294373290176</c:v>
                </c:pt>
                <c:pt idx="24">
                  <c:v>-44.075161703666311</c:v>
                </c:pt>
                <c:pt idx="25">
                  <c:v>-43.257460252924353</c:v>
                </c:pt>
                <c:pt idx="26">
                  <c:v>-42.205879654702592</c:v>
                </c:pt>
                <c:pt idx="27">
                  <c:v>-41.033011447756323</c:v>
                </c:pt>
                <c:pt idx="28">
                  <c:v>-30.282176766698047</c:v>
                </c:pt>
                <c:pt idx="29">
                  <c:v>-24.270254549830774</c:v>
                </c:pt>
                <c:pt idx="30">
                  <c:v>-21.1929600977018</c:v>
                </c:pt>
                <c:pt idx="31">
                  <c:v>-19.674929985073959</c:v>
                </c:pt>
                <c:pt idx="32">
                  <c:v>-19.043211491454855</c:v>
                </c:pt>
                <c:pt idx="33">
                  <c:v>-18.954650145040954</c:v>
                </c:pt>
                <c:pt idx="34">
                  <c:v>-19.22075195653624</c:v>
                </c:pt>
                <c:pt idx="35">
                  <c:v>-19.73071960807658</c:v>
                </c:pt>
                <c:pt idx="36">
                  <c:v>-20.415628613177674</c:v>
                </c:pt>
                <c:pt idx="37">
                  <c:v>-31.368535426084055</c:v>
                </c:pt>
                <c:pt idx="38">
                  <c:v>-44.917755250470975</c:v>
                </c:pt>
                <c:pt idx="39">
                  <c:v>-59.155731046067586</c:v>
                </c:pt>
                <c:pt idx="40">
                  <c:v>-73.0974068544933</c:v>
                </c:pt>
                <c:pt idx="41">
                  <c:v>-85.918044791895781</c:v>
                </c:pt>
                <c:pt idx="42">
                  <c:v>-97.124569194708315</c:v>
                </c:pt>
                <c:pt idx="43">
                  <c:v>-106.60569856904613</c:v>
                </c:pt>
                <c:pt idx="44">
                  <c:v>-114.50361660465114</c:v>
                </c:pt>
                <c:pt idx="45">
                  <c:v>-121.06140025570208</c:v>
                </c:pt>
                <c:pt idx="46">
                  <c:v>-151.22188526321418</c:v>
                </c:pt>
                <c:pt idx="47">
                  <c:v>-160.99147205712549</c:v>
                </c:pt>
                <c:pt idx="48">
                  <c:v>-165.7955722259199</c:v>
                </c:pt>
                <c:pt idx="49">
                  <c:v>-168.65648191778405</c:v>
                </c:pt>
                <c:pt idx="50">
                  <c:v>-170.55630534637544</c:v>
                </c:pt>
                <c:pt idx="51">
                  <c:v>-171.91022891893789</c:v>
                </c:pt>
                <c:pt idx="52">
                  <c:v>-172.92420781273415</c:v>
                </c:pt>
                <c:pt idx="53">
                  <c:v>-173.71209458887202</c:v>
                </c:pt>
                <c:pt idx="54">
                  <c:v>-174.3419747934083</c:v>
                </c:pt>
              </c:numCache>
            </c:numRef>
          </c:yVal>
          <c:smooth val="1"/>
          <c:extLst>
            <c:ext xmlns:c16="http://schemas.microsoft.com/office/drawing/2014/chart" uri="{C3380CC4-5D6E-409C-BE32-E72D297353CC}">
              <c16:uniqueId val="{00000002-5E18-4167-8361-43420AF8C5B9}"/>
            </c:ext>
          </c:extLst>
        </c:ser>
        <c:dLbls>
          <c:showLegendKey val="0"/>
          <c:showVal val="0"/>
          <c:showCatName val="0"/>
          <c:showSerName val="0"/>
          <c:showPercent val="0"/>
          <c:showBubbleSize val="0"/>
        </c:dLbls>
        <c:axId val="283589248"/>
        <c:axId val="283586944"/>
      </c:scatterChart>
      <c:valAx>
        <c:axId val="283349376"/>
        <c:scaling>
          <c:logBase val="10"/>
          <c:orientation val="minMax"/>
        </c:scaling>
        <c:delete val="0"/>
        <c:axPos val="b"/>
        <c:majorGridlines/>
        <c:minorGridlines/>
        <c:numFmt formatCode="General" sourceLinked="1"/>
        <c:majorTickMark val="out"/>
        <c:minorTickMark val="cross"/>
        <c:tickLblPos val="low"/>
        <c:crossAx val="283350912"/>
        <c:crosses val="autoZero"/>
        <c:crossBetween val="midCat"/>
      </c:valAx>
      <c:valAx>
        <c:axId val="283350912"/>
        <c:scaling>
          <c:orientation val="minMax"/>
          <c:min val="-40"/>
        </c:scaling>
        <c:delete val="0"/>
        <c:axPos val="l"/>
        <c:majorGridlines/>
        <c:numFmt formatCode="General" sourceLinked="1"/>
        <c:majorTickMark val="out"/>
        <c:minorTickMark val="none"/>
        <c:tickLblPos val="nextTo"/>
        <c:crossAx val="283349376"/>
        <c:crosses val="autoZero"/>
        <c:crossBetween val="midCat"/>
        <c:majorUnit val="20"/>
      </c:valAx>
      <c:valAx>
        <c:axId val="283586944"/>
        <c:scaling>
          <c:orientation val="minMax"/>
          <c:max val="180"/>
          <c:min val="-180"/>
        </c:scaling>
        <c:delete val="0"/>
        <c:axPos val="r"/>
        <c:numFmt formatCode="General" sourceLinked="1"/>
        <c:majorTickMark val="out"/>
        <c:minorTickMark val="none"/>
        <c:tickLblPos val="nextTo"/>
        <c:crossAx val="283589248"/>
        <c:crosses val="max"/>
        <c:crossBetween val="midCat"/>
        <c:majorUnit val="45"/>
      </c:valAx>
      <c:valAx>
        <c:axId val="283589248"/>
        <c:scaling>
          <c:logBase val="10"/>
          <c:orientation val="minMax"/>
        </c:scaling>
        <c:delete val="1"/>
        <c:axPos val="b"/>
        <c:numFmt formatCode="General" sourceLinked="1"/>
        <c:majorTickMark val="out"/>
        <c:minorTickMark val="none"/>
        <c:tickLblPos val="nextTo"/>
        <c:crossAx val="283586944"/>
        <c:crosses val="autoZero"/>
        <c:crossBetween val="midCat"/>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Buck Mode Voltage Loop  </a:t>
            </a:r>
            <a:endParaRPr lang="en-US"/>
          </a:p>
        </c:rich>
      </c:tx>
      <c:overlay val="0"/>
    </c:title>
    <c:autoTitleDeleted val="0"/>
    <c:plotArea>
      <c:layout/>
      <c:scatterChart>
        <c:scatterStyle val="lineMarker"/>
        <c:varyColors val="0"/>
        <c:ser>
          <c:idx val="0"/>
          <c:order val="0"/>
          <c:tx>
            <c:v>Gain</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Compensation!$Y$79:$Y$133</c:f>
              <c:numCache>
                <c:formatCode>General</c:formatCode>
                <c:ptCount val="55"/>
                <c:pt idx="0">
                  <c:v>73.116294935784993</c:v>
                </c:pt>
                <c:pt idx="1">
                  <c:v>67.095524586663132</c:v>
                </c:pt>
                <c:pt idx="2">
                  <c:v>63.573415371367346</c:v>
                </c:pt>
                <c:pt idx="3">
                  <c:v>61.074243045001822</c:v>
                </c:pt>
                <c:pt idx="4">
                  <c:v>59.135531684255426</c:v>
                </c:pt>
                <c:pt idx="5">
                  <c:v>57.551282225253019</c:v>
                </c:pt>
                <c:pt idx="6">
                  <c:v>56.211608541311627</c:v>
                </c:pt>
                <c:pt idx="7">
                  <c:v>55.05091845656785</c:v>
                </c:pt>
                <c:pt idx="8">
                  <c:v>54.026903723184077</c:v>
                </c:pt>
                <c:pt idx="9">
                  <c:v>53.110676618058022</c:v>
                </c:pt>
                <c:pt idx="10">
                  <c:v>47.073127517498946</c:v>
                </c:pt>
                <c:pt idx="11">
                  <c:v>43.523304947456687</c:v>
                </c:pt>
                <c:pt idx="12">
                  <c:v>40.985852000365895</c:v>
                </c:pt>
                <c:pt idx="13">
                  <c:v>38.998788711974115</c:v>
                </c:pt>
                <c:pt idx="14">
                  <c:v>37.356723844606208</c:v>
                </c:pt>
                <c:pt idx="15">
                  <c:v>35.950471443099168</c:v>
                </c:pt>
                <c:pt idx="16">
                  <c:v>34.715210751760843</c:v>
                </c:pt>
                <c:pt idx="17">
                  <c:v>33.609454687888061</c:v>
                </c:pt>
                <c:pt idx="18">
                  <c:v>32.605165574536777</c:v>
                </c:pt>
                <c:pt idx="19">
                  <c:v>25.515430309385003</c:v>
                </c:pt>
                <c:pt idx="20">
                  <c:v>20.983910926250022</c:v>
                </c:pt>
                <c:pt idx="21">
                  <c:v>17.745609061253891</c:v>
                </c:pt>
                <c:pt idx="22">
                  <c:v>15.326674965889035</c:v>
                </c:pt>
                <c:pt idx="23">
                  <c:v>13.458471328364539</c:v>
                </c:pt>
                <c:pt idx="24">
                  <c:v>11.972931864177671</c:v>
                </c:pt>
                <c:pt idx="25">
                  <c:v>10.760923297687635</c:v>
                </c:pt>
                <c:pt idx="26">
                  <c:v>9.7495401802395971</c:v>
                </c:pt>
                <c:pt idx="27">
                  <c:v>8.8887517003955878</c:v>
                </c:pt>
                <c:pt idx="28">
                  <c:v>3.9638037628540737</c:v>
                </c:pt>
                <c:pt idx="29">
                  <c:v>1.2430615473677529</c:v>
                </c:pt>
                <c:pt idx="30">
                  <c:v>-0.80545430037258237</c:v>
                </c:pt>
                <c:pt idx="31">
                  <c:v>-2.4852620531439364</c:v>
                </c:pt>
                <c:pt idx="32">
                  <c:v>-3.9129067161460416</c:v>
                </c:pt>
                <c:pt idx="33">
                  <c:v>-5.153381222703004</c:v>
                </c:pt>
                <c:pt idx="34">
                  <c:v>-6.2491051534918576</c:v>
                </c:pt>
                <c:pt idx="35">
                  <c:v>-7.2297890982826472</c:v>
                </c:pt>
                <c:pt idx="36">
                  <c:v>-8.117108383481547</c:v>
                </c:pt>
                <c:pt idx="37">
                  <c:v>-14.176213626880678</c:v>
                </c:pt>
                <c:pt idx="38">
                  <c:v>-18.019802206739254</c:v>
                </c:pt>
                <c:pt idx="39">
                  <c:v>-21.117596885535882</c:v>
                </c:pt>
                <c:pt idx="40">
                  <c:v>-23.95819148497602</c:v>
                </c:pt>
                <c:pt idx="41">
                  <c:v>-26.711991924808615</c:v>
                </c:pt>
                <c:pt idx="42">
                  <c:v>-29.403663238332118</c:v>
                </c:pt>
                <c:pt idx="43">
                  <c:v>-32.005558409166184</c:v>
                </c:pt>
                <c:pt idx="44">
                  <c:v>-34.487359241121148</c:v>
                </c:pt>
                <c:pt idx="45">
                  <c:v>-36.832078164093673</c:v>
                </c:pt>
                <c:pt idx="46">
                  <c:v>-53.846231674008244</c:v>
                </c:pt>
                <c:pt idx="47">
                  <c:v>-64.277759526123276</c:v>
                </c:pt>
                <c:pt idx="48">
                  <c:v>-71.732937605110891</c:v>
                </c:pt>
                <c:pt idx="49">
                  <c:v>-77.529546096984973</c:v>
                </c:pt>
                <c:pt idx="50">
                  <c:v>-82.270930963279142</c:v>
                </c:pt>
                <c:pt idx="51">
                  <c:v>-86.28211350839166</c:v>
                </c:pt>
                <c:pt idx="52">
                  <c:v>-89.758018931002098</c:v>
                </c:pt>
                <c:pt idx="53">
                  <c:v>-92.824712258247217</c:v>
                </c:pt>
                <c:pt idx="54">
                  <c:v>-95.568412455175007</c:v>
                </c:pt>
              </c:numCache>
            </c:numRef>
          </c:yVal>
          <c:smooth val="0"/>
          <c:extLst>
            <c:ext xmlns:c16="http://schemas.microsoft.com/office/drawing/2014/chart" uri="{C3380CC4-5D6E-409C-BE32-E72D297353CC}">
              <c16:uniqueId val="{00000000-7D40-4DFE-B3D3-C9F941065FBF}"/>
            </c:ext>
          </c:extLst>
        </c:ser>
        <c:ser>
          <c:idx val="2"/>
          <c:order val="2"/>
          <c:tx>
            <c:v>FPPlant</c:v>
          </c:tx>
          <c:spPr>
            <a:ln>
              <a:solidFill>
                <a:schemeClr val="tx1"/>
              </a:solidFill>
            </a:ln>
          </c:spPr>
          <c:marker>
            <c:symbol val="x"/>
            <c:size val="9"/>
            <c:spPr>
              <a:noFill/>
              <a:ln w="31750">
                <a:solidFill>
                  <a:srgbClr val="FF0000"/>
                </a:solidFill>
              </a:ln>
            </c:spPr>
          </c:marker>
          <c:dPt>
            <c:idx val="0"/>
            <c:marker>
              <c:symbol val="x"/>
              <c:size val="12"/>
            </c:marker>
            <c:bubble3D val="0"/>
            <c:spPr>
              <a:ln w="25400">
                <a:solidFill>
                  <a:schemeClr val="tx1"/>
                </a:solidFill>
              </a:ln>
            </c:spPr>
            <c:extLst>
              <c:ext xmlns:c16="http://schemas.microsoft.com/office/drawing/2014/chart" uri="{C3380CC4-5D6E-409C-BE32-E72D297353CC}">
                <c16:uniqueId val="{00000002-7D40-4DFE-B3D3-C9F941065FBF}"/>
              </c:ext>
            </c:extLst>
          </c:dPt>
          <c:dLbls>
            <c:dLbl>
              <c:idx val="0"/>
              <c:tx>
                <c:rich>
                  <a:bodyPr/>
                  <a:lstStyle/>
                  <a:p>
                    <a:r>
                      <a:rPr lang="en-US" sz="1400" b="1"/>
                      <a:t>F</a:t>
                    </a:r>
                    <a:r>
                      <a:rPr lang="en-US" sz="1400" b="1" baseline="-25000"/>
                      <a:t>Pplant</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D40-4DFE-B3D3-C9F941065FBF}"/>
                </c:ext>
              </c:extLst>
            </c:dLbl>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Compensation!$B$137</c:f>
              <c:numCache>
                <c:formatCode>0.00</c:formatCode>
                <c:ptCount val="1"/>
                <c:pt idx="0">
                  <c:v>381.93112410064475</c:v>
                </c:pt>
              </c:numCache>
            </c:numRef>
          </c:xVal>
          <c:yVal>
            <c:numRef>
              <c:f>Compensation!$Y$137</c:f>
              <c:numCache>
                <c:formatCode>General</c:formatCode>
                <c:ptCount val="1"/>
                <c:pt idx="0">
                  <c:v>18.259992896373916</c:v>
                </c:pt>
              </c:numCache>
            </c:numRef>
          </c:yVal>
          <c:smooth val="0"/>
          <c:extLst>
            <c:ext xmlns:c16="http://schemas.microsoft.com/office/drawing/2014/chart" uri="{C3380CC4-5D6E-409C-BE32-E72D297353CC}">
              <c16:uniqueId val="{00000003-7D40-4DFE-B3D3-C9F941065FBF}"/>
            </c:ext>
          </c:extLst>
        </c:ser>
        <c:ser>
          <c:idx val="3"/>
          <c:order val="3"/>
          <c:tx>
            <c:v>Fzcomp</c:v>
          </c:tx>
          <c:marker>
            <c:symbol val="circle"/>
            <c:size val="9"/>
            <c:spPr>
              <a:noFill/>
              <a:ln w="22225">
                <a:solidFill>
                  <a:schemeClr val="tx1"/>
                </a:solidFill>
              </a:ln>
            </c:spPr>
          </c:marker>
          <c:dLbls>
            <c:dLbl>
              <c:idx val="0"/>
              <c:tx>
                <c:rich>
                  <a:bodyPr/>
                  <a:lstStyle/>
                  <a:p>
                    <a:r>
                      <a:rPr lang="en-US" sz="1400" b="1"/>
                      <a:t>F</a:t>
                    </a:r>
                    <a:r>
                      <a:rPr lang="en-US" sz="1400" b="1" baseline="-25000"/>
                      <a:t>Zcomp</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D40-4DFE-B3D3-C9F941065FBF}"/>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Compensation!$B$135</c:f>
              <c:numCache>
                <c:formatCode>General</c:formatCode>
                <c:ptCount val="1"/>
                <c:pt idx="0">
                  <c:v>497.35919716217302</c:v>
                </c:pt>
              </c:numCache>
            </c:numRef>
          </c:xVal>
          <c:yVal>
            <c:numRef>
              <c:f>Compensation!$Y$135</c:f>
              <c:numCache>
                <c:formatCode>General</c:formatCode>
                <c:ptCount val="1"/>
                <c:pt idx="0">
                  <c:v>15.382560505112263</c:v>
                </c:pt>
              </c:numCache>
            </c:numRef>
          </c:yVal>
          <c:smooth val="0"/>
          <c:extLst>
            <c:ext xmlns:c16="http://schemas.microsoft.com/office/drawing/2014/chart" uri="{C3380CC4-5D6E-409C-BE32-E72D297353CC}">
              <c16:uniqueId val="{00000005-7D40-4DFE-B3D3-C9F941065FBF}"/>
            </c:ext>
          </c:extLst>
        </c:ser>
        <c:ser>
          <c:idx val="4"/>
          <c:order val="4"/>
          <c:tx>
            <c:v>Fpcomp</c:v>
          </c:tx>
          <c:marker>
            <c:symbol val="x"/>
            <c:size val="10"/>
            <c:spPr>
              <a:ln w="25400">
                <a:solidFill>
                  <a:schemeClr val="tx1"/>
                </a:solidFill>
              </a:ln>
            </c:spPr>
          </c:marker>
          <c:dLbls>
            <c:dLbl>
              <c:idx val="0"/>
              <c:tx>
                <c:rich>
                  <a:bodyPr/>
                  <a:lstStyle/>
                  <a:p>
                    <a:r>
                      <a:rPr lang="en-US" sz="1200" b="1"/>
                      <a:t>F</a:t>
                    </a:r>
                    <a:r>
                      <a:rPr lang="en-US" sz="1200" b="1" baseline="-25000"/>
                      <a:t>Pcomp</a:t>
                    </a:r>
                    <a:endParaRPr lang="en-US" b="1"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D40-4DFE-B3D3-C9F941065FBF}"/>
                </c:ext>
              </c:extLst>
            </c:dLbl>
            <c:spPr>
              <a:noFill/>
              <a:ln>
                <a:noFill/>
              </a:ln>
              <a:effectLst/>
            </c:spPr>
            <c:txPr>
              <a:bodyPr/>
              <a:lstStyle/>
              <a:p>
                <a:pPr>
                  <a:defRPr sz="12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Compensation!$B$137</c:f>
              <c:numCache>
                <c:formatCode>0.00</c:formatCode>
                <c:ptCount val="1"/>
                <c:pt idx="0">
                  <c:v>381.93112410064475</c:v>
                </c:pt>
              </c:numCache>
            </c:numRef>
          </c:xVal>
          <c:yVal>
            <c:numRef>
              <c:f>Compensation!$Y$136</c:f>
              <c:numCache>
                <c:formatCode>General</c:formatCode>
                <c:ptCount val="1"/>
                <c:pt idx="0">
                  <c:v>3.9988691368865843</c:v>
                </c:pt>
              </c:numCache>
            </c:numRef>
          </c:yVal>
          <c:smooth val="0"/>
          <c:extLst>
            <c:ext xmlns:c16="http://schemas.microsoft.com/office/drawing/2014/chart" uri="{C3380CC4-5D6E-409C-BE32-E72D297353CC}">
              <c16:uniqueId val="{00000007-7D40-4DFE-B3D3-C9F941065FBF}"/>
            </c:ext>
          </c:extLst>
        </c:ser>
        <c:dLbls>
          <c:showLegendKey val="0"/>
          <c:showVal val="0"/>
          <c:showCatName val="0"/>
          <c:showSerName val="0"/>
          <c:showPercent val="0"/>
          <c:showBubbleSize val="0"/>
        </c:dLbls>
        <c:axId val="284427008"/>
        <c:axId val="284672000"/>
      </c:scatterChart>
      <c:scatterChart>
        <c:scatterStyle val="lineMarker"/>
        <c:varyColors val="0"/>
        <c:ser>
          <c:idx val="1"/>
          <c:order val="1"/>
          <c:tx>
            <c:v>Phase</c:v>
          </c:tx>
          <c:marker>
            <c:symbol val="none"/>
          </c:marker>
          <c:xVal>
            <c:numRef>
              <c:f>Compensation!$B$79:$B$133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Compensation!$Z$79:$Z$133</c:f>
              <c:numCache>
                <c:formatCode>General</c:formatCode>
                <c:ptCount val="55"/>
                <c:pt idx="0">
                  <c:v>89.894958890472466</c:v>
                </c:pt>
                <c:pt idx="1">
                  <c:v>89.789925273429446</c:v>
                </c:pt>
                <c:pt idx="2">
                  <c:v>89.684906639604193</c:v>
                </c:pt>
                <c:pt idx="3">
                  <c:v>89.579910476228434</c:v>
                </c:pt>
                <c:pt idx="4">
                  <c:v>89.474944265283924</c:v>
                </c:pt>
                <c:pt idx="5">
                  <c:v>89.370015481756894</c:v>
                </c:pt>
                <c:pt idx="6">
                  <c:v>89.265131591896235</c:v>
                </c:pt>
                <c:pt idx="7">
                  <c:v>89.160300051476412</c:v>
                </c:pt>
                <c:pt idx="8">
                  <c:v>89.055528304065987</c:v>
                </c:pt>
                <c:pt idx="9">
                  <c:v>88.95082377930278</c:v>
                </c:pt>
                <c:pt idx="10">
                  <c:v>87.90909692713582</c:v>
                </c:pt>
                <c:pt idx="11">
                  <c:v>86.882096764145473</c:v>
                </c:pt>
                <c:pt idx="12">
                  <c:v>85.876765595248656</c:v>
                </c:pt>
                <c:pt idx="13">
                  <c:v>84.899565033798581</c:v>
                </c:pt>
                <c:pt idx="14">
                  <c:v>83.956354224222366</c:v>
                </c:pt>
                <c:pt idx="15">
                  <c:v>83.052296459631734</c:v>
                </c:pt>
                <c:pt idx="16">
                  <c:v>82.191796363683551</c:v>
                </c:pt>
                <c:pt idx="17">
                  <c:v>81.378467547927272</c:v>
                </c:pt>
                <c:pt idx="18">
                  <c:v>80.615128705012367</c:v>
                </c:pt>
                <c:pt idx="19">
                  <c:v>75.870201452785366</c:v>
                </c:pt>
                <c:pt idx="20">
                  <c:v>75.374039255772786</c:v>
                </c:pt>
                <c:pt idx="21">
                  <c:v>77.092165454603489</c:v>
                </c:pt>
                <c:pt idx="22">
                  <c:v>79.632085999640566</c:v>
                </c:pt>
                <c:pt idx="23">
                  <c:v>82.303533753361222</c:v>
                </c:pt>
                <c:pt idx="24">
                  <c:v>84.809339229855155</c:v>
                </c:pt>
                <c:pt idx="25">
                  <c:v>87.040428667690364</c:v>
                </c:pt>
                <c:pt idx="26">
                  <c:v>88.972372987022283</c:v>
                </c:pt>
                <c:pt idx="27">
                  <c:v>90.616874464314691</c:v>
                </c:pt>
                <c:pt idx="28">
                  <c:v>96.944903780339274</c:v>
                </c:pt>
                <c:pt idx="29">
                  <c:v>95.972924895182558</c:v>
                </c:pt>
                <c:pt idx="30">
                  <c:v>93.588446562375623</c:v>
                </c:pt>
                <c:pt idx="31">
                  <c:v>91.088318069374679</c:v>
                </c:pt>
                <c:pt idx="32">
                  <c:v>88.730535868390049</c:v>
                </c:pt>
                <c:pt idx="33">
                  <c:v>86.539155541884227</c:v>
                </c:pt>
                <c:pt idx="34">
                  <c:v>84.489584647995841</c:v>
                </c:pt>
                <c:pt idx="35">
                  <c:v>82.552254276685716</c:v>
                </c:pt>
                <c:pt idx="36">
                  <c:v>80.702077461729147</c:v>
                </c:pt>
                <c:pt idx="37">
                  <c:v>64.294697594849637</c:v>
                </c:pt>
                <c:pt idx="38">
                  <c:v>48.871042550816298</c:v>
                </c:pt>
                <c:pt idx="39">
                  <c:v>33.689385316235608</c:v>
                </c:pt>
                <c:pt idx="40">
                  <c:v>19.179992358315211</c:v>
                </c:pt>
                <c:pt idx="41">
                  <c:v>5.9803799006925349</c:v>
                </c:pt>
                <c:pt idx="42">
                  <c:v>-5.4970418344836505</c:v>
                </c:pt>
                <c:pt idx="43">
                  <c:v>-15.1814381590357</c:v>
                </c:pt>
                <c:pt idx="44">
                  <c:v>-23.237501298809928</c:v>
                </c:pt>
                <c:pt idx="45">
                  <c:v>-29.921828193238454</c:v>
                </c:pt>
                <c:pt idx="46">
                  <c:v>-60.6519900221233</c:v>
                </c:pt>
                <c:pt idx="47">
                  <c:v>-70.611528409218849</c:v>
                </c:pt>
                <c:pt idx="48">
                  <c:v>-75.510610949357158</c:v>
                </c:pt>
                <c:pt idx="49">
                  <c:v>-78.428511585453251</c:v>
                </c:pt>
                <c:pt idx="50">
                  <c:v>-80.366329475932119</c:v>
                </c:pt>
                <c:pt idx="51">
                  <c:v>-81.74739215181647</c:v>
                </c:pt>
                <c:pt idx="52">
                  <c:v>-82.78172546730103</c:v>
                </c:pt>
                <c:pt idx="53">
                  <c:v>-83.585443508991347</c:v>
                </c:pt>
                <c:pt idx="54">
                  <c:v>-84.227988753171985</c:v>
                </c:pt>
              </c:numCache>
            </c:numRef>
          </c:yVal>
          <c:smooth val="0"/>
          <c:extLst>
            <c:ext xmlns:c16="http://schemas.microsoft.com/office/drawing/2014/chart" uri="{C3380CC4-5D6E-409C-BE32-E72D297353CC}">
              <c16:uniqueId val="{00000008-7D40-4DFE-B3D3-C9F941065FBF}"/>
            </c:ext>
          </c:extLst>
        </c:ser>
        <c:dLbls>
          <c:showLegendKey val="0"/>
          <c:showVal val="0"/>
          <c:showCatName val="0"/>
          <c:showSerName val="0"/>
          <c:showPercent val="0"/>
          <c:showBubbleSize val="0"/>
        </c:dLbls>
        <c:axId val="340130432"/>
        <c:axId val="340128128"/>
      </c:scatterChart>
      <c:valAx>
        <c:axId val="284427008"/>
        <c:scaling>
          <c:logBase val="10"/>
          <c:orientation val="minMax"/>
          <c:min val="10"/>
        </c:scaling>
        <c:delete val="0"/>
        <c:axPos val="b"/>
        <c:majorGridlines/>
        <c:minorGridlines/>
        <c:title>
          <c:tx>
            <c:rich>
              <a:bodyPr/>
              <a:lstStyle/>
              <a:p>
                <a:pPr>
                  <a:defRPr/>
                </a:pPr>
                <a:r>
                  <a:rPr lang="en-US"/>
                  <a:t>Frequency</a:t>
                </a:r>
                <a:r>
                  <a:rPr lang="en-US" baseline="0"/>
                  <a:t> (Hz)</a:t>
                </a:r>
                <a:endParaRPr lang="en-US"/>
              </a:p>
            </c:rich>
          </c:tx>
          <c:overlay val="0"/>
        </c:title>
        <c:numFmt formatCode="General" sourceLinked="1"/>
        <c:majorTickMark val="out"/>
        <c:minorTickMark val="cross"/>
        <c:tickLblPos val="low"/>
        <c:crossAx val="284672000"/>
        <c:crosses val="autoZero"/>
        <c:crossBetween val="midCat"/>
      </c:valAx>
      <c:valAx>
        <c:axId val="284672000"/>
        <c:scaling>
          <c:orientation val="minMax"/>
          <c:max val="60"/>
          <c:min val="-40"/>
        </c:scaling>
        <c:delete val="0"/>
        <c:axPos val="l"/>
        <c:majorGridlines/>
        <c:title>
          <c:tx>
            <c:rich>
              <a:bodyPr rot="-5400000" vert="horz"/>
              <a:lstStyle/>
              <a:p>
                <a:pPr>
                  <a:defRPr/>
                </a:pPr>
                <a:r>
                  <a:rPr lang="en-US"/>
                  <a:t>Loop Gain (dB)</a:t>
                </a:r>
              </a:p>
            </c:rich>
          </c:tx>
          <c:overlay val="0"/>
        </c:title>
        <c:numFmt formatCode="General" sourceLinked="1"/>
        <c:majorTickMark val="out"/>
        <c:minorTickMark val="none"/>
        <c:tickLblPos val="nextTo"/>
        <c:crossAx val="284427008"/>
        <c:crosses val="autoZero"/>
        <c:crossBetween val="midCat"/>
        <c:majorUnit val="20"/>
      </c:valAx>
      <c:valAx>
        <c:axId val="340128128"/>
        <c:scaling>
          <c:orientation val="minMax"/>
          <c:max val="180"/>
          <c:min val="-180"/>
        </c:scaling>
        <c:delete val="0"/>
        <c:axPos val="r"/>
        <c:title>
          <c:tx>
            <c:rich>
              <a:bodyPr rot="-5400000" vert="horz"/>
              <a:lstStyle/>
              <a:p>
                <a:pPr>
                  <a:defRPr/>
                </a:pPr>
                <a:r>
                  <a:rPr lang="en-US"/>
                  <a:t>Loop Phase Margin (deg)</a:t>
                </a:r>
              </a:p>
            </c:rich>
          </c:tx>
          <c:overlay val="0"/>
        </c:title>
        <c:numFmt formatCode="General" sourceLinked="1"/>
        <c:majorTickMark val="out"/>
        <c:minorTickMark val="none"/>
        <c:tickLblPos val="nextTo"/>
        <c:crossAx val="340130432"/>
        <c:crosses val="max"/>
        <c:crossBetween val="midCat"/>
        <c:majorUnit val="45"/>
      </c:valAx>
      <c:valAx>
        <c:axId val="340130432"/>
        <c:scaling>
          <c:logBase val="10"/>
          <c:orientation val="minMax"/>
        </c:scaling>
        <c:delete val="1"/>
        <c:axPos val="b"/>
        <c:numFmt formatCode="General" sourceLinked="1"/>
        <c:majorTickMark val="out"/>
        <c:minorTickMark val="none"/>
        <c:tickLblPos val="nextTo"/>
        <c:crossAx val="340128128"/>
        <c:crosses val="autoZero"/>
        <c:crossBetween val="midCat"/>
      </c:valAx>
    </c:plotArea>
    <c:legend>
      <c:legendPos val="l"/>
      <c:legendEntry>
        <c:idx val="1"/>
        <c:delete val="1"/>
      </c:legendEntry>
      <c:legendEntry>
        <c:idx val="2"/>
        <c:delete val="1"/>
      </c:legendEntry>
      <c:legendEntry>
        <c:idx val="3"/>
        <c:delete val="1"/>
      </c:legendEntry>
      <c:layout>
        <c:manualLayout>
          <c:xMode val="edge"/>
          <c:yMode val="edge"/>
          <c:x val="0.79304241813100085"/>
          <c:y val="2.6664513567886527E-2"/>
          <c:w val="0.11678001490904641"/>
          <c:h val="9.5033720657239265E-2"/>
        </c:manualLayout>
      </c:layout>
      <c:overlay val="1"/>
      <c:spPr>
        <a:noFill/>
      </c:sp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Buck Mode Voltage Loop  </a:t>
            </a:r>
            <a:endParaRPr lang="en-US"/>
          </a:p>
        </c:rich>
      </c:tx>
      <c:overlay val="0"/>
    </c:title>
    <c:autoTitleDeleted val="0"/>
    <c:plotArea>
      <c:layout/>
      <c:scatterChart>
        <c:scatterStyle val="lineMarker"/>
        <c:varyColors val="0"/>
        <c:ser>
          <c:idx val="0"/>
          <c:order val="0"/>
          <c:tx>
            <c:v>Gain</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Compensation!$Y$169:$Y$223</c:f>
              <c:numCache>
                <c:formatCode>General</c:formatCode>
                <c:ptCount val="55"/>
                <c:pt idx="0">
                  <c:v>74.602017853095944</c:v>
                </c:pt>
                <c:pt idx="1">
                  <c:v>68.581195331740176</c:v>
                </c:pt>
                <c:pt idx="2">
                  <c:v>65.058999267678345</c:v>
                </c:pt>
                <c:pt idx="3">
                  <c:v>62.559705573279665</c:v>
                </c:pt>
                <c:pt idx="4">
                  <c:v>60.620838545061773</c:v>
                </c:pt>
                <c:pt idx="5">
                  <c:v>59.036399401201002</c:v>
                </c:pt>
                <c:pt idx="6">
                  <c:v>57.696502358851461</c:v>
                </c:pt>
                <c:pt idx="7">
                  <c:v>56.535555647240976</c:v>
                </c:pt>
                <c:pt idx="8">
                  <c:v>55.511251484251773</c:v>
                </c:pt>
                <c:pt idx="9">
                  <c:v>54.594702672413376</c:v>
                </c:pt>
                <c:pt idx="10">
                  <c:v>48.552317868445165</c:v>
                </c:pt>
                <c:pt idx="11">
                  <c:v>44.99541345512776</c:v>
                </c:pt>
                <c:pt idx="12">
                  <c:v>42.449949285824758</c:v>
                </c:pt>
                <c:pt idx="13">
                  <c:v>40.455525442536839</c:v>
                </c:pt>
                <c:pt idx="14">
                  <c:v>38.808401749546221</c:v>
                </c:pt>
                <c:pt idx="15">
                  <c:v>37.400941910236646</c:v>
                </c:pt>
                <c:pt idx="16">
                  <c:v>36.16964350783126</c:v>
                </c:pt>
                <c:pt idx="17">
                  <c:v>35.074027979447997</c:v>
                </c:pt>
                <c:pt idx="18">
                  <c:v>34.086726589012891</c:v>
                </c:pt>
                <c:pt idx="19">
                  <c:v>27.512018145571279</c:v>
                </c:pt>
                <c:pt idx="20">
                  <c:v>23.742329519593547</c:v>
                </c:pt>
                <c:pt idx="21">
                  <c:v>21.151627358532046</c:v>
                </c:pt>
                <c:pt idx="22">
                  <c:v>19.192081118558207</c:v>
                </c:pt>
                <c:pt idx="23">
                  <c:v>17.621029330827547</c:v>
                </c:pt>
                <c:pt idx="24">
                  <c:v>16.31167647126642</c:v>
                </c:pt>
                <c:pt idx="25">
                  <c:v>15.189913495054178</c:v>
                </c:pt>
                <c:pt idx="26">
                  <c:v>14.208904912008</c:v>
                </c:pt>
                <c:pt idx="27">
                  <c:v>13.337320913734153</c:v>
                </c:pt>
                <c:pt idx="28">
                  <c:v>7.7342261887655184</c:v>
                </c:pt>
                <c:pt idx="29">
                  <c:v>4.6457548713280588</c:v>
                </c:pt>
                <c:pt idx="30">
                  <c:v>2.6483359864251459</c:v>
                </c:pt>
                <c:pt idx="31">
                  <c:v>1.2745192290298692</c:v>
                </c:pt>
                <c:pt idx="32">
                  <c:v>0.30006616788602813</c:v>
                </c:pt>
                <c:pt idx="33">
                  <c:v>-0.40277773300538544</c:v>
                </c:pt>
                <c:pt idx="34">
                  <c:v>-0.91383561146473224</c:v>
                </c:pt>
                <c:pt idx="35">
                  <c:v>-1.2857653509531353</c:v>
                </c:pt>
                <c:pt idx="36">
                  <c:v>-1.5545688663125508</c:v>
                </c:pt>
                <c:pt idx="37">
                  <c:v>-1.8608187468798305</c:v>
                </c:pt>
                <c:pt idx="38">
                  <c:v>-1.0882294180940275</c:v>
                </c:pt>
                <c:pt idx="39">
                  <c:v>-0.46826953881261701</c:v>
                </c:pt>
                <c:pt idx="40">
                  <c:v>-0.25439295355782554</c:v>
                </c:pt>
                <c:pt idx="41">
                  <c:v>-0.43318666079938906</c:v>
                </c:pt>
                <c:pt idx="42">
                  <c:v>-0.89614526533353733</c:v>
                </c:pt>
                <c:pt idx="43">
                  <c:v>-1.5295625894919516</c:v>
                </c:pt>
                <c:pt idx="44">
                  <c:v>-2.2496417357292047</c:v>
                </c:pt>
                <c:pt idx="45">
                  <c:v>-3.0042135978351587</c:v>
                </c:pt>
                <c:pt idx="46">
                  <c:v>-9.7593703468982245</c:v>
                </c:pt>
                <c:pt idx="47">
                  <c:v>-14.83256833810583</c:v>
                </c:pt>
                <c:pt idx="48">
                  <c:v>-18.883548441760077</c:v>
                </c:pt>
                <c:pt idx="49">
                  <c:v>-22.245065036849926</c:v>
                </c:pt>
                <c:pt idx="50">
                  <c:v>-25.105905309538045</c:v>
                </c:pt>
                <c:pt idx="51">
                  <c:v>-27.58839909242052</c:v>
                </c:pt>
                <c:pt idx="52">
                  <c:v>-29.776557850870301</c:v>
                </c:pt>
                <c:pt idx="53">
                  <c:v>-31.730204946158366</c:v>
                </c:pt>
                <c:pt idx="54">
                  <c:v>-33.493180872347956</c:v>
                </c:pt>
              </c:numCache>
            </c:numRef>
          </c:yVal>
          <c:smooth val="0"/>
          <c:extLst>
            <c:ext xmlns:c16="http://schemas.microsoft.com/office/drawing/2014/chart" uri="{C3380CC4-5D6E-409C-BE32-E72D297353CC}">
              <c16:uniqueId val="{00000000-553E-4D1A-8BD0-091BE3DF87C8}"/>
            </c:ext>
          </c:extLst>
        </c:ser>
        <c:ser>
          <c:idx val="2"/>
          <c:order val="2"/>
          <c:tx>
            <c:v>FPPlant</c:v>
          </c:tx>
          <c:spPr>
            <a:ln>
              <a:solidFill>
                <a:schemeClr val="tx1"/>
              </a:solidFill>
            </a:ln>
          </c:spPr>
          <c:marker>
            <c:symbol val="x"/>
            <c:size val="9"/>
            <c:spPr>
              <a:noFill/>
              <a:ln w="31750">
                <a:solidFill>
                  <a:srgbClr val="FF0000"/>
                </a:solidFill>
              </a:ln>
            </c:spPr>
          </c:marker>
          <c:dPt>
            <c:idx val="0"/>
            <c:marker>
              <c:symbol val="x"/>
              <c:size val="12"/>
            </c:marker>
            <c:bubble3D val="0"/>
            <c:spPr>
              <a:ln w="25400">
                <a:solidFill>
                  <a:schemeClr val="tx1"/>
                </a:solidFill>
              </a:ln>
            </c:spPr>
            <c:extLst>
              <c:ext xmlns:c16="http://schemas.microsoft.com/office/drawing/2014/chart" uri="{C3380CC4-5D6E-409C-BE32-E72D297353CC}">
                <c16:uniqueId val="{00000002-553E-4D1A-8BD0-091BE3DF87C8}"/>
              </c:ext>
            </c:extLst>
          </c:dPt>
          <c:dLbls>
            <c:dLbl>
              <c:idx val="0"/>
              <c:tx>
                <c:rich>
                  <a:bodyPr/>
                  <a:lstStyle/>
                  <a:p>
                    <a:r>
                      <a:rPr lang="en-US" sz="1400" b="1"/>
                      <a:t>F</a:t>
                    </a:r>
                    <a:r>
                      <a:rPr lang="en-US" sz="1400" b="1" baseline="-25000"/>
                      <a:t>Pplant</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53E-4D1A-8BD0-091BE3DF87C8}"/>
                </c:ext>
              </c:extLst>
            </c:dLbl>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Compensation!$B$227</c:f>
              <c:numCache>
                <c:formatCode>General</c:formatCode>
                <c:ptCount val="1"/>
                <c:pt idx="0">
                  <c:v>150.35062709106711</c:v>
                </c:pt>
              </c:numCache>
            </c:numRef>
          </c:xVal>
          <c:yVal>
            <c:numRef>
              <c:f>Compensation!$Y$227</c:f>
              <c:numCache>
                <c:formatCode>General</c:formatCode>
                <c:ptCount val="1"/>
                <c:pt idx="0">
                  <c:v>30.22024873513876</c:v>
                </c:pt>
              </c:numCache>
            </c:numRef>
          </c:yVal>
          <c:smooth val="0"/>
          <c:extLst>
            <c:ext xmlns:c16="http://schemas.microsoft.com/office/drawing/2014/chart" uri="{C3380CC4-5D6E-409C-BE32-E72D297353CC}">
              <c16:uniqueId val="{00000003-553E-4D1A-8BD0-091BE3DF87C8}"/>
            </c:ext>
          </c:extLst>
        </c:ser>
        <c:ser>
          <c:idx val="3"/>
          <c:order val="3"/>
          <c:tx>
            <c:v>Fzcomp</c:v>
          </c:tx>
          <c:marker>
            <c:symbol val="circle"/>
            <c:size val="9"/>
            <c:spPr>
              <a:noFill/>
              <a:ln w="22225">
                <a:solidFill>
                  <a:schemeClr val="tx1"/>
                </a:solidFill>
              </a:ln>
            </c:spPr>
          </c:marker>
          <c:dLbls>
            <c:dLbl>
              <c:idx val="0"/>
              <c:tx>
                <c:rich>
                  <a:bodyPr/>
                  <a:lstStyle/>
                  <a:p>
                    <a:r>
                      <a:rPr lang="en-US" sz="1400" b="1"/>
                      <a:t>F</a:t>
                    </a:r>
                    <a:r>
                      <a:rPr lang="en-US" sz="1400" b="1" baseline="-25000"/>
                      <a:t>Zcomp</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53E-4D1A-8BD0-091BE3DF87C8}"/>
                </c:ext>
              </c:extLst>
            </c:dLbl>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Compensation!$B$225</c:f>
              <c:numCache>
                <c:formatCode>0.00</c:formatCode>
                <c:ptCount val="1"/>
                <c:pt idx="0">
                  <c:v>169.31376924669715</c:v>
                </c:pt>
              </c:numCache>
            </c:numRef>
          </c:xVal>
          <c:yVal>
            <c:numRef>
              <c:f>Compensation!$Y$225</c:f>
              <c:numCache>
                <c:formatCode>General</c:formatCode>
                <c:ptCount val="1"/>
                <c:pt idx="0">
                  <c:v>29.090088861729381</c:v>
                </c:pt>
              </c:numCache>
            </c:numRef>
          </c:yVal>
          <c:smooth val="0"/>
          <c:extLst>
            <c:ext xmlns:c16="http://schemas.microsoft.com/office/drawing/2014/chart" uri="{C3380CC4-5D6E-409C-BE32-E72D297353CC}">
              <c16:uniqueId val="{00000005-553E-4D1A-8BD0-091BE3DF87C8}"/>
            </c:ext>
          </c:extLst>
        </c:ser>
        <c:ser>
          <c:idx val="4"/>
          <c:order val="4"/>
          <c:tx>
            <c:v>Fpcomp</c:v>
          </c:tx>
          <c:marker>
            <c:symbol val="x"/>
            <c:size val="10"/>
            <c:spPr>
              <a:ln w="25400">
                <a:solidFill>
                  <a:schemeClr val="tx1"/>
                </a:solidFill>
              </a:ln>
            </c:spPr>
          </c:marker>
          <c:dLbls>
            <c:dLbl>
              <c:idx val="0"/>
              <c:tx>
                <c:rich>
                  <a:bodyPr/>
                  <a:lstStyle/>
                  <a:p>
                    <a:r>
                      <a:rPr lang="en-US" sz="1200" b="1"/>
                      <a:t>F</a:t>
                    </a:r>
                    <a:r>
                      <a:rPr lang="en-US" sz="1200" b="1" baseline="-25000"/>
                      <a:t>Pcomp</a:t>
                    </a:r>
                    <a:endParaRPr lang="en-US" b="1"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53E-4D1A-8BD0-091BE3DF87C8}"/>
                </c:ext>
              </c:extLst>
            </c:dLbl>
            <c:spPr>
              <a:noFill/>
              <a:ln>
                <a:noFill/>
              </a:ln>
              <a:effectLst/>
            </c:spPr>
            <c:txPr>
              <a:bodyPr/>
              <a:lstStyle/>
              <a:p>
                <a:pPr>
                  <a:defRPr sz="12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Compensation!$B$226</c:f>
              <c:numCache>
                <c:formatCode>General</c:formatCode>
                <c:ptCount val="1"/>
                <c:pt idx="0">
                  <c:v>265258.23848649225</c:v>
                </c:pt>
              </c:numCache>
            </c:numRef>
          </c:xVal>
          <c:yVal>
            <c:numRef>
              <c:f>Compensation!$Y$226</c:f>
              <c:numCache>
                <c:formatCode>General</c:formatCode>
                <c:ptCount val="1"/>
                <c:pt idx="0">
                  <c:v>-13.210616407993268</c:v>
                </c:pt>
              </c:numCache>
            </c:numRef>
          </c:yVal>
          <c:smooth val="0"/>
          <c:extLst>
            <c:ext xmlns:c16="http://schemas.microsoft.com/office/drawing/2014/chart" uri="{C3380CC4-5D6E-409C-BE32-E72D297353CC}">
              <c16:uniqueId val="{00000007-553E-4D1A-8BD0-091BE3DF87C8}"/>
            </c:ext>
          </c:extLst>
        </c:ser>
        <c:ser>
          <c:idx val="5"/>
          <c:order val="5"/>
          <c:tx>
            <c:v>FRHPZERO</c:v>
          </c:tx>
          <c:spPr>
            <a:ln>
              <a:solidFill>
                <a:srgbClr val="FFC000"/>
              </a:solidFill>
            </a:ln>
          </c:spPr>
          <c:marker>
            <c:symbol val="circle"/>
            <c:size val="10"/>
            <c:spPr>
              <a:noFill/>
              <a:ln w="28575">
                <a:solidFill>
                  <a:srgbClr val="FF0000"/>
                </a:solidFill>
              </a:ln>
            </c:spPr>
          </c:marker>
          <c:dLbls>
            <c:dLbl>
              <c:idx val="0"/>
              <c:tx>
                <c:rich>
                  <a:bodyPr/>
                  <a:lstStyle/>
                  <a:p>
                    <a:r>
                      <a:rPr lang="en-US" sz="1400" b="1"/>
                      <a:t>F</a:t>
                    </a:r>
                    <a:r>
                      <a:rPr lang="en-US" sz="1400" b="1" baseline="-25000"/>
                      <a:t>RHPzero</a:t>
                    </a:r>
                    <a:endParaRPr lang="en-US" b="1" baseline="-25000"/>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53E-4D1A-8BD0-091BE3DF87C8}"/>
                </c:ext>
              </c:extLst>
            </c:dLbl>
            <c:spPr>
              <a:noFill/>
              <a:ln>
                <a:noFill/>
              </a:ln>
              <a:effectLst/>
            </c:spPr>
            <c:txPr>
              <a:bodyPr/>
              <a:lstStyle/>
              <a:p>
                <a:pPr>
                  <a:defRPr sz="14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Compensation!$B$228</c:f>
              <c:numCache>
                <c:formatCode>General</c:formatCode>
                <c:ptCount val="1"/>
                <c:pt idx="0">
                  <c:v>27842.708720567978</c:v>
                </c:pt>
              </c:numCache>
            </c:numRef>
          </c:xVal>
          <c:yVal>
            <c:numRef>
              <c:f>Compensation!$Y$228</c:f>
              <c:numCache>
                <c:formatCode>General</c:formatCode>
                <c:ptCount val="1"/>
                <c:pt idx="0">
                  <c:v>-1.2593992555334133</c:v>
                </c:pt>
              </c:numCache>
            </c:numRef>
          </c:yVal>
          <c:smooth val="0"/>
          <c:extLst>
            <c:ext xmlns:c16="http://schemas.microsoft.com/office/drawing/2014/chart" uri="{C3380CC4-5D6E-409C-BE32-E72D297353CC}">
              <c16:uniqueId val="{00000009-553E-4D1A-8BD0-091BE3DF87C8}"/>
            </c:ext>
          </c:extLst>
        </c:ser>
        <c:dLbls>
          <c:showLegendKey val="0"/>
          <c:showVal val="0"/>
          <c:showCatName val="0"/>
          <c:showSerName val="0"/>
          <c:showPercent val="0"/>
          <c:showBubbleSize val="0"/>
        </c:dLbls>
        <c:axId val="178864896"/>
        <c:axId val="178866816"/>
      </c:scatterChart>
      <c:scatterChart>
        <c:scatterStyle val="lineMarker"/>
        <c:varyColors val="0"/>
        <c:ser>
          <c:idx val="1"/>
          <c:order val="1"/>
          <c:tx>
            <c:v>Phase</c:v>
          </c:tx>
          <c:marker>
            <c:symbol val="none"/>
          </c:marker>
          <c:xVal>
            <c:numRef>
              <c:f>Compensation!$B$169:$B$223</c:f>
              <c:numCache>
                <c:formatCode>General</c:formatCode>
                <c:ptCount val="55"/>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20000</c:v>
                </c:pt>
                <c:pt idx="38">
                  <c:v>30000</c:v>
                </c:pt>
                <c:pt idx="39">
                  <c:v>40000</c:v>
                </c:pt>
                <c:pt idx="40">
                  <c:v>50000</c:v>
                </c:pt>
                <c:pt idx="41">
                  <c:v>60000</c:v>
                </c:pt>
                <c:pt idx="42">
                  <c:v>70000</c:v>
                </c:pt>
                <c:pt idx="43">
                  <c:v>80000</c:v>
                </c:pt>
                <c:pt idx="44">
                  <c:v>90000</c:v>
                </c:pt>
                <c:pt idx="45">
                  <c:v>100000</c:v>
                </c:pt>
                <c:pt idx="46">
                  <c:v>200000</c:v>
                </c:pt>
                <c:pt idx="47">
                  <c:v>300000</c:v>
                </c:pt>
                <c:pt idx="48">
                  <c:v>400000</c:v>
                </c:pt>
                <c:pt idx="49">
                  <c:v>500000</c:v>
                </c:pt>
                <c:pt idx="50">
                  <c:v>600000</c:v>
                </c:pt>
                <c:pt idx="51">
                  <c:v>700000</c:v>
                </c:pt>
                <c:pt idx="52">
                  <c:v>800000</c:v>
                </c:pt>
                <c:pt idx="53">
                  <c:v>900000</c:v>
                </c:pt>
                <c:pt idx="54">
                  <c:v>1000000</c:v>
                </c:pt>
              </c:numCache>
            </c:numRef>
          </c:xVal>
          <c:yVal>
            <c:numRef>
              <c:f>Compensation!$Z$169:$Z$223</c:f>
              <c:numCache>
                <c:formatCode>General</c:formatCode>
                <c:ptCount val="55"/>
                <c:pt idx="0">
                  <c:v>89.933222794453101</c:v>
                </c:pt>
                <c:pt idx="1">
                  <c:v>89.86646511400545</c:v>
                </c:pt>
                <c:pt idx="2">
                  <c:v>89.79974646663031</c:v>
                </c:pt>
                <c:pt idx="3">
                  <c:v>89.733086326081036</c:v>
                </c:pt>
                <c:pt idx="4">
                  <c:v>89.666504114860658</c:v>
                </c:pt>
                <c:pt idx="5">
                  <c:v>89.600019187286932</c:v>
                </c:pt>
                <c:pt idx="6">
                  <c:v>89.533650812683476</c:v>
                </c:pt>
                <c:pt idx="7">
                  <c:v>89.467418158729416</c:v>
                </c:pt>
                <c:pt idx="8">
                  <c:v>89.401340274994951</c:v>
                </c:pt>
                <c:pt idx="9">
                  <c:v>89.335436076696993</c:v>
                </c:pt>
                <c:pt idx="10">
                  <c:v>88.689980963840497</c:v>
                </c:pt>
                <c:pt idx="11">
                  <c:v>88.081131465359547</c:v>
                </c:pt>
                <c:pt idx="12">
                  <c:v>87.523440487891904</c:v>
                </c:pt>
                <c:pt idx="13">
                  <c:v>87.027664127018113</c:v>
                </c:pt>
                <c:pt idx="14">
                  <c:v>86.600458866201762</c:v>
                </c:pt>
                <c:pt idx="15">
                  <c:v>86.244575143948097</c:v>
                </c:pt>
                <c:pt idx="16">
                  <c:v>85.959409982568488</c:v>
                </c:pt>
                <c:pt idx="17">
                  <c:v>85.741752632374087</c:v>
                </c:pt>
                <c:pt idx="18">
                  <c:v>85.586573924414878</c:v>
                </c:pt>
                <c:pt idx="19">
                  <c:v>86.131241882970755</c:v>
                </c:pt>
                <c:pt idx="20">
                  <c:v>87.79976072681913</c:v>
                </c:pt>
                <c:pt idx="21">
                  <c:v>89.327661033977805</c:v>
                </c:pt>
                <c:pt idx="22">
                  <c:v>90.588950712032059</c:v>
                </c:pt>
                <c:pt idx="23">
                  <c:v>91.626874828321405</c:v>
                </c:pt>
                <c:pt idx="24">
                  <c:v>92.493694410071242</c:v>
                </c:pt>
                <c:pt idx="25">
                  <c:v>93.231072039731131</c:v>
                </c:pt>
                <c:pt idx="26">
                  <c:v>93.87045790358826</c:v>
                </c:pt>
                <c:pt idx="27">
                  <c:v>94.435450332599402</c:v>
                </c:pt>
                <c:pt idx="28">
                  <c:v>98.359876641741749</c:v>
                </c:pt>
                <c:pt idx="29">
                  <c:v>101.28858625567783</c:v>
                </c:pt>
                <c:pt idx="30">
                  <c:v>103.6606208400145</c:v>
                </c:pt>
                <c:pt idx="31">
                  <c:v>105.44591847174294</c:v>
                </c:pt>
                <c:pt idx="32">
                  <c:v>106.64060102029283</c:v>
                </c:pt>
                <c:pt idx="33">
                  <c:v>107.28062244452782</c:v>
                </c:pt>
                <c:pt idx="34">
                  <c:v>107.42376158015736</c:v>
                </c:pt>
                <c:pt idx="35">
                  <c:v>107.13518635375145</c:v>
                </c:pt>
                <c:pt idx="36">
                  <c:v>106.47887025055255</c:v>
                </c:pt>
                <c:pt idx="37">
                  <c:v>89.288788016000936</c:v>
                </c:pt>
                <c:pt idx="38">
                  <c:v>66.451167387536088</c:v>
                </c:pt>
                <c:pt idx="39">
                  <c:v>43.992107057565015</c:v>
                </c:pt>
                <c:pt idx="40">
                  <c:v>23.396610782762245</c:v>
                </c:pt>
                <c:pt idx="41">
                  <c:v>5.2976276053459666</c:v>
                </c:pt>
                <c:pt idx="42">
                  <c:v>-10.159632609740862</c:v>
                </c:pt>
                <c:pt idx="43">
                  <c:v>-23.19291393856394</c:v>
                </c:pt>
                <c:pt idx="44">
                  <c:v>-34.183113482555115</c:v>
                </c:pt>
                <c:pt idx="45">
                  <c:v>-43.52312831209764</c:v>
                </c:pt>
                <c:pt idx="46">
                  <c:v>-93.894060798137332</c:v>
                </c:pt>
                <c:pt idx="47">
                  <c:v>-116.55171889755469</c:v>
                </c:pt>
                <c:pt idx="48">
                  <c:v>-130.00857699725319</c:v>
                </c:pt>
                <c:pt idx="49">
                  <c:v>-138.91253443262428</c:v>
                </c:pt>
                <c:pt idx="50">
                  <c:v>-145.20477211322415</c:v>
                </c:pt>
                <c:pt idx="51">
                  <c:v>-149.86754902091425</c:v>
                </c:pt>
                <c:pt idx="52">
                  <c:v>-153.45108561178222</c:v>
                </c:pt>
                <c:pt idx="53">
                  <c:v>-156.28591275785729</c:v>
                </c:pt>
                <c:pt idx="54">
                  <c:v>-158.58159856341337</c:v>
                </c:pt>
              </c:numCache>
            </c:numRef>
          </c:yVal>
          <c:smooth val="0"/>
          <c:extLst>
            <c:ext xmlns:c16="http://schemas.microsoft.com/office/drawing/2014/chart" uri="{C3380CC4-5D6E-409C-BE32-E72D297353CC}">
              <c16:uniqueId val="{0000000A-553E-4D1A-8BD0-091BE3DF87C8}"/>
            </c:ext>
          </c:extLst>
        </c:ser>
        <c:dLbls>
          <c:showLegendKey val="0"/>
          <c:showVal val="0"/>
          <c:showCatName val="0"/>
          <c:showSerName val="0"/>
          <c:showPercent val="0"/>
          <c:showBubbleSize val="0"/>
        </c:dLbls>
        <c:axId val="178879104"/>
        <c:axId val="178877184"/>
      </c:scatterChart>
      <c:valAx>
        <c:axId val="178864896"/>
        <c:scaling>
          <c:logBase val="10"/>
          <c:orientation val="minMax"/>
          <c:min val="10"/>
        </c:scaling>
        <c:delete val="0"/>
        <c:axPos val="b"/>
        <c:majorGridlines/>
        <c:minorGridlines/>
        <c:title>
          <c:tx>
            <c:rich>
              <a:bodyPr/>
              <a:lstStyle/>
              <a:p>
                <a:pPr>
                  <a:defRPr/>
                </a:pPr>
                <a:r>
                  <a:rPr lang="en-US"/>
                  <a:t>Frequency</a:t>
                </a:r>
                <a:r>
                  <a:rPr lang="en-US" baseline="0"/>
                  <a:t> (Hz)</a:t>
                </a:r>
                <a:endParaRPr lang="en-US"/>
              </a:p>
            </c:rich>
          </c:tx>
          <c:overlay val="0"/>
        </c:title>
        <c:numFmt formatCode="General" sourceLinked="1"/>
        <c:majorTickMark val="out"/>
        <c:minorTickMark val="cross"/>
        <c:tickLblPos val="low"/>
        <c:crossAx val="178866816"/>
        <c:crosses val="autoZero"/>
        <c:crossBetween val="midCat"/>
      </c:valAx>
      <c:valAx>
        <c:axId val="178866816"/>
        <c:scaling>
          <c:orientation val="minMax"/>
          <c:max val="60"/>
          <c:min val="-40"/>
        </c:scaling>
        <c:delete val="0"/>
        <c:axPos val="l"/>
        <c:majorGridlines/>
        <c:title>
          <c:tx>
            <c:rich>
              <a:bodyPr rot="-5400000" vert="horz"/>
              <a:lstStyle/>
              <a:p>
                <a:pPr>
                  <a:defRPr/>
                </a:pPr>
                <a:r>
                  <a:rPr lang="en-US"/>
                  <a:t>Loop Gain (dB)</a:t>
                </a:r>
              </a:p>
            </c:rich>
          </c:tx>
          <c:overlay val="0"/>
        </c:title>
        <c:numFmt formatCode="General" sourceLinked="1"/>
        <c:majorTickMark val="out"/>
        <c:minorTickMark val="none"/>
        <c:tickLblPos val="nextTo"/>
        <c:crossAx val="178864896"/>
        <c:crosses val="autoZero"/>
        <c:crossBetween val="midCat"/>
        <c:majorUnit val="20"/>
      </c:valAx>
      <c:valAx>
        <c:axId val="178877184"/>
        <c:scaling>
          <c:orientation val="minMax"/>
          <c:max val="180"/>
          <c:min val="-180"/>
        </c:scaling>
        <c:delete val="0"/>
        <c:axPos val="r"/>
        <c:title>
          <c:tx>
            <c:rich>
              <a:bodyPr rot="-5400000" vert="horz"/>
              <a:lstStyle/>
              <a:p>
                <a:pPr>
                  <a:defRPr/>
                </a:pPr>
                <a:r>
                  <a:rPr lang="en-US"/>
                  <a:t>Loop Phase Margin (deg)</a:t>
                </a:r>
              </a:p>
            </c:rich>
          </c:tx>
          <c:overlay val="0"/>
        </c:title>
        <c:numFmt formatCode="General" sourceLinked="1"/>
        <c:majorTickMark val="out"/>
        <c:minorTickMark val="none"/>
        <c:tickLblPos val="nextTo"/>
        <c:crossAx val="178879104"/>
        <c:crosses val="max"/>
        <c:crossBetween val="midCat"/>
        <c:majorUnit val="45"/>
      </c:valAx>
      <c:valAx>
        <c:axId val="178879104"/>
        <c:scaling>
          <c:logBase val="10"/>
          <c:orientation val="minMax"/>
        </c:scaling>
        <c:delete val="1"/>
        <c:axPos val="b"/>
        <c:numFmt formatCode="General" sourceLinked="1"/>
        <c:majorTickMark val="out"/>
        <c:minorTickMark val="none"/>
        <c:tickLblPos val="nextTo"/>
        <c:crossAx val="178877184"/>
        <c:crosses val="autoZero"/>
        <c:crossBetween val="midCat"/>
      </c:valAx>
    </c:plotArea>
    <c:legend>
      <c:legendPos val="l"/>
      <c:legendEntry>
        <c:idx val="1"/>
        <c:delete val="1"/>
      </c:legendEntry>
      <c:legendEntry>
        <c:idx val="2"/>
        <c:delete val="1"/>
      </c:legendEntry>
      <c:legendEntry>
        <c:idx val="3"/>
        <c:delete val="1"/>
      </c:legendEntry>
      <c:legendEntry>
        <c:idx val="4"/>
        <c:delete val="1"/>
      </c:legendEntry>
      <c:layout>
        <c:manualLayout>
          <c:xMode val="edge"/>
          <c:yMode val="edge"/>
          <c:x val="0.79304241813100085"/>
          <c:y val="2.6664513567886527E-2"/>
          <c:w val="9.4543330754408461E-2"/>
          <c:h val="0.12361639853858421"/>
        </c:manualLayout>
      </c:layout>
      <c:overlay val="1"/>
      <c:spPr>
        <a:noFill/>
      </c:sp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image" Target="../media/image1.jpg"/><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hyperlink" Target="http://www.ti.com/product/lm5170-q1?qgpn=lm5170-q1" TargetMode="Externa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hyperlink" Target="http://www.ti.com/corp/docs/legal/copyright.shtml" TargetMode="External"/><Relationship Id="rId2" Type="http://schemas.openxmlformats.org/officeDocument/2006/relationships/image" Target="../media/image12.gif"/><Relationship Id="rId1" Type="http://schemas.openxmlformats.org/officeDocument/2006/relationships/hyperlink" Target="http://www.ti.com" TargetMode="Externa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7</xdr:col>
      <xdr:colOff>257175</xdr:colOff>
      <xdr:row>129</xdr:row>
      <xdr:rowOff>189675</xdr:rowOff>
    </xdr:from>
    <xdr:to>
      <xdr:col>19</xdr:col>
      <xdr:colOff>10584</xdr:colOff>
      <xdr:row>146</xdr:row>
      <xdr:rowOff>171450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2283071</xdr:colOff>
      <xdr:row>3</xdr:row>
      <xdr:rowOff>14781</xdr:rowOff>
    </xdr:to>
    <xdr:pic>
      <xdr:nvPicPr>
        <xdr:cNvPr id="6" name="Picture 5">
          <a:hlinkClick xmlns:r="http://schemas.openxmlformats.org/officeDocument/2006/relationships" r:id="rId2"/>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4896" b="8304"/>
        <a:stretch/>
      </xdr:blipFill>
      <xdr:spPr>
        <a:xfrm>
          <a:off x="0" y="0"/>
          <a:ext cx="2283071" cy="538656"/>
        </a:xfrm>
        <a:prstGeom prst="rect">
          <a:avLst/>
        </a:prstGeom>
      </xdr:spPr>
    </xdr:pic>
    <xdr:clientData/>
  </xdr:twoCellAnchor>
  <xdr:twoCellAnchor editAs="oneCell">
    <xdr:from>
      <xdr:col>8</xdr:col>
      <xdr:colOff>380998</xdr:colOff>
      <xdr:row>94</xdr:row>
      <xdr:rowOff>47624</xdr:rowOff>
    </xdr:from>
    <xdr:to>
      <xdr:col>13</xdr:col>
      <xdr:colOff>168571</xdr:colOff>
      <xdr:row>103</xdr:row>
      <xdr:rowOff>114914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86648" y="17906999"/>
          <a:ext cx="2826048" cy="1972290"/>
        </a:xfrm>
        <a:prstGeom prst="rect">
          <a:avLst/>
        </a:prstGeom>
      </xdr:spPr>
    </xdr:pic>
    <xdr:clientData/>
  </xdr:twoCellAnchor>
  <xdr:twoCellAnchor editAs="oneCell">
    <xdr:from>
      <xdr:col>3</xdr:col>
      <xdr:colOff>361950</xdr:colOff>
      <xdr:row>94</xdr:row>
      <xdr:rowOff>47624</xdr:rowOff>
    </xdr:from>
    <xdr:to>
      <xdr:col>8</xdr:col>
      <xdr:colOff>92373</xdr:colOff>
      <xdr:row>103</xdr:row>
      <xdr:rowOff>114914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62450" y="17906999"/>
          <a:ext cx="2826048" cy="1972290"/>
        </a:xfrm>
        <a:prstGeom prst="rect">
          <a:avLst/>
        </a:prstGeom>
      </xdr:spPr>
    </xdr:pic>
    <xdr:clientData/>
  </xdr:twoCellAnchor>
  <xdr:twoCellAnchor editAs="oneCell">
    <xdr:from>
      <xdr:col>13</xdr:col>
      <xdr:colOff>504824</xdr:colOff>
      <xdr:row>96</xdr:row>
      <xdr:rowOff>126656</xdr:rowOff>
    </xdr:from>
    <xdr:to>
      <xdr:col>18</xdr:col>
      <xdr:colOff>129922</xdr:colOff>
      <xdr:row>103</xdr:row>
      <xdr:rowOff>111739</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763249" y="18443231"/>
          <a:ext cx="2901698" cy="1426533"/>
        </a:xfrm>
        <a:prstGeom prst="rect">
          <a:avLst/>
        </a:prstGeom>
      </xdr:spPr>
    </xdr:pic>
    <xdr:clientData/>
  </xdr:twoCellAnchor>
  <xdr:twoCellAnchor editAs="oneCell">
    <xdr:from>
      <xdr:col>3</xdr:col>
      <xdr:colOff>476250</xdr:colOff>
      <xdr:row>107</xdr:row>
      <xdr:rowOff>95250</xdr:rowOff>
    </xdr:from>
    <xdr:to>
      <xdr:col>10</xdr:col>
      <xdr:colOff>245708</xdr:colOff>
      <xdr:row>116</xdr:row>
      <xdr:rowOff>130175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00600" y="21307425"/>
          <a:ext cx="4087458" cy="1933575"/>
        </a:xfrm>
        <a:prstGeom prst="rect">
          <a:avLst/>
        </a:prstGeom>
      </xdr:spPr>
    </xdr:pic>
    <xdr:clientData/>
  </xdr:twoCellAnchor>
  <xdr:twoCellAnchor editAs="oneCell">
    <xdr:from>
      <xdr:col>4</xdr:col>
      <xdr:colOff>438150</xdr:colOff>
      <xdr:row>122</xdr:row>
      <xdr:rowOff>123825</xdr:rowOff>
    </xdr:from>
    <xdr:to>
      <xdr:col>6</xdr:col>
      <xdr:colOff>266702</xdr:colOff>
      <xdr:row>128</xdr:row>
      <xdr:rowOff>38102</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72100" y="24079200"/>
          <a:ext cx="1104902" cy="1143002"/>
        </a:xfrm>
        <a:prstGeom prst="rect">
          <a:avLst/>
        </a:prstGeom>
      </xdr:spPr>
    </xdr:pic>
    <xdr:clientData/>
  </xdr:twoCellAnchor>
  <xdr:twoCellAnchor editAs="oneCell">
    <xdr:from>
      <xdr:col>8</xdr:col>
      <xdr:colOff>304800</xdr:colOff>
      <xdr:row>122</xdr:row>
      <xdr:rowOff>142875</xdr:rowOff>
    </xdr:from>
    <xdr:to>
      <xdr:col>10</xdr:col>
      <xdr:colOff>419103</xdr:colOff>
      <xdr:row>128</xdr:row>
      <xdr:rowOff>72646</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34300" y="24098250"/>
          <a:ext cx="1333503" cy="1152146"/>
        </a:xfrm>
        <a:prstGeom prst="rect">
          <a:avLst/>
        </a:prstGeom>
      </xdr:spPr>
    </xdr:pic>
    <xdr:clientData/>
  </xdr:twoCellAnchor>
  <xdr:twoCellAnchor>
    <xdr:from>
      <xdr:col>4</xdr:col>
      <xdr:colOff>323849</xdr:colOff>
      <xdr:row>56</xdr:row>
      <xdr:rowOff>47625</xdr:rowOff>
    </xdr:from>
    <xdr:to>
      <xdr:col>14</xdr:col>
      <xdr:colOff>361950</xdr:colOff>
      <xdr:row>71</xdr:row>
      <xdr:rowOff>186523</xdr:rowOff>
    </xdr:to>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323849</xdr:colOff>
      <xdr:row>72</xdr:row>
      <xdr:rowOff>9526</xdr:rowOff>
    </xdr:from>
    <xdr:to>
      <xdr:col>14</xdr:col>
      <xdr:colOff>360698</xdr:colOff>
      <xdr:row>86</xdr:row>
      <xdr:rowOff>171451</xdr:rowOff>
    </xdr:to>
    <xdr:graphicFrame macro="">
      <xdr:nvGraphicFramePr>
        <xdr:cNvPr id="17" name="Chart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51288</xdr:colOff>
      <xdr:row>60</xdr:row>
      <xdr:rowOff>19782</xdr:rowOff>
    </xdr:from>
    <xdr:to>
      <xdr:col>15</xdr:col>
      <xdr:colOff>205154</xdr:colOff>
      <xdr:row>60</xdr:row>
      <xdr:rowOff>158993</xdr:rowOff>
    </xdr:to>
    <xdr:sp macro="" textlink="">
      <xdr:nvSpPr>
        <xdr:cNvPr id="18" name="Oval 17">
          <a:extLst>
            <a:ext uri="{FF2B5EF4-FFF2-40B4-BE49-F238E27FC236}">
              <a16:creationId xmlns:a16="http://schemas.microsoft.com/office/drawing/2014/main" id="{00000000-0008-0000-0000-000012000000}"/>
            </a:ext>
          </a:extLst>
        </xdr:cNvPr>
        <xdr:cNvSpPr/>
      </xdr:nvSpPr>
      <xdr:spPr>
        <a:xfrm>
          <a:off x="11747988" y="11783157"/>
          <a:ext cx="153866" cy="13921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51288</xdr:colOff>
      <xdr:row>72</xdr:row>
      <xdr:rowOff>38832</xdr:rowOff>
    </xdr:from>
    <xdr:to>
      <xdr:col>15</xdr:col>
      <xdr:colOff>205154</xdr:colOff>
      <xdr:row>72</xdr:row>
      <xdr:rowOff>178043</xdr:rowOff>
    </xdr:to>
    <xdr:sp macro="" textlink="">
      <xdr:nvSpPr>
        <xdr:cNvPr id="19" name="Oval 18">
          <a:extLst>
            <a:ext uri="{FF2B5EF4-FFF2-40B4-BE49-F238E27FC236}">
              <a16:creationId xmlns:a16="http://schemas.microsoft.com/office/drawing/2014/main" id="{00000000-0008-0000-0000-000013000000}"/>
            </a:ext>
          </a:extLst>
        </xdr:cNvPr>
        <xdr:cNvSpPr/>
      </xdr:nvSpPr>
      <xdr:spPr>
        <a:xfrm>
          <a:off x="11747988" y="14173932"/>
          <a:ext cx="153866" cy="13921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257175</xdr:colOff>
      <xdr:row>147</xdr:row>
      <xdr:rowOff>171450</xdr:rowOff>
    </xdr:from>
    <xdr:to>
      <xdr:col>19</xdr:col>
      <xdr:colOff>10584</xdr:colOff>
      <xdr:row>165</xdr:row>
      <xdr:rowOff>172275</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247650</xdr:colOff>
      <xdr:row>167</xdr:row>
      <xdr:rowOff>0</xdr:rowOff>
    </xdr:from>
    <xdr:to>
      <xdr:col>19</xdr:col>
      <xdr:colOff>1059</xdr:colOff>
      <xdr:row>184</xdr:row>
      <xdr:rowOff>105600</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104775</xdr:colOff>
      <xdr:row>10</xdr:row>
      <xdr:rowOff>133350</xdr:rowOff>
    </xdr:from>
    <xdr:to>
      <xdr:col>15</xdr:col>
      <xdr:colOff>282589</xdr:colOff>
      <xdr:row>55</xdr:row>
      <xdr:rowOff>19068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038725" y="2085975"/>
          <a:ext cx="6934214" cy="8801118"/>
        </a:xfrm>
        <a:prstGeom prst="rect">
          <a:avLst/>
        </a:prstGeom>
      </xdr:spPr>
    </xdr:pic>
    <xdr:clientData/>
  </xdr:twoCellAnchor>
  <xdr:twoCellAnchor editAs="oneCell">
    <xdr:from>
      <xdr:col>3</xdr:col>
      <xdr:colOff>285751</xdr:colOff>
      <xdr:row>133</xdr:row>
      <xdr:rowOff>104776</xdr:rowOff>
    </xdr:from>
    <xdr:to>
      <xdr:col>6</xdr:col>
      <xdr:colOff>457201</xdr:colOff>
      <xdr:row>144</xdr:row>
      <xdr:rowOff>16656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610101" y="26708101"/>
          <a:ext cx="2057400" cy="2382030"/>
        </a:xfrm>
        <a:prstGeom prst="rect">
          <a:avLst/>
        </a:prstGeom>
      </xdr:spPr>
    </xdr:pic>
    <xdr:clientData/>
  </xdr:twoCellAnchor>
  <xdr:twoCellAnchor editAs="oneCell">
    <xdr:from>
      <xdr:col>3</xdr:col>
      <xdr:colOff>200025</xdr:colOff>
      <xdr:row>172</xdr:row>
      <xdr:rowOff>38100</xdr:rowOff>
    </xdr:from>
    <xdr:to>
      <xdr:col>7</xdr:col>
      <xdr:colOff>131337</xdr:colOff>
      <xdr:row>180</xdr:row>
      <xdr:rowOff>38100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524375" y="35080575"/>
          <a:ext cx="2417337" cy="1752600"/>
        </a:xfrm>
        <a:prstGeom prst="rect">
          <a:avLst/>
        </a:prstGeom>
      </xdr:spPr>
    </xdr:pic>
    <xdr:clientData/>
  </xdr:twoCellAnchor>
  <xdr:twoCellAnchor editAs="oneCell">
    <xdr:from>
      <xdr:col>3</xdr:col>
      <xdr:colOff>152400</xdr:colOff>
      <xdr:row>153</xdr:row>
      <xdr:rowOff>190500</xdr:rowOff>
    </xdr:from>
    <xdr:to>
      <xdr:col>7</xdr:col>
      <xdr:colOff>113600</xdr:colOff>
      <xdr:row>162</xdr:row>
      <xdr:rowOff>3175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476750" y="31080075"/>
          <a:ext cx="2456750" cy="178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1</xdr:col>
      <xdr:colOff>600075</xdr:colOff>
      <xdr:row>2</xdr:row>
      <xdr:rowOff>66626</xdr:rowOff>
    </xdr:to>
    <xdr:pic>
      <xdr:nvPicPr>
        <xdr:cNvPr id="2" name="Picture 1" descr="ti logo">
          <a:hlinkClick xmlns:r="http://schemas.openxmlformats.org/officeDocument/2006/relationships" r:id="rId1"/>
          <a:extLst>
            <a:ext uri="{FF2B5EF4-FFF2-40B4-BE49-F238E27FC236}">
              <a16:creationId xmlns:a16="http://schemas.microsoft.com/office/drawing/2014/main" id="{6CBE7879-D8BF-4B91-8FED-E81569EB67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2400"/>
          <a:ext cx="2314575" cy="276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200025</xdr:colOff>
      <xdr:row>0</xdr:row>
      <xdr:rowOff>114300</xdr:rowOff>
    </xdr:from>
    <xdr:ext cx="3752850" cy="381708"/>
    <xdr:sp macro="" textlink="">
      <xdr:nvSpPr>
        <xdr:cNvPr id="3" name="TextBox 2">
          <a:extLst>
            <a:ext uri="{FF2B5EF4-FFF2-40B4-BE49-F238E27FC236}">
              <a16:creationId xmlns:a16="http://schemas.microsoft.com/office/drawing/2014/main" id="{B20834D7-DD46-41F5-BFFD-4BA1E4791233}"/>
            </a:ext>
          </a:extLst>
        </xdr:cNvPr>
        <xdr:cNvSpPr txBox="1"/>
      </xdr:nvSpPr>
      <xdr:spPr>
        <a:xfrm>
          <a:off x="1914525" y="114300"/>
          <a:ext cx="375285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latin typeface="Arial Black" panose="020B0A04020102020204" pitchFamily="34" charset="0"/>
            </a:rPr>
            <a:t>About this tool...</a:t>
          </a:r>
        </a:p>
      </xdr:txBody>
    </xdr:sp>
    <xdr:clientData/>
  </xdr:oneCellAnchor>
  <xdr:oneCellAnchor>
    <xdr:from>
      <xdr:col>3</xdr:col>
      <xdr:colOff>323850</xdr:colOff>
      <xdr:row>1</xdr:row>
      <xdr:rowOff>28575</xdr:rowOff>
    </xdr:from>
    <xdr:ext cx="4719497" cy="254557"/>
    <xdr:sp macro="" textlink="">
      <xdr:nvSpPr>
        <xdr:cNvPr id="4" name="TextBox 3">
          <a:hlinkClick xmlns:r="http://schemas.openxmlformats.org/officeDocument/2006/relationships" r:id="rId3"/>
          <a:extLst>
            <a:ext uri="{FF2B5EF4-FFF2-40B4-BE49-F238E27FC236}">
              <a16:creationId xmlns:a16="http://schemas.microsoft.com/office/drawing/2014/main" id="{D26BF0EB-EFBF-4C6E-A9D6-8AC39E01AA55}"/>
            </a:ext>
          </a:extLst>
        </xdr:cNvPr>
        <xdr:cNvSpPr txBox="1"/>
      </xdr:nvSpPr>
      <xdr:spPr>
        <a:xfrm>
          <a:off x="6419850" y="209550"/>
          <a:ext cx="471949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Arial" panose="020B0604020202020204" pitchFamily="34" charset="0"/>
              <a:ea typeface="+mn-ea"/>
              <a:cs typeface="Arial" panose="020B0604020202020204" pitchFamily="34" charset="0"/>
              <a:hlinkClick xmlns:r="http://schemas.openxmlformats.org/officeDocument/2006/relationships" r:id=""/>
            </a:rPr>
            <a:t>© Copyright 2023</a:t>
          </a:r>
          <a:r>
            <a:rPr lang="en-US" sz="1100" b="0" i="0">
              <a:solidFill>
                <a:schemeClr val="tx1"/>
              </a:solidFill>
              <a:effectLst/>
              <a:latin typeface="Arial" panose="020B0604020202020204" pitchFamily="34" charset="0"/>
              <a:ea typeface="+mn-ea"/>
              <a:cs typeface="Arial" panose="020B0604020202020204" pitchFamily="34" charset="0"/>
            </a:rPr>
            <a:t> Texas Instruments Incorporated. All rights reserved.</a:t>
          </a:r>
          <a:endParaRPr lang="en-US" sz="1100" b="0">
            <a:latin typeface="Arial" panose="020B0604020202020204" pitchFamily="34" charset="0"/>
            <a:cs typeface="Arial" panose="020B0604020202020204" pitchFamily="34" charset="0"/>
          </a:endParaRPr>
        </a:p>
      </xdr:txBody>
    </xdr:sp>
    <xdr:clientData/>
  </xdr:oneCellAnchor>
  <xdr:oneCellAnchor>
    <xdr:from>
      <xdr:col>0</xdr:col>
      <xdr:colOff>95247</xdr:colOff>
      <xdr:row>6</xdr:row>
      <xdr:rowOff>47624</xdr:rowOff>
    </xdr:from>
    <xdr:ext cx="11229977" cy="4219576"/>
    <xdr:sp macro="" textlink="">
      <xdr:nvSpPr>
        <xdr:cNvPr id="5" name="TextBox 4">
          <a:extLst>
            <a:ext uri="{FF2B5EF4-FFF2-40B4-BE49-F238E27FC236}">
              <a16:creationId xmlns:a16="http://schemas.microsoft.com/office/drawing/2014/main" id="{EE6E5671-1500-40EE-AFCA-AE46D71C30D2}"/>
            </a:ext>
          </a:extLst>
        </xdr:cNvPr>
        <xdr:cNvSpPr txBox="1"/>
      </xdr:nvSpPr>
      <xdr:spPr>
        <a:xfrm>
          <a:off x="95247" y="1133474"/>
          <a:ext cx="11229977" cy="421957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ysClr val="windowText" lastClr="000000"/>
              </a:solidFill>
              <a:effectLst/>
              <a:uLnTx/>
              <a:uFillTx/>
              <a:latin typeface="+mn-lt"/>
              <a:ea typeface="+mn-ea"/>
              <a:cs typeface="+mn-cs"/>
            </a:rPr>
            <a:t>IMPORTANT NOTICE AND DISCLAIMER</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0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 PROVIDES TECHNICAL AND RELIABILITY DATA (INCLUDING DATA SHEETS), DESIGN RESOURCES (INCLUDING REFERENCE DESIGNS), APPLICATION OR OTHER DESIGN ADVICE, WEB TOOLS, SAFETY INFORMATION, AND OTHER RESOURCES “AS IS” AND WITH ALL FAULTS, AND DISCLAIMS ALL WARRANTIES, EXPRESS AND IMPLIED, INCLUDING WITHOUT LIMITATION ANY IMPLIED WARRANTIES OF MERCHANTABILITY, FITNESS FOR A PARTICULAR PURPOSE OR NON-INFRINGEMENT OF THIRD PARTY INTELLECTUAL PROPERTY RIGHTS.</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lang="en-US" sz="1050"/>
            <a:t>These resources are intended for skilled developers designing with TI products. You are solely responsible for (1) selecting the appropriate TI products for your application, (2) designing, validating and testing your application, and (3) ensuring your application meets applicable standards, and any other safety, security, regulatory or other requirements. </a:t>
          </a:r>
        </a:p>
        <a:p>
          <a:pPr marL="0" marR="0" lvl="0" indent="0" defTabSz="914400" eaLnBrk="1" fontAlgn="auto" latinLnBrk="0" hangingPunct="1">
            <a:lnSpc>
              <a:spcPct val="100000"/>
            </a:lnSpc>
            <a:spcBef>
              <a:spcPts val="0"/>
            </a:spcBef>
            <a:spcAft>
              <a:spcPts val="0"/>
            </a:spcAft>
            <a:buClrTx/>
            <a:buSzTx/>
            <a:buFontTx/>
            <a:buNone/>
            <a:tabLst/>
            <a:defRPr/>
          </a:pPr>
          <a:endParaRPr lang="en-US" sz="1050"/>
        </a:p>
        <a:p>
          <a:pPr marL="0" marR="0" lvl="0" indent="0" defTabSz="914400" eaLnBrk="1" fontAlgn="auto" latinLnBrk="0" hangingPunct="1">
            <a:lnSpc>
              <a:spcPct val="100000"/>
            </a:lnSpc>
            <a:spcBef>
              <a:spcPts val="0"/>
            </a:spcBef>
            <a:spcAft>
              <a:spcPts val="0"/>
            </a:spcAft>
            <a:buClrTx/>
            <a:buSzTx/>
            <a:buFontTx/>
            <a:buNone/>
            <a:tabLst/>
            <a:defRPr/>
          </a:pPr>
          <a:r>
            <a:rPr lang="en-US" sz="1050"/>
            <a:t>These resources are subject to change without notice. TI grants you permission to use these resources only for development of an application that uses the TI products described in the resource. Other reproduction and display of these resources is prohibited. No license is granted to any other TI intellectual property right or to any third party intellectual property right. TI disclaims responsibility for, and you will fully indemnify TI and its representatives against, any claims, damages, costs, losses, and liabilities arising out of your use of these resources. </a:t>
          </a:r>
        </a:p>
        <a:p>
          <a:pPr marL="0" marR="0" lvl="0" indent="0" defTabSz="914400" eaLnBrk="1" fontAlgn="auto" latinLnBrk="0" hangingPunct="1">
            <a:lnSpc>
              <a:spcPct val="100000"/>
            </a:lnSpc>
            <a:spcBef>
              <a:spcPts val="0"/>
            </a:spcBef>
            <a:spcAft>
              <a:spcPts val="0"/>
            </a:spcAft>
            <a:buClrTx/>
            <a:buSzTx/>
            <a:buFontTx/>
            <a:buNone/>
            <a:tabLst/>
            <a:defRPr/>
          </a:pPr>
          <a:endParaRPr lang="en-US" sz="1050"/>
        </a:p>
        <a:p>
          <a:pPr marL="0" marR="0" lvl="0" indent="0" defTabSz="914400" eaLnBrk="1" fontAlgn="auto" latinLnBrk="0" hangingPunct="1">
            <a:lnSpc>
              <a:spcPct val="100000"/>
            </a:lnSpc>
            <a:spcBef>
              <a:spcPts val="0"/>
            </a:spcBef>
            <a:spcAft>
              <a:spcPts val="0"/>
            </a:spcAft>
            <a:buClrTx/>
            <a:buSzTx/>
            <a:buFontTx/>
            <a:buNone/>
            <a:tabLst/>
            <a:defRPr/>
          </a:pPr>
          <a:r>
            <a:rPr lang="en-US" sz="1050"/>
            <a:t>TI’s products are provided subject to TI’s Terms of Sale or other applicable terms available either on ti.com or provided in conjunction with such TI products. TI’s provision of these resources does not expand or otherwise alter TI’s applicable warranties or warranty disclaimers for TI products. </a:t>
          </a:r>
        </a:p>
        <a:p>
          <a:pPr marL="0" marR="0" lvl="0" indent="0" defTabSz="914400" eaLnBrk="1" fontAlgn="auto" latinLnBrk="0" hangingPunct="1">
            <a:lnSpc>
              <a:spcPct val="100000"/>
            </a:lnSpc>
            <a:spcBef>
              <a:spcPts val="0"/>
            </a:spcBef>
            <a:spcAft>
              <a:spcPts val="0"/>
            </a:spcAft>
            <a:buClrTx/>
            <a:buSzTx/>
            <a:buFontTx/>
            <a:buNone/>
            <a:tabLst/>
            <a:defRPr/>
          </a:pPr>
          <a:endParaRPr lang="en-US" sz="1050"/>
        </a:p>
        <a:p>
          <a:pPr marL="0" marR="0" lvl="0" indent="0" algn="l" defTabSz="914400" eaLnBrk="1" fontAlgn="auto" latinLnBrk="0" hangingPunct="1">
            <a:lnSpc>
              <a:spcPct val="100000"/>
            </a:lnSpc>
            <a:spcBef>
              <a:spcPts val="0"/>
            </a:spcBef>
            <a:spcAft>
              <a:spcPts val="0"/>
            </a:spcAft>
            <a:buClrTx/>
            <a:buSzTx/>
            <a:buFontTx/>
            <a:buNone/>
            <a:tabLst/>
            <a:defRPr/>
          </a:pPr>
          <a:r>
            <a:rPr lang="en-US" sz="1050"/>
            <a:t>TI objects to and rejects any additional or different terms you may have proposed. </a:t>
          </a:r>
        </a:p>
        <a:p>
          <a:pPr marL="0" marR="0" lvl="0" indent="0" algn="ctr" defTabSz="914400" eaLnBrk="1" fontAlgn="auto" latinLnBrk="0" hangingPunct="1">
            <a:lnSpc>
              <a:spcPct val="100000"/>
            </a:lnSpc>
            <a:spcBef>
              <a:spcPts val="0"/>
            </a:spcBef>
            <a:spcAft>
              <a:spcPts val="0"/>
            </a:spcAft>
            <a:buClrTx/>
            <a:buSzTx/>
            <a:buFontTx/>
            <a:buNone/>
            <a:tabLst/>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lang="en-US" sz="1050"/>
            <a:t>Mailing Address: Texas Instruments, Post Office Box 655303, Dallas, Texas 75265</a:t>
          </a:r>
        </a:p>
        <a:p>
          <a:pPr marL="0" marR="0" lvl="0" indent="0" algn="ctr" defTabSz="914400" eaLnBrk="1" fontAlgn="auto" latinLnBrk="0" hangingPunct="1">
            <a:lnSpc>
              <a:spcPct val="100000"/>
            </a:lnSpc>
            <a:spcBef>
              <a:spcPts val="0"/>
            </a:spcBef>
            <a:spcAft>
              <a:spcPts val="0"/>
            </a:spcAft>
            <a:buClrTx/>
            <a:buSzTx/>
            <a:buFontTx/>
            <a:buNone/>
            <a:tabLst/>
            <a:defRPr/>
          </a:pPr>
          <a:r>
            <a:rPr lang="en-US" sz="1050"/>
            <a:t>Copyright © 2023, Texas Instruments Incorporated</a:t>
          </a:r>
          <a:endParaRPr kumimoji="0" lang="en-US" sz="7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oneCellAnchor>
  <xdr:oneCellAnchor>
    <xdr:from>
      <xdr:col>0</xdr:col>
      <xdr:colOff>99057</xdr:colOff>
      <xdr:row>30</xdr:row>
      <xdr:rowOff>16998</xdr:rowOff>
    </xdr:from>
    <xdr:ext cx="11229977" cy="634512"/>
    <xdr:sp macro="" textlink="">
      <xdr:nvSpPr>
        <xdr:cNvPr id="6" name="TextBox 5">
          <a:extLst>
            <a:ext uri="{FF2B5EF4-FFF2-40B4-BE49-F238E27FC236}">
              <a16:creationId xmlns:a16="http://schemas.microsoft.com/office/drawing/2014/main" id="{1D513D81-2D3B-40A4-B433-3FF0B1C6D4F9}"/>
            </a:ext>
          </a:extLst>
        </xdr:cNvPr>
        <xdr:cNvSpPr txBox="1"/>
      </xdr:nvSpPr>
      <xdr:spPr>
        <a:xfrm>
          <a:off x="99057" y="5446248"/>
          <a:ext cx="11229977" cy="63451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IMPORTANT</a:t>
          </a:r>
          <a:r>
            <a:rPr lang="en-US" sz="1100" b="1" baseline="0">
              <a:solidFill>
                <a:schemeClr val="tx1"/>
              </a:solidFill>
              <a:effectLst/>
              <a:latin typeface="+mn-lt"/>
              <a:ea typeface="+mn-ea"/>
              <a:cs typeface="+mn-cs"/>
            </a:rPr>
            <a:t>:   </a:t>
          </a:r>
          <a:endParaRPr lang="en-US" sz="800">
            <a:effectLst/>
          </a:endParaRPr>
        </a:p>
        <a:p>
          <a:r>
            <a:rPr lang="en-US" sz="1100" baseline="0">
              <a:solidFill>
                <a:schemeClr val="tx1"/>
              </a:solidFill>
              <a:effectLst/>
              <a:latin typeface="+mn-lt"/>
              <a:ea typeface="+mn-ea"/>
              <a:cs typeface="+mn-cs"/>
            </a:rPr>
            <a:t>1.  Do not delete this worksheet!</a:t>
          </a:r>
          <a:endParaRPr lang="en-US" sz="800">
            <a:effectLst/>
          </a:endParaRPr>
        </a:p>
        <a:p>
          <a:pPr eaLnBrk="1" fontAlgn="auto" latinLnBrk="0" hangingPunct="1"/>
          <a:r>
            <a:rPr lang="en-US" sz="1100" baseline="0">
              <a:solidFill>
                <a:schemeClr val="tx1"/>
              </a:solidFill>
              <a:effectLst/>
              <a:latin typeface="+mn-lt"/>
              <a:ea typeface="+mn-ea"/>
              <a:cs typeface="+mn-cs"/>
            </a:rPr>
            <a:t>2.  Redistributions must retain the above copyright and the following disclaimer.</a:t>
          </a:r>
          <a:endParaRPr lang="en-US" sz="800">
            <a:effectLst/>
          </a:endParaRPr>
        </a:p>
        <a:p>
          <a:endParaRPr lang="en-US" sz="800" baseline="0">
            <a:latin typeface="Arial" panose="020B0604020202020204" pitchFamily="34" charset="0"/>
            <a:cs typeface="Arial" panose="020B0604020202020204"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28</xdr:col>
      <xdr:colOff>235451</xdr:colOff>
      <xdr:row>7</xdr:row>
      <xdr:rowOff>180950</xdr:rowOff>
    </xdr:from>
    <xdr:to>
      <xdr:col>37</xdr:col>
      <xdr:colOff>532280</xdr:colOff>
      <xdr:row>26</xdr:row>
      <xdr:rowOff>133070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746687</xdr:colOff>
      <xdr:row>8</xdr:row>
      <xdr:rowOff>169779</xdr:rowOff>
    </xdr:from>
    <xdr:to>
      <xdr:col>25</xdr:col>
      <xdr:colOff>7248</xdr:colOff>
      <xdr:row>27</xdr:row>
      <xdr:rowOff>137698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612320</xdr:colOff>
      <xdr:row>5</xdr:row>
      <xdr:rowOff>176894</xdr:rowOff>
    </xdr:from>
    <xdr:to>
      <xdr:col>22</xdr:col>
      <xdr:colOff>511971</xdr:colOff>
      <xdr:row>23</xdr:row>
      <xdr:rowOff>69522</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598714</xdr:colOff>
      <xdr:row>24</xdr:row>
      <xdr:rowOff>0</xdr:rowOff>
    </xdr:from>
    <xdr:to>
      <xdr:col>22</xdr:col>
      <xdr:colOff>498365</xdr:colOff>
      <xdr:row>42</xdr:row>
      <xdr:rowOff>83128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27214</xdr:colOff>
      <xdr:row>44</xdr:row>
      <xdr:rowOff>0</xdr:rowOff>
    </xdr:from>
    <xdr:to>
      <xdr:col>22</xdr:col>
      <xdr:colOff>539186</xdr:colOff>
      <xdr:row>62</xdr:row>
      <xdr:rowOff>83128</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69274</xdr:colOff>
      <xdr:row>167</xdr:row>
      <xdr:rowOff>123825</xdr:rowOff>
    </xdr:from>
    <xdr:to>
      <xdr:col>42</xdr:col>
      <xdr:colOff>548452</xdr:colOff>
      <xdr:row>187</xdr:row>
      <xdr:rowOff>138113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125867</xdr:colOff>
      <xdr:row>77</xdr:row>
      <xdr:rowOff>551397</xdr:rowOff>
    </xdr:from>
    <xdr:to>
      <xdr:col>42</xdr:col>
      <xdr:colOff>88284</xdr:colOff>
      <xdr:row>99</xdr:row>
      <xdr:rowOff>143864</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95250</xdr:colOff>
      <xdr:row>101</xdr:row>
      <xdr:rowOff>0</xdr:rowOff>
    </xdr:from>
    <xdr:to>
      <xdr:col>38</xdr:col>
      <xdr:colOff>370494</xdr:colOff>
      <xdr:row>120</xdr:row>
      <xdr:rowOff>96075</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189</xdr:row>
      <xdr:rowOff>23812</xdr:rowOff>
    </xdr:from>
    <xdr:to>
      <xdr:col>38</xdr:col>
      <xdr:colOff>275244</xdr:colOff>
      <xdr:row>208</xdr:row>
      <xdr:rowOff>119887</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28575</xdr:colOff>
      <xdr:row>4</xdr:row>
      <xdr:rowOff>19050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91821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0499631/TI%20Drive/device/0-5171/!%20Calc/LM5171%20BuckBoost%20Quickstart%20Tool%20V1_0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_Converter"/>
      <sheetName val="Licenses"/>
      <sheetName val="Calculations"/>
      <sheetName val="Compensation"/>
      <sheetName val="Constants"/>
      <sheetName val="Lists"/>
    </sheetNames>
    <sheetDataSet>
      <sheetData sheetId="0">
        <row r="39">
          <cell r="B39">
            <v>1</v>
          </cell>
        </row>
        <row r="53">
          <cell r="B53">
            <v>800</v>
          </cell>
        </row>
        <row r="54">
          <cell r="B54">
            <v>5</v>
          </cell>
        </row>
        <row r="56">
          <cell r="B56">
            <v>600</v>
          </cell>
        </row>
        <row r="57">
          <cell r="B57">
            <v>5</v>
          </cell>
        </row>
      </sheetData>
      <sheetData sheetId="1"/>
      <sheetData sheetId="2">
        <row r="7">
          <cell r="B7">
            <v>48</v>
          </cell>
        </row>
        <row r="8">
          <cell r="B8">
            <v>48</v>
          </cell>
        </row>
        <row r="9">
          <cell r="B9">
            <v>48</v>
          </cell>
        </row>
        <row r="11">
          <cell r="B11">
            <v>12</v>
          </cell>
        </row>
        <row r="12">
          <cell r="B12">
            <v>12</v>
          </cell>
        </row>
        <row r="13">
          <cell r="B13">
            <v>12</v>
          </cell>
        </row>
        <row r="15">
          <cell r="B15">
            <v>108000</v>
          </cell>
        </row>
        <row r="24">
          <cell r="B24">
            <v>2</v>
          </cell>
        </row>
        <row r="25">
          <cell r="B25">
            <v>30</v>
          </cell>
        </row>
        <row r="31">
          <cell r="B31">
            <v>1</v>
          </cell>
        </row>
        <row r="32">
          <cell r="B32">
            <v>50</v>
          </cell>
        </row>
        <row r="43">
          <cell r="B43">
            <v>4.7</v>
          </cell>
        </row>
        <row r="75">
          <cell r="B75">
            <v>38.865248226950357</v>
          </cell>
        </row>
        <row r="77">
          <cell r="B77">
            <v>40.808510638297875</v>
          </cell>
        </row>
        <row r="154">
          <cell r="B154">
            <v>3.65</v>
          </cell>
        </row>
        <row r="156">
          <cell r="B156">
            <v>100</v>
          </cell>
        </row>
        <row r="158">
          <cell r="B158">
            <v>1</v>
          </cell>
        </row>
      </sheetData>
      <sheetData sheetId="3"/>
      <sheetData sheetId="4">
        <row r="4">
          <cell r="C4">
            <v>1E-4</v>
          </cell>
        </row>
        <row r="5">
          <cell r="C5">
            <v>40</v>
          </cell>
        </row>
      </sheetData>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84"/>
  <sheetViews>
    <sheetView tabSelected="1" topLeftCell="A68" zoomScale="110" zoomScaleNormal="110" workbookViewId="0">
      <selection activeCell="D54" sqref="D54"/>
    </sheetView>
  </sheetViews>
  <sheetFormatPr defaultColWidth="9.125" defaultRowHeight="13.5" x14ac:dyDescent="0.15"/>
  <cols>
    <col min="1" max="1" width="50.125" style="127" customWidth="1"/>
    <col min="2" max="2" width="10" style="128" customWidth="1"/>
    <col min="3" max="3" width="4.625" style="128" customWidth="1"/>
    <col min="4" max="4" width="9.125" style="128"/>
    <col min="5" max="5" width="10" style="128" bestFit="1" customWidth="1"/>
    <col min="6" max="9" width="9.125" style="128"/>
    <col min="10" max="10" width="9.125" style="128" customWidth="1"/>
    <col min="11" max="17" width="9.125" style="128"/>
    <col min="18" max="18" width="12.625" style="128" customWidth="1"/>
    <col min="19" max="19" width="9.125" style="148"/>
    <col min="20" max="16384" width="9.125" style="128"/>
  </cols>
  <sheetData>
    <row r="1" spans="1:22" s="178" customFormat="1" x14ac:dyDescent="0.15">
      <c r="A1" s="177" t="s">
        <v>462</v>
      </c>
    </row>
    <row r="2" spans="1:22" s="180" customFormat="1" x14ac:dyDescent="0.15">
      <c r="A2" s="179"/>
    </row>
    <row r="3" spans="1:22" s="180" customFormat="1" ht="12.75" customHeight="1" x14ac:dyDescent="0.15">
      <c r="A3" s="179"/>
    </row>
    <row r="4" spans="1:22" s="116" customFormat="1" ht="14.25" thickBot="1" x14ac:dyDescent="0.2">
      <c r="A4" s="115"/>
      <c r="F4" s="117"/>
      <c r="G4" s="117"/>
      <c r="H4" s="117"/>
      <c r="I4" s="117"/>
      <c r="J4" s="117"/>
      <c r="K4" s="117"/>
      <c r="L4" s="117"/>
      <c r="M4" s="117"/>
      <c r="N4" s="117"/>
      <c r="O4" s="117"/>
      <c r="P4" s="117"/>
      <c r="Q4" s="117"/>
      <c r="R4" s="117"/>
      <c r="S4" s="118"/>
      <c r="T4" s="117"/>
      <c r="U4" s="117"/>
      <c r="V4" s="117"/>
    </row>
    <row r="5" spans="1:22" s="116" customFormat="1" ht="14.25" thickBot="1" x14ac:dyDescent="0.2">
      <c r="A5" s="119"/>
      <c r="B5" s="120"/>
      <c r="C5" s="121" t="s">
        <v>127</v>
      </c>
      <c r="F5" s="117"/>
      <c r="G5" s="122" t="s">
        <v>284</v>
      </c>
      <c r="H5" s="122"/>
      <c r="I5" s="122"/>
      <c r="K5" s="117"/>
      <c r="L5" s="117"/>
      <c r="M5" s="117"/>
      <c r="N5" s="117"/>
      <c r="O5" s="117"/>
      <c r="P5" s="117"/>
      <c r="R5" s="172" t="s">
        <v>285</v>
      </c>
      <c r="S5" s="118"/>
      <c r="T5" s="117"/>
      <c r="U5" s="117"/>
      <c r="V5" s="117"/>
    </row>
    <row r="6" spans="1:22" s="124" customFormat="1" ht="14.25" thickBot="1" x14ac:dyDescent="0.2">
      <c r="A6" s="123"/>
      <c r="F6" s="125"/>
      <c r="G6" s="125"/>
      <c r="H6" s="125"/>
      <c r="I6" s="125"/>
      <c r="J6" s="125"/>
      <c r="K6" s="125"/>
      <c r="L6" s="125"/>
      <c r="M6" s="125"/>
      <c r="N6" s="125"/>
      <c r="O6" s="125"/>
      <c r="P6" s="125"/>
      <c r="Q6" s="125"/>
      <c r="R6" s="125"/>
      <c r="S6" s="126"/>
      <c r="T6" s="125"/>
      <c r="U6" s="125"/>
      <c r="V6" s="125"/>
    </row>
    <row r="7" spans="1:22" x14ac:dyDescent="0.15">
      <c r="F7" s="129"/>
      <c r="G7" s="129"/>
      <c r="H7" s="129"/>
      <c r="I7" s="129"/>
      <c r="J7" s="129"/>
      <c r="K7" s="129"/>
      <c r="L7" s="129"/>
      <c r="M7" s="129"/>
      <c r="N7" s="129"/>
      <c r="O7" s="129"/>
      <c r="P7" s="129"/>
      <c r="Q7" s="129"/>
      <c r="R7" s="129"/>
      <c r="S7" s="130"/>
      <c r="T7" s="129"/>
      <c r="U7" s="129"/>
      <c r="V7" s="129"/>
    </row>
    <row r="8" spans="1:22" ht="17.25" x14ac:dyDescent="0.2">
      <c r="A8" s="173" t="s">
        <v>469</v>
      </c>
      <c r="B8" s="173"/>
      <c r="C8" s="173"/>
      <c r="F8" s="129"/>
      <c r="G8" s="129"/>
      <c r="H8" s="129"/>
      <c r="I8" s="129"/>
      <c r="J8" s="129"/>
      <c r="K8" s="129"/>
      <c r="L8" s="129"/>
      <c r="M8" s="129"/>
      <c r="N8" s="129"/>
      <c r="O8" s="129"/>
      <c r="P8" s="129"/>
      <c r="Q8" s="129"/>
      <c r="R8" s="129"/>
      <c r="S8" s="130"/>
      <c r="T8" s="129"/>
      <c r="U8" s="129"/>
      <c r="V8" s="129"/>
    </row>
    <row r="9" spans="1:22" ht="12.75" customHeight="1" thickBot="1" x14ac:dyDescent="0.25">
      <c r="A9" s="131"/>
      <c r="B9" s="131"/>
      <c r="C9" s="131"/>
      <c r="F9" s="129"/>
      <c r="G9" s="129"/>
      <c r="H9" s="129"/>
      <c r="I9" s="129"/>
      <c r="J9" s="129"/>
      <c r="K9" s="129"/>
      <c r="L9" s="129"/>
      <c r="M9" s="129"/>
      <c r="N9" s="129"/>
      <c r="O9" s="129"/>
      <c r="P9" s="129"/>
      <c r="Q9" s="129"/>
      <c r="R9" s="129"/>
      <c r="S9" s="130"/>
      <c r="T9" s="129"/>
      <c r="U9" s="129"/>
      <c r="V9" s="129"/>
    </row>
    <row r="10" spans="1:22" ht="17.25" customHeight="1" thickBot="1" x14ac:dyDescent="0.2">
      <c r="A10" s="174" t="s">
        <v>321</v>
      </c>
      <c r="B10" s="175"/>
      <c r="C10" s="176"/>
      <c r="F10" s="129"/>
      <c r="G10" s="184" t="s">
        <v>281</v>
      </c>
      <c r="H10" s="184"/>
      <c r="I10" s="184"/>
      <c r="J10" s="184"/>
      <c r="K10" s="184"/>
      <c r="L10" s="184"/>
      <c r="M10" s="184"/>
      <c r="N10" s="132"/>
      <c r="O10" s="132"/>
      <c r="P10" s="129"/>
      <c r="Q10" s="129"/>
      <c r="R10" s="129"/>
      <c r="S10" s="130"/>
      <c r="T10" s="129"/>
      <c r="U10" s="129"/>
      <c r="V10" s="129"/>
    </row>
    <row r="11" spans="1:22" ht="15" customHeight="1" x14ac:dyDescent="0.15">
      <c r="A11" s="133" t="s">
        <v>330</v>
      </c>
      <c r="B11" s="154">
        <v>30</v>
      </c>
      <c r="C11" s="134" t="s">
        <v>1</v>
      </c>
      <c r="F11" s="129"/>
      <c r="G11" s="184"/>
      <c r="H11" s="184"/>
      <c r="I11" s="184"/>
      <c r="J11" s="184"/>
      <c r="K11" s="184"/>
      <c r="L11" s="184"/>
      <c r="M11" s="184"/>
      <c r="N11" s="132"/>
      <c r="O11" s="132"/>
      <c r="Q11" s="129"/>
      <c r="R11" s="129"/>
      <c r="S11" s="130"/>
      <c r="T11" s="129"/>
      <c r="U11" s="129"/>
      <c r="V11" s="129"/>
    </row>
    <row r="12" spans="1:22" ht="15" customHeight="1" x14ac:dyDescent="0.15">
      <c r="A12" s="133" t="s">
        <v>331</v>
      </c>
      <c r="B12" s="154">
        <v>50</v>
      </c>
      <c r="C12" s="134" t="s">
        <v>1</v>
      </c>
      <c r="F12" s="129"/>
      <c r="G12" s="129"/>
      <c r="Q12" s="129"/>
      <c r="R12" s="129"/>
      <c r="S12" s="130"/>
      <c r="T12" s="129"/>
      <c r="U12" s="129"/>
      <c r="V12" s="129"/>
    </row>
    <row r="13" spans="1:22" ht="14.25" thickBot="1" x14ac:dyDescent="0.2">
      <c r="A13" s="135" t="s">
        <v>332</v>
      </c>
      <c r="B13" s="155">
        <v>85</v>
      </c>
      <c r="C13" s="136" t="s">
        <v>1</v>
      </c>
      <c r="F13" s="129"/>
      <c r="G13" s="129"/>
      <c r="H13" s="129"/>
      <c r="I13" s="129"/>
      <c r="J13" s="129"/>
      <c r="K13" s="129"/>
      <c r="L13" s="129"/>
      <c r="M13" s="129"/>
      <c r="N13" s="129"/>
      <c r="O13" s="129"/>
      <c r="P13" s="129"/>
      <c r="Q13" s="129"/>
      <c r="R13" s="129"/>
      <c r="S13" s="130"/>
      <c r="T13" s="129"/>
      <c r="U13" s="129"/>
      <c r="V13" s="129"/>
    </row>
    <row r="14" spans="1:22" ht="14.25" thickBot="1" x14ac:dyDescent="0.2">
      <c r="B14" s="137"/>
      <c r="F14" s="129"/>
      <c r="G14" s="129"/>
      <c r="H14" s="129"/>
      <c r="I14" s="129"/>
      <c r="J14" s="129"/>
      <c r="K14" s="129"/>
      <c r="L14" s="129"/>
      <c r="M14" s="129"/>
      <c r="N14" s="129"/>
      <c r="O14" s="129"/>
      <c r="P14" s="129"/>
      <c r="Q14" s="129"/>
      <c r="R14" s="129"/>
      <c r="S14" s="130"/>
      <c r="T14" s="129"/>
      <c r="U14" s="129"/>
      <c r="V14" s="129"/>
    </row>
    <row r="15" spans="1:22" ht="14.25" thickBot="1" x14ac:dyDescent="0.2">
      <c r="A15" s="174" t="s">
        <v>320</v>
      </c>
      <c r="B15" s="175"/>
      <c r="C15" s="176"/>
      <c r="F15" s="129"/>
      <c r="G15" s="129"/>
      <c r="H15" s="129"/>
      <c r="I15" s="129"/>
      <c r="J15" s="129"/>
      <c r="K15" s="129"/>
      <c r="L15" s="129"/>
      <c r="M15" s="129"/>
      <c r="N15" s="129"/>
      <c r="O15" s="129"/>
      <c r="P15" s="129"/>
      <c r="Q15" s="129"/>
      <c r="R15" s="129"/>
      <c r="S15" s="130"/>
      <c r="T15" s="129"/>
      <c r="U15" s="129"/>
      <c r="V15" s="129"/>
    </row>
    <row r="16" spans="1:22" x14ac:dyDescent="0.15">
      <c r="A16" s="133" t="s">
        <v>327</v>
      </c>
      <c r="B16" s="154">
        <v>18.5</v>
      </c>
      <c r="C16" s="134" t="s">
        <v>1</v>
      </c>
      <c r="F16" s="129"/>
      <c r="G16" s="129"/>
      <c r="H16" s="129"/>
      <c r="I16" s="129"/>
      <c r="J16" s="129"/>
      <c r="K16" s="129"/>
      <c r="L16" s="129"/>
      <c r="M16" s="129"/>
      <c r="N16" s="129"/>
      <c r="O16" s="129"/>
      <c r="P16" s="129"/>
      <c r="Q16" s="129"/>
      <c r="R16" s="129"/>
      <c r="S16" s="130"/>
      <c r="T16" s="129"/>
      <c r="U16" s="129"/>
      <c r="V16" s="129"/>
    </row>
    <row r="17" spans="1:22" x14ac:dyDescent="0.15">
      <c r="A17" s="133" t="s">
        <v>328</v>
      </c>
      <c r="B17" s="154">
        <v>20</v>
      </c>
      <c r="C17" s="134" t="s">
        <v>1</v>
      </c>
      <c r="F17" s="129"/>
      <c r="G17" s="129"/>
      <c r="H17" s="129"/>
      <c r="I17" s="129"/>
      <c r="J17" s="129"/>
      <c r="K17" s="129"/>
      <c r="L17" s="129"/>
      <c r="M17" s="129"/>
      <c r="N17" s="129"/>
      <c r="O17" s="129"/>
      <c r="P17" s="129"/>
      <c r="Q17" s="129"/>
      <c r="R17" s="129"/>
      <c r="S17" s="130"/>
      <c r="T17" s="129"/>
      <c r="U17" s="129"/>
      <c r="V17" s="129"/>
    </row>
    <row r="18" spans="1:22" ht="14.25" thickBot="1" x14ac:dyDescent="0.2">
      <c r="A18" s="135" t="s">
        <v>329</v>
      </c>
      <c r="B18" s="155">
        <v>26</v>
      </c>
      <c r="C18" s="136" t="s">
        <v>1</v>
      </c>
      <c r="F18" s="129"/>
      <c r="G18" s="129"/>
      <c r="H18" s="129"/>
      <c r="I18" s="129"/>
      <c r="J18" s="129"/>
      <c r="K18" s="129"/>
      <c r="L18" s="129"/>
      <c r="M18" s="129"/>
      <c r="N18" s="129"/>
      <c r="O18" s="129"/>
      <c r="P18" s="129"/>
      <c r="Q18" s="129"/>
      <c r="R18" s="129"/>
      <c r="S18" s="130"/>
      <c r="T18" s="129"/>
      <c r="U18" s="129"/>
      <c r="V18" s="129"/>
    </row>
    <row r="19" spans="1:22" ht="14.25" thickBot="1" x14ac:dyDescent="0.2">
      <c r="B19" s="137"/>
      <c r="F19" s="129"/>
      <c r="G19" s="129"/>
      <c r="H19" s="129"/>
      <c r="I19" s="129"/>
      <c r="J19" s="129"/>
      <c r="K19" s="129"/>
      <c r="L19" s="129"/>
      <c r="M19" s="129"/>
      <c r="N19" s="129"/>
      <c r="O19" s="129"/>
      <c r="P19" s="129"/>
      <c r="Q19" s="129"/>
      <c r="R19" s="129"/>
      <c r="S19" s="130"/>
      <c r="T19" s="129"/>
      <c r="U19" s="129"/>
      <c r="V19" s="129"/>
    </row>
    <row r="20" spans="1:22" ht="14.25" thickBot="1" x14ac:dyDescent="0.2">
      <c r="A20" s="174" t="s">
        <v>2</v>
      </c>
      <c r="B20" s="175"/>
      <c r="C20" s="176"/>
      <c r="F20" s="129"/>
      <c r="G20" s="129"/>
      <c r="H20" s="129"/>
      <c r="I20" s="129"/>
      <c r="J20" s="129"/>
      <c r="K20" s="129"/>
      <c r="L20" s="129"/>
      <c r="M20" s="129"/>
      <c r="N20" s="129"/>
      <c r="O20" s="129"/>
      <c r="P20" s="129"/>
      <c r="Q20" s="129"/>
      <c r="R20" s="129"/>
      <c r="S20" s="130"/>
      <c r="T20" s="129"/>
      <c r="U20" s="129"/>
      <c r="V20" s="129"/>
    </row>
    <row r="21" spans="1:22" x14ac:dyDescent="0.15">
      <c r="A21" s="133" t="s">
        <v>326</v>
      </c>
      <c r="B21" s="154">
        <v>400</v>
      </c>
      <c r="C21" s="134" t="s">
        <v>3</v>
      </c>
      <c r="F21" s="129"/>
      <c r="G21" s="129"/>
      <c r="H21" s="129"/>
      <c r="I21" s="129"/>
      <c r="J21" s="129"/>
      <c r="K21" s="129"/>
      <c r="L21" s="129"/>
      <c r="M21" s="129"/>
      <c r="N21" s="129"/>
      <c r="O21" s="129"/>
      <c r="P21" s="129"/>
      <c r="Q21" s="129"/>
      <c r="R21" s="129"/>
      <c r="S21" s="130"/>
      <c r="T21" s="129"/>
      <c r="U21" s="129"/>
      <c r="V21" s="129"/>
    </row>
    <row r="22" spans="1:22" ht="17.25" thickBot="1" x14ac:dyDescent="0.3">
      <c r="A22" s="135" t="s">
        <v>470</v>
      </c>
      <c r="B22" s="138">
        <f>Calculations!B16</f>
        <v>10</v>
      </c>
      <c r="C22" s="136" t="s">
        <v>16</v>
      </c>
      <c r="F22" s="129"/>
      <c r="G22" s="129"/>
      <c r="H22" s="129"/>
      <c r="I22" s="129"/>
      <c r="J22" s="129"/>
      <c r="K22" s="129"/>
      <c r="L22" s="129"/>
      <c r="M22" s="129"/>
      <c r="N22" s="129"/>
      <c r="O22" s="129"/>
      <c r="P22" s="129"/>
      <c r="Q22" s="129"/>
      <c r="R22" s="129"/>
      <c r="S22" s="130"/>
      <c r="T22" s="129"/>
      <c r="U22" s="129"/>
      <c r="V22" s="129"/>
    </row>
    <row r="23" spans="1:22" ht="14.25" thickBot="1" x14ac:dyDescent="0.2">
      <c r="F23" s="129"/>
      <c r="G23" s="129"/>
      <c r="H23" s="129"/>
      <c r="I23" s="129"/>
      <c r="J23" s="129"/>
      <c r="K23" s="129"/>
      <c r="L23" s="129"/>
      <c r="M23" s="129"/>
      <c r="N23" s="129"/>
      <c r="O23" s="129"/>
      <c r="P23" s="129"/>
      <c r="Q23" s="129"/>
      <c r="R23" s="129"/>
      <c r="S23" s="130"/>
      <c r="T23" s="129"/>
      <c r="U23" s="129"/>
      <c r="V23" s="129"/>
    </row>
    <row r="24" spans="1:22" ht="14.25" thickBot="1" x14ac:dyDescent="0.2">
      <c r="A24" s="174" t="s">
        <v>282</v>
      </c>
      <c r="B24" s="175"/>
      <c r="C24" s="176"/>
      <c r="F24" s="129"/>
      <c r="G24" s="129"/>
      <c r="H24" s="129"/>
      <c r="I24" s="129"/>
      <c r="J24" s="129"/>
      <c r="K24" s="129"/>
      <c r="L24" s="129"/>
      <c r="M24" s="129"/>
      <c r="N24" s="129"/>
      <c r="O24" s="129"/>
      <c r="P24" s="129"/>
      <c r="Q24" s="129"/>
      <c r="R24" s="129"/>
      <c r="S24" s="130"/>
      <c r="T24" s="129"/>
      <c r="U24" s="129"/>
      <c r="V24" s="129"/>
    </row>
    <row r="25" spans="1:22" x14ac:dyDescent="0.15">
      <c r="A25" s="133" t="s">
        <v>27</v>
      </c>
      <c r="B25" s="154">
        <v>2</v>
      </c>
      <c r="C25" s="134"/>
      <c r="F25" s="129"/>
      <c r="G25" s="129"/>
      <c r="H25" s="129"/>
      <c r="I25" s="129"/>
      <c r="J25" s="129"/>
      <c r="K25" s="129"/>
      <c r="L25" s="129"/>
      <c r="M25" s="129"/>
      <c r="N25" s="129"/>
      <c r="O25" s="129"/>
      <c r="P25" s="129"/>
      <c r="Q25" s="129"/>
      <c r="R25" s="129"/>
      <c r="S25" s="130"/>
      <c r="T25" s="129"/>
      <c r="U25" s="129"/>
      <c r="V25" s="129"/>
    </row>
    <row r="26" spans="1:22" x14ac:dyDescent="0.15">
      <c r="A26" s="133" t="s">
        <v>325</v>
      </c>
      <c r="B26" s="154">
        <v>45</v>
      </c>
      <c r="C26" s="134" t="s">
        <v>4</v>
      </c>
      <c r="F26" s="129"/>
      <c r="G26" s="129"/>
      <c r="H26" s="129"/>
      <c r="I26" s="129"/>
      <c r="J26" s="129"/>
      <c r="K26" s="129"/>
      <c r="L26" s="129"/>
      <c r="M26" s="129"/>
      <c r="N26" s="129"/>
      <c r="O26" s="129"/>
      <c r="P26" s="129"/>
      <c r="Q26" s="129"/>
      <c r="R26" s="129"/>
      <c r="S26" s="130"/>
      <c r="T26" s="129"/>
      <c r="U26" s="129"/>
      <c r="V26" s="129"/>
    </row>
    <row r="27" spans="1:22" ht="16.5" x14ac:dyDescent="0.25">
      <c r="A27" s="133" t="s">
        <v>324</v>
      </c>
      <c r="B27" s="139">
        <f>Calculations!B27</f>
        <v>2.2222222222222223</v>
      </c>
      <c r="C27" s="134" t="s">
        <v>7</v>
      </c>
      <c r="F27" s="129"/>
      <c r="G27" s="129"/>
      <c r="H27" s="129"/>
      <c r="I27" s="129"/>
      <c r="J27" s="129"/>
      <c r="K27" s="129"/>
      <c r="L27" s="129"/>
      <c r="M27" s="129"/>
      <c r="N27" s="129"/>
      <c r="O27" s="129"/>
      <c r="P27" s="129"/>
      <c r="Q27" s="129"/>
      <c r="R27" s="129"/>
      <c r="S27" s="130"/>
      <c r="T27" s="129"/>
      <c r="U27" s="129"/>
      <c r="V27" s="129"/>
    </row>
    <row r="28" spans="1:22" ht="16.5" x14ac:dyDescent="0.25">
      <c r="A28" s="133" t="s">
        <v>323</v>
      </c>
      <c r="B28" s="154">
        <v>1</v>
      </c>
      <c r="C28" s="134" t="s">
        <v>7</v>
      </c>
      <c r="F28" s="129"/>
      <c r="G28" s="129"/>
      <c r="H28" s="129"/>
      <c r="I28" s="129"/>
      <c r="J28" s="129"/>
      <c r="K28" s="129"/>
      <c r="L28" s="129"/>
      <c r="M28" s="129"/>
      <c r="N28" s="129"/>
      <c r="O28" s="129"/>
      <c r="P28" s="129"/>
      <c r="Q28" s="129"/>
      <c r="R28" s="129"/>
      <c r="S28" s="130"/>
      <c r="T28" s="129"/>
      <c r="U28" s="129"/>
      <c r="V28" s="129"/>
    </row>
    <row r="29" spans="1:22" x14ac:dyDescent="0.15">
      <c r="A29" s="133" t="s">
        <v>158</v>
      </c>
      <c r="B29" s="128">
        <f>VCS_Max/Rcs</f>
        <v>50</v>
      </c>
      <c r="C29" s="134" t="s">
        <v>4</v>
      </c>
      <c r="F29" s="129"/>
      <c r="G29" s="129"/>
      <c r="H29" s="129"/>
      <c r="I29" s="129"/>
      <c r="J29" s="129"/>
      <c r="K29" s="129"/>
      <c r="L29" s="129"/>
      <c r="M29" s="129"/>
      <c r="N29" s="129"/>
      <c r="O29" s="129"/>
      <c r="P29" s="129"/>
      <c r="Q29" s="129"/>
      <c r="R29" s="129"/>
      <c r="S29" s="130"/>
      <c r="T29" s="129"/>
      <c r="U29" s="129"/>
      <c r="V29" s="129"/>
    </row>
    <row r="30" spans="1:22" ht="14.25" thickBot="1" x14ac:dyDescent="0.2">
      <c r="A30" s="135" t="s">
        <v>322</v>
      </c>
      <c r="B30" s="138">
        <f>Calculations!B31</f>
        <v>100</v>
      </c>
      <c r="C30" s="136" t="s">
        <v>4</v>
      </c>
      <c r="F30" s="129"/>
      <c r="G30" s="129"/>
      <c r="H30" s="129"/>
      <c r="I30" s="129"/>
      <c r="J30" s="129"/>
      <c r="K30" s="129"/>
      <c r="L30" s="129"/>
      <c r="M30" s="129"/>
      <c r="N30" s="129"/>
      <c r="O30" s="129"/>
      <c r="P30" s="129"/>
      <c r="Q30" s="129"/>
      <c r="R30" s="129"/>
      <c r="S30" s="130"/>
      <c r="T30" s="129"/>
      <c r="U30" s="129"/>
      <c r="V30" s="129"/>
    </row>
    <row r="31" spans="1:22" ht="17.25" x14ac:dyDescent="0.2">
      <c r="A31" s="181"/>
      <c r="B31" s="181"/>
      <c r="C31" s="181"/>
      <c r="F31" s="129"/>
      <c r="G31" s="129"/>
      <c r="H31" s="129"/>
      <c r="I31" s="129"/>
      <c r="J31" s="129"/>
      <c r="K31" s="129"/>
      <c r="L31" s="129"/>
      <c r="M31" s="129"/>
      <c r="N31" s="129"/>
      <c r="O31" s="129"/>
      <c r="P31" s="129"/>
      <c r="Q31" s="129"/>
      <c r="R31" s="129"/>
      <c r="S31" s="130"/>
      <c r="T31" s="129"/>
      <c r="U31" s="129"/>
      <c r="V31" s="129"/>
    </row>
    <row r="32" spans="1:22" ht="17.25" x14ac:dyDescent="0.2">
      <c r="A32" s="173" t="s">
        <v>283</v>
      </c>
      <c r="B32" s="173"/>
      <c r="C32" s="173"/>
      <c r="F32" s="129"/>
      <c r="G32" s="129"/>
      <c r="H32" s="129"/>
      <c r="I32" s="129"/>
      <c r="J32" s="129"/>
      <c r="K32" s="129"/>
      <c r="L32" s="129"/>
      <c r="M32" s="129"/>
      <c r="N32" s="129"/>
      <c r="O32" s="129"/>
      <c r="P32" s="129"/>
      <c r="Q32" s="129"/>
      <c r="R32" s="129"/>
      <c r="S32" s="130"/>
      <c r="T32" s="129"/>
      <c r="U32" s="129"/>
      <c r="V32" s="129"/>
    </row>
    <row r="33" spans="1:22" ht="9" customHeight="1" thickBot="1" x14ac:dyDescent="0.25">
      <c r="A33" s="140"/>
      <c r="B33" s="140"/>
      <c r="C33" s="140"/>
      <c r="F33" s="129"/>
      <c r="G33" s="129"/>
      <c r="H33" s="129"/>
      <c r="I33" s="129"/>
      <c r="J33" s="129"/>
      <c r="K33" s="129"/>
      <c r="L33" s="129"/>
      <c r="M33" s="129"/>
      <c r="N33" s="129"/>
      <c r="O33" s="129"/>
      <c r="P33" s="129"/>
      <c r="Q33" s="129"/>
      <c r="R33" s="129"/>
      <c r="S33" s="130"/>
      <c r="T33" s="129"/>
      <c r="U33" s="129"/>
      <c r="V33" s="129"/>
    </row>
    <row r="34" spans="1:22" ht="14.25" thickBot="1" x14ac:dyDescent="0.2">
      <c r="A34" s="174" t="s">
        <v>9</v>
      </c>
      <c r="B34" s="175"/>
      <c r="C34" s="176"/>
      <c r="F34" s="129"/>
      <c r="G34" s="129"/>
      <c r="H34" s="129"/>
      <c r="I34" s="129"/>
      <c r="J34" s="129"/>
      <c r="K34" s="129"/>
      <c r="L34" s="129"/>
      <c r="M34" s="129"/>
      <c r="N34" s="129"/>
      <c r="O34" s="129"/>
      <c r="P34" s="129"/>
      <c r="Q34" s="129"/>
      <c r="R34" s="129"/>
      <c r="S34" s="130"/>
      <c r="T34" s="129"/>
      <c r="U34" s="129"/>
      <c r="V34" s="129"/>
    </row>
    <row r="35" spans="1:22" x14ac:dyDescent="0.15">
      <c r="A35" s="133" t="s">
        <v>471</v>
      </c>
      <c r="B35" s="156">
        <v>30.6</v>
      </c>
      <c r="C35" s="141" t="s">
        <v>26</v>
      </c>
      <c r="F35" s="129"/>
      <c r="G35" s="129"/>
      <c r="H35" s="129"/>
      <c r="I35" s="129"/>
      <c r="J35" s="129"/>
      <c r="K35" s="129"/>
      <c r="L35" s="129"/>
      <c r="M35" s="129"/>
      <c r="N35" s="129"/>
      <c r="O35" s="129"/>
      <c r="P35" s="129"/>
      <c r="Q35" s="129"/>
      <c r="R35" s="129"/>
      <c r="S35" s="130"/>
      <c r="T35" s="129"/>
      <c r="U35" s="129"/>
      <c r="V35" s="129"/>
    </row>
    <row r="36" spans="1:22" x14ac:dyDescent="0.15">
      <c r="A36" s="133" t="s">
        <v>472</v>
      </c>
      <c r="B36" s="139">
        <f>Calculations!B37</f>
        <v>5.5534196249305818</v>
      </c>
      <c r="C36" s="134" t="s">
        <v>6</v>
      </c>
      <c r="F36" s="129"/>
      <c r="G36" s="129"/>
      <c r="H36" s="129"/>
      <c r="I36" s="129"/>
      <c r="J36" s="129"/>
      <c r="K36" s="129"/>
      <c r="L36" s="129"/>
      <c r="M36" s="129"/>
      <c r="N36" s="129"/>
      <c r="O36" s="129"/>
      <c r="P36" s="129"/>
      <c r="Q36" s="129"/>
      <c r="R36" s="129"/>
      <c r="S36" s="130"/>
      <c r="T36" s="129"/>
      <c r="U36" s="129"/>
      <c r="V36" s="129"/>
    </row>
    <row r="37" spans="1:22" ht="16.5" x14ac:dyDescent="0.25">
      <c r="A37" s="133" t="s">
        <v>473</v>
      </c>
      <c r="B37" s="154">
        <v>4.7</v>
      </c>
      <c r="C37" s="134" t="s">
        <v>6</v>
      </c>
      <c r="E37" s="142"/>
      <c r="F37" s="129"/>
      <c r="G37" s="129"/>
      <c r="H37" s="129"/>
      <c r="I37" s="129"/>
      <c r="J37" s="129"/>
      <c r="K37" s="129"/>
      <c r="L37" s="129"/>
      <c r="M37" s="129"/>
      <c r="N37" s="129"/>
      <c r="O37" s="129"/>
      <c r="P37" s="129"/>
      <c r="Q37" s="129"/>
      <c r="R37" s="129"/>
      <c r="S37" s="130"/>
      <c r="T37" s="129"/>
      <c r="U37" s="129"/>
      <c r="V37" s="129"/>
    </row>
    <row r="38" spans="1:22" ht="15" x14ac:dyDescent="0.25">
      <c r="A38" s="133" t="s">
        <v>29</v>
      </c>
      <c r="B38" s="154">
        <v>2.4</v>
      </c>
      <c r="C38" s="134" t="s">
        <v>7</v>
      </c>
      <c r="F38" s="129"/>
      <c r="G38" s="129"/>
      <c r="H38" s="129"/>
      <c r="I38" s="129"/>
      <c r="J38" s="129"/>
      <c r="K38" s="129"/>
      <c r="L38" s="129"/>
      <c r="M38" s="129"/>
      <c r="N38" s="129"/>
      <c r="O38" s="129"/>
      <c r="P38" s="129"/>
      <c r="Q38" s="129"/>
      <c r="R38" s="129"/>
      <c r="S38" s="130"/>
      <c r="T38" s="129"/>
      <c r="U38" s="129"/>
      <c r="V38" s="129"/>
    </row>
    <row r="39" spans="1:22" ht="14.25" thickBot="1" x14ac:dyDescent="0.2">
      <c r="A39" s="135" t="s">
        <v>474</v>
      </c>
      <c r="B39" s="143">
        <f>I_Channel_Peak_No_Ilimit</f>
        <v>26.56758448060075</v>
      </c>
      <c r="C39" s="136" t="s">
        <v>4</v>
      </c>
      <c r="F39" s="129"/>
      <c r="G39" s="129"/>
      <c r="H39" s="129"/>
      <c r="I39" s="129"/>
      <c r="J39" s="129"/>
      <c r="K39" s="129"/>
      <c r="L39" s="129"/>
      <c r="M39" s="129"/>
      <c r="N39" s="129"/>
      <c r="O39" s="129"/>
      <c r="P39" s="129"/>
      <c r="Q39" s="129"/>
      <c r="R39" s="129"/>
      <c r="S39" s="130"/>
      <c r="T39" s="129"/>
      <c r="U39" s="129"/>
      <c r="V39" s="129"/>
    </row>
    <row r="40" spans="1:22" x14ac:dyDescent="0.15">
      <c r="A40" s="133"/>
      <c r="B40" s="144"/>
      <c r="F40" s="129"/>
      <c r="G40" s="129"/>
      <c r="H40" s="129"/>
      <c r="I40" s="129"/>
      <c r="J40" s="129"/>
      <c r="K40" s="129"/>
      <c r="L40" s="129"/>
      <c r="M40" s="129"/>
      <c r="N40" s="129"/>
      <c r="O40" s="129"/>
      <c r="P40" s="129"/>
      <c r="Q40" s="129"/>
      <c r="R40" s="129"/>
      <c r="S40" s="130"/>
      <c r="T40" s="129"/>
      <c r="U40" s="129"/>
      <c r="V40" s="129"/>
    </row>
    <row r="41" spans="1:22" ht="17.25" x14ac:dyDescent="0.2">
      <c r="A41" s="173" t="s">
        <v>286</v>
      </c>
      <c r="B41" s="173"/>
      <c r="C41" s="173"/>
      <c r="F41" s="129"/>
      <c r="G41" s="129"/>
      <c r="H41" s="129"/>
      <c r="I41" s="129"/>
      <c r="J41" s="129"/>
      <c r="K41" s="129"/>
      <c r="L41" s="129"/>
      <c r="M41" s="129"/>
      <c r="N41" s="129"/>
      <c r="O41" s="129"/>
      <c r="P41" s="129"/>
      <c r="Q41" s="129"/>
      <c r="R41" s="129"/>
      <c r="S41" s="130"/>
      <c r="T41" s="129"/>
      <c r="U41" s="129"/>
      <c r="V41" s="129"/>
    </row>
    <row r="42" spans="1:22" ht="7.5" customHeight="1" thickBot="1" x14ac:dyDescent="0.2">
      <c r="A42" s="133"/>
      <c r="B42" s="144"/>
      <c r="F42" s="129"/>
      <c r="G42" s="129"/>
      <c r="H42" s="129"/>
      <c r="I42" s="129"/>
      <c r="J42" s="129"/>
      <c r="K42" s="129"/>
      <c r="L42" s="129"/>
      <c r="M42" s="129"/>
      <c r="N42" s="129"/>
      <c r="O42" s="129"/>
      <c r="P42" s="129"/>
      <c r="Q42" s="129"/>
      <c r="R42" s="129"/>
      <c r="S42" s="130"/>
      <c r="T42" s="129"/>
      <c r="U42" s="129"/>
      <c r="V42" s="129"/>
    </row>
    <row r="43" spans="1:22" ht="14.25" thickBot="1" x14ac:dyDescent="0.2">
      <c r="A43" s="174" t="s">
        <v>287</v>
      </c>
      <c r="B43" s="175"/>
      <c r="C43" s="176"/>
      <c r="F43" s="129"/>
      <c r="G43" s="129"/>
      <c r="H43" s="129"/>
      <c r="I43" s="129"/>
      <c r="J43" s="129"/>
      <c r="K43" s="129"/>
      <c r="L43" s="129"/>
      <c r="M43" s="129"/>
      <c r="N43" s="129"/>
      <c r="O43" s="129"/>
      <c r="P43" s="129"/>
      <c r="Q43" s="129"/>
      <c r="R43" s="129"/>
      <c r="S43" s="130"/>
      <c r="T43" s="129"/>
      <c r="U43" s="129"/>
      <c r="V43" s="129"/>
    </row>
    <row r="44" spans="1:22" x14ac:dyDescent="0.15">
      <c r="A44" s="133" t="s">
        <v>340</v>
      </c>
      <c r="B44" s="156">
        <v>10</v>
      </c>
      <c r="C44" s="141" t="s">
        <v>26</v>
      </c>
      <c r="F44" s="129"/>
      <c r="G44" s="129"/>
      <c r="H44" s="129"/>
      <c r="I44" s="129"/>
      <c r="J44" s="129"/>
      <c r="K44" s="129"/>
      <c r="L44" s="129"/>
      <c r="M44" s="129"/>
      <c r="N44" s="129"/>
      <c r="O44" s="129"/>
      <c r="P44" s="129"/>
      <c r="Q44" s="129"/>
      <c r="R44" s="129"/>
      <c r="S44" s="130"/>
      <c r="T44" s="129"/>
      <c r="U44" s="129"/>
      <c r="V44" s="129"/>
    </row>
    <row r="45" spans="1:22" x14ac:dyDescent="0.15">
      <c r="A45" s="133" t="s">
        <v>344</v>
      </c>
      <c r="B45" s="144">
        <f>I_Channel_Peak_Select</f>
        <v>29.224342928660828</v>
      </c>
      <c r="C45" s="134" t="s">
        <v>4</v>
      </c>
      <c r="F45" s="129"/>
      <c r="G45" s="129"/>
      <c r="H45" s="129"/>
      <c r="I45" s="129"/>
      <c r="J45" s="129"/>
      <c r="K45" s="129"/>
      <c r="L45" s="129"/>
      <c r="M45" s="129"/>
      <c r="N45" s="129"/>
      <c r="O45" s="129"/>
      <c r="P45" s="129"/>
      <c r="Q45" s="129"/>
      <c r="R45" s="129"/>
      <c r="S45" s="130"/>
      <c r="T45" s="129"/>
      <c r="U45" s="129"/>
      <c r="V45" s="129"/>
    </row>
    <row r="46" spans="1:22" ht="16.5" x14ac:dyDescent="0.25">
      <c r="A46" s="133" t="s">
        <v>341</v>
      </c>
      <c r="B46" s="144">
        <f>Calculations!B68</f>
        <v>26.567584480600754</v>
      </c>
      <c r="C46" s="134" t="s">
        <v>16</v>
      </c>
      <c r="F46" s="129"/>
      <c r="G46" s="129"/>
      <c r="H46" s="129"/>
      <c r="I46" s="129"/>
      <c r="J46" s="129"/>
      <c r="K46" s="129"/>
      <c r="L46" s="129"/>
      <c r="M46" s="129"/>
      <c r="N46" s="129"/>
      <c r="O46" s="129"/>
      <c r="P46" s="129"/>
      <c r="Q46" s="129"/>
      <c r="R46" s="129"/>
      <c r="S46" s="130"/>
      <c r="T46" s="129"/>
      <c r="U46" s="129"/>
      <c r="V46" s="129"/>
    </row>
    <row r="47" spans="1:22" ht="16.5" x14ac:dyDescent="0.25">
      <c r="A47" s="133" t="s">
        <v>342</v>
      </c>
      <c r="B47" s="157">
        <v>26</v>
      </c>
      <c r="C47" s="134" t="s">
        <v>16</v>
      </c>
      <c r="F47" s="129"/>
      <c r="G47" s="129"/>
      <c r="H47" s="129"/>
      <c r="I47" s="129"/>
      <c r="J47" s="129"/>
      <c r="K47" s="129"/>
      <c r="L47" s="129"/>
      <c r="M47" s="129"/>
      <c r="N47" s="129"/>
      <c r="O47" s="129"/>
      <c r="P47" s="129"/>
      <c r="Q47" s="129"/>
      <c r="R47" s="129"/>
      <c r="S47" s="130"/>
      <c r="T47" s="129"/>
      <c r="U47" s="129"/>
      <c r="V47" s="129"/>
    </row>
    <row r="48" spans="1:22" ht="14.25" thickBot="1" x14ac:dyDescent="0.2">
      <c r="A48" s="135" t="s">
        <v>343</v>
      </c>
      <c r="B48" s="143">
        <f>Calculations!B70</f>
        <v>28.6</v>
      </c>
      <c r="C48" s="136" t="s">
        <v>4</v>
      </c>
      <c r="F48" s="129"/>
      <c r="G48" s="129"/>
      <c r="H48" s="129"/>
      <c r="I48" s="129"/>
      <c r="J48" s="129"/>
      <c r="K48" s="129"/>
      <c r="L48" s="129"/>
      <c r="M48" s="129"/>
      <c r="N48" s="129"/>
      <c r="O48" s="129"/>
      <c r="P48" s="129"/>
      <c r="Q48" s="129"/>
      <c r="R48" s="129"/>
      <c r="S48" s="130"/>
      <c r="T48" s="129"/>
      <c r="U48" s="129"/>
      <c r="V48" s="129"/>
    </row>
    <row r="49" spans="1:22" x14ac:dyDescent="0.15">
      <c r="B49" s="144"/>
      <c r="F49" s="129"/>
      <c r="G49" s="129"/>
      <c r="H49" s="129"/>
      <c r="I49" s="129"/>
      <c r="J49" s="129"/>
      <c r="K49" s="129"/>
      <c r="L49" s="129"/>
      <c r="M49" s="129"/>
      <c r="N49" s="129"/>
      <c r="O49" s="129"/>
      <c r="P49" s="129"/>
      <c r="Q49" s="129"/>
      <c r="R49" s="129"/>
      <c r="S49" s="130"/>
      <c r="T49" s="129"/>
      <c r="U49" s="129"/>
      <c r="V49" s="129"/>
    </row>
    <row r="50" spans="1:22" ht="17.25" x14ac:dyDescent="0.2">
      <c r="A50" s="173" t="s">
        <v>289</v>
      </c>
      <c r="B50" s="173"/>
      <c r="C50" s="173"/>
      <c r="F50" s="129"/>
      <c r="G50" s="129"/>
      <c r="H50" s="129"/>
      <c r="I50" s="129"/>
      <c r="J50" s="129"/>
      <c r="K50" s="129"/>
      <c r="L50" s="129"/>
      <c r="M50" s="129"/>
      <c r="N50" s="129"/>
      <c r="O50" s="129"/>
      <c r="P50" s="129"/>
      <c r="Q50" s="129"/>
      <c r="R50" s="129"/>
      <c r="S50" s="130"/>
      <c r="T50" s="129"/>
      <c r="U50" s="129"/>
      <c r="V50" s="129"/>
    </row>
    <row r="51" spans="1:22" ht="6.75" customHeight="1" thickBot="1" x14ac:dyDescent="0.2">
      <c r="B51" s="144"/>
      <c r="F51" s="129"/>
      <c r="G51" s="129"/>
      <c r="H51" s="129"/>
      <c r="I51" s="129"/>
      <c r="J51" s="129"/>
      <c r="K51" s="129"/>
      <c r="L51" s="129"/>
      <c r="M51" s="129"/>
      <c r="N51" s="129"/>
      <c r="O51" s="129"/>
      <c r="P51" s="129"/>
      <c r="Q51" s="129"/>
      <c r="R51" s="129"/>
      <c r="S51" s="130"/>
      <c r="T51" s="129"/>
      <c r="U51" s="129"/>
      <c r="V51" s="129"/>
    </row>
    <row r="52" spans="1:22" ht="14.25" thickBot="1" x14ac:dyDescent="0.2">
      <c r="A52" s="174" t="s">
        <v>338</v>
      </c>
      <c r="B52" s="175"/>
      <c r="C52" s="176"/>
      <c r="F52" s="129"/>
      <c r="G52" s="129"/>
      <c r="H52" s="129"/>
      <c r="I52" s="129"/>
      <c r="J52" s="129"/>
      <c r="K52" s="129"/>
      <c r="L52" s="129"/>
      <c r="M52" s="129"/>
      <c r="N52" s="129"/>
      <c r="O52" s="129"/>
      <c r="P52" s="129"/>
      <c r="Q52" s="129"/>
      <c r="R52" s="129"/>
      <c r="S52" s="130"/>
      <c r="T52" s="129"/>
      <c r="U52" s="129"/>
      <c r="V52" s="129"/>
    </row>
    <row r="53" spans="1:22" ht="16.5" x14ac:dyDescent="0.25">
      <c r="A53" s="133" t="s">
        <v>347</v>
      </c>
      <c r="B53" s="154">
        <v>937.6</v>
      </c>
      <c r="C53" s="145" t="s">
        <v>32</v>
      </c>
      <c r="F53" s="129"/>
      <c r="G53" s="129"/>
      <c r="H53" s="129"/>
      <c r="I53" s="129"/>
      <c r="J53" s="129"/>
      <c r="K53" s="129"/>
      <c r="L53" s="129"/>
      <c r="M53" s="129"/>
      <c r="N53" s="129"/>
      <c r="O53" s="129"/>
      <c r="P53" s="129"/>
      <c r="Q53" s="129"/>
      <c r="R53" s="129"/>
      <c r="S53" s="130"/>
      <c r="T53" s="129"/>
      <c r="U53" s="129"/>
      <c r="V53" s="129"/>
    </row>
    <row r="54" spans="1:22" ht="15.75" thickBot="1" x14ac:dyDescent="0.3">
      <c r="A54" s="135" t="s">
        <v>345</v>
      </c>
      <c r="B54" s="155">
        <v>112</v>
      </c>
      <c r="C54" s="136" t="s">
        <v>7</v>
      </c>
      <c r="F54" s="129"/>
      <c r="G54" s="129"/>
      <c r="H54" s="129"/>
      <c r="I54" s="129"/>
      <c r="J54" s="129"/>
      <c r="K54" s="129"/>
      <c r="L54" s="129"/>
      <c r="M54" s="129"/>
      <c r="N54" s="129"/>
      <c r="O54" s="129"/>
      <c r="P54" s="129"/>
      <c r="Q54" s="129"/>
      <c r="R54" s="129"/>
      <c r="S54" s="130"/>
      <c r="T54" s="129"/>
      <c r="U54" s="129"/>
      <c r="V54" s="129"/>
    </row>
    <row r="55" spans="1:22" ht="14.25" thickBot="1" x14ac:dyDescent="0.2">
      <c r="A55" s="174" t="s">
        <v>339</v>
      </c>
      <c r="B55" s="175"/>
      <c r="C55" s="176"/>
      <c r="F55" s="129"/>
      <c r="G55" s="129"/>
      <c r="H55" s="129"/>
      <c r="I55" s="129"/>
      <c r="J55" s="129"/>
      <c r="K55" s="129"/>
      <c r="L55" s="129"/>
      <c r="M55" s="129"/>
      <c r="N55" s="129"/>
      <c r="O55" s="129"/>
      <c r="P55" s="129"/>
      <c r="Q55" s="129"/>
      <c r="R55" s="129"/>
      <c r="S55" s="130"/>
      <c r="T55" s="129"/>
      <c r="U55" s="129"/>
      <c r="V55" s="129"/>
    </row>
    <row r="56" spans="1:22" ht="16.5" x14ac:dyDescent="0.25">
      <c r="A56" s="133" t="s">
        <v>348</v>
      </c>
      <c r="B56" s="154">
        <v>705</v>
      </c>
      <c r="C56" s="145" t="s">
        <v>32</v>
      </c>
      <c r="F56" s="129"/>
      <c r="G56" s="129"/>
      <c r="H56" s="129"/>
      <c r="I56" s="129"/>
      <c r="J56" s="129"/>
      <c r="K56" s="129"/>
      <c r="L56" s="129"/>
      <c r="M56" s="129"/>
      <c r="N56" s="129"/>
      <c r="O56" s="129"/>
      <c r="P56" s="129"/>
      <c r="Q56" s="129"/>
      <c r="R56" s="129"/>
      <c r="S56" s="130"/>
      <c r="T56" s="129"/>
      <c r="U56" s="129"/>
      <c r="V56" s="129"/>
    </row>
    <row r="57" spans="1:22" ht="15.75" thickBot="1" x14ac:dyDescent="0.3">
      <c r="A57" s="135" t="s">
        <v>346</v>
      </c>
      <c r="B57" s="155">
        <v>30</v>
      </c>
      <c r="C57" s="136" t="s">
        <v>7</v>
      </c>
      <c r="F57" s="129"/>
      <c r="G57" s="129"/>
      <c r="H57" s="129"/>
      <c r="I57" s="129"/>
      <c r="J57" s="129"/>
      <c r="K57" s="129"/>
      <c r="L57" s="129"/>
      <c r="M57" s="129"/>
      <c r="N57" s="129"/>
      <c r="O57" s="129"/>
      <c r="P57" s="129"/>
      <c r="Q57" s="129"/>
      <c r="R57" s="129"/>
      <c r="S57" s="130"/>
      <c r="T57" s="129"/>
      <c r="U57" s="129"/>
      <c r="V57" s="129"/>
    </row>
    <row r="58" spans="1:22" x14ac:dyDescent="0.15">
      <c r="F58" s="129"/>
      <c r="G58" s="129"/>
      <c r="H58" s="129"/>
      <c r="I58" s="129"/>
      <c r="J58" s="129"/>
      <c r="K58" s="129"/>
      <c r="L58" s="129"/>
      <c r="M58" s="129"/>
      <c r="N58" s="129"/>
      <c r="O58" s="129"/>
      <c r="P58" s="129"/>
      <c r="Q58" s="129"/>
      <c r="R58" s="129"/>
      <c r="S58" s="130"/>
      <c r="T58" s="129"/>
      <c r="U58" s="129"/>
      <c r="V58" s="129"/>
    </row>
    <row r="59" spans="1:22" ht="17.25" x14ac:dyDescent="0.2">
      <c r="A59" s="173" t="s">
        <v>295</v>
      </c>
      <c r="B59" s="173"/>
      <c r="C59" s="173"/>
      <c r="F59" s="129"/>
      <c r="G59" s="129"/>
      <c r="H59" s="129"/>
      <c r="I59" s="129"/>
      <c r="J59" s="129"/>
      <c r="K59" s="129"/>
      <c r="L59" s="129"/>
      <c r="M59" s="129"/>
      <c r="N59" s="129"/>
      <c r="O59" s="129"/>
      <c r="P59" s="129"/>
      <c r="Q59" s="129"/>
      <c r="R59" s="129"/>
      <c r="S59" s="130"/>
      <c r="T59" s="129"/>
      <c r="U59" s="129"/>
      <c r="V59" s="129"/>
    </row>
    <row r="60" spans="1:22" ht="6" customHeight="1" thickBot="1" x14ac:dyDescent="0.2">
      <c r="F60" s="129"/>
      <c r="G60" s="129"/>
      <c r="H60" s="129"/>
      <c r="I60" s="129"/>
      <c r="J60" s="129"/>
      <c r="K60" s="129"/>
      <c r="L60" s="129"/>
      <c r="M60" s="129"/>
      <c r="N60" s="129"/>
      <c r="O60" s="129"/>
      <c r="P60" s="129"/>
      <c r="Q60" s="129"/>
      <c r="R60" s="129"/>
      <c r="S60" s="130"/>
      <c r="T60" s="129"/>
      <c r="U60" s="129"/>
      <c r="V60" s="129"/>
    </row>
    <row r="61" spans="1:22" ht="14.25" thickBot="1" x14ac:dyDescent="0.2">
      <c r="A61" s="174" t="s">
        <v>296</v>
      </c>
      <c r="B61" s="175"/>
      <c r="C61" s="176"/>
      <c r="F61" s="129"/>
      <c r="G61" s="129"/>
      <c r="H61" s="129"/>
      <c r="I61" s="129"/>
      <c r="J61" s="129"/>
      <c r="K61" s="129"/>
      <c r="L61" s="129"/>
      <c r="M61" s="129"/>
      <c r="N61" s="129"/>
      <c r="O61" s="129"/>
      <c r="P61" s="187" t="s">
        <v>384</v>
      </c>
      <c r="Q61" s="188"/>
      <c r="R61" s="129"/>
      <c r="S61" s="130"/>
      <c r="T61" s="129"/>
      <c r="U61" s="129"/>
      <c r="V61" s="129"/>
    </row>
    <row r="62" spans="1:22" ht="16.5" x14ac:dyDescent="0.25">
      <c r="A62" s="146" t="s">
        <v>349</v>
      </c>
      <c r="B62" s="158">
        <v>1</v>
      </c>
      <c r="C62" s="147" t="s">
        <v>40</v>
      </c>
      <c r="F62" s="129"/>
      <c r="G62" s="129"/>
      <c r="H62" s="129"/>
      <c r="I62" s="129"/>
      <c r="J62" s="129"/>
      <c r="K62" s="129"/>
      <c r="L62" s="129"/>
      <c r="M62" s="129"/>
      <c r="N62" s="129"/>
      <c r="O62" s="129"/>
      <c r="P62" s="129"/>
      <c r="Q62" s="129"/>
      <c r="R62" s="129"/>
      <c r="S62" s="130"/>
      <c r="T62" s="129"/>
      <c r="U62" s="129"/>
      <c r="V62" s="129"/>
    </row>
    <row r="63" spans="1:22" ht="16.5" x14ac:dyDescent="0.25">
      <c r="A63" s="133" t="s">
        <v>350</v>
      </c>
      <c r="B63" s="144">
        <f>Calculations!B76</f>
        <v>23.999999999999996</v>
      </c>
      <c r="C63" s="134" t="s">
        <v>104</v>
      </c>
      <c r="F63" s="129"/>
      <c r="G63" s="129"/>
      <c r="H63" s="129"/>
      <c r="I63" s="129"/>
      <c r="J63" s="129"/>
      <c r="K63" s="129"/>
      <c r="L63" s="129"/>
      <c r="M63" s="129"/>
      <c r="N63" s="129"/>
      <c r="O63" s="129"/>
      <c r="P63" s="129"/>
      <c r="Q63" s="129"/>
      <c r="R63" s="129"/>
      <c r="S63" s="130"/>
      <c r="T63" s="129"/>
      <c r="U63" s="129"/>
      <c r="V63" s="129"/>
    </row>
    <row r="64" spans="1:22" ht="16.5" x14ac:dyDescent="0.25">
      <c r="A64" s="133" t="s">
        <v>351</v>
      </c>
      <c r="B64" s="154">
        <v>24</v>
      </c>
      <c r="C64" s="134" t="s">
        <v>16</v>
      </c>
      <c r="F64" s="129"/>
      <c r="G64" s="129"/>
      <c r="H64" s="129"/>
      <c r="I64" s="129"/>
      <c r="J64" s="129"/>
      <c r="K64" s="129"/>
      <c r="L64" s="129"/>
      <c r="M64" s="129"/>
      <c r="N64" s="129"/>
      <c r="O64" s="129"/>
      <c r="P64" s="129"/>
      <c r="Q64" s="129"/>
      <c r="R64" s="129"/>
      <c r="S64" s="130"/>
      <c r="T64" s="129"/>
      <c r="U64" s="129"/>
      <c r="V64" s="129"/>
    </row>
    <row r="65" spans="1:22" x14ac:dyDescent="0.15">
      <c r="A65" s="133" t="s">
        <v>475</v>
      </c>
      <c r="B65" s="144">
        <f>Calculations!B78</f>
        <v>3.125</v>
      </c>
      <c r="C65" s="134" t="s">
        <v>1</v>
      </c>
      <c r="F65" s="129"/>
      <c r="G65" s="129"/>
      <c r="H65" s="129"/>
      <c r="I65" s="129"/>
      <c r="J65" s="129"/>
      <c r="K65" s="129"/>
      <c r="L65" s="129"/>
      <c r="M65" s="129"/>
      <c r="N65" s="129"/>
      <c r="O65" s="129"/>
      <c r="P65" s="129"/>
      <c r="Q65" s="129"/>
      <c r="R65" s="129"/>
      <c r="S65" s="130"/>
      <c r="T65" s="129"/>
      <c r="U65" s="129"/>
      <c r="V65" s="129"/>
    </row>
    <row r="66" spans="1:22" x14ac:dyDescent="0.15">
      <c r="A66" s="133" t="s">
        <v>476</v>
      </c>
      <c r="B66" s="144">
        <f>Calculations!B79</f>
        <v>5.2083333333333339</v>
      </c>
      <c r="C66" s="134" t="s">
        <v>1</v>
      </c>
      <c r="F66" s="129"/>
      <c r="G66" s="129"/>
      <c r="H66" s="129"/>
      <c r="I66" s="129"/>
      <c r="J66" s="129"/>
      <c r="K66" s="129"/>
      <c r="L66" s="129"/>
      <c r="M66" s="129"/>
      <c r="N66" s="129"/>
      <c r="O66" s="129"/>
      <c r="P66" s="129"/>
      <c r="Q66" s="129"/>
      <c r="R66" s="129"/>
      <c r="S66" s="130"/>
      <c r="T66" s="129"/>
      <c r="U66" s="129"/>
      <c r="V66" s="129"/>
    </row>
    <row r="67" spans="1:22" ht="14.25" thickBot="1" x14ac:dyDescent="0.2">
      <c r="A67" s="135" t="s">
        <v>477</v>
      </c>
      <c r="B67" s="143">
        <f>Calculations!B80</f>
        <v>8.8541666666666679</v>
      </c>
      <c r="C67" s="136" t="s">
        <v>1</v>
      </c>
      <c r="F67" s="129"/>
      <c r="G67" s="129"/>
      <c r="H67" s="129"/>
      <c r="I67" s="129"/>
      <c r="J67" s="129"/>
      <c r="K67" s="129"/>
      <c r="L67" s="129"/>
      <c r="M67" s="129"/>
      <c r="N67" s="129"/>
      <c r="O67" s="129"/>
      <c r="P67" s="129"/>
      <c r="Q67" s="129"/>
      <c r="R67" s="129"/>
      <c r="S67" s="130"/>
      <c r="T67" s="129"/>
      <c r="U67" s="129"/>
      <c r="V67" s="129"/>
    </row>
    <row r="68" spans="1:22" x14ac:dyDescent="0.15">
      <c r="F68" s="129"/>
      <c r="G68" s="129"/>
      <c r="H68" s="129"/>
      <c r="I68" s="129"/>
      <c r="J68" s="129"/>
      <c r="K68" s="129"/>
      <c r="L68" s="129"/>
      <c r="M68" s="129"/>
      <c r="N68" s="129"/>
      <c r="O68" s="129"/>
      <c r="P68" s="129"/>
      <c r="Q68" s="129"/>
      <c r="R68" s="129"/>
      <c r="S68" s="130"/>
      <c r="T68" s="129"/>
      <c r="U68" s="129"/>
      <c r="V68" s="129"/>
    </row>
    <row r="69" spans="1:22" ht="17.25" x14ac:dyDescent="0.2">
      <c r="A69" s="173" t="s">
        <v>297</v>
      </c>
      <c r="B69" s="173"/>
      <c r="C69" s="173"/>
      <c r="F69" s="129"/>
      <c r="G69" s="129"/>
      <c r="H69" s="129"/>
      <c r="I69" s="129"/>
      <c r="J69" s="129"/>
      <c r="K69" s="129"/>
      <c r="L69" s="129"/>
      <c r="M69" s="129"/>
      <c r="N69" s="129"/>
      <c r="O69" s="129"/>
      <c r="P69" s="129"/>
      <c r="Q69" s="129"/>
      <c r="R69" s="129"/>
      <c r="S69" s="130"/>
      <c r="T69" s="129"/>
      <c r="U69" s="129"/>
      <c r="V69" s="129"/>
    </row>
    <row r="70" spans="1:22" ht="6" customHeight="1" thickBot="1" x14ac:dyDescent="0.2">
      <c r="F70" s="129"/>
      <c r="G70" s="129"/>
      <c r="H70" s="129"/>
      <c r="I70" s="129"/>
      <c r="J70" s="129"/>
      <c r="K70" s="129"/>
      <c r="L70" s="129"/>
      <c r="M70" s="129"/>
      <c r="N70" s="129"/>
      <c r="O70" s="129"/>
      <c r="P70" s="129"/>
      <c r="Q70" s="129"/>
      <c r="R70" s="129"/>
      <c r="S70" s="130"/>
      <c r="T70" s="129"/>
      <c r="U70" s="129"/>
      <c r="V70" s="129"/>
    </row>
    <row r="71" spans="1:22" ht="14.25" thickBot="1" x14ac:dyDescent="0.2">
      <c r="A71" s="174" t="s">
        <v>112</v>
      </c>
      <c r="B71" s="175"/>
      <c r="C71" s="176"/>
      <c r="F71" s="129"/>
      <c r="G71" s="129"/>
      <c r="H71" s="129"/>
      <c r="I71" s="129"/>
      <c r="J71" s="129"/>
      <c r="K71" s="129"/>
      <c r="L71" s="129"/>
      <c r="M71" s="129"/>
      <c r="N71" s="129"/>
      <c r="O71" s="129"/>
      <c r="P71" s="129"/>
      <c r="Q71" s="129"/>
      <c r="R71" s="129"/>
      <c r="S71" s="130"/>
      <c r="T71" s="129"/>
      <c r="U71" s="129"/>
      <c r="V71" s="129"/>
    </row>
    <row r="72" spans="1:22" ht="14.25" thickBot="1" x14ac:dyDescent="0.2">
      <c r="A72" s="133" t="s">
        <v>352</v>
      </c>
      <c r="B72" s="154">
        <v>2</v>
      </c>
      <c r="C72" s="134" t="s">
        <v>114</v>
      </c>
      <c r="F72" s="129"/>
      <c r="G72" s="129"/>
      <c r="H72" s="129"/>
      <c r="I72" s="129"/>
      <c r="J72" s="129"/>
      <c r="K72" s="129"/>
      <c r="L72" s="129"/>
      <c r="M72" s="129"/>
      <c r="N72" s="129"/>
      <c r="O72" s="129"/>
      <c r="P72" s="129"/>
      <c r="Q72" s="129"/>
      <c r="R72" s="129"/>
      <c r="S72" s="130"/>
      <c r="T72" s="129"/>
      <c r="U72" s="129"/>
      <c r="V72" s="129"/>
    </row>
    <row r="73" spans="1:22" ht="17.25" thickBot="1" x14ac:dyDescent="0.3">
      <c r="A73" s="133" t="s">
        <v>353</v>
      </c>
      <c r="B73" s="128">
        <f>Calculations!B84</f>
        <v>0.01</v>
      </c>
      <c r="C73" s="134" t="s">
        <v>32</v>
      </c>
      <c r="P73" s="187" t="s">
        <v>384</v>
      </c>
      <c r="Q73" s="188"/>
    </row>
    <row r="74" spans="1:22" ht="16.5" x14ac:dyDescent="0.25">
      <c r="A74" s="133" t="s">
        <v>354</v>
      </c>
      <c r="B74" s="154">
        <v>0.01</v>
      </c>
      <c r="C74" s="134" t="s">
        <v>32</v>
      </c>
    </row>
    <row r="75" spans="1:22" ht="14.25" thickBot="1" x14ac:dyDescent="0.2">
      <c r="A75" s="135" t="s">
        <v>182</v>
      </c>
      <c r="B75" s="138">
        <f>Calculations!B86</f>
        <v>2</v>
      </c>
      <c r="C75" s="136" t="s">
        <v>114</v>
      </c>
    </row>
    <row r="77" spans="1:22" ht="17.25" x14ac:dyDescent="0.2">
      <c r="A77" s="173" t="s">
        <v>300</v>
      </c>
      <c r="B77" s="173"/>
      <c r="C77" s="173"/>
    </row>
    <row r="78" spans="1:22" ht="7.5" customHeight="1" thickBot="1" x14ac:dyDescent="0.2"/>
    <row r="79" spans="1:22" ht="14.25" thickBot="1" x14ac:dyDescent="0.2">
      <c r="A79" s="174" t="s">
        <v>298</v>
      </c>
      <c r="B79" s="175"/>
      <c r="C79" s="176"/>
    </row>
    <row r="80" spans="1:22" x14ac:dyDescent="0.15">
      <c r="A80" s="133" t="s">
        <v>337</v>
      </c>
      <c r="B80" s="154">
        <v>60</v>
      </c>
      <c r="C80" s="134" t="s">
        <v>1</v>
      </c>
    </row>
    <row r="81" spans="1:19" ht="16.5" x14ac:dyDescent="0.25">
      <c r="A81" s="133" t="s">
        <v>355</v>
      </c>
      <c r="B81" s="144">
        <f>Calculations!B90</f>
        <v>59.443764345830147</v>
      </c>
      <c r="C81" s="134" t="s">
        <v>104</v>
      </c>
    </row>
    <row r="82" spans="1:19" ht="16.5" x14ac:dyDescent="0.25">
      <c r="A82" s="133" t="s">
        <v>356</v>
      </c>
      <c r="B82" s="154">
        <v>60</v>
      </c>
      <c r="C82" s="134" t="s">
        <v>104</v>
      </c>
    </row>
    <row r="83" spans="1:19" ht="14.25" thickBot="1" x14ac:dyDescent="0.2">
      <c r="A83" s="135" t="s">
        <v>336</v>
      </c>
      <c r="B83" s="143">
        <f>Calculations!B92</f>
        <v>59.44426229508197</v>
      </c>
      <c r="C83" s="136" t="s">
        <v>1</v>
      </c>
    </row>
    <row r="84" spans="1:19" ht="14.25" thickBot="1" x14ac:dyDescent="0.2">
      <c r="A84" s="174" t="s">
        <v>299</v>
      </c>
      <c r="B84" s="175"/>
      <c r="C84" s="176"/>
    </row>
    <row r="85" spans="1:19" x14ac:dyDescent="0.15">
      <c r="A85" s="133" t="s">
        <v>335</v>
      </c>
      <c r="B85" s="154">
        <v>28</v>
      </c>
      <c r="C85" s="134" t="s">
        <v>1</v>
      </c>
    </row>
    <row r="86" spans="1:19" ht="16.5" x14ac:dyDescent="0.25">
      <c r="A86" s="133" t="s">
        <v>357</v>
      </c>
      <c r="B86" s="144">
        <f>Calculations!B94</f>
        <v>43.191683759090061</v>
      </c>
      <c r="C86" s="134" t="s">
        <v>104</v>
      </c>
    </row>
    <row r="87" spans="1:19" ht="16.5" x14ac:dyDescent="0.25">
      <c r="A87" s="133" t="s">
        <v>358</v>
      </c>
      <c r="B87" s="154">
        <v>43</v>
      </c>
      <c r="C87" s="134" t="s">
        <v>104</v>
      </c>
    </row>
    <row r="88" spans="1:19" ht="14.25" thickBot="1" x14ac:dyDescent="0.2">
      <c r="A88" s="135" t="s">
        <v>334</v>
      </c>
      <c r="B88" s="143">
        <f>Calculations!B96</f>
        <v>28.743139534883721</v>
      </c>
      <c r="C88" s="136" t="s">
        <v>1</v>
      </c>
    </row>
    <row r="90" spans="1:19" ht="17.25" x14ac:dyDescent="0.2">
      <c r="A90" s="173" t="s">
        <v>463</v>
      </c>
      <c r="B90" s="173"/>
      <c r="C90" s="173"/>
    </row>
    <row r="91" spans="1:19" ht="6" customHeight="1" thickBot="1" x14ac:dyDescent="0.2">
      <c r="E91" s="129"/>
      <c r="F91" s="129"/>
      <c r="G91" s="129"/>
      <c r="H91" s="129"/>
      <c r="I91" s="129"/>
      <c r="J91" s="129"/>
      <c r="K91" s="129"/>
      <c r="L91" s="129"/>
      <c r="M91" s="129"/>
      <c r="N91" s="129"/>
      <c r="O91" s="129"/>
      <c r="P91" s="129"/>
      <c r="Q91" s="129"/>
      <c r="R91" s="129"/>
      <c r="S91" s="130"/>
    </row>
    <row r="92" spans="1:19" ht="14.25" thickBot="1" x14ac:dyDescent="0.2">
      <c r="A92" s="174" t="s">
        <v>113</v>
      </c>
      <c r="B92" s="175"/>
      <c r="C92" s="176"/>
      <c r="E92" s="129"/>
      <c r="F92" s="129"/>
      <c r="G92" s="129"/>
      <c r="H92" s="129"/>
      <c r="I92" s="129"/>
      <c r="J92" s="129"/>
      <c r="K92" s="129"/>
      <c r="L92" s="129"/>
      <c r="M92" s="129"/>
      <c r="N92" s="129"/>
      <c r="O92" s="129"/>
      <c r="P92" s="129"/>
      <c r="Q92" s="129"/>
      <c r="R92" s="129"/>
      <c r="S92" s="130"/>
    </row>
    <row r="93" spans="1:19" x14ac:dyDescent="0.15">
      <c r="A93" s="133" t="s">
        <v>117</v>
      </c>
      <c r="B93" s="182" t="s">
        <v>172</v>
      </c>
      <c r="C93" s="183"/>
      <c r="E93" s="129"/>
      <c r="F93" s="185" t="s">
        <v>309</v>
      </c>
      <c r="G93" s="185"/>
      <c r="H93" s="185"/>
      <c r="I93" s="129"/>
      <c r="J93" s="129"/>
      <c r="K93" s="185" t="s">
        <v>307</v>
      </c>
      <c r="L93" s="185"/>
      <c r="M93" s="185"/>
      <c r="N93" s="129"/>
      <c r="O93" s="129"/>
      <c r="P93" s="129"/>
      <c r="Q93" s="185" t="s">
        <v>308</v>
      </c>
      <c r="R93" s="185"/>
      <c r="S93" s="130"/>
    </row>
    <row r="94" spans="1:19" x14ac:dyDescent="0.15">
      <c r="A94" s="133" t="s">
        <v>318</v>
      </c>
      <c r="B94" s="154">
        <v>24</v>
      </c>
      <c r="C94" s="134" t="s">
        <v>1</v>
      </c>
      <c r="E94" s="129"/>
      <c r="F94" s="129"/>
      <c r="G94" s="129"/>
      <c r="H94" s="129"/>
      <c r="I94" s="129"/>
      <c r="J94" s="129"/>
      <c r="K94" s="129"/>
      <c r="L94" s="129"/>
      <c r="M94" s="129"/>
      <c r="N94" s="129"/>
      <c r="O94" s="129"/>
      <c r="P94" s="129"/>
      <c r="Q94" s="129"/>
      <c r="R94" s="129"/>
      <c r="S94" s="130"/>
    </row>
    <row r="95" spans="1:19" ht="16.5" x14ac:dyDescent="0.25">
      <c r="A95" s="133" t="s">
        <v>310</v>
      </c>
      <c r="B95" s="154">
        <v>10</v>
      </c>
      <c r="C95" s="134" t="s">
        <v>104</v>
      </c>
      <c r="E95" s="129"/>
      <c r="F95" s="129"/>
      <c r="G95" s="129"/>
      <c r="H95" s="129"/>
      <c r="I95" s="129"/>
      <c r="J95" s="129"/>
      <c r="K95" s="129"/>
      <c r="L95" s="129"/>
      <c r="M95" s="129"/>
      <c r="N95" s="129"/>
      <c r="O95" s="129"/>
      <c r="P95" s="129"/>
      <c r="Q95" s="129"/>
      <c r="R95" s="129"/>
      <c r="S95" s="130"/>
    </row>
    <row r="96" spans="1:19" ht="16.5" x14ac:dyDescent="0.25">
      <c r="A96" s="133" t="s">
        <v>464</v>
      </c>
      <c r="B96" s="149">
        <f>Calculations!B102</f>
        <v>86</v>
      </c>
      <c r="C96" s="134" t="s">
        <v>104</v>
      </c>
      <c r="E96" s="129"/>
      <c r="F96" s="129"/>
      <c r="G96" s="129"/>
      <c r="H96" s="129"/>
      <c r="I96" s="129"/>
      <c r="J96" s="129"/>
      <c r="K96" s="129"/>
      <c r="L96" s="129"/>
      <c r="M96" s="129"/>
      <c r="N96" s="129"/>
      <c r="O96" s="129"/>
      <c r="P96" s="129"/>
      <c r="Q96" s="129"/>
      <c r="R96" s="129"/>
      <c r="S96" s="130"/>
    </row>
    <row r="97" spans="1:21" ht="16.5" x14ac:dyDescent="0.25">
      <c r="A97" s="133" t="s">
        <v>311</v>
      </c>
      <c r="B97" s="154">
        <v>86.6</v>
      </c>
      <c r="C97" s="134" t="s">
        <v>104</v>
      </c>
      <c r="E97" s="129"/>
      <c r="F97" s="129"/>
      <c r="G97" s="129"/>
      <c r="H97" s="129"/>
      <c r="I97" s="129"/>
      <c r="J97" s="129"/>
      <c r="K97" s="129"/>
      <c r="L97" s="129"/>
      <c r="M97" s="129"/>
      <c r="N97" s="129"/>
      <c r="O97" s="129"/>
      <c r="P97" s="129"/>
      <c r="Q97" s="129"/>
      <c r="R97" s="129"/>
      <c r="S97" s="130"/>
    </row>
    <row r="98" spans="1:21" x14ac:dyDescent="0.15">
      <c r="A98" s="133" t="s">
        <v>316</v>
      </c>
      <c r="B98" s="182" t="s">
        <v>222</v>
      </c>
      <c r="C98" s="183"/>
      <c r="E98" s="129"/>
      <c r="F98" s="129"/>
      <c r="G98" s="129"/>
      <c r="H98" s="129"/>
      <c r="I98" s="129"/>
      <c r="J98" s="129"/>
      <c r="K98" s="129"/>
      <c r="L98" s="129"/>
      <c r="M98" s="129"/>
      <c r="N98" s="129"/>
      <c r="O98" s="129"/>
      <c r="P98" s="129"/>
      <c r="Q98" s="129"/>
      <c r="R98" s="129"/>
      <c r="S98" s="130"/>
      <c r="T98" s="150"/>
      <c r="U98" s="150"/>
    </row>
    <row r="99" spans="1:21" x14ac:dyDescent="0.15">
      <c r="A99" s="133" t="s">
        <v>241</v>
      </c>
      <c r="B99" s="154">
        <v>2.4</v>
      </c>
      <c r="C99" s="134" t="s">
        <v>1</v>
      </c>
      <c r="E99" s="129"/>
      <c r="F99" s="129"/>
      <c r="G99" s="129"/>
      <c r="H99" s="129"/>
      <c r="I99" s="129"/>
      <c r="J99" s="129"/>
      <c r="K99" s="129"/>
      <c r="L99" s="129"/>
      <c r="M99" s="129"/>
      <c r="N99" s="129"/>
      <c r="O99" s="129"/>
      <c r="P99" s="129"/>
      <c r="Q99" s="129"/>
      <c r="R99" s="129"/>
      <c r="S99" s="130"/>
    </row>
    <row r="100" spans="1:21" ht="16.5" x14ac:dyDescent="0.25">
      <c r="A100" s="133" t="s">
        <v>313</v>
      </c>
      <c r="B100" s="139">
        <f>Calculations!B106</f>
        <v>0.97308488612836441</v>
      </c>
      <c r="C100" s="134" t="s">
        <v>104</v>
      </c>
      <c r="E100" s="129"/>
      <c r="F100" s="129"/>
      <c r="G100" s="129"/>
      <c r="H100" s="129"/>
      <c r="I100" s="129"/>
      <c r="J100" s="129"/>
      <c r="K100" s="129"/>
      <c r="L100" s="129"/>
      <c r="M100" s="129"/>
      <c r="N100" s="129"/>
      <c r="O100" s="129"/>
      <c r="P100" s="129"/>
      <c r="Q100" s="129"/>
      <c r="R100" s="129"/>
      <c r="S100" s="130"/>
    </row>
    <row r="101" spans="1:21" ht="16.5" x14ac:dyDescent="0.25">
      <c r="A101" s="133" t="s">
        <v>314</v>
      </c>
      <c r="B101" s="154">
        <v>0.97299999999999998</v>
      </c>
      <c r="C101" s="134" t="s">
        <v>104</v>
      </c>
      <c r="E101" s="129"/>
      <c r="F101" s="129"/>
      <c r="G101" s="129"/>
      <c r="H101" s="129"/>
      <c r="I101" s="129"/>
      <c r="J101" s="129"/>
      <c r="K101" s="129"/>
      <c r="L101" s="129"/>
      <c r="M101" s="129"/>
      <c r="N101" s="129"/>
      <c r="O101" s="129"/>
      <c r="P101" s="129"/>
      <c r="Q101" s="129"/>
      <c r="R101" s="129"/>
      <c r="S101" s="130"/>
    </row>
    <row r="102" spans="1:21" x14ac:dyDescent="0.15">
      <c r="A102" s="133" t="s">
        <v>315</v>
      </c>
      <c r="B102" s="144">
        <f>Calculations!B108</f>
        <v>2.165</v>
      </c>
      <c r="C102" s="134" t="s">
        <v>1</v>
      </c>
      <c r="E102" s="129"/>
      <c r="F102" s="129"/>
      <c r="G102" s="129"/>
      <c r="H102" s="129"/>
      <c r="I102" s="129"/>
      <c r="J102" s="129"/>
      <c r="K102" s="129"/>
      <c r="L102" s="129"/>
      <c r="M102" s="129"/>
      <c r="N102" s="129"/>
      <c r="O102" s="129"/>
      <c r="P102" s="129"/>
      <c r="Q102" s="129"/>
      <c r="R102" s="129"/>
      <c r="S102" s="130"/>
    </row>
    <row r="103" spans="1:21" x14ac:dyDescent="0.15">
      <c r="A103" s="133" t="s">
        <v>317</v>
      </c>
      <c r="B103" s="149">
        <f>Calculations!B109</f>
        <v>24.15</v>
      </c>
      <c r="C103" s="134" t="s">
        <v>1</v>
      </c>
      <c r="E103" s="129"/>
      <c r="F103" s="129"/>
      <c r="G103" s="129"/>
      <c r="H103" s="129"/>
      <c r="I103" s="129"/>
      <c r="J103" s="129"/>
      <c r="K103" s="129"/>
      <c r="L103" s="151"/>
      <c r="M103" s="129"/>
      <c r="N103" s="129"/>
      <c r="O103" s="129"/>
      <c r="P103" s="129"/>
      <c r="Q103" s="129"/>
      <c r="R103" s="129"/>
      <c r="S103" s="130"/>
    </row>
    <row r="104" spans="1:21" x14ac:dyDescent="0.15">
      <c r="A104" s="133" t="s">
        <v>319</v>
      </c>
      <c r="B104" s="149">
        <f>Calculations!B110</f>
        <v>21.984999999999999</v>
      </c>
      <c r="C104" s="134" t="s">
        <v>1</v>
      </c>
      <c r="E104" s="129"/>
      <c r="F104" s="129"/>
      <c r="G104" s="129"/>
      <c r="H104" s="129"/>
      <c r="I104" s="129"/>
      <c r="J104" s="129"/>
      <c r="K104" s="129"/>
      <c r="L104" s="151"/>
      <c r="M104" s="129"/>
      <c r="N104" s="129"/>
      <c r="O104" s="129"/>
      <c r="P104" s="129"/>
      <c r="Q104" s="129"/>
      <c r="R104" s="129"/>
      <c r="S104" s="130"/>
    </row>
    <row r="105" spans="1:21" ht="14.25" thickBot="1" x14ac:dyDescent="0.2">
      <c r="A105" s="135" t="s">
        <v>178</v>
      </c>
      <c r="B105" s="152">
        <f>Calculations!B111</f>
        <v>12.074999999999999</v>
      </c>
      <c r="C105" s="136" t="s">
        <v>1</v>
      </c>
      <c r="E105" s="129"/>
      <c r="F105" s="129"/>
      <c r="G105" s="129"/>
      <c r="H105" s="129"/>
      <c r="I105" s="129"/>
      <c r="J105" s="129"/>
      <c r="K105" s="129"/>
      <c r="L105" s="151"/>
      <c r="M105" s="129"/>
      <c r="N105" s="129"/>
      <c r="O105" s="129"/>
      <c r="P105" s="129"/>
      <c r="Q105" s="129"/>
      <c r="R105" s="129"/>
      <c r="S105" s="130"/>
    </row>
    <row r="106" spans="1:21" x14ac:dyDescent="0.15">
      <c r="E106" s="129"/>
      <c r="F106" s="151"/>
      <c r="G106" s="151"/>
      <c r="H106" s="151"/>
      <c r="I106" s="151"/>
      <c r="J106" s="151"/>
      <c r="K106" s="151"/>
      <c r="L106" s="151"/>
      <c r="M106" s="129"/>
      <c r="N106" s="129"/>
      <c r="O106" s="129"/>
      <c r="P106" s="129"/>
      <c r="Q106" s="129"/>
      <c r="R106" s="129"/>
      <c r="S106" s="130"/>
    </row>
    <row r="107" spans="1:21" ht="17.25" x14ac:dyDescent="0.2">
      <c r="A107" s="173" t="s">
        <v>301</v>
      </c>
      <c r="B107" s="173"/>
      <c r="C107" s="173"/>
      <c r="E107" s="129"/>
      <c r="F107" s="151"/>
      <c r="G107" s="151"/>
      <c r="H107" s="151"/>
      <c r="I107" s="151"/>
      <c r="J107" s="151"/>
      <c r="K107" s="151"/>
      <c r="L107" s="151"/>
      <c r="M107" s="129"/>
      <c r="N107" s="129"/>
      <c r="O107" s="129"/>
      <c r="P107" s="129"/>
      <c r="Q107" s="129"/>
      <c r="R107" s="129"/>
      <c r="S107" s="130"/>
    </row>
    <row r="108" spans="1:21" ht="8.25" customHeight="1" thickBot="1" x14ac:dyDescent="0.2">
      <c r="E108" s="129"/>
      <c r="F108" s="151"/>
      <c r="G108" s="151"/>
      <c r="H108" s="151"/>
      <c r="I108" s="151"/>
      <c r="J108" s="151"/>
      <c r="K108" s="151"/>
      <c r="L108" s="151"/>
      <c r="M108" s="129"/>
      <c r="N108" s="129"/>
      <c r="O108" s="129"/>
      <c r="P108" s="129"/>
      <c r="Q108" s="129"/>
      <c r="R108" s="129"/>
      <c r="S108" s="130"/>
    </row>
    <row r="109" spans="1:21" ht="14.25" thickBot="1" x14ac:dyDescent="0.2">
      <c r="A109" s="174" t="s">
        <v>302</v>
      </c>
      <c r="B109" s="175"/>
      <c r="C109" s="176"/>
      <c r="E109" s="129"/>
      <c r="F109" s="129"/>
      <c r="G109" s="129"/>
      <c r="H109" s="129"/>
      <c r="I109" s="129"/>
      <c r="J109" s="129"/>
      <c r="K109" s="129"/>
      <c r="L109" s="129"/>
      <c r="M109" s="129"/>
      <c r="N109" s="129"/>
      <c r="O109" s="129"/>
      <c r="P109" s="129"/>
      <c r="Q109" s="129"/>
      <c r="R109" s="129"/>
      <c r="S109" s="130"/>
    </row>
    <row r="110" spans="1:21" ht="16.5" x14ac:dyDescent="0.25">
      <c r="A110" s="133" t="s">
        <v>478</v>
      </c>
      <c r="B110" s="154">
        <v>3.3</v>
      </c>
      <c r="C110" s="134" t="s">
        <v>1</v>
      </c>
      <c r="E110" s="129"/>
      <c r="F110" s="129"/>
      <c r="G110" s="129"/>
      <c r="H110" s="129"/>
      <c r="I110" s="129"/>
      <c r="J110" s="129"/>
      <c r="K110" s="129"/>
      <c r="L110" s="129"/>
      <c r="M110" s="129"/>
      <c r="N110" s="129"/>
      <c r="O110" s="129"/>
      <c r="P110" s="129"/>
      <c r="Q110" s="129"/>
      <c r="R110" s="129"/>
      <c r="S110" s="130"/>
    </row>
    <row r="111" spans="1:21" ht="16.5" x14ac:dyDescent="0.25">
      <c r="A111" s="133" t="s">
        <v>465</v>
      </c>
      <c r="B111" s="144">
        <f>Calculations!B116</f>
        <v>11.999999999999998</v>
      </c>
      <c r="C111" s="134" t="s">
        <v>104</v>
      </c>
      <c r="E111" s="129"/>
      <c r="F111" s="129"/>
      <c r="G111" s="129"/>
      <c r="H111" s="129"/>
      <c r="I111" s="129"/>
      <c r="J111" s="129"/>
      <c r="K111" s="129"/>
      <c r="L111" s="129"/>
      <c r="M111" s="129"/>
      <c r="N111" s="129"/>
      <c r="O111" s="129"/>
      <c r="P111" s="129"/>
      <c r="Q111" s="129"/>
      <c r="R111" s="129"/>
      <c r="S111" s="130"/>
    </row>
    <row r="112" spans="1:21" ht="16.5" x14ac:dyDescent="0.25">
      <c r="A112" s="133" t="s">
        <v>364</v>
      </c>
      <c r="B112" s="154">
        <v>12</v>
      </c>
      <c r="C112" s="134" t="s">
        <v>104</v>
      </c>
      <c r="E112" s="129"/>
      <c r="F112" s="129"/>
      <c r="G112" s="129"/>
      <c r="H112" s="129"/>
      <c r="I112" s="129"/>
      <c r="J112" s="129"/>
      <c r="K112" s="129"/>
      <c r="L112" s="129"/>
      <c r="M112" s="129"/>
      <c r="N112" s="129"/>
      <c r="O112" s="129"/>
      <c r="P112" s="129"/>
      <c r="Q112" s="129"/>
      <c r="R112" s="129"/>
      <c r="S112" s="130"/>
    </row>
    <row r="113" spans="1:19" ht="16.5" x14ac:dyDescent="0.25">
      <c r="A113" s="133" t="s">
        <v>480</v>
      </c>
      <c r="B113" s="139">
        <f>Calculations!B118</f>
        <v>3.3</v>
      </c>
      <c r="C113" s="134" t="s">
        <v>1</v>
      </c>
      <c r="E113" s="129"/>
      <c r="F113" s="129"/>
      <c r="G113" s="129"/>
      <c r="H113" s="129"/>
      <c r="I113" s="129"/>
      <c r="J113" s="129"/>
      <c r="K113" s="129"/>
      <c r="L113" s="129"/>
      <c r="M113" s="129"/>
      <c r="N113" s="129"/>
      <c r="O113" s="129"/>
      <c r="P113" s="129"/>
      <c r="Q113" s="129"/>
      <c r="R113" s="129"/>
      <c r="S113" s="130"/>
    </row>
    <row r="114" spans="1:19" ht="16.5" x14ac:dyDescent="0.25">
      <c r="A114" s="133" t="s">
        <v>479</v>
      </c>
      <c r="B114" s="139">
        <f>Calculations!B119</f>
        <v>0.3</v>
      </c>
      <c r="C114" s="134" t="s">
        <v>1</v>
      </c>
      <c r="E114" s="129"/>
      <c r="F114" s="129"/>
      <c r="G114" s="129"/>
      <c r="H114" s="129"/>
      <c r="I114" s="129"/>
      <c r="J114" s="129"/>
      <c r="K114" s="129"/>
      <c r="L114" s="129"/>
      <c r="M114" s="129"/>
      <c r="N114" s="129"/>
      <c r="O114" s="129"/>
      <c r="P114" s="129"/>
      <c r="Q114" s="129"/>
      <c r="R114" s="129"/>
      <c r="S114" s="130"/>
    </row>
    <row r="115" spans="1:19" ht="16.5" x14ac:dyDescent="0.25">
      <c r="A115" s="133" t="s">
        <v>365</v>
      </c>
      <c r="B115" s="144">
        <f>Calculations!B120</f>
        <v>8.3333333333333321</v>
      </c>
      <c r="C115" s="134" t="s">
        <v>40</v>
      </c>
      <c r="E115" s="129"/>
      <c r="F115" s="129"/>
      <c r="G115" s="129"/>
      <c r="H115" s="129"/>
      <c r="I115" s="129"/>
      <c r="J115" s="129"/>
      <c r="K115" s="129"/>
      <c r="L115" s="129"/>
      <c r="M115" s="129"/>
      <c r="N115" s="129"/>
      <c r="O115" s="129"/>
      <c r="P115" s="129"/>
      <c r="Q115" s="129"/>
      <c r="R115" s="129"/>
      <c r="S115" s="130"/>
    </row>
    <row r="116" spans="1:19" ht="16.5" x14ac:dyDescent="0.25">
      <c r="A116" s="133" t="s">
        <v>366</v>
      </c>
      <c r="B116" s="154">
        <v>8.1999999999999993</v>
      </c>
      <c r="C116" s="134" t="s">
        <v>40</v>
      </c>
      <c r="E116" s="129"/>
      <c r="F116" s="129"/>
      <c r="G116" s="129"/>
      <c r="H116" s="129"/>
      <c r="I116" s="129"/>
      <c r="J116" s="129"/>
      <c r="K116" s="129"/>
      <c r="L116" s="129"/>
      <c r="M116" s="129"/>
      <c r="N116" s="129"/>
      <c r="O116" s="129"/>
      <c r="P116" s="129"/>
      <c r="Q116" s="129"/>
      <c r="R116" s="129"/>
      <c r="S116" s="130"/>
    </row>
    <row r="117" spans="1:19" ht="16.5" x14ac:dyDescent="0.25">
      <c r="A117" s="133" t="s">
        <v>481</v>
      </c>
      <c r="B117" s="149">
        <f>Calculations!B123</f>
        <v>1.9737078552789296</v>
      </c>
      <c r="C117" s="134" t="s">
        <v>72</v>
      </c>
      <c r="E117" s="129"/>
      <c r="F117" s="129"/>
      <c r="G117" s="129"/>
      <c r="H117" s="129"/>
      <c r="I117" s="129"/>
      <c r="J117" s="129"/>
      <c r="K117" s="129"/>
      <c r="L117" s="129"/>
      <c r="M117" s="129"/>
      <c r="N117" s="129"/>
      <c r="O117" s="129"/>
      <c r="P117" s="129"/>
      <c r="Q117" s="129"/>
      <c r="R117" s="129"/>
      <c r="S117" s="130"/>
    </row>
    <row r="118" spans="1:19" ht="17.25" thickBot="1" x14ac:dyDescent="0.3">
      <c r="A118" s="135" t="s">
        <v>482</v>
      </c>
      <c r="B118" s="143">
        <f>Calculations!B122</f>
        <v>1.6174282834542213</v>
      </c>
      <c r="C118" s="136" t="s">
        <v>3</v>
      </c>
      <c r="E118" s="129"/>
      <c r="F118" s="129"/>
      <c r="G118" s="129"/>
      <c r="H118" s="129"/>
      <c r="I118" s="129"/>
      <c r="J118" s="129"/>
      <c r="K118" s="129"/>
      <c r="L118" s="129"/>
      <c r="M118" s="129"/>
      <c r="N118" s="129"/>
      <c r="O118" s="129"/>
      <c r="P118" s="129"/>
      <c r="Q118" s="129"/>
      <c r="R118" s="129"/>
      <c r="S118" s="130"/>
    </row>
    <row r="119" spans="1:19" x14ac:dyDescent="0.15">
      <c r="E119" s="129"/>
      <c r="F119" s="129"/>
      <c r="G119" s="129"/>
      <c r="H119" s="129"/>
      <c r="I119" s="129"/>
      <c r="J119" s="129"/>
      <c r="K119" s="129"/>
      <c r="L119" s="129"/>
      <c r="M119" s="129"/>
      <c r="N119" s="129"/>
      <c r="O119" s="129"/>
      <c r="P119" s="129"/>
      <c r="Q119" s="129"/>
      <c r="R119" s="129"/>
      <c r="S119" s="130"/>
    </row>
    <row r="120" spans="1:19" ht="17.25" x14ac:dyDescent="0.2">
      <c r="A120" s="173" t="s">
        <v>304</v>
      </c>
      <c r="B120" s="173"/>
      <c r="C120" s="173"/>
      <c r="E120" s="129"/>
      <c r="F120" s="129"/>
      <c r="G120" s="129"/>
      <c r="H120" s="129"/>
      <c r="I120" s="129"/>
      <c r="J120" s="129"/>
      <c r="K120" s="129"/>
      <c r="L120" s="129"/>
      <c r="M120" s="129"/>
      <c r="N120" s="129"/>
      <c r="O120" s="129"/>
      <c r="P120" s="129"/>
      <c r="Q120" s="129"/>
      <c r="R120" s="129"/>
      <c r="S120" s="130"/>
    </row>
    <row r="121" spans="1:19" ht="6.75" customHeight="1" thickBot="1" x14ac:dyDescent="0.2">
      <c r="E121" s="129"/>
      <c r="F121" s="129"/>
      <c r="G121" s="129"/>
      <c r="H121" s="129"/>
      <c r="I121" s="129"/>
      <c r="J121" s="129"/>
      <c r="K121" s="129"/>
      <c r="L121" s="129"/>
      <c r="M121" s="129"/>
      <c r="N121" s="129"/>
      <c r="O121" s="129"/>
      <c r="P121" s="129"/>
      <c r="Q121" s="129"/>
      <c r="R121" s="129"/>
      <c r="S121" s="130"/>
    </row>
    <row r="122" spans="1:19" ht="14.25" thickBot="1" x14ac:dyDescent="0.2">
      <c r="A122" s="174" t="s">
        <v>303</v>
      </c>
      <c r="B122" s="175"/>
      <c r="C122" s="176"/>
      <c r="E122" s="186" t="s">
        <v>361</v>
      </c>
      <c r="F122" s="186"/>
      <c r="G122" s="186"/>
      <c r="I122" s="186" t="s">
        <v>362</v>
      </c>
      <c r="J122" s="186"/>
      <c r="K122" s="186"/>
    </row>
    <row r="123" spans="1:19" x14ac:dyDescent="0.15">
      <c r="A123" s="133" t="s">
        <v>224</v>
      </c>
      <c r="B123" s="182" t="s">
        <v>226</v>
      </c>
      <c r="C123" s="183"/>
    </row>
    <row r="124" spans="1:19" x14ac:dyDescent="0.15">
      <c r="A124" s="133" t="s">
        <v>359</v>
      </c>
      <c r="B124" s="154">
        <v>55</v>
      </c>
      <c r="C124" s="134" t="s">
        <v>97</v>
      </c>
    </row>
    <row r="125" spans="1:19" ht="16.5" x14ac:dyDescent="0.25">
      <c r="A125" s="133" t="s">
        <v>466</v>
      </c>
      <c r="B125" s="128">
        <f>Calculations!B129</f>
        <v>9.75</v>
      </c>
      <c r="C125" s="134" t="s">
        <v>104</v>
      </c>
    </row>
    <row r="126" spans="1:19" ht="16.5" x14ac:dyDescent="0.25">
      <c r="A126" s="133" t="s">
        <v>360</v>
      </c>
      <c r="B126" s="154">
        <v>10</v>
      </c>
      <c r="C126" s="134" t="s">
        <v>104</v>
      </c>
    </row>
    <row r="127" spans="1:19" x14ac:dyDescent="0.15">
      <c r="A127" s="133" t="s">
        <v>237</v>
      </c>
      <c r="B127" s="128">
        <f>Calculations!B131</f>
        <v>56</v>
      </c>
      <c r="C127" s="134" t="s">
        <v>97</v>
      </c>
    </row>
    <row r="128" spans="1:19" ht="14.25" thickBot="1" x14ac:dyDescent="0.2">
      <c r="A128" s="135" t="s">
        <v>238</v>
      </c>
      <c r="B128" s="138">
        <f>Calculations!B132</f>
        <v>56</v>
      </c>
      <c r="C128" s="136" t="s">
        <v>97</v>
      </c>
    </row>
    <row r="131" spans="1:3" ht="17.25" x14ac:dyDescent="0.2">
      <c r="A131" s="173" t="s">
        <v>305</v>
      </c>
      <c r="B131" s="173"/>
      <c r="C131" s="173"/>
    </row>
    <row r="132" spans="1:3" ht="14.25" thickBot="1" x14ac:dyDescent="0.2"/>
    <row r="133" spans="1:3" ht="14.25" thickBot="1" x14ac:dyDescent="0.2">
      <c r="A133" s="174" t="s">
        <v>306</v>
      </c>
      <c r="B133" s="175"/>
      <c r="C133" s="176"/>
    </row>
    <row r="134" spans="1:3" x14ac:dyDescent="0.15">
      <c r="A134" s="133" t="s">
        <v>250</v>
      </c>
      <c r="B134" s="154">
        <v>25</v>
      </c>
      <c r="C134" s="134" t="s">
        <v>251</v>
      </c>
    </row>
    <row r="135" spans="1:3" ht="16.5" x14ac:dyDescent="0.25">
      <c r="A135" s="133" t="s">
        <v>363</v>
      </c>
      <c r="B135" s="139">
        <f>Calculations!B137</f>
        <v>0.88043160008282539</v>
      </c>
      <c r="C135" s="134" t="s">
        <v>3</v>
      </c>
    </row>
    <row r="136" spans="1:3" ht="16.5" x14ac:dyDescent="0.25">
      <c r="A136" s="133" t="s">
        <v>467</v>
      </c>
      <c r="B136" s="128">
        <f>Calculations!B139/1000</f>
        <v>40</v>
      </c>
      <c r="C136" s="134" t="s">
        <v>3</v>
      </c>
    </row>
    <row r="137" spans="1:3" ht="16.5" x14ac:dyDescent="0.25">
      <c r="A137" s="133" t="s">
        <v>468</v>
      </c>
      <c r="B137" s="154">
        <v>40</v>
      </c>
      <c r="C137" s="134" t="s">
        <v>3</v>
      </c>
    </row>
    <row r="138" spans="1:3" ht="16.5" x14ac:dyDescent="0.25">
      <c r="A138" s="133" t="s">
        <v>367</v>
      </c>
      <c r="B138" s="139">
        <f>Calculations!B143</f>
        <v>2.4615102986900763</v>
      </c>
      <c r="C138" s="134" t="s">
        <v>104</v>
      </c>
    </row>
    <row r="139" spans="1:3" ht="16.5" x14ac:dyDescent="0.25">
      <c r="A139" s="133" t="s">
        <v>368</v>
      </c>
      <c r="B139" s="154">
        <v>2.4</v>
      </c>
      <c r="C139" s="134" t="s">
        <v>104</v>
      </c>
    </row>
    <row r="140" spans="1:3" ht="16.5" x14ac:dyDescent="0.25">
      <c r="A140" s="133" t="s">
        <v>370</v>
      </c>
      <c r="B140" s="144">
        <f>Calculations!B145</f>
        <v>73.438340219591751</v>
      </c>
      <c r="C140" s="134" t="s">
        <v>40</v>
      </c>
    </row>
    <row r="141" spans="1:3" ht="16.5" x14ac:dyDescent="0.25">
      <c r="A141" s="133" t="s">
        <v>369</v>
      </c>
      <c r="B141" s="154">
        <v>70</v>
      </c>
      <c r="C141" s="134" t="s">
        <v>40</v>
      </c>
    </row>
    <row r="142" spans="1:3" ht="16.5" x14ac:dyDescent="0.25">
      <c r="A142" s="133" t="s">
        <v>372</v>
      </c>
      <c r="B142" s="144">
        <f>Calculations!B147</f>
        <v>0.73438340219591747</v>
      </c>
      <c r="C142" s="134" t="s">
        <v>40</v>
      </c>
    </row>
    <row r="143" spans="1:3" ht="16.5" x14ac:dyDescent="0.25">
      <c r="A143" s="133" t="s">
        <v>371</v>
      </c>
      <c r="B143" s="154">
        <v>0.7</v>
      </c>
      <c r="C143" s="134" t="s">
        <v>40</v>
      </c>
    </row>
    <row r="144" spans="1:3" ht="16.5" x14ac:dyDescent="0.25">
      <c r="A144" s="133" t="s">
        <v>374</v>
      </c>
      <c r="B144" s="139">
        <f>Calculations!B149</f>
        <v>0.94735085173747235</v>
      </c>
      <c r="C144" s="134" t="s">
        <v>3</v>
      </c>
    </row>
    <row r="145" spans="1:3" ht="17.25" thickBot="1" x14ac:dyDescent="0.3">
      <c r="A145" s="135" t="s">
        <v>373</v>
      </c>
      <c r="B145" s="152">
        <f>Calculations!B150</f>
        <v>94.735085173747237</v>
      </c>
      <c r="C145" s="136" t="s">
        <v>3</v>
      </c>
    </row>
    <row r="149" spans="1:3" ht="17.25" x14ac:dyDescent="0.2">
      <c r="A149" s="173" t="s">
        <v>460</v>
      </c>
      <c r="B149" s="173"/>
      <c r="C149" s="173"/>
    </row>
    <row r="150" spans="1:3" ht="8.25" customHeight="1" thickBot="1" x14ac:dyDescent="0.2"/>
    <row r="151" spans="1:3" ht="14.25" thickBot="1" x14ac:dyDescent="0.2">
      <c r="A151" s="174" t="s">
        <v>459</v>
      </c>
      <c r="B151" s="175"/>
      <c r="C151" s="176"/>
    </row>
    <row r="152" spans="1:3" ht="16.5" x14ac:dyDescent="0.25">
      <c r="A152" s="146" t="s">
        <v>484</v>
      </c>
      <c r="B152" s="158">
        <v>3.3</v>
      </c>
      <c r="C152" s="147" t="s">
        <v>1</v>
      </c>
    </row>
    <row r="153" spans="1:3" ht="16.5" x14ac:dyDescent="0.25">
      <c r="A153" s="133" t="s">
        <v>485</v>
      </c>
      <c r="B153" s="154">
        <v>5</v>
      </c>
      <c r="C153" s="134" t="s">
        <v>104</v>
      </c>
    </row>
    <row r="154" spans="1:3" ht="16.5" x14ac:dyDescent="0.25">
      <c r="A154" s="133" t="s">
        <v>487</v>
      </c>
      <c r="B154" s="128">
        <f>Calculations!B159/1000</f>
        <v>25.303030303030305</v>
      </c>
      <c r="C154" s="134" t="s">
        <v>104</v>
      </c>
    </row>
    <row r="155" spans="1:3" ht="16.5" x14ac:dyDescent="0.25">
      <c r="A155" s="133" t="s">
        <v>486</v>
      </c>
      <c r="B155" s="154">
        <v>25</v>
      </c>
      <c r="C155" s="134" t="s">
        <v>104</v>
      </c>
    </row>
    <row r="156" spans="1:3" x14ac:dyDescent="0.15">
      <c r="A156" s="133" t="s">
        <v>432</v>
      </c>
      <c r="B156" s="128">
        <f>Calculations!B164/1000</f>
        <v>4</v>
      </c>
      <c r="C156" s="134" t="s">
        <v>3</v>
      </c>
    </row>
    <row r="157" spans="1:3" x14ac:dyDescent="0.15">
      <c r="A157" s="133" t="s">
        <v>258</v>
      </c>
      <c r="B157" s="154">
        <v>4</v>
      </c>
      <c r="C157" s="134" t="s">
        <v>3</v>
      </c>
    </row>
    <row r="158" spans="1:3" ht="16.5" x14ac:dyDescent="0.25">
      <c r="A158" s="133" t="s">
        <v>455</v>
      </c>
      <c r="B158" s="139">
        <f>Calculations!B170/1000</f>
        <v>20.992689455649622</v>
      </c>
      <c r="C158" s="134" t="s">
        <v>104</v>
      </c>
    </row>
    <row r="159" spans="1:3" ht="16.5" x14ac:dyDescent="0.25">
      <c r="A159" s="133" t="s">
        <v>456</v>
      </c>
      <c r="B159" s="154">
        <v>16</v>
      </c>
      <c r="C159" s="134" t="s">
        <v>104</v>
      </c>
    </row>
    <row r="160" spans="1:3" ht="16.5" x14ac:dyDescent="0.25">
      <c r="A160" s="133" t="s">
        <v>457</v>
      </c>
      <c r="B160" s="144">
        <f>Calculations!B172*(10^9)</f>
        <v>19.850296551639047</v>
      </c>
      <c r="C160" s="134" t="s">
        <v>40</v>
      </c>
    </row>
    <row r="161" spans="1:3" ht="16.5" x14ac:dyDescent="0.25">
      <c r="A161" s="133" t="s">
        <v>458</v>
      </c>
      <c r="B161" s="154">
        <v>20</v>
      </c>
      <c r="C161" s="134" t="s">
        <v>40</v>
      </c>
    </row>
    <row r="162" spans="1:3" ht="16.5" x14ac:dyDescent="0.25">
      <c r="A162" s="133" t="s">
        <v>454</v>
      </c>
      <c r="B162" s="139">
        <f>Calculations!B174*(10^9)</f>
        <v>5.0022747310130402</v>
      </c>
      <c r="C162" s="134" t="s">
        <v>40</v>
      </c>
    </row>
    <row r="163" spans="1:3" ht="16.5" x14ac:dyDescent="0.25">
      <c r="A163" s="133" t="s">
        <v>453</v>
      </c>
      <c r="B163" s="154">
        <v>5</v>
      </c>
      <c r="C163" s="134" t="s">
        <v>40</v>
      </c>
    </row>
    <row r="164" spans="1:3" ht="16.5" x14ac:dyDescent="0.25">
      <c r="A164" s="133" t="s">
        <v>374</v>
      </c>
      <c r="B164" s="139">
        <f>Calculations!B176</f>
        <v>0.49735919716217303</v>
      </c>
      <c r="C164" s="134" t="s">
        <v>3</v>
      </c>
    </row>
    <row r="165" spans="1:3" ht="17.25" thickBot="1" x14ac:dyDescent="0.3">
      <c r="A165" s="135" t="s">
        <v>373</v>
      </c>
      <c r="B165" s="143">
        <f>Calculations!B177</f>
        <v>1.9894367886486921</v>
      </c>
      <c r="C165" s="136" t="s">
        <v>3</v>
      </c>
    </row>
    <row r="168" spans="1:3" ht="17.25" x14ac:dyDescent="0.2">
      <c r="A168" s="173" t="s">
        <v>483</v>
      </c>
      <c r="B168" s="173"/>
      <c r="C168" s="173"/>
    </row>
    <row r="169" spans="1:3" ht="14.25" thickBot="1" x14ac:dyDescent="0.2"/>
    <row r="170" spans="1:3" ht="14.25" thickBot="1" x14ac:dyDescent="0.2">
      <c r="A170" s="174" t="s">
        <v>461</v>
      </c>
      <c r="B170" s="175"/>
      <c r="C170" s="176"/>
    </row>
    <row r="171" spans="1:3" ht="16.5" x14ac:dyDescent="0.25">
      <c r="A171" s="146" t="s">
        <v>484</v>
      </c>
      <c r="B171" s="158">
        <v>3.3</v>
      </c>
      <c r="C171" s="147" t="s">
        <v>1</v>
      </c>
    </row>
    <row r="172" spans="1:3" ht="16.5" x14ac:dyDescent="0.25">
      <c r="A172" s="133" t="s">
        <v>485</v>
      </c>
      <c r="B172" s="154">
        <v>1</v>
      </c>
      <c r="C172" s="134" t="s">
        <v>104</v>
      </c>
    </row>
    <row r="173" spans="1:3" ht="16.5" x14ac:dyDescent="0.25">
      <c r="A173" s="133" t="s">
        <v>487</v>
      </c>
      <c r="B173" s="128">
        <f>Calculations!B183/1000</f>
        <v>14.151515151515152</v>
      </c>
      <c r="C173" s="134" t="s">
        <v>104</v>
      </c>
    </row>
    <row r="174" spans="1:3" ht="16.5" x14ac:dyDescent="0.25">
      <c r="A174" s="133" t="s">
        <v>486</v>
      </c>
      <c r="B174" s="154">
        <v>14</v>
      </c>
      <c r="C174" s="134" t="s">
        <v>104</v>
      </c>
    </row>
    <row r="175" spans="1:3" x14ac:dyDescent="0.15">
      <c r="A175" s="133" t="s">
        <v>432</v>
      </c>
      <c r="B175" s="139">
        <f>Calculations!B188/1000</f>
        <v>5.5685417441135963</v>
      </c>
      <c r="C175" s="134" t="s">
        <v>3</v>
      </c>
    </row>
    <row r="176" spans="1:3" x14ac:dyDescent="0.15">
      <c r="A176" s="133" t="s">
        <v>258</v>
      </c>
      <c r="B176" s="159">
        <v>5.5</v>
      </c>
      <c r="C176" s="134" t="s">
        <v>3</v>
      </c>
    </row>
    <row r="177" spans="1:3" ht="16.5" x14ac:dyDescent="0.25">
      <c r="A177" s="133" t="s">
        <v>428</v>
      </c>
      <c r="B177" s="144">
        <f>Calculations!B194/1000</f>
        <v>18.345319912942667</v>
      </c>
      <c r="C177" s="134" t="s">
        <v>104</v>
      </c>
    </row>
    <row r="178" spans="1:3" ht="16.5" x14ac:dyDescent="0.25">
      <c r="A178" s="133" t="s">
        <v>427</v>
      </c>
      <c r="B178" s="154">
        <v>20</v>
      </c>
      <c r="C178" s="134" t="s">
        <v>104</v>
      </c>
    </row>
    <row r="179" spans="1:3" ht="16.5" x14ac:dyDescent="0.25">
      <c r="A179" s="133" t="s">
        <v>426</v>
      </c>
      <c r="B179" s="139">
        <f>Calculations!B196*(10^9)</f>
        <v>57.701831506996108</v>
      </c>
      <c r="C179" s="134" t="s">
        <v>40</v>
      </c>
    </row>
    <row r="180" spans="1:3" ht="16.5" x14ac:dyDescent="0.25">
      <c r="A180" s="133" t="s">
        <v>429</v>
      </c>
      <c r="B180" s="154">
        <v>47</v>
      </c>
      <c r="C180" s="134" t="s">
        <v>40</v>
      </c>
    </row>
    <row r="181" spans="1:3" ht="16.5" x14ac:dyDescent="0.25">
      <c r="A181" s="133" t="s">
        <v>430</v>
      </c>
      <c r="B181" s="153">
        <f>Calculations!B198*(10^9)</f>
        <v>4.3377532756899796E-2</v>
      </c>
      <c r="C181" s="134" t="s">
        <v>40</v>
      </c>
    </row>
    <row r="182" spans="1:3" ht="16.5" x14ac:dyDescent="0.25">
      <c r="A182" s="133" t="s">
        <v>431</v>
      </c>
      <c r="B182" s="154">
        <v>0.03</v>
      </c>
      <c r="C182" s="134" t="s">
        <v>40</v>
      </c>
    </row>
    <row r="183" spans="1:3" ht="16.5" x14ac:dyDescent="0.25">
      <c r="A183" s="133" t="s">
        <v>374</v>
      </c>
      <c r="B183" s="139">
        <f>Calculations!B200/1000</f>
        <v>0.16931376924669714</v>
      </c>
      <c r="C183" s="134" t="s">
        <v>3</v>
      </c>
    </row>
    <row r="184" spans="1:3" ht="17.25" thickBot="1" x14ac:dyDescent="0.3">
      <c r="A184" s="135" t="s">
        <v>373</v>
      </c>
      <c r="B184" s="143">
        <f>Calculations!B201/1000</f>
        <v>265.25823848649225</v>
      </c>
      <c r="C184" s="136" t="s">
        <v>3</v>
      </c>
    </row>
  </sheetData>
  <sheetProtection algorithmName="SHA-512" hashValue="fdU52W4crYajbraSt7Ih5pmYR8gmHjUDwlpQIF4YYH9Fakzt1D1AAwKy17nH/MLXUijSXtaMyzWZLUNwvQ0pfg==" saltValue="U5ME1tcmw0TPKCAZJxVidQ==" spinCount="100000" sheet="1" objects="1" scenarios="1"/>
  <mergeCells count="44">
    <mergeCell ref="A131:C131"/>
    <mergeCell ref="G10:M11"/>
    <mergeCell ref="F93:H93"/>
    <mergeCell ref="K93:M93"/>
    <mergeCell ref="Q93:R93"/>
    <mergeCell ref="E122:G122"/>
    <mergeCell ref="I122:K122"/>
    <mergeCell ref="P61:Q61"/>
    <mergeCell ref="P73:Q73"/>
    <mergeCell ref="A120:C120"/>
    <mergeCell ref="A79:C79"/>
    <mergeCell ref="B93:C93"/>
    <mergeCell ref="A92:C92"/>
    <mergeCell ref="A71:C71"/>
    <mergeCell ref="A43:C43"/>
    <mergeCell ref="A61:C61"/>
    <mergeCell ref="A90:C90"/>
    <mergeCell ref="A109:C109"/>
    <mergeCell ref="A107:C107"/>
    <mergeCell ref="A122:C122"/>
    <mergeCell ref="B123:C123"/>
    <mergeCell ref="B98:C98"/>
    <mergeCell ref="A52:C52"/>
    <mergeCell ref="A55:C55"/>
    <mergeCell ref="A59:C59"/>
    <mergeCell ref="A69:C69"/>
    <mergeCell ref="A84:C84"/>
    <mergeCell ref="A77:C77"/>
    <mergeCell ref="A149:C149"/>
    <mergeCell ref="A151:C151"/>
    <mergeCell ref="A168:C168"/>
    <mergeCell ref="A170:C170"/>
    <mergeCell ref="A1:XFD3"/>
    <mergeCell ref="A15:C15"/>
    <mergeCell ref="A10:C10"/>
    <mergeCell ref="A34:C34"/>
    <mergeCell ref="A24:C24"/>
    <mergeCell ref="A20:C20"/>
    <mergeCell ref="A8:C8"/>
    <mergeCell ref="A31:C31"/>
    <mergeCell ref="A133:C133"/>
    <mergeCell ref="A32:C32"/>
    <mergeCell ref="A41:C41"/>
    <mergeCell ref="A50:C50"/>
  </mergeCells>
  <phoneticPr fontId="30"/>
  <hyperlinks>
    <hyperlink ref="R5" location="Licenses!A1" display="Terms of Use" xr:uid="{943AA7FE-1683-4927-B7B0-5F8E651B1AD3}"/>
  </hyperlink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7" id="{F0C824F8-5BA3-457B-B341-B725FCDB2787}">
            <xm:f>Calculations!$D$70=1</xm:f>
            <x14:dxf>
              <fill>
                <patternFill>
                  <bgColor rgb="FFFF0000"/>
                </patternFill>
              </fill>
            </x14:dxf>
          </x14:cfRule>
          <xm:sqref>B48</xm:sqref>
        </x14:conditionalFormatting>
        <x14:conditionalFormatting xmlns:xm="http://schemas.microsoft.com/office/excel/2006/main">
          <x14:cfRule type="expression" priority="58" id="{47B0D3B7-ACA9-4766-B67F-B6DE49181E4C}">
            <xm:f>Calculations!$D$78=1</xm:f>
            <x14:dxf>
              <fill>
                <patternFill>
                  <bgColor rgb="FFFF0000"/>
                </patternFill>
              </fill>
            </x14:dxf>
          </x14:cfRule>
          <xm:sqref>B65</xm:sqref>
        </x14:conditionalFormatting>
        <x14:conditionalFormatting xmlns:xm="http://schemas.microsoft.com/office/excel/2006/main">
          <x14:cfRule type="expression" priority="59" id="{F0C824F8-5BA3-457B-B341-B725FCDB2787}">
            <xm:f>Calculations!$D$79=1</xm:f>
            <x14:dxf>
              <fill>
                <patternFill>
                  <bgColor rgb="FFFF0000"/>
                </patternFill>
              </fill>
            </x14:dxf>
          </x14:cfRule>
          <xm:sqref>B66</xm:sqref>
        </x14:conditionalFormatting>
        <x14:conditionalFormatting xmlns:xm="http://schemas.microsoft.com/office/excel/2006/main">
          <x14:cfRule type="expression" priority="60" id="{F0C824F8-5BA3-457B-B341-B725FCDB2787}">
            <xm:f>Calculations!$D$80=1</xm:f>
            <x14:dxf>
              <fill>
                <patternFill>
                  <bgColor rgb="FFFF0000"/>
                </patternFill>
              </fill>
            </x14:dxf>
          </x14:cfRule>
          <xm:sqref>B67</xm:sqref>
        </x14:conditionalFormatting>
        <x14:conditionalFormatting xmlns:xm="http://schemas.microsoft.com/office/excel/2006/main">
          <x14:cfRule type="expression" priority="61" id="{72F261F3-C112-49B4-9B33-09E9FE7FF750}">
            <xm:f>Calculations!$D$115=1</xm:f>
            <x14:dxf>
              <fill>
                <patternFill>
                  <bgColor rgb="FFFF0000"/>
                </patternFill>
              </fill>
            </x14:dxf>
          </x14:cfRule>
          <xm:sqref>B110</xm:sqref>
        </x14:conditionalFormatting>
        <x14:conditionalFormatting xmlns:xm="http://schemas.microsoft.com/office/excel/2006/main">
          <x14:cfRule type="expression" priority="62" id="{DE18DFA1-F8B7-4BDD-8B82-246AAAD06FE9}">
            <xm:f>Calculations!$D$118=1</xm:f>
            <x14:dxf>
              <fill>
                <patternFill>
                  <bgColor rgb="FFFF0000"/>
                </patternFill>
              </fill>
            </x14:dxf>
          </x14:cfRule>
          <xm:sqref>B113</xm:sqref>
        </x14:conditionalFormatting>
        <x14:conditionalFormatting xmlns:xm="http://schemas.microsoft.com/office/excel/2006/main">
          <x14:cfRule type="expression" priority="66" id="{5FD8402E-D623-4B39-9061-D3818A91AD41}">
            <xm:f>Calculations!$D$128=1</xm:f>
            <x14:dxf>
              <fill>
                <patternFill>
                  <bgColor rgb="FFFF0000"/>
                </patternFill>
              </fill>
            </x14:dxf>
          </x14:cfRule>
          <xm:sqref>B124</xm:sqref>
        </x14:conditionalFormatting>
        <x14:conditionalFormatting xmlns:xm="http://schemas.microsoft.com/office/excel/2006/main">
          <x14:cfRule type="expression" priority="63" id="{E70EFD81-9486-4A10-8397-F2F06071C353}">
            <xm:f>Calculations!$B$99=0</xm:f>
            <x14:dxf>
              <font>
                <strike/>
              </font>
              <fill>
                <patternFill>
                  <bgColor theme="0" tint="-0.24994659260841701"/>
                </patternFill>
              </fill>
            </x14:dxf>
          </x14:cfRule>
          <xm:sqref>B94:C105</xm:sqref>
        </x14:conditionalFormatting>
        <x14:conditionalFormatting xmlns:xm="http://schemas.microsoft.com/office/excel/2006/main">
          <x14:cfRule type="expression" priority="64" id="{07FC6EAE-5778-4309-937A-687AA588D44B}">
            <xm:f>Calculations!$B$104=0</xm:f>
            <x14:dxf>
              <font>
                <strike/>
              </font>
              <fill>
                <patternFill>
                  <bgColor theme="0" tint="-0.24994659260841701"/>
                </patternFill>
              </fill>
            </x14:dxf>
          </x14:cfRule>
          <xm:sqref>B99:C101</xm:sqref>
        </x14:conditionalFormatting>
        <x14:conditionalFormatting xmlns:xm="http://schemas.microsoft.com/office/excel/2006/main">
          <x14:cfRule type="expression" priority="65" id="{6C6BBDF6-48B1-4593-9A50-F8BCAE673E59}">
            <xm:f>Calculations!$B$127=0</xm:f>
            <x14:dxf>
              <font>
                <strike/>
              </font>
              <fill>
                <patternFill>
                  <bgColor theme="0" tint="-0.14996795556505021"/>
                </patternFill>
              </fill>
            </x14:dxf>
          </x14:cfRule>
          <xm:sqref>B124:C126</xm:sqref>
        </x14:conditionalFormatting>
        <x14:conditionalFormatting xmlns:xm="http://schemas.microsoft.com/office/excel/2006/main">
          <x14:cfRule type="expression" priority="71" id="{C5399D73-4691-49DF-B087-94B60D9C1390}">
            <xm:f>Calculations!$B$127=0</xm:f>
            <x14:dxf>
              <fill>
                <patternFill>
                  <bgColor rgb="FF92D050"/>
                </patternFill>
              </fill>
            </x14:dxf>
          </x14:cfRule>
          <xm:sqref>E122:G122</xm:sqref>
        </x14:conditionalFormatting>
        <x14:conditionalFormatting xmlns:xm="http://schemas.microsoft.com/office/excel/2006/main">
          <x14:cfRule type="expression" priority="67" id="{91209B0B-F871-480E-9983-A619770C0D01}">
            <xm:f>AND(Calculations!$B$99=1,Calculations!$B$104=0)</xm:f>
            <x14:dxf>
              <fill>
                <patternFill>
                  <bgColor rgb="FF92D050"/>
                </patternFill>
              </fill>
            </x14:dxf>
          </x14:cfRule>
          <xm:sqref>F93:H93</xm:sqref>
        </x14:conditionalFormatting>
        <x14:conditionalFormatting xmlns:xm="http://schemas.microsoft.com/office/excel/2006/main">
          <x14:cfRule type="expression" priority="70" id="{2BDC1368-641D-41C3-834A-06208609199D}">
            <xm:f>Calculations!$B$127=1</xm:f>
            <x14:dxf>
              <fill>
                <patternFill>
                  <bgColor rgb="FF92D050"/>
                </patternFill>
              </fill>
            </x14:dxf>
          </x14:cfRule>
          <xm:sqref>I122:K122</xm:sqref>
        </x14:conditionalFormatting>
        <x14:conditionalFormatting xmlns:xm="http://schemas.microsoft.com/office/excel/2006/main">
          <x14:cfRule type="expression" priority="68" id="{5F4F848D-4984-4736-B027-68BB1B3C735D}">
            <xm:f>AND(Calculations!$B$99=1,Calculations!$B$104=1)</xm:f>
            <x14:dxf>
              <fill>
                <patternFill>
                  <bgColor rgb="FF92D050"/>
                </patternFill>
              </fill>
            </x14:dxf>
          </x14:cfRule>
          <xm:sqref>K93:M93</xm:sqref>
        </x14:conditionalFormatting>
        <x14:conditionalFormatting xmlns:xm="http://schemas.microsoft.com/office/excel/2006/main">
          <x14:cfRule type="expression" priority="69" id="{0CCB05D5-D715-4391-84E1-7EFF00A93B29}">
            <xm:f>Calculations!$B$99=0</xm:f>
            <x14:dxf>
              <fill>
                <patternFill>
                  <bgColor rgb="FF92D050"/>
                </patternFill>
              </fill>
            </x14:dxf>
          </x14:cfRule>
          <xm:sqref>Q93:R93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Lists!$A$2:$A$3</xm:f>
          </x14:formula1>
          <xm:sqref>B93</xm:sqref>
        </x14:dataValidation>
        <x14:dataValidation type="list" allowBlank="1" showInputMessage="1" xr:uid="{00000000-0002-0000-0000-000001000000}">
          <x14:formula1>
            <xm:f>Lists!$E$2:$E$3</xm:f>
          </x14:formula1>
          <xm:sqref>B110</xm:sqref>
        </x14:dataValidation>
        <x14:dataValidation type="list" allowBlank="1" showInputMessage="1" showErrorMessage="1" xr:uid="{00000000-0002-0000-0000-000002000000}">
          <x14:formula1>
            <xm:f>Lists!$C$2:$C$3</xm:f>
          </x14:formula1>
          <xm:sqref>B98</xm:sqref>
        </x14:dataValidation>
        <x14:dataValidation type="list" allowBlank="1" showInputMessage="1" showErrorMessage="1" xr:uid="{00000000-0002-0000-0000-000003000000}">
          <x14:formula1>
            <xm:f>Lists!$G$2:$G$3</xm:f>
          </x14:formula1>
          <xm:sqref>B123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147A-1FCB-422A-9F91-062C401E57FB}">
  <sheetPr codeName="Sheet2"/>
  <dimension ref="A1:AM47"/>
  <sheetViews>
    <sheetView topLeftCell="A4" workbookViewId="0">
      <selection activeCell="M27" sqref="M27"/>
    </sheetView>
  </sheetViews>
  <sheetFormatPr defaultColWidth="9.125" defaultRowHeight="14.25" x14ac:dyDescent="0.2"/>
  <cols>
    <col min="1" max="1" width="25.625" style="166" bestFit="1" customWidth="1"/>
    <col min="2" max="2" width="56.5" style="167" customWidth="1"/>
    <col min="3" max="11" width="9.125" style="160"/>
    <col min="12" max="12" width="20.5" style="160" customWidth="1"/>
    <col min="13" max="16384" width="9.125" style="160"/>
  </cols>
  <sheetData>
    <row r="1" spans="1:12" x14ac:dyDescent="0.2">
      <c r="A1" s="190"/>
      <c r="B1" s="190"/>
      <c r="C1" s="190"/>
      <c r="D1" s="190"/>
      <c r="E1" s="190"/>
      <c r="F1" s="190"/>
      <c r="G1" s="190"/>
      <c r="H1" s="190"/>
      <c r="I1" s="190"/>
      <c r="J1" s="190"/>
      <c r="K1" s="190"/>
      <c r="L1" s="190"/>
    </row>
    <row r="2" spans="1:12" x14ac:dyDescent="0.2">
      <c r="A2" s="190"/>
      <c r="B2" s="190"/>
      <c r="C2" s="190"/>
      <c r="D2" s="190"/>
      <c r="E2" s="190"/>
      <c r="F2" s="190"/>
      <c r="G2" s="190"/>
      <c r="H2" s="190"/>
      <c r="I2" s="190"/>
      <c r="J2" s="190"/>
      <c r="K2" s="190"/>
      <c r="L2" s="190"/>
    </row>
    <row r="3" spans="1:12" x14ac:dyDescent="0.2">
      <c r="A3" s="190"/>
      <c r="B3" s="190"/>
      <c r="C3" s="190"/>
      <c r="D3" s="190"/>
      <c r="E3" s="190"/>
      <c r="F3" s="190"/>
      <c r="G3" s="190"/>
      <c r="H3" s="190"/>
      <c r="I3" s="190"/>
      <c r="J3" s="190"/>
      <c r="K3" s="190"/>
      <c r="L3" s="190"/>
    </row>
    <row r="4" spans="1:12" x14ac:dyDescent="0.2">
      <c r="A4" s="191"/>
      <c r="B4" s="191"/>
      <c r="C4" s="191"/>
      <c r="D4" s="191"/>
      <c r="E4" s="191"/>
      <c r="F4" s="191"/>
      <c r="G4" s="191"/>
      <c r="H4" s="191"/>
      <c r="I4" s="191"/>
      <c r="J4" s="191"/>
      <c r="K4" s="191"/>
      <c r="L4" s="191"/>
    </row>
    <row r="5" spans="1:12" x14ac:dyDescent="0.2">
      <c r="A5" s="161" t="s">
        <v>489</v>
      </c>
      <c r="B5" s="162" t="str">
        <f>LOOKUP(2,1/((A37:A46)&lt;&gt;""),(A37:A46))</f>
        <v>1.1.0</v>
      </c>
      <c r="C5" s="163"/>
      <c r="D5" s="163"/>
      <c r="E5" s="163"/>
      <c r="F5" s="163"/>
      <c r="G5" s="163"/>
      <c r="H5" s="163"/>
      <c r="I5" s="163"/>
      <c r="J5" s="163"/>
      <c r="K5" s="164"/>
      <c r="L5" s="165"/>
    </row>
    <row r="6" spans="1:12" x14ac:dyDescent="0.2">
      <c r="A6" s="161"/>
      <c r="B6" s="162"/>
      <c r="C6" s="163"/>
      <c r="D6" s="163"/>
      <c r="E6" s="163"/>
      <c r="F6" s="163"/>
      <c r="G6" s="163"/>
      <c r="H6" s="163"/>
      <c r="I6" s="163"/>
      <c r="J6" s="165"/>
      <c r="K6" s="165"/>
      <c r="L6" s="165"/>
    </row>
    <row r="35" spans="1:39" x14ac:dyDescent="0.2">
      <c r="A35" s="168" t="s">
        <v>491</v>
      </c>
      <c r="B35" s="169"/>
      <c r="C35" s="163"/>
      <c r="D35" s="163"/>
      <c r="E35" s="163"/>
      <c r="F35" s="163"/>
      <c r="G35" s="163"/>
      <c r="H35" s="163"/>
      <c r="I35" s="163"/>
      <c r="J35" s="163"/>
      <c r="K35" s="163"/>
    </row>
    <row r="36" spans="1:39" x14ac:dyDescent="0.2">
      <c r="A36" s="170" t="s">
        <v>492</v>
      </c>
      <c r="B36" s="192" t="s">
        <v>493</v>
      </c>
      <c r="C36" s="192"/>
      <c r="D36" s="192"/>
      <c r="E36" s="192"/>
      <c r="F36" s="192"/>
      <c r="G36" s="192"/>
      <c r="H36" s="192"/>
      <c r="I36" s="192"/>
      <c r="J36" s="192"/>
      <c r="K36" s="192"/>
    </row>
    <row r="37" spans="1:39" x14ac:dyDescent="0.2">
      <c r="A37" s="168" t="s">
        <v>490</v>
      </c>
      <c r="B37" s="193" t="s">
        <v>494</v>
      </c>
      <c r="C37" s="193"/>
      <c r="D37" s="193"/>
      <c r="E37" s="193"/>
      <c r="F37" s="193"/>
      <c r="G37" s="193"/>
      <c r="H37" s="193"/>
      <c r="I37" s="193"/>
      <c r="J37" s="193"/>
      <c r="K37" s="193"/>
    </row>
    <row r="38" spans="1:39" ht="14.25" customHeight="1" x14ac:dyDescent="0.3">
      <c r="A38" s="168" t="s">
        <v>495</v>
      </c>
      <c r="B38" s="194" t="s">
        <v>496</v>
      </c>
      <c r="C38" s="193"/>
      <c r="D38" s="193"/>
      <c r="E38" s="193"/>
      <c r="F38" s="193"/>
      <c r="G38" s="193"/>
      <c r="H38" s="193"/>
      <c r="I38" s="193"/>
      <c r="J38" s="193"/>
      <c r="K38" s="193"/>
    </row>
    <row r="39" spans="1:39" ht="14.25" customHeight="1" x14ac:dyDescent="0.2">
      <c r="A39" s="168"/>
      <c r="B39" s="189"/>
      <c r="C39" s="189"/>
      <c r="D39" s="189"/>
      <c r="E39" s="189"/>
      <c r="F39" s="189"/>
      <c r="G39" s="189"/>
      <c r="H39" s="189"/>
      <c r="I39" s="189"/>
      <c r="J39" s="189"/>
      <c r="K39" s="189"/>
    </row>
    <row r="40" spans="1:39" ht="14.25" customHeight="1" x14ac:dyDescent="0.2">
      <c r="A40" s="168"/>
      <c r="B40" s="189"/>
      <c r="C40" s="189"/>
      <c r="D40" s="189"/>
      <c r="E40" s="189"/>
      <c r="F40" s="189"/>
      <c r="G40" s="189"/>
      <c r="H40" s="189"/>
      <c r="I40" s="189"/>
      <c r="J40" s="189"/>
      <c r="K40" s="189"/>
    </row>
    <row r="41" spans="1:39" ht="14.25" customHeight="1" x14ac:dyDescent="0.2">
      <c r="A41" s="168"/>
      <c r="B41" s="189"/>
      <c r="C41" s="189"/>
      <c r="D41" s="189"/>
      <c r="E41" s="189"/>
      <c r="F41" s="189"/>
      <c r="G41" s="189"/>
      <c r="H41" s="189"/>
      <c r="I41" s="189"/>
      <c r="J41" s="189"/>
      <c r="K41" s="189"/>
    </row>
    <row r="42" spans="1:39" x14ac:dyDescent="0.2">
      <c r="A42" s="168"/>
      <c r="B42" s="189"/>
      <c r="C42" s="189"/>
      <c r="D42" s="189"/>
      <c r="E42" s="189"/>
      <c r="F42" s="189"/>
      <c r="G42" s="189"/>
      <c r="H42" s="189"/>
      <c r="I42" s="189"/>
      <c r="J42" s="189"/>
      <c r="K42" s="189"/>
    </row>
    <row r="43" spans="1:39" x14ac:dyDescent="0.2">
      <c r="A43" s="168"/>
      <c r="B43" s="189"/>
      <c r="C43" s="189"/>
      <c r="D43" s="189"/>
      <c r="E43" s="189"/>
      <c r="F43" s="189"/>
      <c r="G43" s="189"/>
      <c r="H43" s="189"/>
      <c r="I43" s="189"/>
      <c r="J43" s="189"/>
      <c r="K43" s="189"/>
    </row>
    <row r="44" spans="1:39" ht="15" x14ac:dyDescent="0.2">
      <c r="A44" s="168"/>
      <c r="B44" s="189"/>
      <c r="C44" s="189"/>
      <c r="D44" s="189"/>
      <c r="E44" s="189"/>
      <c r="F44" s="189"/>
      <c r="G44" s="189"/>
      <c r="H44" s="189"/>
      <c r="I44" s="189"/>
      <c r="J44" s="189"/>
      <c r="K44" s="189"/>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71"/>
      <c r="AM44" s="171"/>
    </row>
    <row r="45" spans="1:39" x14ac:dyDescent="0.2">
      <c r="A45" s="168"/>
      <c r="B45" s="189"/>
      <c r="C45" s="189"/>
      <c r="D45" s="189"/>
      <c r="E45" s="189"/>
      <c r="F45" s="189"/>
      <c r="G45" s="189"/>
      <c r="H45" s="189"/>
      <c r="I45" s="189"/>
      <c r="J45" s="189"/>
      <c r="K45" s="189"/>
    </row>
    <row r="46" spans="1:39" x14ac:dyDescent="0.2">
      <c r="A46" s="168"/>
      <c r="B46" s="189"/>
      <c r="C46" s="189"/>
      <c r="D46" s="189"/>
      <c r="E46" s="189"/>
      <c r="F46" s="189"/>
      <c r="G46" s="189"/>
      <c r="H46" s="189"/>
      <c r="I46" s="189"/>
      <c r="J46" s="189"/>
      <c r="K46" s="189"/>
    </row>
    <row r="47" spans="1:39" x14ac:dyDescent="0.2">
      <c r="A47" s="168"/>
      <c r="B47" s="189"/>
      <c r="C47" s="189"/>
      <c r="D47" s="189"/>
      <c r="E47" s="189"/>
      <c r="F47" s="189"/>
      <c r="G47" s="189"/>
      <c r="H47" s="189"/>
      <c r="I47" s="189"/>
      <c r="J47" s="189"/>
      <c r="K47" s="189"/>
    </row>
  </sheetData>
  <sheetProtection algorithmName="SHA-512" hashValue="5qE34U5q/yBhg7STOFPUv88vScnDIX6LSJXkXZZoEDGlf2xyJ9tb1iRHmvB8K7kFYfV2kEAhxpH5QBakawGgAg==" saltValue="eUds3aBXmyc9/xlWEDMFXg==" spinCount="100000" sheet="1" objects="1" scenarios="1" selectLockedCells="1" selectUnlockedCells="1"/>
  <mergeCells count="14">
    <mergeCell ref="B39:K39"/>
    <mergeCell ref="A1:L3"/>
    <mergeCell ref="A4:L4"/>
    <mergeCell ref="B36:K36"/>
    <mergeCell ref="B37:K37"/>
    <mergeCell ref="B38:K38"/>
    <mergeCell ref="B46:K46"/>
    <mergeCell ref="B47:K47"/>
    <mergeCell ref="B40:K40"/>
    <mergeCell ref="B41:K41"/>
    <mergeCell ref="B42:K42"/>
    <mergeCell ref="B43:K43"/>
    <mergeCell ref="B44:K44"/>
    <mergeCell ref="B45:K45"/>
  </mergeCells>
  <phoneticPr fontId="30"/>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AP201"/>
  <sheetViews>
    <sheetView topLeftCell="A142" zoomScaleNormal="100" workbookViewId="0">
      <selection activeCell="D115" sqref="D115"/>
    </sheetView>
  </sheetViews>
  <sheetFormatPr defaultColWidth="8.875" defaultRowHeight="13.5" x14ac:dyDescent="0.15"/>
  <cols>
    <col min="1" max="1" width="46.5" style="34" customWidth="1"/>
    <col min="2" max="2" width="12.625" style="33" bestFit="1" customWidth="1"/>
    <col min="3" max="3" width="10" style="34" bestFit="1" customWidth="1"/>
    <col min="4" max="4" width="10.375" style="34" bestFit="1" customWidth="1"/>
    <col min="5" max="5" width="10.375" style="34" customWidth="1"/>
    <col min="6" max="11" width="10.375" customWidth="1"/>
    <col min="12" max="12" width="10.875" bestFit="1" customWidth="1"/>
    <col min="15" max="15" width="10.5" customWidth="1"/>
    <col min="16" max="16" width="12" bestFit="1" customWidth="1"/>
    <col min="17" max="17" width="9.5" customWidth="1"/>
    <col min="18" max="19" width="12" customWidth="1"/>
    <col min="20" max="20" width="11.5" customWidth="1"/>
    <col min="29" max="29" width="11" customWidth="1"/>
    <col min="32" max="32" width="12.375" customWidth="1"/>
    <col min="56" max="56" width="9.125" customWidth="1"/>
    <col min="59" max="59" width="9.125" customWidth="1"/>
  </cols>
  <sheetData>
    <row r="2" spans="1:39" x14ac:dyDescent="0.15">
      <c r="N2" t="s">
        <v>28</v>
      </c>
    </row>
    <row r="3" spans="1:39" ht="14.25" thickBot="1" x14ac:dyDescent="0.2"/>
    <row r="4" spans="1:39" x14ac:dyDescent="0.15">
      <c r="P4" s="203" t="s">
        <v>375</v>
      </c>
      <c r="Q4" s="204"/>
      <c r="R4" s="204"/>
      <c r="S4" s="205"/>
      <c r="T4" s="203" t="s">
        <v>24</v>
      </c>
      <c r="U4" s="204"/>
      <c r="V4" s="204"/>
      <c r="W4" s="205"/>
      <c r="X4" s="203" t="s">
        <v>75</v>
      </c>
      <c r="Y4" s="204"/>
      <c r="Z4" s="204"/>
      <c r="AA4" s="205"/>
      <c r="AB4" s="203" t="s">
        <v>376</v>
      </c>
      <c r="AC4" s="204"/>
      <c r="AD4" s="204"/>
      <c r="AE4" s="205"/>
      <c r="AF4" s="203" t="s">
        <v>377</v>
      </c>
      <c r="AG4" s="204"/>
      <c r="AH4" s="204"/>
      <c r="AI4" s="205"/>
      <c r="AJ4" s="203" t="s">
        <v>378</v>
      </c>
      <c r="AK4" s="204"/>
      <c r="AL4" s="204"/>
      <c r="AM4" s="205"/>
    </row>
    <row r="5" spans="1:39" ht="40.5" x14ac:dyDescent="0.15">
      <c r="D5" s="48" t="s">
        <v>90</v>
      </c>
      <c r="F5" s="2"/>
      <c r="G5" s="2"/>
      <c r="H5" s="2"/>
      <c r="I5" s="2"/>
      <c r="J5" s="2"/>
      <c r="K5" s="2"/>
      <c r="N5" t="s">
        <v>11</v>
      </c>
      <c r="O5" s="20" t="s">
        <v>25</v>
      </c>
      <c r="P5" s="3" t="s">
        <v>15</v>
      </c>
      <c r="Q5" s="2" t="s">
        <v>14</v>
      </c>
      <c r="R5" s="2" t="s">
        <v>13</v>
      </c>
      <c r="S5" s="4" t="s">
        <v>12</v>
      </c>
      <c r="T5" s="3" t="s">
        <v>15</v>
      </c>
      <c r="U5" s="2" t="s">
        <v>14</v>
      </c>
      <c r="V5" s="2" t="s">
        <v>13</v>
      </c>
      <c r="W5" s="4" t="s">
        <v>12</v>
      </c>
      <c r="X5" s="3" t="s">
        <v>15</v>
      </c>
      <c r="Y5" s="2" t="s">
        <v>14</v>
      </c>
      <c r="Z5" s="2" t="s">
        <v>13</v>
      </c>
      <c r="AA5" s="4" t="s">
        <v>12</v>
      </c>
      <c r="AB5" s="3" t="s">
        <v>15</v>
      </c>
      <c r="AC5" s="2" t="s">
        <v>14</v>
      </c>
      <c r="AD5" s="2" t="s">
        <v>13</v>
      </c>
      <c r="AE5" s="4" t="s">
        <v>12</v>
      </c>
      <c r="AF5" s="3" t="s">
        <v>15</v>
      </c>
      <c r="AG5" s="2" t="s">
        <v>14</v>
      </c>
      <c r="AH5" s="2" t="s">
        <v>13</v>
      </c>
      <c r="AI5" s="4" t="s">
        <v>12</v>
      </c>
      <c r="AJ5" s="3" t="s">
        <v>15</v>
      </c>
      <c r="AK5" s="2" t="s">
        <v>14</v>
      </c>
      <c r="AL5" s="2" t="s">
        <v>13</v>
      </c>
      <c r="AM5" s="4" t="s">
        <v>12</v>
      </c>
    </row>
    <row r="6" spans="1:39" x14ac:dyDescent="0.15">
      <c r="A6" s="195" t="s">
        <v>118</v>
      </c>
      <c r="B6" s="195"/>
      <c r="C6" s="195"/>
      <c r="E6" s="74" t="s">
        <v>333</v>
      </c>
      <c r="N6">
        <v>0</v>
      </c>
      <c r="O6">
        <f t="shared" ref="O6:O37" si="0">N6/Rcs</f>
        <v>0</v>
      </c>
      <c r="P6" s="5">
        <f t="shared" ref="P6:P37" si="1">IF($O6&lt;((V48_Min-V12_Nom)*V12_Nom)/((2*Lm*Fsw)*V48_Min),SQRT((2*$O6*Lm*Fsw*V12_Nom)/(V48_Min*(V48_Min-V12_Nom))),(V12_Nom/V48_Min))</f>
        <v>0</v>
      </c>
      <c r="Q6" s="1">
        <f t="shared" ref="Q6:Q37" si="2">IF($O6&lt;((V48_Min-V12_Nom)*V12_Nom)/((2*Lm*Fsw)*V48_Min),SQRT((2*$O6*Lm*Fsw*V12_Nom)/(V48_Min*(V48_Min-V12_Nom)))*((V48_Min-V12_Nom)/(V12_Nom)),1-(V12_Nom/V48_Min))</f>
        <v>0</v>
      </c>
      <c r="R6" s="1">
        <f t="shared" ref="R6:R37" si="3">IF($O6&lt;((V48_Min-V12_Nom)*V12_Nom)/((2*Lm*Fsw)*V48_Min),(P6/(Fsw*Lm))*(V48_Min-V12_Nom),((P6/(Fsw*Lm))*(V48_Min-V12_Nom)))</f>
        <v>0</v>
      </c>
      <c r="S6" s="6">
        <f t="shared" ref="S6:S37" si="4">IF($O6&lt;((V48_Min-V12_Nom)*V12_Nom)/((2*Lm*Fsw)*V48_Min),(P6/(Fsw*Lm))*(V48_Min-V12_Nom),(R6/2)+$O6)</f>
        <v>0</v>
      </c>
      <c r="T6" s="5">
        <f t="shared" ref="T6:T37" si="5">IF($O6&lt;((V48_Nom-V12_Nom)*V12_Nom)/((2*Lm*Fsw)*V48_Nom),SQRT((2*$O6*Lm*Fsw*V12_Nom)/(V48_Nom*(V48_Nom-V12_Nom))),(V12_Nom/V48_Nom))</f>
        <v>0</v>
      </c>
      <c r="U6" s="1">
        <f t="shared" ref="U6:U37" si="6">IF($O6&lt;((V48_Nom-V12_Nom)*V12_Nom)/((2*Lm*Fsw)*V48_Nom),SQRT((2*$O6*Lm*Fsw*V12_Nom)/(V48_Nom*(V48_Nom-V12_Nom)))*((V48_Nom-V12_Nom)/(V12_Nom)),1-(V12_Nom/V48_Nom))</f>
        <v>0</v>
      </c>
      <c r="V6" s="1">
        <f t="shared" ref="V6:V37" si="7">IF($O6&lt;((V48_Nom-V12_Nom)*V12_Nom)/((2*Lm*Fsw)*V48_Nom),(T6/(Fsw*Lm))*(V48_Nom-V12_Nom),((T6/(Fsw*Lm))*(V48_Nom-V12_Nom)))</f>
        <v>0</v>
      </c>
      <c r="W6" s="6">
        <f t="shared" ref="W6:W37" si="8">IF($O6&lt;((V48_Nom-V12_Nom)*V12_Nom)/((2*Lm*Fsw)*V48_Nom),(T6/(Fsw*Lm))*(V48_Nom-V12_Nom),(V6/2)+$O6)</f>
        <v>0</v>
      </c>
      <c r="X6" s="5">
        <f t="shared" ref="X6:X37" si="9">IF($O6&lt;((V48_Max-V12_Nom)*V12_Nom)/((2*Lm*Fsw)*V48_Max),SQRT((2*$O6*Lm*Fsw*V12_Nom)/(V48_Max*(V48_Max-V12_Nom))),(V12_Nom/V48_Max))</f>
        <v>0</v>
      </c>
      <c r="Y6" s="1">
        <f t="shared" ref="Y6:Y37" si="10">IF($O6&lt;((V48_Max-V12_Nom)*V12_Nom)/((2*Lm*Fsw)*V48_Max),SQRT((2*$O6*Lm*Fsw*V12_Nom)/(V48_Max*(V48_Max-V12_Nom)))*((V48_Max-V12_Nom)/(V12_Nom)),1-(V12_Nom/V48_Max))</f>
        <v>0</v>
      </c>
      <c r="Z6" s="1">
        <f t="shared" ref="Z6:Z37" si="11">IF($O6&lt;((V48_Max-V12_Nom)*V12_Nom)/((2*Lm*Fsw)*V48_Max),(X6/(Fsw*Lm))*(V48_Max-V12_Nom),((X6/(Fsw*Lm))*(V48_Max-V12_Nom)))</f>
        <v>0</v>
      </c>
      <c r="AA6" s="6">
        <f t="shared" ref="AA6:AA37" si="12">IF($O6&lt;((V48_Max-V12_Nom)*V12_Nom)/((2*Lm*Fsw)*V48_Max),(X6/(Fsw*Lm))*(V48_Max-V12_Nom),(Z6/2)+$O6)</f>
        <v>0</v>
      </c>
      <c r="AB6" s="5">
        <f t="shared" ref="AB6:AB37" si="13">IF($O6&lt;((V48_Nom-V12_Min)*V12_Min)/((2*Lm*Fsw)*V48_Nom),SQRT((2*$O6*Lm*Fsw*V12_Min)/(V48_Nom*(V48_Nom-V12_Min))),(V12_Min/V48_Nom))</f>
        <v>0</v>
      </c>
      <c r="AC6" s="1">
        <f t="shared" ref="AC6:AC37" si="14">IF($O6&lt;((V48_Nom-V12_Min)*V12_Min)/((2*Lm*Fsw)*V48_Nom),SQRT((2*$O6*Lm*Fsw*V12_Min)/(V48_Nom*(V48_Nom-V12_Min)))*((V48_Nom-V12_Min)/(V12_Min)),1-(V12_Min/V48_Nom))</f>
        <v>0</v>
      </c>
      <c r="AD6" s="1">
        <f t="shared" ref="AD6:AD37" si="15">IF($O6&lt;((V48_Nom-V12_Min)*V12_Min)/((2*Lm*Fsw)*V48_Nom),(AB6/(Fsw*Lm))*(V48_Nom-V12_Min),((AB6/(Fsw*Lm))*(V48_Nom-V12_Min)))</f>
        <v>0</v>
      </c>
      <c r="AE6" s="6">
        <f t="shared" ref="AE6:AE37" si="16">IF($O6&lt;((V48_Nom-V12_Min)*V12_Min)/((2*Lm*Fsw)*V48_Nom),(AB6/(Fsw*Lm))*(V48_Nom-V12_Min),(AD6/2)+$O6)</f>
        <v>0</v>
      </c>
      <c r="AF6" s="5">
        <f t="shared" ref="AF6:AF56" si="17">IF($O6&lt;((V48_Nom-V12_Nom)*V12_Nom)/((2*Lm*Fsw)*V48_Nom),SQRT((2*$O6*Lm*Fsw*V12_Nom)/(V48_Nom*(V48_Nom-V12_Nom))),(V12_Nom/V48_Nom))</f>
        <v>0</v>
      </c>
      <c r="AG6" s="1">
        <f t="shared" ref="AG6:AG56" si="18">IF($O6&lt;((V48_Nom-V12_Nom)*V12_Nom)/((2*Lm*Fsw)*V48_Nom),SQRT((2*$O6*Lm*Fsw*V12_Nom)/(V48_Nom*(V48_Nom-V12_Nom)))*((V48_Nom-V12_Nom)/(V12_Nom)),1-(V12_Nom/V48_Nom))</f>
        <v>0</v>
      </c>
      <c r="AH6" s="1">
        <f t="shared" ref="AH6" si="19">IF($O6&lt;((V48_Nom-V12_Nom)*V12_Nom)/((2*Lm*Fsw)*V48_Nom),(AF6/(Fsw*Lm))*(V48_Nom-V12_Nom),((AF6/(Fsw*Lm))*(V48_Nom-V12_Nom)))</f>
        <v>0</v>
      </c>
      <c r="AI6" s="6">
        <f t="shared" ref="AI6" si="20">IF($O6&lt;((V48_Nom-V12_Nom)*V12_Nom)/((2*Lm*Fsw)*V48_Nom),(AF6/(Fsw*Lm))*(V48_Nom-V12_Nom),(AH6/2)+$O6)</f>
        <v>0</v>
      </c>
      <c r="AJ6" s="5">
        <f t="shared" ref="AJ6:AJ37" si="21">IF($O6&lt;((V48_Nom-V12_Max)*V12_Max)/((2*Lm*Fsw)*V48_Nom),SQRT((2*$O6*Lm*Fsw*V12_Max)/(V48_Nom*(V48_Nom-V12_Max))),(V12_Max/V48_Nom))</f>
        <v>0</v>
      </c>
      <c r="AK6" s="1">
        <f t="shared" ref="AK6:AK37" si="22">IF($O6&lt;((V48_Nom-V12_Max)*V12_Max)/((2*Lm*Fsw)*V48_Nom),SQRT((2*$O6*Lm*Fsw*V12_Max)/(V48_Nom*(V48_Nom-V12_Max)))*((V48_Nom-V12_Max)/(V12_Max)),1-(V12_Max/V48_Nom))</f>
        <v>0</v>
      </c>
      <c r="AL6" s="1">
        <f t="shared" ref="AL6:AL37" si="23">IF($O6&lt;((V48_Nom-V12_Max)*V12_Max)/((2*Lm*Fsw)*V48_Nom),(AJ6/(Fsw*Lm))*(V48_Nom-V12_Max),((AJ6/(Fsw*Lm))*(V48_Nom-V12_Max)))</f>
        <v>0</v>
      </c>
      <c r="AM6" s="6">
        <f t="shared" ref="AM6:AM37" si="24">IF($O6&lt;((V48_Nom-V12_Max)*V12_Max)/((2*Lm*Fsw)*V48_Nom),(AJ6/(Fsw*Lm))*(V48_Nom-V12_Max),(AL6/2)+$O6)</f>
        <v>0</v>
      </c>
    </row>
    <row r="7" spans="1:39" x14ac:dyDescent="0.15">
      <c r="A7" s="31" t="s">
        <v>108</v>
      </c>
      <c r="B7" s="49">
        <f>Design_Converter!B11</f>
        <v>30</v>
      </c>
      <c r="C7" s="31" t="s">
        <v>1</v>
      </c>
      <c r="E7" s="34" t="s">
        <v>119</v>
      </c>
      <c r="I7" s="36"/>
      <c r="J7" t="s">
        <v>127</v>
      </c>
      <c r="N7">
        <v>1E-3</v>
      </c>
      <c r="O7">
        <f t="shared" si="0"/>
        <v>1</v>
      </c>
      <c r="P7" s="5">
        <f t="shared" si="1"/>
        <v>0.500666222813829</v>
      </c>
      <c r="Q7" s="1">
        <f t="shared" si="2"/>
        <v>0.2503331114069145</v>
      </c>
      <c r="R7" s="1">
        <f t="shared" si="3"/>
        <v>2.6631182064565371</v>
      </c>
      <c r="S7" s="6">
        <f t="shared" si="4"/>
        <v>2.6631182064565371</v>
      </c>
      <c r="T7" s="5">
        <f t="shared" si="5"/>
        <v>0.22390474164995552</v>
      </c>
      <c r="U7" s="1">
        <f t="shared" si="6"/>
        <v>0.33585711247493327</v>
      </c>
      <c r="V7" s="1">
        <f t="shared" si="7"/>
        <v>3.5729480050524822</v>
      </c>
      <c r="W7" s="6">
        <f t="shared" si="8"/>
        <v>3.5729480050524822</v>
      </c>
      <c r="X7" s="5">
        <f t="shared" si="9"/>
        <v>0.11666558930767369</v>
      </c>
      <c r="Y7" s="1">
        <f t="shared" si="10"/>
        <v>0.37916316524993948</v>
      </c>
      <c r="Z7" s="1">
        <f t="shared" si="11"/>
        <v>4.0336506941482932</v>
      </c>
      <c r="AA7" s="6">
        <f t="shared" si="12"/>
        <v>4.0336506941482932</v>
      </c>
      <c r="AB7" s="5">
        <f t="shared" si="13"/>
        <v>0.21015489374525487</v>
      </c>
      <c r="AC7" s="1">
        <f t="shared" si="14"/>
        <v>0.35783130556624476</v>
      </c>
      <c r="AD7" s="1">
        <f t="shared" si="15"/>
        <v>3.5212123154125154</v>
      </c>
      <c r="AE7" s="6">
        <f t="shared" si="16"/>
        <v>3.5212123154125154</v>
      </c>
      <c r="AF7" s="5">
        <f t="shared" si="17"/>
        <v>0.22390474164995552</v>
      </c>
      <c r="AG7" s="1">
        <f t="shared" si="18"/>
        <v>0.33585711247493327</v>
      </c>
      <c r="AH7" s="1">
        <f t="shared" ref="AH7:AH56" si="25">IF($O7&lt;((V48_Nom-V12_Nom)*V12_Nom)/((2*Lm*Fsw)*V48_Nom),(AF7/(Fsw*Lm))*(V48_Nom-V12_Nom),((AF7/(Fsw*Lm))*(V48_Nom-V12_Nom)))</f>
        <v>3.5729480050524822</v>
      </c>
      <c r="AI7" s="6">
        <f t="shared" ref="AI7:AI56" si="26">IF($O7&lt;((V48_Nom-V12_Nom)*V12_Nom)/((2*Lm*Fsw)*V48_Nom),(AF7/(Fsw*Lm))*(V48_Nom-V12_Nom),(AH7/2)+$O7)</f>
        <v>3.5729480050524822</v>
      </c>
      <c r="AJ7" s="5">
        <f t="shared" si="21"/>
        <v>0.28542366171476857</v>
      </c>
      <c r="AK7" s="1">
        <f t="shared" si="22"/>
        <v>0.26346799542901717</v>
      </c>
      <c r="AL7" s="1">
        <f t="shared" si="23"/>
        <v>3.6437063197630035</v>
      </c>
      <c r="AM7" s="6">
        <f t="shared" si="24"/>
        <v>3.6437063197630035</v>
      </c>
    </row>
    <row r="8" spans="1:39" x14ac:dyDescent="0.15">
      <c r="A8" s="31" t="s">
        <v>109</v>
      </c>
      <c r="B8" s="49">
        <f>Design_Converter!B12</f>
        <v>50</v>
      </c>
      <c r="C8" s="31" t="s">
        <v>1</v>
      </c>
      <c r="E8" s="34" t="s">
        <v>120</v>
      </c>
      <c r="I8" s="37"/>
      <c r="J8" t="s">
        <v>128</v>
      </c>
      <c r="N8">
        <v>2E-3</v>
      </c>
      <c r="O8">
        <f t="shared" si="0"/>
        <v>2</v>
      </c>
      <c r="P8" s="5">
        <f t="shared" si="1"/>
        <v>0.66666666666666663</v>
      </c>
      <c r="Q8" s="1">
        <f t="shared" si="2"/>
        <v>0.33333333333333337</v>
      </c>
      <c r="R8" s="1">
        <f t="shared" si="3"/>
        <v>3.5460992907801421</v>
      </c>
      <c r="S8" s="6">
        <f t="shared" si="4"/>
        <v>3.773049645390071</v>
      </c>
      <c r="T8" s="5">
        <f t="shared" si="5"/>
        <v>0.31664912232101111</v>
      </c>
      <c r="U8" s="1">
        <f t="shared" si="6"/>
        <v>0.4749736834815167</v>
      </c>
      <c r="V8" s="1">
        <f t="shared" si="7"/>
        <v>5.0529115263991136</v>
      </c>
      <c r="W8" s="6">
        <f t="shared" si="8"/>
        <v>5.0529115263991136</v>
      </c>
      <c r="X8" s="5">
        <f t="shared" si="9"/>
        <v>0.16499005866116168</v>
      </c>
      <c r="Y8" s="1">
        <f t="shared" si="10"/>
        <v>0.53621769064877545</v>
      </c>
      <c r="Z8" s="1">
        <f t="shared" si="11"/>
        <v>5.7044435175401649</v>
      </c>
      <c r="AA8" s="6">
        <f t="shared" si="12"/>
        <v>5.7044435175401649</v>
      </c>
      <c r="AB8" s="5">
        <f t="shared" si="13"/>
        <v>0.29720390093361615</v>
      </c>
      <c r="AC8" s="1">
        <f t="shared" si="14"/>
        <v>0.50604988537345452</v>
      </c>
      <c r="AD8" s="1">
        <f t="shared" si="15"/>
        <v>4.9797462124515475</v>
      </c>
      <c r="AE8" s="6">
        <f t="shared" si="16"/>
        <v>4.9797462124515475</v>
      </c>
      <c r="AF8" s="5">
        <f t="shared" si="17"/>
        <v>0.31664912232101111</v>
      </c>
      <c r="AG8" s="1">
        <f t="shared" si="18"/>
        <v>0.4749736834815167</v>
      </c>
      <c r="AH8" s="1">
        <f t="shared" si="25"/>
        <v>5.0529115263991136</v>
      </c>
      <c r="AI8" s="6">
        <f t="shared" si="26"/>
        <v>5.0529115263991136</v>
      </c>
      <c r="AJ8" s="5">
        <f t="shared" si="21"/>
        <v>0.40365001341921608</v>
      </c>
      <c r="AK8" s="1">
        <f t="shared" si="22"/>
        <v>0.37260001238696872</v>
      </c>
      <c r="AL8" s="1">
        <f t="shared" si="23"/>
        <v>5.1529788947133968</v>
      </c>
      <c r="AM8" s="6">
        <f t="shared" si="24"/>
        <v>5.1529788947133968</v>
      </c>
    </row>
    <row r="9" spans="1:39" x14ac:dyDescent="0.15">
      <c r="A9" s="31" t="s">
        <v>110</v>
      </c>
      <c r="B9" s="49">
        <f>Design_Converter!B13</f>
        <v>85</v>
      </c>
      <c r="C9" s="31" t="s">
        <v>1</v>
      </c>
      <c r="E9" s="34" t="s">
        <v>125</v>
      </c>
      <c r="I9" s="38"/>
      <c r="J9" t="s">
        <v>138</v>
      </c>
      <c r="N9">
        <v>3.0000000000000001E-3</v>
      </c>
      <c r="O9">
        <f t="shared" si="0"/>
        <v>3</v>
      </c>
      <c r="P9" s="5">
        <f t="shared" si="1"/>
        <v>0.66666666666666663</v>
      </c>
      <c r="Q9" s="1">
        <f t="shared" si="2"/>
        <v>0.33333333333333337</v>
      </c>
      <c r="R9" s="1">
        <f t="shared" si="3"/>
        <v>3.5460992907801421</v>
      </c>
      <c r="S9" s="6">
        <f t="shared" si="4"/>
        <v>4.7730496453900706</v>
      </c>
      <c r="T9" s="5">
        <f t="shared" si="5"/>
        <v>0.3878143885933063</v>
      </c>
      <c r="U9" s="1">
        <f t="shared" si="6"/>
        <v>0.58172158288995945</v>
      </c>
      <c r="V9" s="1">
        <f t="shared" si="7"/>
        <v>6.1885274775527606</v>
      </c>
      <c r="W9" s="6">
        <f t="shared" si="8"/>
        <v>6.1885274775527606</v>
      </c>
      <c r="X9" s="5">
        <f t="shared" si="9"/>
        <v>0.2020707281758552</v>
      </c>
      <c r="Y9" s="1">
        <f t="shared" si="10"/>
        <v>0.65672986657152943</v>
      </c>
      <c r="Z9" s="1">
        <f t="shared" si="11"/>
        <v>6.9864879422503128</v>
      </c>
      <c r="AA9" s="6">
        <f t="shared" si="12"/>
        <v>6.9864879422503128</v>
      </c>
      <c r="AB9" s="5">
        <f t="shared" si="13"/>
        <v>0.36399895342602034</v>
      </c>
      <c r="AC9" s="1">
        <f t="shared" si="14"/>
        <v>0.61978200177943998</v>
      </c>
      <c r="AD9" s="1">
        <f t="shared" si="15"/>
        <v>6.0989186345317243</v>
      </c>
      <c r="AE9" s="6">
        <f t="shared" si="16"/>
        <v>6.0989186345317243</v>
      </c>
      <c r="AF9" s="5">
        <f t="shared" si="17"/>
        <v>0.3878143885933063</v>
      </c>
      <c r="AG9" s="1">
        <f t="shared" si="18"/>
        <v>0.58172158288995945</v>
      </c>
      <c r="AH9" s="1">
        <f t="shared" si="25"/>
        <v>6.1885274775527606</v>
      </c>
      <c r="AI9" s="6">
        <f t="shared" si="26"/>
        <v>6.1885274775527606</v>
      </c>
      <c r="AJ9" s="5">
        <f t="shared" si="21"/>
        <v>0.49436828377233105</v>
      </c>
      <c r="AK9" s="1">
        <f t="shared" si="22"/>
        <v>0.45633995425138252</v>
      </c>
      <c r="AL9" s="1">
        <f t="shared" si="23"/>
        <v>6.3110844736893332</v>
      </c>
      <c r="AM9" s="6">
        <f t="shared" si="24"/>
        <v>6.3110844736893332</v>
      </c>
    </row>
    <row r="10" spans="1:39" x14ac:dyDescent="0.15">
      <c r="A10" s="195" t="s">
        <v>121</v>
      </c>
      <c r="B10" s="195"/>
      <c r="C10" s="195"/>
      <c r="I10" s="39"/>
      <c r="J10" t="s">
        <v>145</v>
      </c>
      <c r="N10">
        <v>4.0000000000000001E-3</v>
      </c>
      <c r="O10">
        <f t="shared" si="0"/>
        <v>4</v>
      </c>
      <c r="P10" s="5">
        <f t="shared" si="1"/>
        <v>0.66666666666666663</v>
      </c>
      <c r="Q10" s="1">
        <f t="shared" si="2"/>
        <v>0.33333333333333337</v>
      </c>
      <c r="R10" s="1">
        <f t="shared" si="3"/>
        <v>3.5460992907801421</v>
      </c>
      <c r="S10" s="6">
        <f t="shared" si="4"/>
        <v>5.7730496453900706</v>
      </c>
      <c r="T10" s="5">
        <f t="shared" si="5"/>
        <v>0.4</v>
      </c>
      <c r="U10" s="1">
        <f t="shared" si="6"/>
        <v>0.6</v>
      </c>
      <c r="V10" s="1">
        <f t="shared" si="7"/>
        <v>6.3829787234042561</v>
      </c>
      <c r="W10" s="6">
        <f t="shared" si="8"/>
        <v>7.1914893617021285</v>
      </c>
      <c r="X10" s="5">
        <f t="shared" si="9"/>
        <v>0.23333117861534738</v>
      </c>
      <c r="Y10" s="1">
        <f t="shared" si="10"/>
        <v>0.75832633049987896</v>
      </c>
      <c r="Z10" s="1">
        <f t="shared" si="11"/>
        <v>8.0673013882965865</v>
      </c>
      <c r="AA10" s="6">
        <f t="shared" si="12"/>
        <v>8.0673013882965865</v>
      </c>
      <c r="AB10" s="5">
        <f t="shared" si="13"/>
        <v>0.37</v>
      </c>
      <c r="AC10" s="1">
        <f t="shared" si="14"/>
        <v>0.63</v>
      </c>
      <c r="AD10" s="1">
        <f t="shared" si="15"/>
        <v>6.1994680851063828</v>
      </c>
      <c r="AE10" s="6">
        <f t="shared" si="16"/>
        <v>7.099734042553191</v>
      </c>
      <c r="AF10" s="5">
        <f t="shared" si="17"/>
        <v>0.4</v>
      </c>
      <c r="AG10" s="1">
        <f t="shared" si="18"/>
        <v>0.6</v>
      </c>
      <c r="AH10" s="1">
        <f t="shared" si="25"/>
        <v>6.3829787234042561</v>
      </c>
      <c r="AI10" s="6">
        <f t="shared" si="26"/>
        <v>7.1914893617021285</v>
      </c>
      <c r="AJ10" s="5">
        <f t="shared" si="21"/>
        <v>0.52</v>
      </c>
      <c r="AK10" s="1">
        <f t="shared" si="22"/>
        <v>0.48</v>
      </c>
      <c r="AL10" s="1">
        <f t="shared" si="23"/>
        <v>6.6382978723404253</v>
      </c>
      <c r="AM10" s="6">
        <f t="shared" si="24"/>
        <v>7.3191489361702127</v>
      </c>
    </row>
    <row r="11" spans="1:39" x14ac:dyDescent="0.15">
      <c r="A11" s="31" t="s">
        <v>76</v>
      </c>
      <c r="B11" s="49">
        <f>Design_Converter!B16</f>
        <v>18.5</v>
      </c>
      <c r="C11" s="31" t="s">
        <v>1</v>
      </c>
      <c r="E11" s="34" t="s">
        <v>122</v>
      </c>
      <c r="N11">
        <v>5.0000000000000001E-3</v>
      </c>
      <c r="O11">
        <f t="shared" si="0"/>
        <v>5</v>
      </c>
      <c r="P11" s="5">
        <f t="shared" si="1"/>
        <v>0.66666666666666663</v>
      </c>
      <c r="Q11" s="1">
        <f t="shared" si="2"/>
        <v>0.33333333333333337</v>
      </c>
      <c r="R11" s="1">
        <f t="shared" si="3"/>
        <v>3.5460992907801421</v>
      </c>
      <c r="S11" s="6">
        <f t="shared" si="4"/>
        <v>6.7730496453900706</v>
      </c>
      <c r="T11" s="5">
        <f t="shared" si="5"/>
        <v>0.4</v>
      </c>
      <c r="U11" s="1">
        <f t="shared" si="6"/>
        <v>0.6</v>
      </c>
      <c r="V11" s="1">
        <f t="shared" si="7"/>
        <v>6.3829787234042561</v>
      </c>
      <c r="W11" s="6">
        <f t="shared" si="8"/>
        <v>8.1914893617021285</v>
      </c>
      <c r="X11" s="5">
        <f t="shared" si="9"/>
        <v>0.23529411764705882</v>
      </c>
      <c r="Y11" s="1">
        <f t="shared" si="10"/>
        <v>0.76470588235294112</v>
      </c>
      <c r="Z11" s="1">
        <f t="shared" si="11"/>
        <v>8.1351689612015026</v>
      </c>
      <c r="AA11" s="6">
        <f t="shared" si="12"/>
        <v>9.0675844806007504</v>
      </c>
      <c r="AB11" s="5">
        <f t="shared" si="13"/>
        <v>0.37</v>
      </c>
      <c r="AC11" s="1">
        <f t="shared" si="14"/>
        <v>0.63</v>
      </c>
      <c r="AD11" s="1">
        <f t="shared" si="15"/>
        <v>6.1994680851063828</v>
      </c>
      <c r="AE11" s="6">
        <f t="shared" si="16"/>
        <v>8.099734042553191</v>
      </c>
      <c r="AF11" s="5">
        <f t="shared" si="17"/>
        <v>0.4</v>
      </c>
      <c r="AG11" s="1">
        <f t="shared" si="18"/>
        <v>0.6</v>
      </c>
      <c r="AH11" s="1">
        <f t="shared" si="25"/>
        <v>6.3829787234042561</v>
      </c>
      <c r="AI11" s="6">
        <f t="shared" si="26"/>
        <v>8.1914893617021285</v>
      </c>
      <c r="AJ11" s="5">
        <f t="shared" si="21"/>
        <v>0.52</v>
      </c>
      <c r="AK11" s="1">
        <f t="shared" si="22"/>
        <v>0.48</v>
      </c>
      <c r="AL11" s="1">
        <f t="shared" si="23"/>
        <v>6.6382978723404253</v>
      </c>
      <c r="AM11" s="6">
        <f t="shared" si="24"/>
        <v>8.3191489361702118</v>
      </c>
    </row>
    <row r="12" spans="1:39" x14ac:dyDescent="0.15">
      <c r="A12" s="31" t="s">
        <v>77</v>
      </c>
      <c r="B12" s="49">
        <f>Design_Converter!B17</f>
        <v>20</v>
      </c>
      <c r="C12" s="31" t="s">
        <v>1</v>
      </c>
      <c r="E12" s="34" t="s">
        <v>123</v>
      </c>
      <c r="N12">
        <v>6.0000000000000001E-3</v>
      </c>
      <c r="O12">
        <f t="shared" si="0"/>
        <v>6</v>
      </c>
      <c r="P12" s="5">
        <f t="shared" si="1"/>
        <v>0.66666666666666663</v>
      </c>
      <c r="Q12" s="1">
        <f t="shared" si="2"/>
        <v>0.33333333333333337</v>
      </c>
      <c r="R12" s="1">
        <f t="shared" si="3"/>
        <v>3.5460992907801421</v>
      </c>
      <c r="S12" s="6">
        <f t="shared" si="4"/>
        <v>7.7730496453900706</v>
      </c>
      <c r="T12" s="5">
        <f t="shared" si="5"/>
        <v>0.4</v>
      </c>
      <c r="U12" s="1">
        <f t="shared" si="6"/>
        <v>0.6</v>
      </c>
      <c r="V12" s="1">
        <f t="shared" si="7"/>
        <v>6.3829787234042561</v>
      </c>
      <c r="W12" s="6">
        <f t="shared" si="8"/>
        <v>9.1914893617021285</v>
      </c>
      <c r="X12" s="5">
        <f t="shared" si="9"/>
        <v>0.23529411764705882</v>
      </c>
      <c r="Y12" s="1">
        <f t="shared" si="10"/>
        <v>0.76470588235294112</v>
      </c>
      <c r="Z12" s="1">
        <f t="shared" si="11"/>
        <v>8.1351689612015026</v>
      </c>
      <c r="AA12" s="6">
        <f t="shared" si="12"/>
        <v>10.06758448060075</v>
      </c>
      <c r="AB12" s="5">
        <f t="shared" si="13"/>
        <v>0.37</v>
      </c>
      <c r="AC12" s="1">
        <f t="shared" si="14"/>
        <v>0.63</v>
      </c>
      <c r="AD12" s="1">
        <f t="shared" si="15"/>
        <v>6.1994680851063828</v>
      </c>
      <c r="AE12" s="6">
        <f t="shared" si="16"/>
        <v>9.099734042553191</v>
      </c>
      <c r="AF12" s="5">
        <f t="shared" si="17"/>
        <v>0.4</v>
      </c>
      <c r="AG12" s="1">
        <f t="shared" si="18"/>
        <v>0.6</v>
      </c>
      <c r="AH12" s="1">
        <f t="shared" si="25"/>
        <v>6.3829787234042561</v>
      </c>
      <c r="AI12" s="6">
        <f t="shared" si="26"/>
        <v>9.1914893617021285</v>
      </c>
      <c r="AJ12" s="5">
        <f t="shared" si="21"/>
        <v>0.52</v>
      </c>
      <c r="AK12" s="1">
        <f t="shared" si="22"/>
        <v>0.48</v>
      </c>
      <c r="AL12" s="1">
        <f t="shared" si="23"/>
        <v>6.6382978723404253</v>
      </c>
      <c r="AM12" s="6">
        <f t="shared" si="24"/>
        <v>9.3191489361702118</v>
      </c>
    </row>
    <row r="13" spans="1:39" x14ac:dyDescent="0.15">
      <c r="A13" s="31" t="s">
        <v>78</v>
      </c>
      <c r="B13" s="49">
        <f>Design_Converter!B18</f>
        <v>26</v>
      </c>
      <c r="C13" s="31" t="s">
        <v>1</v>
      </c>
      <c r="E13" s="34" t="s">
        <v>124</v>
      </c>
      <c r="N13">
        <v>7.0000000000000001E-3</v>
      </c>
      <c r="O13">
        <f t="shared" si="0"/>
        <v>7</v>
      </c>
      <c r="P13" s="5">
        <f t="shared" si="1"/>
        <v>0.66666666666666663</v>
      </c>
      <c r="Q13" s="1">
        <f t="shared" si="2"/>
        <v>0.33333333333333337</v>
      </c>
      <c r="R13" s="1">
        <f t="shared" si="3"/>
        <v>3.5460992907801421</v>
      </c>
      <c r="S13" s="6">
        <f t="shared" si="4"/>
        <v>8.7730496453900706</v>
      </c>
      <c r="T13" s="5">
        <f t="shared" si="5"/>
        <v>0.4</v>
      </c>
      <c r="U13" s="1">
        <f t="shared" si="6"/>
        <v>0.6</v>
      </c>
      <c r="V13" s="1">
        <f t="shared" si="7"/>
        <v>6.3829787234042561</v>
      </c>
      <c r="W13" s="6">
        <f t="shared" si="8"/>
        <v>10.191489361702128</v>
      </c>
      <c r="X13" s="5">
        <f t="shared" si="9"/>
        <v>0.23529411764705882</v>
      </c>
      <c r="Y13" s="1">
        <f t="shared" si="10"/>
        <v>0.76470588235294112</v>
      </c>
      <c r="Z13" s="1">
        <f t="shared" si="11"/>
        <v>8.1351689612015026</v>
      </c>
      <c r="AA13" s="6">
        <f t="shared" si="12"/>
        <v>11.06758448060075</v>
      </c>
      <c r="AB13" s="5">
        <f t="shared" si="13"/>
        <v>0.37</v>
      </c>
      <c r="AC13" s="1">
        <f t="shared" si="14"/>
        <v>0.63</v>
      </c>
      <c r="AD13" s="1">
        <f t="shared" si="15"/>
        <v>6.1994680851063828</v>
      </c>
      <c r="AE13" s="6">
        <f t="shared" si="16"/>
        <v>10.099734042553191</v>
      </c>
      <c r="AF13" s="5">
        <f t="shared" si="17"/>
        <v>0.4</v>
      </c>
      <c r="AG13" s="1">
        <f t="shared" si="18"/>
        <v>0.6</v>
      </c>
      <c r="AH13" s="1">
        <f t="shared" si="25"/>
        <v>6.3829787234042561</v>
      </c>
      <c r="AI13" s="6">
        <f t="shared" si="26"/>
        <v>10.191489361702128</v>
      </c>
      <c r="AJ13" s="5">
        <f t="shared" si="21"/>
        <v>0.52</v>
      </c>
      <c r="AK13" s="1">
        <f t="shared" si="22"/>
        <v>0.48</v>
      </c>
      <c r="AL13" s="1">
        <f t="shared" si="23"/>
        <v>6.6382978723404253</v>
      </c>
      <c r="AM13" s="6">
        <f t="shared" si="24"/>
        <v>10.319148936170212</v>
      </c>
    </row>
    <row r="14" spans="1:39" x14ac:dyDescent="0.15">
      <c r="A14" s="195" t="s">
        <v>86</v>
      </c>
      <c r="B14" s="195"/>
      <c r="C14" s="195"/>
      <c r="N14">
        <v>8.0000000000000002E-3</v>
      </c>
      <c r="O14">
        <f t="shared" si="0"/>
        <v>8</v>
      </c>
      <c r="P14" s="5">
        <f t="shared" si="1"/>
        <v>0.66666666666666663</v>
      </c>
      <c r="Q14" s="1">
        <f t="shared" si="2"/>
        <v>0.33333333333333337</v>
      </c>
      <c r="R14" s="1">
        <f t="shared" si="3"/>
        <v>3.5460992907801421</v>
      </c>
      <c r="S14" s="6">
        <f t="shared" si="4"/>
        <v>9.7730496453900706</v>
      </c>
      <c r="T14" s="5">
        <f t="shared" si="5"/>
        <v>0.4</v>
      </c>
      <c r="U14" s="1">
        <f t="shared" si="6"/>
        <v>0.6</v>
      </c>
      <c r="V14" s="1">
        <f t="shared" si="7"/>
        <v>6.3829787234042561</v>
      </c>
      <c r="W14" s="6">
        <f t="shared" si="8"/>
        <v>11.191489361702128</v>
      </c>
      <c r="X14" s="5">
        <f t="shared" si="9"/>
        <v>0.23529411764705882</v>
      </c>
      <c r="Y14" s="1">
        <f t="shared" si="10"/>
        <v>0.76470588235294112</v>
      </c>
      <c r="Z14" s="1">
        <f t="shared" si="11"/>
        <v>8.1351689612015026</v>
      </c>
      <c r="AA14" s="6">
        <f t="shared" si="12"/>
        <v>12.06758448060075</v>
      </c>
      <c r="AB14" s="5">
        <f t="shared" si="13"/>
        <v>0.37</v>
      </c>
      <c r="AC14" s="1">
        <f t="shared" si="14"/>
        <v>0.63</v>
      </c>
      <c r="AD14" s="1">
        <f t="shared" si="15"/>
        <v>6.1994680851063828</v>
      </c>
      <c r="AE14" s="6">
        <f t="shared" si="16"/>
        <v>11.099734042553191</v>
      </c>
      <c r="AF14" s="5">
        <f t="shared" si="17"/>
        <v>0.4</v>
      </c>
      <c r="AG14" s="1">
        <f t="shared" si="18"/>
        <v>0.6</v>
      </c>
      <c r="AH14" s="1">
        <f t="shared" si="25"/>
        <v>6.3829787234042561</v>
      </c>
      <c r="AI14" s="6">
        <f t="shared" si="26"/>
        <v>11.191489361702128</v>
      </c>
      <c r="AJ14" s="5">
        <f t="shared" si="21"/>
        <v>0.52</v>
      </c>
      <c r="AK14" s="1">
        <f t="shared" si="22"/>
        <v>0.48</v>
      </c>
      <c r="AL14" s="1">
        <f t="shared" si="23"/>
        <v>6.6382978723404253</v>
      </c>
      <c r="AM14" s="6">
        <f t="shared" si="24"/>
        <v>11.319148936170212</v>
      </c>
    </row>
    <row r="15" spans="1:39" x14ac:dyDescent="0.15">
      <c r="A15" s="31" t="s">
        <v>129</v>
      </c>
      <c r="B15" s="49">
        <f>Design_Converter!B21*1000</f>
        <v>400000</v>
      </c>
      <c r="C15" s="31" t="s">
        <v>87</v>
      </c>
      <c r="D15" s="34">
        <f>IF(AND(B15&lt;=Constants!B39,B15&lt;=Constants!D39),1,0)</f>
        <v>0</v>
      </c>
      <c r="E15" s="34" t="s">
        <v>130</v>
      </c>
      <c r="N15">
        <v>8.9999999999999993E-3</v>
      </c>
      <c r="O15">
        <f t="shared" si="0"/>
        <v>9</v>
      </c>
      <c r="P15" s="5">
        <f t="shared" si="1"/>
        <v>0.66666666666666663</v>
      </c>
      <c r="Q15" s="1">
        <f t="shared" si="2"/>
        <v>0.33333333333333337</v>
      </c>
      <c r="R15" s="1">
        <f t="shared" si="3"/>
        <v>3.5460992907801421</v>
      </c>
      <c r="S15" s="6">
        <f t="shared" si="4"/>
        <v>10.773049645390071</v>
      </c>
      <c r="T15" s="5">
        <f t="shared" si="5"/>
        <v>0.4</v>
      </c>
      <c r="U15" s="1">
        <f t="shared" si="6"/>
        <v>0.6</v>
      </c>
      <c r="V15" s="1">
        <f t="shared" si="7"/>
        <v>6.3829787234042561</v>
      </c>
      <c r="W15" s="6">
        <f t="shared" si="8"/>
        <v>12.191489361702128</v>
      </c>
      <c r="X15" s="5">
        <f t="shared" si="9"/>
        <v>0.23529411764705882</v>
      </c>
      <c r="Y15" s="1">
        <f t="shared" si="10"/>
        <v>0.76470588235294112</v>
      </c>
      <c r="Z15" s="1">
        <f t="shared" si="11"/>
        <v>8.1351689612015026</v>
      </c>
      <c r="AA15" s="6">
        <f t="shared" si="12"/>
        <v>13.06758448060075</v>
      </c>
      <c r="AB15" s="5">
        <f t="shared" si="13"/>
        <v>0.37</v>
      </c>
      <c r="AC15" s="1">
        <f t="shared" si="14"/>
        <v>0.63</v>
      </c>
      <c r="AD15" s="1">
        <f t="shared" si="15"/>
        <v>6.1994680851063828</v>
      </c>
      <c r="AE15" s="6">
        <f t="shared" si="16"/>
        <v>12.099734042553191</v>
      </c>
      <c r="AF15" s="5">
        <f t="shared" si="17"/>
        <v>0.4</v>
      </c>
      <c r="AG15" s="1">
        <f t="shared" si="18"/>
        <v>0.6</v>
      </c>
      <c r="AH15" s="1">
        <f t="shared" si="25"/>
        <v>6.3829787234042561</v>
      </c>
      <c r="AI15" s="6">
        <f t="shared" si="26"/>
        <v>12.191489361702128</v>
      </c>
      <c r="AJ15" s="5">
        <f t="shared" si="21"/>
        <v>0.52</v>
      </c>
      <c r="AK15" s="1">
        <f t="shared" si="22"/>
        <v>0.48</v>
      </c>
      <c r="AL15" s="1">
        <f t="shared" si="23"/>
        <v>6.6382978723404253</v>
      </c>
      <c r="AM15" s="6">
        <f t="shared" si="24"/>
        <v>12.319148936170212</v>
      </c>
    </row>
    <row r="16" spans="1:39" x14ac:dyDescent="0.15">
      <c r="A16" s="31" t="s">
        <v>149</v>
      </c>
      <c r="B16" s="50">
        <f>Constants!C17/(Fsw*1000)</f>
        <v>10</v>
      </c>
      <c r="C16" s="31" t="s">
        <v>39</v>
      </c>
      <c r="D16" s="34" t="s">
        <v>98</v>
      </c>
      <c r="E16" s="34" t="s">
        <v>150</v>
      </c>
      <c r="N16">
        <v>0.01</v>
      </c>
      <c r="O16">
        <f t="shared" si="0"/>
        <v>10</v>
      </c>
      <c r="P16" s="5">
        <f t="shared" si="1"/>
        <v>0.66666666666666663</v>
      </c>
      <c r="Q16" s="1">
        <f t="shared" si="2"/>
        <v>0.33333333333333337</v>
      </c>
      <c r="R16" s="1">
        <f t="shared" si="3"/>
        <v>3.5460992907801421</v>
      </c>
      <c r="S16" s="6">
        <f t="shared" si="4"/>
        <v>11.773049645390071</v>
      </c>
      <c r="T16" s="5">
        <f t="shared" si="5"/>
        <v>0.4</v>
      </c>
      <c r="U16" s="1">
        <f t="shared" si="6"/>
        <v>0.6</v>
      </c>
      <c r="V16" s="1">
        <f t="shared" si="7"/>
        <v>6.3829787234042561</v>
      </c>
      <c r="W16" s="6">
        <f t="shared" si="8"/>
        <v>13.191489361702128</v>
      </c>
      <c r="X16" s="5">
        <f t="shared" si="9"/>
        <v>0.23529411764705882</v>
      </c>
      <c r="Y16" s="1">
        <f t="shared" si="10"/>
        <v>0.76470588235294112</v>
      </c>
      <c r="Z16" s="1">
        <f t="shared" si="11"/>
        <v>8.1351689612015026</v>
      </c>
      <c r="AA16" s="6">
        <f t="shared" si="12"/>
        <v>14.06758448060075</v>
      </c>
      <c r="AB16" s="5">
        <f t="shared" si="13"/>
        <v>0.37</v>
      </c>
      <c r="AC16" s="1">
        <f t="shared" si="14"/>
        <v>0.63</v>
      </c>
      <c r="AD16" s="1">
        <f t="shared" si="15"/>
        <v>6.1994680851063828</v>
      </c>
      <c r="AE16" s="6">
        <f t="shared" si="16"/>
        <v>13.099734042553191</v>
      </c>
      <c r="AF16" s="5">
        <f t="shared" si="17"/>
        <v>0.4</v>
      </c>
      <c r="AG16" s="1">
        <f t="shared" si="18"/>
        <v>0.6</v>
      </c>
      <c r="AH16" s="1">
        <f t="shared" si="25"/>
        <v>6.3829787234042561</v>
      </c>
      <c r="AI16" s="6">
        <f t="shared" si="26"/>
        <v>13.191489361702128</v>
      </c>
      <c r="AJ16" s="5">
        <f t="shared" si="21"/>
        <v>0.52</v>
      </c>
      <c r="AK16" s="1">
        <f t="shared" si="22"/>
        <v>0.48</v>
      </c>
      <c r="AL16" s="1">
        <f t="shared" si="23"/>
        <v>6.6382978723404253</v>
      </c>
      <c r="AM16" s="6">
        <f t="shared" si="24"/>
        <v>13.319148936170212</v>
      </c>
    </row>
    <row r="17" spans="1:39" x14ac:dyDescent="0.15">
      <c r="A17" s="31" t="s">
        <v>88</v>
      </c>
      <c r="B17" s="51">
        <f>(1-(V12_Max/V48_Min))/Fsw</f>
        <v>3.3333333333333325E-7</v>
      </c>
      <c r="C17" s="31" t="s">
        <v>23</v>
      </c>
      <c r="D17" s="34">
        <f>IF(B17&lt;Constants!C3,1,0)</f>
        <v>0</v>
      </c>
      <c r="N17">
        <v>1.0999999999999999E-2</v>
      </c>
      <c r="O17">
        <f t="shared" si="0"/>
        <v>11</v>
      </c>
      <c r="P17" s="5">
        <f t="shared" si="1"/>
        <v>0.66666666666666663</v>
      </c>
      <c r="Q17" s="1">
        <f t="shared" si="2"/>
        <v>0.33333333333333337</v>
      </c>
      <c r="R17" s="1">
        <f t="shared" si="3"/>
        <v>3.5460992907801421</v>
      </c>
      <c r="S17" s="6">
        <f t="shared" si="4"/>
        <v>12.773049645390071</v>
      </c>
      <c r="T17" s="5">
        <f t="shared" si="5"/>
        <v>0.4</v>
      </c>
      <c r="U17" s="1">
        <f t="shared" si="6"/>
        <v>0.6</v>
      </c>
      <c r="V17" s="1">
        <f t="shared" si="7"/>
        <v>6.3829787234042561</v>
      </c>
      <c r="W17" s="6">
        <f t="shared" si="8"/>
        <v>14.191489361702128</v>
      </c>
      <c r="X17" s="5">
        <f t="shared" si="9"/>
        <v>0.23529411764705882</v>
      </c>
      <c r="Y17" s="1">
        <f t="shared" si="10"/>
        <v>0.76470588235294112</v>
      </c>
      <c r="Z17" s="1">
        <f t="shared" si="11"/>
        <v>8.1351689612015026</v>
      </c>
      <c r="AA17" s="6">
        <f t="shared" si="12"/>
        <v>15.06758448060075</v>
      </c>
      <c r="AB17" s="5">
        <f t="shared" si="13"/>
        <v>0.37</v>
      </c>
      <c r="AC17" s="1">
        <f t="shared" si="14"/>
        <v>0.63</v>
      </c>
      <c r="AD17" s="1">
        <f t="shared" si="15"/>
        <v>6.1994680851063828</v>
      </c>
      <c r="AE17" s="6">
        <f t="shared" si="16"/>
        <v>14.099734042553191</v>
      </c>
      <c r="AF17" s="5">
        <f t="shared" si="17"/>
        <v>0.4</v>
      </c>
      <c r="AG17" s="1">
        <f t="shared" si="18"/>
        <v>0.6</v>
      </c>
      <c r="AH17" s="1">
        <f t="shared" si="25"/>
        <v>6.3829787234042561</v>
      </c>
      <c r="AI17" s="6">
        <f t="shared" si="26"/>
        <v>14.191489361702128</v>
      </c>
      <c r="AJ17" s="5">
        <f t="shared" si="21"/>
        <v>0.52</v>
      </c>
      <c r="AK17" s="1">
        <f t="shared" si="22"/>
        <v>0.48</v>
      </c>
      <c r="AL17" s="1">
        <f t="shared" si="23"/>
        <v>6.6382978723404253</v>
      </c>
      <c r="AM17" s="6">
        <f t="shared" si="24"/>
        <v>14.319148936170212</v>
      </c>
    </row>
    <row r="18" spans="1:39" x14ac:dyDescent="0.15">
      <c r="A18" s="31" t="s">
        <v>89</v>
      </c>
      <c r="B18" s="51">
        <f>(V12_Min/V48_Max)/Fsw</f>
        <v>5.4411764705882355E-7</v>
      </c>
      <c r="C18" s="31" t="s">
        <v>23</v>
      </c>
      <c r="D18" s="34">
        <f>IF(B18&lt;Constants!C3,1,0)</f>
        <v>0</v>
      </c>
      <c r="N18">
        <v>1.2E-2</v>
      </c>
      <c r="O18">
        <f t="shared" si="0"/>
        <v>12</v>
      </c>
      <c r="P18" s="5">
        <f t="shared" si="1"/>
        <v>0.66666666666666663</v>
      </c>
      <c r="Q18" s="1">
        <f t="shared" si="2"/>
        <v>0.33333333333333337</v>
      </c>
      <c r="R18" s="1">
        <f t="shared" si="3"/>
        <v>3.5460992907801421</v>
      </c>
      <c r="S18" s="6">
        <f t="shared" si="4"/>
        <v>13.773049645390071</v>
      </c>
      <c r="T18" s="5">
        <f t="shared" si="5"/>
        <v>0.4</v>
      </c>
      <c r="U18" s="1">
        <f t="shared" si="6"/>
        <v>0.6</v>
      </c>
      <c r="V18" s="1">
        <f t="shared" si="7"/>
        <v>6.3829787234042561</v>
      </c>
      <c r="W18" s="6">
        <f t="shared" si="8"/>
        <v>15.191489361702128</v>
      </c>
      <c r="X18" s="5">
        <f t="shared" si="9"/>
        <v>0.23529411764705882</v>
      </c>
      <c r="Y18" s="1">
        <f t="shared" si="10"/>
        <v>0.76470588235294112</v>
      </c>
      <c r="Z18" s="1">
        <f t="shared" si="11"/>
        <v>8.1351689612015026</v>
      </c>
      <c r="AA18" s="6">
        <f t="shared" si="12"/>
        <v>16.06758448060075</v>
      </c>
      <c r="AB18" s="5">
        <f t="shared" si="13"/>
        <v>0.37</v>
      </c>
      <c r="AC18" s="1">
        <f t="shared" si="14"/>
        <v>0.63</v>
      </c>
      <c r="AD18" s="1">
        <f t="shared" si="15"/>
        <v>6.1994680851063828</v>
      </c>
      <c r="AE18" s="6">
        <f t="shared" si="16"/>
        <v>15.099734042553191</v>
      </c>
      <c r="AF18" s="5">
        <f t="shared" si="17"/>
        <v>0.4</v>
      </c>
      <c r="AG18" s="1">
        <f t="shared" si="18"/>
        <v>0.6</v>
      </c>
      <c r="AH18" s="1">
        <f t="shared" si="25"/>
        <v>6.3829787234042561</v>
      </c>
      <c r="AI18" s="6">
        <f t="shared" si="26"/>
        <v>15.191489361702128</v>
      </c>
      <c r="AJ18" s="5">
        <f t="shared" si="21"/>
        <v>0.52</v>
      </c>
      <c r="AK18" s="1">
        <f t="shared" si="22"/>
        <v>0.48</v>
      </c>
      <c r="AL18" s="1">
        <f t="shared" si="23"/>
        <v>6.6382978723404253</v>
      </c>
      <c r="AM18" s="6">
        <f t="shared" si="24"/>
        <v>15.319148936170212</v>
      </c>
    </row>
    <row r="19" spans="1:39" x14ac:dyDescent="0.15">
      <c r="N19">
        <v>1.2999999999999999E-2</v>
      </c>
      <c r="O19">
        <f t="shared" si="0"/>
        <v>13</v>
      </c>
      <c r="P19" s="5">
        <f t="shared" si="1"/>
        <v>0.66666666666666663</v>
      </c>
      <c r="Q19" s="1">
        <f t="shared" si="2"/>
        <v>0.33333333333333337</v>
      </c>
      <c r="R19" s="1">
        <f t="shared" si="3"/>
        <v>3.5460992907801421</v>
      </c>
      <c r="S19" s="6">
        <f t="shared" si="4"/>
        <v>14.773049645390071</v>
      </c>
      <c r="T19" s="5">
        <f t="shared" si="5"/>
        <v>0.4</v>
      </c>
      <c r="U19" s="1">
        <f t="shared" si="6"/>
        <v>0.6</v>
      </c>
      <c r="V19" s="1">
        <f t="shared" si="7"/>
        <v>6.3829787234042561</v>
      </c>
      <c r="W19" s="6">
        <f t="shared" si="8"/>
        <v>16.191489361702128</v>
      </c>
      <c r="X19" s="5">
        <f t="shared" si="9"/>
        <v>0.23529411764705882</v>
      </c>
      <c r="Y19" s="1">
        <f t="shared" si="10"/>
        <v>0.76470588235294112</v>
      </c>
      <c r="Z19" s="1">
        <f t="shared" si="11"/>
        <v>8.1351689612015026</v>
      </c>
      <c r="AA19" s="6">
        <f t="shared" si="12"/>
        <v>17.06758448060075</v>
      </c>
      <c r="AB19" s="5">
        <f t="shared" si="13"/>
        <v>0.37</v>
      </c>
      <c r="AC19" s="1">
        <f t="shared" si="14"/>
        <v>0.63</v>
      </c>
      <c r="AD19" s="1">
        <f t="shared" si="15"/>
        <v>6.1994680851063828</v>
      </c>
      <c r="AE19" s="6">
        <f t="shared" si="16"/>
        <v>16.099734042553191</v>
      </c>
      <c r="AF19" s="5">
        <f t="shared" si="17"/>
        <v>0.4</v>
      </c>
      <c r="AG19" s="1">
        <f t="shared" si="18"/>
        <v>0.6</v>
      </c>
      <c r="AH19" s="1">
        <f t="shared" si="25"/>
        <v>6.3829787234042561</v>
      </c>
      <c r="AI19" s="6">
        <f t="shared" si="26"/>
        <v>16.191489361702128</v>
      </c>
      <c r="AJ19" s="5">
        <f t="shared" si="21"/>
        <v>0.52</v>
      </c>
      <c r="AK19" s="1">
        <f t="shared" si="22"/>
        <v>0.48</v>
      </c>
      <c r="AL19" s="1">
        <f t="shared" si="23"/>
        <v>6.6382978723404253</v>
      </c>
      <c r="AM19" s="6">
        <f t="shared" si="24"/>
        <v>16.319148936170212</v>
      </c>
    </row>
    <row r="20" spans="1:39" x14ac:dyDescent="0.15">
      <c r="N20">
        <v>1.4E-2</v>
      </c>
      <c r="O20">
        <f t="shared" si="0"/>
        <v>14</v>
      </c>
      <c r="P20" s="5">
        <f t="shared" si="1"/>
        <v>0.66666666666666663</v>
      </c>
      <c r="Q20" s="1">
        <f t="shared" si="2"/>
        <v>0.33333333333333337</v>
      </c>
      <c r="R20" s="1">
        <f t="shared" si="3"/>
        <v>3.5460992907801421</v>
      </c>
      <c r="S20" s="6">
        <f t="shared" si="4"/>
        <v>15.773049645390071</v>
      </c>
      <c r="T20" s="5">
        <f t="shared" si="5"/>
        <v>0.4</v>
      </c>
      <c r="U20" s="1">
        <f t="shared" si="6"/>
        <v>0.6</v>
      </c>
      <c r="V20" s="1">
        <f t="shared" si="7"/>
        <v>6.3829787234042561</v>
      </c>
      <c r="W20" s="6">
        <f t="shared" si="8"/>
        <v>17.191489361702128</v>
      </c>
      <c r="X20" s="5">
        <f t="shared" si="9"/>
        <v>0.23529411764705882</v>
      </c>
      <c r="Y20" s="1">
        <f t="shared" si="10"/>
        <v>0.76470588235294112</v>
      </c>
      <c r="Z20" s="1">
        <f t="shared" si="11"/>
        <v>8.1351689612015026</v>
      </c>
      <c r="AA20" s="6">
        <f t="shared" si="12"/>
        <v>18.06758448060075</v>
      </c>
      <c r="AB20" s="5">
        <f t="shared" si="13"/>
        <v>0.37</v>
      </c>
      <c r="AC20" s="1">
        <f t="shared" si="14"/>
        <v>0.63</v>
      </c>
      <c r="AD20" s="1">
        <f t="shared" si="15"/>
        <v>6.1994680851063828</v>
      </c>
      <c r="AE20" s="6">
        <f t="shared" si="16"/>
        <v>17.099734042553191</v>
      </c>
      <c r="AF20" s="5">
        <f t="shared" si="17"/>
        <v>0.4</v>
      </c>
      <c r="AG20" s="1">
        <f t="shared" si="18"/>
        <v>0.6</v>
      </c>
      <c r="AH20" s="1">
        <f t="shared" si="25"/>
        <v>6.3829787234042561</v>
      </c>
      <c r="AI20" s="6">
        <f t="shared" si="26"/>
        <v>17.191489361702128</v>
      </c>
      <c r="AJ20" s="5">
        <f t="shared" si="21"/>
        <v>0.52</v>
      </c>
      <c r="AK20" s="1">
        <f t="shared" si="22"/>
        <v>0.48</v>
      </c>
      <c r="AL20" s="1">
        <f t="shared" si="23"/>
        <v>6.6382978723404253</v>
      </c>
      <c r="AM20" s="6">
        <f t="shared" si="24"/>
        <v>17.319148936170212</v>
      </c>
    </row>
    <row r="21" spans="1:39" x14ac:dyDescent="0.15">
      <c r="A21" s="196" t="s">
        <v>131</v>
      </c>
      <c r="B21" s="197"/>
      <c r="C21" s="198"/>
      <c r="N21">
        <v>1.4999999999999999E-2</v>
      </c>
      <c r="O21">
        <f t="shared" si="0"/>
        <v>15</v>
      </c>
      <c r="P21" s="5">
        <f t="shared" si="1"/>
        <v>0.66666666666666663</v>
      </c>
      <c r="Q21" s="1">
        <f t="shared" si="2"/>
        <v>0.33333333333333337</v>
      </c>
      <c r="R21" s="1">
        <f t="shared" si="3"/>
        <v>3.5460992907801421</v>
      </c>
      <c r="S21" s="6">
        <f t="shared" si="4"/>
        <v>16.773049645390071</v>
      </c>
      <c r="T21" s="5">
        <f t="shared" si="5"/>
        <v>0.4</v>
      </c>
      <c r="U21" s="1">
        <f t="shared" si="6"/>
        <v>0.6</v>
      </c>
      <c r="V21" s="1">
        <f t="shared" si="7"/>
        <v>6.3829787234042561</v>
      </c>
      <c r="W21" s="6">
        <f t="shared" si="8"/>
        <v>18.191489361702128</v>
      </c>
      <c r="X21" s="5">
        <f t="shared" si="9"/>
        <v>0.23529411764705882</v>
      </c>
      <c r="Y21" s="1">
        <f t="shared" si="10"/>
        <v>0.76470588235294112</v>
      </c>
      <c r="Z21" s="1">
        <f t="shared" si="11"/>
        <v>8.1351689612015026</v>
      </c>
      <c r="AA21" s="6">
        <f t="shared" si="12"/>
        <v>19.06758448060075</v>
      </c>
      <c r="AB21" s="5">
        <f t="shared" si="13"/>
        <v>0.37</v>
      </c>
      <c r="AC21" s="1">
        <f t="shared" si="14"/>
        <v>0.63</v>
      </c>
      <c r="AD21" s="1">
        <f t="shared" si="15"/>
        <v>6.1994680851063828</v>
      </c>
      <c r="AE21" s="6">
        <f t="shared" si="16"/>
        <v>18.099734042553191</v>
      </c>
      <c r="AF21" s="5">
        <f t="shared" si="17"/>
        <v>0.4</v>
      </c>
      <c r="AG21" s="1">
        <f t="shared" si="18"/>
        <v>0.6</v>
      </c>
      <c r="AH21" s="1">
        <f t="shared" si="25"/>
        <v>6.3829787234042561</v>
      </c>
      <c r="AI21" s="6">
        <f t="shared" si="26"/>
        <v>18.191489361702128</v>
      </c>
      <c r="AJ21" s="5">
        <f t="shared" si="21"/>
        <v>0.52</v>
      </c>
      <c r="AK21" s="1">
        <f t="shared" si="22"/>
        <v>0.48</v>
      </c>
      <c r="AL21" s="1">
        <f t="shared" si="23"/>
        <v>6.6382978723404253</v>
      </c>
      <c r="AM21" s="6">
        <f t="shared" si="24"/>
        <v>18.319148936170212</v>
      </c>
    </row>
    <row r="22" spans="1:39" x14ac:dyDescent="0.15">
      <c r="A22" s="31" t="s">
        <v>44</v>
      </c>
      <c r="B22" s="49">
        <f>Design_Converter!B26</f>
        <v>45</v>
      </c>
      <c r="C22" s="31" t="s">
        <v>4</v>
      </c>
      <c r="N22">
        <v>1.6E-2</v>
      </c>
      <c r="O22">
        <f t="shared" si="0"/>
        <v>16</v>
      </c>
      <c r="P22" s="5">
        <f t="shared" si="1"/>
        <v>0.66666666666666663</v>
      </c>
      <c r="Q22" s="1">
        <f t="shared" si="2"/>
        <v>0.33333333333333337</v>
      </c>
      <c r="R22" s="1">
        <f t="shared" si="3"/>
        <v>3.5460992907801421</v>
      </c>
      <c r="S22" s="6">
        <f t="shared" si="4"/>
        <v>17.773049645390071</v>
      </c>
      <c r="T22" s="5">
        <f t="shared" si="5"/>
        <v>0.4</v>
      </c>
      <c r="U22" s="1">
        <f t="shared" si="6"/>
        <v>0.6</v>
      </c>
      <c r="V22" s="1">
        <f t="shared" si="7"/>
        <v>6.3829787234042561</v>
      </c>
      <c r="W22" s="6">
        <f t="shared" si="8"/>
        <v>19.191489361702128</v>
      </c>
      <c r="X22" s="5">
        <f t="shared" si="9"/>
        <v>0.23529411764705882</v>
      </c>
      <c r="Y22" s="1">
        <f t="shared" si="10"/>
        <v>0.76470588235294112</v>
      </c>
      <c r="Z22" s="1">
        <f t="shared" si="11"/>
        <v>8.1351689612015026</v>
      </c>
      <c r="AA22" s="6">
        <f t="shared" si="12"/>
        <v>20.06758448060075</v>
      </c>
      <c r="AB22" s="5">
        <f t="shared" si="13"/>
        <v>0.37</v>
      </c>
      <c r="AC22" s="1">
        <f t="shared" si="14"/>
        <v>0.63</v>
      </c>
      <c r="AD22" s="1">
        <f t="shared" si="15"/>
        <v>6.1994680851063828</v>
      </c>
      <c r="AE22" s="6">
        <f t="shared" si="16"/>
        <v>19.099734042553191</v>
      </c>
      <c r="AF22" s="5">
        <f t="shared" si="17"/>
        <v>0.4</v>
      </c>
      <c r="AG22" s="1">
        <f t="shared" si="18"/>
        <v>0.6</v>
      </c>
      <c r="AH22" s="1">
        <f t="shared" si="25"/>
        <v>6.3829787234042561</v>
      </c>
      <c r="AI22" s="6">
        <f t="shared" si="26"/>
        <v>19.191489361702128</v>
      </c>
      <c r="AJ22" s="5">
        <f t="shared" si="21"/>
        <v>0.52</v>
      </c>
      <c r="AK22" s="1">
        <f t="shared" si="22"/>
        <v>0.48</v>
      </c>
      <c r="AL22" s="1">
        <f t="shared" si="23"/>
        <v>6.6382978723404253</v>
      </c>
      <c r="AM22" s="6">
        <f t="shared" si="24"/>
        <v>19.319148936170212</v>
      </c>
    </row>
    <row r="23" spans="1:39" x14ac:dyDescent="0.15">
      <c r="A23" s="31" t="s">
        <v>132</v>
      </c>
      <c r="B23" s="50">
        <f>(V12_Max/V48_Min)*B22</f>
        <v>39</v>
      </c>
      <c r="C23" s="31" t="s">
        <v>4</v>
      </c>
      <c r="E23" s="34" t="s">
        <v>133</v>
      </c>
      <c r="N23">
        <v>1.7000000000000001E-2</v>
      </c>
      <c r="O23">
        <f t="shared" si="0"/>
        <v>17</v>
      </c>
      <c r="P23" s="5">
        <f t="shared" si="1"/>
        <v>0.66666666666666663</v>
      </c>
      <c r="Q23" s="1">
        <f t="shared" si="2"/>
        <v>0.33333333333333337</v>
      </c>
      <c r="R23" s="1">
        <f t="shared" si="3"/>
        <v>3.5460992907801421</v>
      </c>
      <c r="S23" s="6">
        <f t="shared" si="4"/>
        <v>18.773049645390071</v>
      </c>
      <c r="T23" s="5">
        <f t="shared" si="5"/>
        <v>0.4</v>
      </c>
      <c r="U23" s="1">
        <f t="shared" si="6"/>
        <v>0.6</v>
      </c>
      <c r="V23" s="1">
        <f t="shared" si="7"/>
        <v>6.3829787234042561</v>
      </c>
      <c r="W23" s="6">
        <f t="shared" si="8"/>
        <v>20.191489361702128</v>
      </c>
      <c r="X23" s="5">
        <f t="shared" si="9"/>
        <v>0.23529411764705882</v>
      </c>
      <c r="Y23" s="1">
        <f t="shared" si="10"/>
        <v>0.76470588235294112</v>
      </c>
      <c r="Z23" s="1">
        <f t="shared" si="11"/>
        <v>8.1351689612015026</v>
      </c>
      <c r="AA23" s="6">
        <f t="shared" si="12"/>
        <v>21.06758448060075</v>
      </c>
      <c r="AB23" s="5">
        <f t="shared" si="13"/>
        <v>0.37</v>
      </c>
      <c r="AC23" s="1">
        <f t="shared" si="14"/>
        <v>0.63</v>
      </c>
      <c r="AD23" s="1">
        <f t="shared" si="15"/>
        <v>6.1994680851063828</v>
      </c>
      <c r="AE23" s="6">
        <f t="shared" si="16"/>
        <v>20.099734042553191</v>
      </c>
      <c r="AF23" s="5">
        <f t="shared" si="17"/>
        <v>0.4</v>
      </c>
      <c r="AG23" s="1">
        <f t="shared" si="18"/>
        <v>0.6</v>
      </c>
      <c r="AH23" s="1">
        <f t="shared" si="25"/>
        <v>6.3829787234042561</v>
      </c>
      <c r="AI23" s="6">
        <f t="shared" si="26"/>
        <v>20.191489361702128</v>
      </c>
      <c r="AJ23" s="5">
        <f t="shared" si="21"/>
        <v>0.52</v>
      </c>
      <c r="AK23" s="1">
        <f t="shared" si="22"/>
        <v>0.48</v>
      </c>
      <c r="AL23" s="1">
        <f t="shared" si="23"/>
        <v>6.6382978723404253</v>
      </c>
      <c r="AM23" s="6">
        <f t="shared" si="24"/>
        <v>20.319148936170212</v>
      </c>
    </row>
    <row r="24" spans="1:39" x14ac:dyDescent="0.15">
      <c r="A24" s="31" t="s">
        <v>134</v>
      </c>
      <c r="B24" s="49">
        <f>Design_Converter!B25</f>
        <v>2</v>
      </c>
      <c r="C24" s="31"/>
      <c r="E24" s="34" t="s">
        <v>135</v>
      </c>
      <c r="N24">
        <v>1.7999999999999999E-2</v>
      </c>
      <c r="O24">
        <f t="shared" si="0"/>
        <v>18</v>
      </c>
      <c r="P24" s="5">
        <f t="shared" si="1"/>
        <v>0.66666666666666663</v>
      </c>
      <c r="Q24" s="1">
        <f t="shared" si="2"/>
        <v>0.33333333333333337</v>
      </c>
      <c r="R24" s="1">
        <f t="shared" si="3"/>
        <v>3.5460992907801421</v>
      </c>
      <c r="S24" s="6">
        <f t="shared" si="4"/>
        <v>19.773049645390071</v>
      </c>
      <c r="T24" s="5">
        <f t="shared" si="5"/>
        <v>0.4</v>
      </c>
      <c r="U24" s="1">
        <f t="shared" si="6"/>
        <v>0.6</v>
      </c>
      <c r="V24" s="1">
        <f t="shared" si="7"/>
        <v>6.3829787234042561</v>
      </c>
      <c r="W24" s="6">
        <f t="shared" si="8"/>
        <v>21.191489361702128</v>
      </c>
      <c r="X24" s="5">
        <f t="shared" si="9"/>
        <v>0.23529411764705882</v>
      </c>
      <c r="Y24" s="1">
        <f t="shared" si="10"/>
        <v>0.76470588235294112</v>
      </c>
      <c r="Z24" s="1">
        <f t="shared" si="11"/>
        <v>8.1351689612015026</v>
      </c>
      <c r="AA24" s="6">
        <f t="shared" si="12"/>
        <v>22.06758448060075</v>
      </c>
      <c r="AB24" s="5">
        <f t="shared" si="13"/>
        <v>0.37</v>
      </c>
      <c r="AC24" s="1">
        <f t="shared" si="14"/>
        <v>0.63</v>
      </c>
      <c r="AD24" s="1">
        <f t="shared" si="15"/>
        <v>6.1994680851063828</v>
      </c>
      <c r="AE24" s="6">
        <f t="shared" si="16"/>
        <v>21.099734042553191</v>
      </c>
      <c r="AF24" s="5">
        <f t="shared" si="17"/>
        <v>0.4</v>
      </c>
      <c r="AG24" s="1">
        <f t="shared" si="18"/>
        <v>0.6</v>
      </c>
      <c r="AH24" s="1">
        <f t="shared" si="25"/>
        <v>6.3829787234042561</v>
      </c>
      <c r="AI24" s="6">
        <f t="shared" si="26"/>
        <v>21.191489361702128</v>
      </c>
      <c r="AJ24" s="5">
        <f t="shared" si="21"/>
        <v>0.52</v>
      </c>
      <c r="AK24" s="1">
        <f t="shared" si="22"/>
        <v>0.48</v>
      </c>
      <c r="AL24" s="1">
        <f t="shared" si="23"/>
        <v>6.6382978723404253</v>
      </c>
      <c r="AM24" s="6">
        <f t="shared" si="24"/>
        <v>21.319148936170212</v>
      </c>
    </row>
    <row r="25" spans="1:39" x14ac:dyDescent="0.15">
      <c r="A25" s="31" t="s">
        <v>143</v>
      </c>
      <c r="B25" s="50">
        <f>B22/B24</f>
        <v>22.5</v>
      </c>
      <c r="C25" s="31" t="s">
        <v>4</v>
      </c>
      <c r="E25" s="34" t="s">
        <v>196</v>
      </c>
      <c r="N25">
        <v>1.9E-2</v>
      </c>
      <c r="O25">
        <f t="shared" si="0"/>
        <v>19</v>
      </c>
      <c r="P25" s="5">
        <f t="shared" si="1"/>
        <v>0.66666666666666663</v>
      </c>
      <c r="Q25" s="1">
        <f t="shared" si="2"/>
        <v>0.33333333333333337</v>
      </c>
      <c r="R25" s="1">
        <f t="shared" si="3"/>
        <v>3.5460992907801421</v>
      </c>
      <c r="S25" s="6">
        <f t="shared" si="4"/>
        <v>20.773049645390071</v>
      </c>
      <c r="T25" s="5">
        <f t="shared" si="5"/>
        <v>0.4</v>
      </c>
      <c r="U25" s="1">
        <f t="shared" si="6"/>
        <v>0.6</v>
      </c>
      <c r="V25" s="1">
        <f t="shared" si="7"/>
        <v>6.3829787234042561</v>
      </c>
      <c r="W25" s="6">
        <f t="shared" si="8"/>
        <v>22.191489361702128</v>
      </c>
      <c r="X25" s="5">
        <f t="shared" si="9"/>
        <v>0.23529411764705882</v>
      </c>
      <c r="Y25" s="1">
        <f t="shared" si="10"/>
        <v>0.76470588235294112</v>
      </c>
      <c r="Z25" s="1">
        <f t="shared" si="11"/>
        <v>8.1351689612015026</v>
      </c>
      <c r="AA25" s="6">
        <f t="shared" si="12"/>
        <v>23.06758448060075</v>
      </c>
      <c r="AB25" s="5">
        <f t="shared" si="13"/>
        <v>0.37</v>
      </c>
      <c r="AC25" s="1">
        <f t="shared" si="14"/>
        <v>0.63</v>
      </c>
      <c r="AD25" s="1">
        <f t="shared" si="15"/>
        <v>6.1994680851063828</v>
      </c>
      <c r="AE25" s="6">
        <f t="shared" si="16"/>
        <v>22.099734042553191</v>
      </c>
      <c r="AF25" s="5">
        <f t="shared" si="17"/>
        <v>0.4</v>
      </c>
      <c r="AG25" s="1">
        <f t="shared" si="18"/>
        <v>0.6</v>
      </c>
      <c r="AH25" s="1">
        <f t="shared" si="25"/>
        <v>6.3829787234042561</v>
      </c>
      <c r="AI25" s="6">
        <f t="shared" si="26"/>
        <v>22.191489361702128</v>
      </c>
      <c r="AJ25" s="5">
        <f t="shared" si="21"/>
        <v>0.52</v>
      </c>
      <c r="AK25" s="1">
        <f t="shared" si="22"/>
        <v>0.48</v>
      </c>
      <c r="AL25" s="1">
        <f t="shared" si="23"/>
        <v>6.6382978723404253</v>
      </c>
      <c r="AM25" s="6">
        <f t="shared" si="24"/>
        <v>22.319148936170212</v>
      </c>
    </row>
    <row r="26" spans="1:39" x14ac:dyDescent="0.15">
      <c r="A26" s="31" t="s">
        <v>197</v>
      </c>
      <c r="B26" s="50">
        <f>B25*V12_Nom</f>
        <v>450</v>
      </c>
      <c r="C26" s="31" t="s">
        <v>136</v>
      </c>
      <c r="E26" s="34" t="s">
        <v>198</v>
      </c>
      <c r="N26">
        <v>0.02</v>
      </c>
      <c r="O26">
        <f t="shared" si="0"/>
        <v>20</v>
      </c>
      <c r="P26" s="5">
        <f t="shared" si="1"/>
        <v>0.66666666666666663</v>
      </c>
      <c r="Q26" s="1">
        <f t="shared" si="2"/>
        <v>0.33333333333333337</v>
      </c>
      <c r="R26" s="1">
        <f t="shared" si="3"/>
        <v>3.5460992907801421</v>
      </c>
      <c r="S26" s="6">
        <f t="shared" si="4"/>
        <v>21.773049645390071</v>
      </c>
      <c r="T26" s="5">
        <f t="shared" si="5"/>
        <v>0.4</v>
      </c>
      <c r="U26" s="1">
        <f t="shared" si="6"/>
        <v>0.6</v>
      </c>
      <c r="V26" s="1">
        <f t="shared" si="7"/>
        <v>6.3829787234042561</v>
      </c>
      <c r="W26" s="6">
        <f t="shared" si="8"/>
        <v>23.191489361702128</v>
      </c>
      <c r="X26" s="5">
        <f t="shared" si="9"/>
        <v>0.23529411764705882</v>
      </c>
      <c r="Y26" s="1">
        <f t="shared" si="10"/>
        <v>0.76470588235294112</v>
      </c>
      <c r="Z26" s="1">
        <f t="shared" si="11"/>
        <v>8.1351689612015026</v>
      </c>
      <c r="AA26" s="6">
        <f t="shared" si="12"/>
        <v>24.06758448060075</v>
      </c>
      <c r="AB26" s="5">
        <f t="shared" si="13"/>
        <v>0.37</v>
      </c>
      <c r="AC26" s="1">
        <f t="shared" si="14"/>
        <v>0.63</v>
      </c>
      <c r="AD26" s="1">
        <f t="shared" si="15"/>
        <v>6.1994680851063828</v>
      </c>
      <c r="AE26" s="6">
        <f t="shared" si="16"/>
        <v>23.099734042553191</v>
      </c>
      <c r="AF26" s="5">
        <f t="shared" si="17"/>
        <v>0.4</v>
      </c>
      <c r="AG26" s="1">
        <f t="shared" si="18"/>
        <v>0.6</v>
      </c>
      <c r="AH26" s="1">
        <f t="shared" si="25"/>
        <v>6.3829787234042561</v>
      </c>
      <c r="AI26" s="6">
        <f t="shared" si="26"/>
        <v>23.191489361702128</v>
      </c>
      <c r="AJ26" s="5">
        <f t="shared" si="21"/>
        <v>0.52</v>
      </c>
      <c r="AK26" s="1">
        <f t="shared" si="22"/>
        <v>0.48</v>
      </c>
      <c r="AL26" s="1">
        <f t="shared" si="23"/>
        <v>6.6382978723404253</v>
      </c>
      <c r="AM26" s="6">
        <f t="shared" si="24"/>
        <v>23.319148936170212</v>
      </c>
    </row>
    <row r="27" spans="1:39" x14ac:dyDescent="0.15">
      <c r="A27" s="31" t="s">
        <v>139</v>
      </c>
      <c r="B27" s="50">
        <f>(VCS_Max/B25)*1000</f>
        <v>2.2222222222222223</v>
      </c>
      <c r="C27" s="31" t="s">
        <v>137</v>
      </c>
      <c r="E27" s="34" t="s">
        <v>140</v>
      </c>
      <c r="N27">
        <v>2.1000000000000001E-2</v>
      </c>
      <c r="O27">
        <f t="shared" si="0"/>
        <v>21</v>
      </c>
      <c r="P27" s="5">
        <f t="shared" si="1"/>
        <v>0.66666666666666663</v>
      </c>
      <c r="Q27" s="1">
        <f t="shared" si="2"/>
        <v>0.33333333333333337</v>
      </c>
      <c r="R27" s="1">
        <f t="shared" si="3"/>
        <v>3.5460992907801421</v>
      </c>
      <c r="S27" s="6">
        <f t="shared" si="4"/>
        <v>22.773049645390071</v>
      </c>
      <c r="T27" s="5">
        <f t="shared" si="5"/>
        <v>0.4</v>
      </c>
      <c r="U27" s="1">
        <f t="shared" si="6"/>
        <v>0.6</v>
      </c>
      <c r="V27" s="1">
        <f t="shared" si="7"/>
        <v>6.3829787234042561</v>
      </c>
      <c r="W27" s="6">
        <f t="shared" si="8"/>
        <v>24.191489361702128</v>
      </c>
      <c r="X27" s="5">
        <f t="shared" si="9"/>
        <v>0.23529411764705882</v>
      </c>
      <c r="Y27" s="1">
        <f t="shared" si="10"/>
        <v>0.76470588235294112</v>
      </c>
      <c r="Z27" s="1">
        <f t="shared" si="11"/>
        <v>8.1351689612015026</v>
      </c>
      <c r="AA27" s="6">
        <f t="shared" si="12"/>
        <v>25.06758448060075</v>
      </c>
      <c r="AB27" s="5">
        <f t="shared" si="13"/>
        <v>0.37</v>
      </c>
      <c r="AC27" s="1">
        <f t="shared" si="14"/>
        <v>0.63</v>
      </c>
      <c r="AD27" s="1">
        <f t="shared" si="15"/>
        <v>6.1994680851063828</v>
      </c>
      <c r="AE27" s="6">
        <f t="shared" si="16"/>
        <v>24.099734042553191</v>
      </c>
      <c r="AF27" s="5">
        <f t="shared" si="17"/>
        <v>0.4</v>
      </c>
      <c r="AG27" s="1">
        <f t="shared" si="18"/>
        <v>0.6</v>
      </c>
      <c r="AH27" s="1">
        <f t="shared" si="25"/>
        <v>6.3829787234042561</v>
      </c>
      <c r="AI27" s="6">
        <f t="shared" si="26"/>
        <v>24.191489361702128</v>
      </c>
      <c r="AJ27" s="5">
        <f t="shared" si="21"/>
        <v>0.52</v>
      </c>
      <c r="AK27" s="1">
        <f t="shared" si="22"/>
        <v>0.48</v>
      </c>
      <c r="AL27" s="1">
        <f t="shared" si="23"/>
        <v>6.6382978723404253</v>
      </c>
      <c r="AM27" s="6">
        <f t="shared" si="24"/>
        <v>24.319148936170212</v>
      </c>
    </row>
    <row r="28" spans="1:39" x14ac:dyDescent="0.15">
      <c r="A28" s="31" t="s">
        <v>141</v>
      </c>
      <c r="B28" s="49">
        <f>Design_Converter!B28</f>
        <v>1</v>
      </c>
      <c r="C28" s="31" t="s">
        <v>137</v>
      </c>
      <c r="E28" s="34" t="s">
        <v>8</v>
      </c>
      <c r="N28">
        <v>2.1999999999999999E-2</v>
      </c>
      <c r="O28">
        <f t="shared" si="0"/>
        <v>22</v>
      </c>
      <c r="P28" s="5">
        <f t="shared" si="1"/>
        <v>0.66666666666666663</v>
      </c>
      <c r="Q28" s="1">
        <f t="shared" si="2"/>
        <v>0.33333333333333337</v>
      </c>
      <c r="R28" s="1">
        <f t="shared" si="3"/>
        <v>3.5460992907801421</v>
      </c>
      <c r="S28" s="6">
        <f t="shared" si="4"/>
        <v>23.773049645390071</v>
      </c>
      <c r="T28" s="5">
        <f t="shared" si="5"/>
        <v>0.4</v>
      </c>
      <c r="U28" s="1">
        <f t="shared" si="6"/>
        <v>0.6</v>
      </c>
      <c r="V28" s="1">
        <f t="shared" si="7"/>
        <v>6.3829787234042561</v>
      </c>
      <c r="W28" s="6">
        <f t="shared" si="8"/>
        <v>25.191489361702128</v>
      </c>
      <c r="X28" s="5">
        <f t="shared" si="9"/>
        <v>0.23529411764705882</v>
      </c>
      <c r="Y28" s="1">
        <f t="shared" si="10"/>
        <v>0.76470588235294112</v>
      </c>
      <c r="Z28" s="1">
        <f t="shared" si="11"/>
        <v>8.1351689612015026</v>
      </c>
      <c r="AA28" s="6">
        <f t="shared" si="12"/>
        <v>26.06758448060075</v>
      </c>
      <c r="AB28" s="5">
        <f t="shared" si="13"/>
        <v>0.37</v>
      </c>
      <c r="AC28" s="1">
        <f t="shared" si="14"/>
        <v>0.63</v>
      </c>
      <c r="AD28" s="1">
        <f t="shared" si="15"/>
        <v>6.1994680851063828</v>
      </c>
      <c r="AE28" s="6">
        <f t="shared" si="16"/>
        <v>25.099734042553191</v>
      </c>
      <c r="AF28" s="5">
        <f t="shared" si="17"/>
        <v>0.4</v>
      </c>
      <c r="AG28" s="1">
        <f t="shared" si="18"/>
        <v>0.6</v>
      </c>
      <c r="AH28" s="1">
        <f t="shared" si="25"/>
        <v>6.3829787234042561</v>
      </c>
      <c r="AI28" s="6">
        <f t="shared" si="26"/>
        <v>25.191489361702128</v>
      </c>
      <c r="AJ28" s="5">
        <f t="shared" si="21"/>
        <v>0.52</v>
      </c>
      <c r="AK28" s="1">
        <f t="shared" si="22"/>
        <v>0.48</v>
      </c>
      <c r="AL28" s="1">
        <f t="shared" si="23"/>
        <v>6.6382978723404253</v>
      </c>
      <c r="AM28" s="6">
        <f t="shared" si="24"/>
        <v>25.319148936170212</v>
      </c>
    </row>
    <row r="29" spans="1:39" x14ac:dyDescent="0.15">
      <c r="A29" s="31" t="s">
        <v>144</v>
      </c>
      <c r="B29" s="52">
        <f>VCS_Max/Rcs</f>
        <v>50</v>
      </c>
      <c r="C29" s="31" t="s">
        <v>4</v>
      </c>
      <c r="E29" s="34" t="s">
        <v>195</v>
      </c>
      <c r="N29">
        <v>2.3E-2</v>
      </c>
      <c r="O29">
        <f t="shared" si="0"/>
        <v>23</v>
      </c>
      <c r="P29" s="5">
        <f t="shared" si="1"/>
        <v>0.66666666666666663</v>
      </c>
      <c r="Q29" s="1">
        <f t="shared" si="2"/>
        <v>0.33333333333333337</v>
      </c>
      <c r="R29" s="1">
        <f t="shared" si="3"/>
        <v>3.5460992907801421</v>
      </c>
      <c r="S29" s="6">
        <f t="shared" si="4"/>
        <v>24.773049645390071</v>
      </c>
      <c r="T29" s="5">
        <f t="shared" si="5"/>
        <v>0.4</v>
      </c>
      <c r="U29" s="1">
        <f t="shared" si="6"/>
        <v>0.6</v>
      </c>
      <c r="V29" s="1">
        <f t="shared" si="7"/>
        <v>6.3829787234042561</v>
      </c>
      <c r="W29" s="6">
        <f t="shared" si="8"/>
        <v>26.191489361702128</v>
      </c>
      <c r="X29" s="5">
        <f t="shared" si="9"/>
        <v>0.23529411764705882</v>
      </c>
      <c r="Y29" s="1">
        <f t="shared" si="10"/>
        <v>0.76470588235294112</v>
      </c>
      <c r="Z29" s="1">
        <f t="shared" si="11"/>
        <v>8.1351689612015026</v>
      </c>
      <c r="AA29" s="6">
        <f t="shared" si="12"/>
        <v>27.06758448060075</v>
      </c>
      <c r="AB29" s="5">
        <f t="shared" si="13"/>
        <v>0.37</v>
      </c>
      <c r="AC29" s="1">
        <f t="shared" si="14"/>
        <v>0.63</v>
      </c>
      <c r="AD29" s="1">
        <f t="shared" si="15"/>
        <v>6.1994680851063828</v>
      </c>
      <c r="AE29" s="6">
        <f t="shared" si="16"/>
        <v>26.099734042553191</v>
      </c>
      <c r="AF29" s="5">
        <f t="shared" si="17"/>
        <v>0.4</v>
      </c>
      <c r="AG29" s="1">
        <f t="shared" si="18"/>
        <v>0.6</v>
      </c>
      <c r="AH29" s="1">
        <f t="shared" si="25"/>
        <v>6.3829787234042561</v>
      </c>
      <c r="AI29" s="6">
        <f t="shared" si="26"/>
        <v>26.191489361702128</v>
      </c>
      <c r="AJ29" s="5">
        <f t="shared" si="21"/>
        <v>0.52</v>
      </c>
      <c r="AK29" s="1">
        <f t="shared" si="22"/>
        <v>0.48</v>
      </c>
      <c r="AL29" s="1">
        <f t="shared" si="23"/>
        <v>6.6382978723404253</v>
      </c>
      <c r="AM29" s="6">
        <f t="shared" si="24"/>
        <v>26.319148936170212</v>
      </c>
    </row>
    <row r="30" spans="1:39" x14ac:dyDescent="0.15">
      <c r="A30" s="31" t="s">
        <v>142</v>
      </c>
      <c r="B30" s="50">
        <f>V12_Nom*B29</f>
        <v>1000</v>
      </c>
      <c r="C30" s="31" t="s">
        <v>136</v>
      </c>
      <c r="E30" s="34" t="s">
        <v>199</v>
      </c>
      <c r="N30">
        <v>2.4E-2</v>
      </c>
      <c r="O30">
        <f t="shared" si="0"/>
        <v>24</v>
      </c>
      <c r="P30" s="5">
        <f t="shared" si="1"/>
        <v>0.66666666666666663</v>
      </c>
      <c r="Q30" s="1">
        <f t="shared" si="2"/>
        <v>0.33333333333333337</v>
      </c>
      <c r="R30" s="1">
        <f t="shared" si="3"/>
        <v>3.5460992907801421</v>
      </c>
      <c r="S30" s="6">
        <f t="shared" si="4"/>
        <v>25.773049645390071</v>
      </c>
      <c r="T30" s="5">
        <f t="shared" si="5"/>
        <v>0.4</v>
      </c>
      <c r="U30" s="1">
        <f t="shared" si="6"/>
        <v>0.6</v>
      </c>
      <c r="V30" s="1">
        <f t="shared" si="7"/>
        <v>6.3829787234042561</v>
      </c>
      <c r="W30" s="6">
        <f t="shared" si="8"/>
        <v>27.191489361702128</v>
      </c>
      <c r="X30" s="5">
        <f t="shared" si="9"/>
        <v>0.23529411764705882</v>
      </c>
      <c r="Y30" s="1">
        <f t="shared" si="10"/>
        <v>0.76470588235294112</v>
      </c>
      <c r="Z30" s="1">
        <f t="shared" si="11"/>
        <v>8.1351689612015026</v>
      </c>
      <c r="AA30" s="6">
        <f t="shared" si="12"/>
        <v>28.06758448060075</v>
      </c>
      <c r="AB30" s="5">
        <f t="shared" si="13"/>
        <v>0.37</v>
      </c>
      <c r="AC30" s="1">
        <f t="shared" si="14"/>
        <v>0.63</v>
      </c>
      <c r="AD30" s="1">
        <f t="shared" si="15"/>
        <v>6.1994680851063828</v>
      </c>
      <c r="AE30" s="6">
        <f t="shared" si="16"/>
        <v>27.099734042553191</v>
      </c>
      <c r="AF30" s="5">
        <f t="shared" si="17"/>
        <v>0.4</v>
      </c>
      <c r="AG30" s="1">
        <f t="shared" si="18"/>
        <v>0.6</v>
      </c>
      <c r="AH30" s="1">
        <f t="shared" si="25"/>
        <v>6.3829787234042561</v>
      </c>
      <c r="AI30" s="6">
        <f t="shared" si="26"/>
        <v>27.191489361702128</v>
      </c>
      <c r="AJ30" s="5">
        <f t="shared" si="21"/>
        <v>0.52</v>
      </c>
      <c r="AK30" s="1">
        <f t="shared" si="22"/>
        <v>0.48</v>
      </c>
      <c r="AL30" s="1">
        <f t="shared" si="23"/>
        <v>6.6382978723404253</v>
      </c>
      <c r="AM30" s="6">
        <f t="shared" si="24"/>
        <v>27.319148936170212</v>
      </c>
    </row>
    <row r="31" spans="1:39" x14ac:dyDescent="0.15">
      <c r="A31" s="31" t="s">
        <v>146</v>
      </c>
      <c r="B31" s="50">
        <f>I_Channel*np</f>
        <v>100</v>
      </c>
      <c r="C31" s="31" t="s">
        <v>4</v>
      </c>
      <c r="E31" s="34" t="s">
        <v>200</v>
      </c>
      <c r="N31">
        <v>2.5000000000000001E-2</v>
      </c>
      <c r="O31">
        <f t="shared" si="0"/>
        <v>25</v>
      </c>
      <c r="P31" s="5">
        <f t="shared" si="1"/>
        <v>0.66666666666666663</v>
      </c>
      <c r="Q31" s="1">
        <f t="shared" si="2"/>
        <v>0.33333333333333337</v>
      </c>
      <c r="R31" s="1">
        <f t="shared" si="3"/>
        <v>3.5460992907801421</v>
      </c>
      <c r="S31" s="6">
        <f t="shared" si="4"/>
        <v>26.773049645390071</v>
      </c>
      <c r="T31" s="5">
        <f t="shared" si="5"/>
        <v>0.4</v>
      </c>
      <c r="U31" s="1">
        <f t="shared" si="6"/>
        <v>0.6</v>
      </c>
      <c r="V31" s="1">
        <f t="shared" si="7"/>
        <v>6.3829787234042561</v>
      </c>
      <c r="W31" s="6">
        <f t="shared" si="8"/>
        <v>28.191489361702128</v>
      </c>
      <c r="X31" s="5">
        <f t="shared" si="9"/>
        <v>0.23529411764705882</v>
      </c>
      <c r="Y31" s="1">
        <f t="shared" si="10"/>
        <v>0.76470588235294112</v>
      </c>
      <c r="Z31" s="1">
        <f t="shared" si="11"/>
        <v>8.1351689612015026</v>
      </c>
      <c r="AA31" s="6">
        <f t="shared" si="12"/>
        <v>29.06758448060075</v>
      </c>
      <c r="AB31" s="5">
        <f t="shared" si="13"/>
        <v>0.37</v>
      </c>
      <c r="AC31" s="1">
        <f t="shared" si="14"/>
        <v>0.63</v>
      </c>
      <c r="AD31" s="1">
        <f t="shared" si="15"/>
        <v>6.1994680851063828</v>
      </c>
      <c r="AE31" s="6">
        <f t="shared" si="16"/>
        <v>28.099734042553191</v>
      </c>
      <c r="AF31" s="5">
        <f t="shared" si="17"/>
        <v>0.4</v>
      </c>
      <c r="AG31" s="1">
        <f t="shared" si="18"/>
        <v>0.6</v>
      </c>
      <c r="AH31" s="1">
        <f t="shared" si="25"/>
        <v>6.3829787234042561</v>
      </c>
      <c r="AI31" s="6">
        <f t="shared" si="26"/>
        <v>28.191489361702128</v>
      </c>
      <c r="AJ31" s="5">
        <f t="shared" si="21"/>
        <v>0.52</v>
      </c>
      <c r="AK31" s="1">
        <f t="shared" si="22"/>
        <v>0.48</v>
      </c>
      <c r="AL31" s="1">
        <f t="shared" si="23"/>
        <v>6.6382978723404253</v>
      </c>
      <c r="AM31" s="6">
        <f t="shared" si="24"/>
        <v>28.319148936170212</v>
      </c>
    </row>
    <row r="32" spans="1:39" x14ac:dyDescent="0.15">
      <c r="A32" s="31" t="s">
        <v>147</v>
      </c>
      <c r="B32" s="50">
        <f>B30*np</f>
        <v>2000</v>
      </c>
      <c r="C32" s="31" t="s">
        <v>136</v>
      </c>
      <c r="E32" s="34" t="s">
        <v>201</v>
      </c>
      <c r="N32">
        <v>2.5999999999999999E-2</v>
      </c>
      <c r="O32">
        <f t="shared" si="0"/>
        <v>26</v>
      </c>
      <c r="P32" s="5">
        <f t="shared" si="1"/>
        <v>0.66666666666666663</v>
      </c>
      <c r="Q32" s="1">
        <f t="shared" si="2"/>
        <v>0.33333333333333337</v>
      </c>
      <c r="R32" s="1">
        <f t="shared" si="3"/>
        <v>3.5460992907801421</v>
      </c>
      <c r="S32" s="6">
        <f t="shared" si="4"/>
        <v>27.773049645390071</v>
      </c>
      <c r="T32" s="5">
        <f t="shared" si="5"/>
        <v>0.4</v>
      </c>
      <c r="U32" s="1">
        <f t="shared" si="6"/>
        <v>0.6</v>
      </c>
      <c r="V32" s="1">
        <f t="shared" si="7"/>
        <v>6.3829787234042561</v>
      </c>
      <c r="W32" s="6">
        <f t="shared" si="8"/>
        <v>29.191489361702128</v>
      </c>
      <c r="X32" s="5">
        <f t="shared" si="9"/>
        <v>0.23529411764705882</v>
      </c>
      <c r="Y32" s="1">
        <f t="shared" si="10"/>
        <v>0.76470588235294112</v>
      </c>
      <c r="Z32" s="1">
        <f t="shared" si="11"/>
        <v>8.1351689612015026</v>
      </c>
      <c r="AA32" s="6">
        <f t="shared" si="12"/>
        <v>30.06758448060075</v>
      </c>
      <c r="AB32" s="5">
        <f t="shared" si="13"/>
        <v>0.37</v>
      </c>
      <c r="AC32" s="1">
        <f t="shared" si="14"/>
        <v>0.63</v>
      </c>
      <c r="AD32" s="1">
        <f t="shared" si="15"/>
        <v>6.1994680851063828</v>
      </c>
      <c r="AE32" s="6">
        <f t="shared" si="16"/>
        <v>29.099734042553191</v>
      </c>
      <c r="AF32" s="5">
        <f t="shared" si="17"/>
        <v>0.4</v>
      </c>
      <c r="AG32" s="1">
        <f t="shared" si="18"/>
        <v>0.6</v>
      </c>
      <c r="AH32" s="1">
        <f t="shared" si="25"/>
        <v>6.3829787234042561</v>
      </c>
      <c r="AI32" s="6">
        <f t="shared" si="26"/>
        <v>29.191489361702128</v>
      </c>
      <c r="AJ32" s="5">
        <f t="shared" si="21"/>
        <v>0.52</v>
      </c>
      <c r="AK32" s="1">
        <f t="shared" si="22"/>
        <v>0.48</v>
      </c>
      <c r="AL32" s="1">
        <f t="shared" si="23"/>
        <v>6.6382978723404253</v>
      </c>
      <c r="AM32" s="6">
        <f t="shared" si="24"/>
        <v>29.319148936170212</v>
      </c>
    </row>
    <row r="33" spans="1:39" x14ac:dyDescent="0.15">
      <c r="N33">
        <v>2.7E-2</v>
      </c>
      <c r="O33">
        <f t="shared" si="0"/>
        <v>27</v>
      </c>
      <c r="P33" s="5">
        <f t="shared" si="1"/>
        <v>0.66666666666666663</v>
      </c>
      <c r="Q33" s="1">
        <f t="shared" si="2"/>
        <v>0.33333333333333337</v>
      </c>
      <c r="R33" s="1">
        <f t="shared" si="3"/>
        <v>3.5460992907801421</v>
      </c>
      <c r="S33" s="6">
        <f t="shared" si="4"/>
        <v>28.773049645390071</v>
      </c>
      <c r="T33" s="5">
        <f t="shared" si="5"/>
        <v>0.4</v>
      </c>
      <c r="U33" s="1">
        <f t="shared" si="6"/>
        <v>0.6</v>
      </c>
      <c r="V33" s="1">
        <f t="shared" si="7"/>
        <v>6.3829787234042561</v>
      </c>
      <c r="W33" s="6">
        <f t="shared" si="8"/>
        <v>30.191489361702128</v>
      </c>
      <c r="X33" s="5">
        <f t="shared" si="9"/>
        <v>0.23529411764705882</v>
      </c>
      <c r="Y33" s="1">
        <f t="shared" si="10"/>
        <v>0.76470588235294112</v>
      </c>
      <c r="Z33" s="1">
        <f t="shared" si="11"/>
        <v>8.1351689612015026</v>
      </c>
      <c r="AA33" s="6">
        <f t="shared" si="12"/>
        <v>31.06758448060075</v>
      </c>
      <c r="AB33" s="5">
        <f t="shared" si="13"/>
        <v>0.37</v>
      </c>
      <c r="AC33" s="1">
        <f t="shared" si="14"/>
        <v>0.63</v>
      </c>
      <c r="AD33" s="1">
        <f t="shared" si="15"/>
        <v>6.1994680851063828</v>
      </c>
      <c r="AE33" s="6">
        <f t="shared" si="16"/>
        <v>30.099734042553191</v>
      </c>
      <c r="AF33" s="5">
        <f t="shared" si="17"/>
        <v>0.4</v>
      </c>
      <c r="AG33" s="1">
        <f t="shared" si="18"/>
        <v>0.6</v>
      </c>
      <c r="AH33" s="1">
        <f t="shared" si="25"/>
        <v>6.3829787234042561</v>
      </c>
      <c r="AI33" s="6">
        <f t="shared" si="26"/>
        <v>30.191489361702128</v>
      </c>
      <c r="AJ33" s="5">
        <f t="shared" si="21"/>
        <v>0.52</v>
      </c>
      <c r="AK33" s="1">
        <f t="shared" si="22"/>
        <v>0.48</v>
      </c>
      <c r="AL33" s="1">
        <f t="shared" si="23"/>
        <v>6.6382978723404253</v>
      </c>
      <c r="AM33" s="6">
        <f t="shared" si="24"/>
        <v>30.319148936170212</v>
      </c>
    </row>
    <row r="34" spans="1:39" x14ac:dyDescent="0.15">
      <c r="N34">
        <v>2.8000000000000001E-2</v>
      </c>
      <c r="O34">
        <f t="shared" si="0"/>
        <v>28</v>
      </c>
      <c r="P34" s="5">
        <f t="shared" si="1"/>
        <v>0.66666666666666663</v>
      </c>
      <c r="Q34" s="1">
        <f t="shared" si="2"/>
        <v>0.33333333333333337</v>
      </c>
      <c r="R34" s="1">
        <f t="shared" si="3"/>
        <v>3.5460992907801421</v>
      </c>
      <c r="S34" s="6">
        <f t="shared" si="4"/>
        <v>29.773049645390071</v>
      </c>
      <c r="T34" s="5">
        <f t="shared" si="5"/>
        <v>0.4</v>
      </c>
      <c r="U34" s="1">
        <f t="shared" si="6"/>
        <v>0.6</v>
      </c>
      <c r="V34" s="1">
        <f t="shared" si="7"/>
        <v>6.3829787234042561</v>
      </c>
      <c r="W34" s="6">
        <f t="shared" si="8"/>
        <v>31.191489361702128</v>
      </c>
      <c r="X34" s="5">
        <f t="shared" si="9"/>
        <v>0.23529411764705882</v>
      </c>
      <c r="Y34" s="1">
        <f t="shared" si="10"/>
        <v>0.76470588235294112</v>
      </c>
      <c r="Z34" s="1">
        <f t="shared" si="11"/>
        <v>8.1351689612015026</v>
      </c>
      <c r="AA34" s="6">
        <f t="shared" si="12"/>
        <v>32.06758448060075</v>
      </c>
      <c r="AB34" s="5">
        <f t="shared" si="13"/>
        <v>0.37</v>
      </c>
      <c r="AC34" s="1">
        <f t="shared" si="14"/>
        <v>0.63</v>
      </c>
      <c r="AD34" s="1">
        <f t="shared" si="15"/>
        <v>6.1994680851063828</v>
      </c>
      <c r="AE34" s="6">
        <f t="shared" si="16"/>
        <v>31.099734042553191</v>
      </c>
      <c r="AF34" s="5">
        <f t="shared" si="17"/>
        <v>0.4</v>
      </c>
      <c r="AG34" s="1">
        <f t="shared" si="18"/>
        <v>0.6</v>
      </c>
      <c r="AH34" s="1">
        <f t="shared" si="25"/>
        <v>6.3829787234042561</v>
      </c>
      <c r="AI34" s="6">
        <f t="shared" si="26"/>
        <v>31.191489361702128</v>
      </c>
      <c r="AJ34" s="5">
        <f t="shared" si="21"/>
        <v>0.52</v>
      </c>
      <c r="AK34" s="1">
        <f t="shared" si="22"/>
        <v>0.48</v>
      </c>
      <c r="AL34" s="1">
        <f t="shared" si="23"/>
        <v>6.6382978723404253</v>
      </c>
      <c r="AM34" s="6">
        <f t="shared" si="24"/>
        <v>31.319148936170212</v>
      </c>
    </row>
    <row r="35" spans="1:39" x14ac:dyDescent="0.15">
      <c r="A35" s="32" t="s">
        <v>148</v>
      </c>
      <c r="B35" s="53"/>
      <c r="C35" s="31"/>
      <c r="N35">
        <v>2.9000000000000001E-2</v>
      </c>
      <c r="O35">
        <f t="shared" si="0"/>
        <v>29</v>
      </c>
      <c r="P35" s="5">
        <f t="shared" si="1"/>
        <v>0.66666666666666663</v>
      </c>
      <c r="Q35" s="1">
        <f t="shared" si="2"/>
        <v>0.33333333333333337</v>
      </c>
      <c r="R35" s="1">
        <f t="shared" si="3"/>
        <v>3.5460992907801421</v>
      </c>
      <c r="S35" s="6">
        <f t="shared" si="4"/>
        <v>30.773049645390071</v>
      </c>
      <c r="T35" s="5">
        <f t="shared" si="5"/>
        <v>0.4</v>
      </c>
      <c r="U35" s="1">
        <f t="shared" si="6"/>
        <v>0.6</v>
      </c>
      <c r="V35" s="1">
        <f t="shared" si="7"/>
        <v>6.3829787234042561</v>
      </c>
      <c r="W35" s="6">
        <f t="shared" si="8"/>
        <v>32.191489361702125</v>
      </c>
      <c r="X35" s="5">
        <f t="shared" si="9"/>
        <v>0.23529411764705882</v>
      </c>
      <c r="Y35" s="1">
        <f t="shared" si="10"/>
        <v>0.76470588235294112</v>
      </c>
      <c r="Z35" s="1">
        <f t="shared" si="11"/>
        <v>8.1351689612015026</v>
      </c>
      <c r="AA35" s="6">
        <f t="shared" si="12"/>
        <v>33.06758448060075</v>
      </c>
      <c r="AB35" s="5">
        <f t="shared" si="13"/>
        <v>0.37</v>
      </c>
      <c r="AC35" s="1">
        <f t="shared" si="14"/>
        <v>0.63</v>
      </c>
      <c r="AD35" s="1">
        <f t="shared" si="15"/>
        <v>6.1994680851063828</v>
      </c>
      <c r="AE35" s="6">
        <f t="shared" si="16"/>
        <v>32.099734042553195</v>
      </c>
      <c r="AF35" s="5">
        <f t="shared" si="17"/>
        <v>0.4</v>
      </c>
      <c r="AG35" s="1">
        <f t="shared" si="18"/>
        <v>0.6</v>
      </c>
      <c r="AH35" s="1">
        <f t="shared" si="25"/>
        <v>6.3829787234042561</v>
      </c>
      <c r="AI35" s="6">
        <f t="shared" si="26"/>
        <v>32.191489361702125</v>
      </c>
      <c r="AJ35" s="5">
        <f t="shared" si="21"/>
        <v>0.52</v>
      </c>
      <c r="AK35" s="1">
        <f t="shared" si="22"/>
        <v>0.48</v>
      </c>
      <c r="AL35" s="1">
        <f t="shared" si="23"/>
        <v>6.6382978723404253</v>
      </c>
      <c r="AM35" s="6">
        <f t="shared" si="24"/>
        <v>32.319148936170215</v>
      </c>
    </row>
    <row r="36" spans="1:39" x14ac:dyDescent="0.15">
      <c r="A36" s="31" t="s">
        <v>151</v>
      </c>
      <c r="B36" s="49">
        <f>Design_Converter!B35/100</f>
        <v>0.30599999999999999</v>
      </c>
      <c r="C36" s="31"/>
      <c r="E36" s="34" t="s">
        <v>202</v>
      </c>
      <c r="N36">
        <v>0.03</v>
      </c>
      <c r="O36">
        <f t="shared" si="0"/>
        <v>30</v>
      </c>
      <c r="P36" s="5">
        <f t="shared" si="1"/>
        <v>0.66666666666666663</v>
      </c>
      <c r="Q36" s="1">
        <f t="shared" si="2"/>
        <v>0.33333333333333337</v>
      </c>
      <c r="R36" s="1">
        <f t="shared" si="3"/>
        <v>3.5460992907801421</v>
      </c>
      <c r="S36" s="6">
        <f t="shared" si="4"/>
        <v>31.773049645390071</v>
      </c>
      <c r="T36" s="5">
        <f t="shared" si="5"/>
        <v>0.4</v>
      </c>
      <c r="U36" s="1">
        <f t="shared" si="6"/>
        <v>0.6</v>
      </c>
      <c r="V36" s="1">
        <f t="shared" si="7"/>
        <v>6.3829787234042561</v>
      </c>
      <c r="W36" s="6">
        <f t="shared" si="8"/>
        <v>33.191489361702125</v>
      </c>
      <c r="X36" s="5">
        <f t="shared" si="9"/>
        <v>0.23529411764705882</v>
      </c>
      <c r="Y36" s="1">
        <f t="shared" si="10"/>
        <v>0.76470588235294112</v>
      </c>
      <c r="Z36" s="1">
        <f t="shared" si="11"/>
        <v>8.1351689612015026</v>
      </c>
      <c r="AA36" s="6">
        <f t="shared" si="12"/>
        <v>34.06758448060075</v>
      </c>
      <c r="AB36" s="5">
        <f t="shared" si="13"/>
        <v>0.37</v>
      </c>
      <c r="AC36" s="1">
        <f t="shared" si="14"/>
        <v>0.63</v>
      </c>
      <c r="AD36" s="1">
        <f t="shared" si="15"/>
        <v>6.1994680851063828</v>
      </c>
      <c r="AE36" s="6">
        <f t="shared" si="16"/>
        <v>33.099734042553195</v>
      </c>
      <c r="AF36" s="5">
        <f t="shared" si="17"/>
        <v>0.4</v>
      </c>
      <c r="AG36" s="1">
        <f t="shared" si="18"/>
        <v>0.6</v>
      </c>
      <c r="AH36" s="1">
        <f t="shared" si="25"/>
        <v>6.3829787234042561</v>
      </c>
      <c r="AI36" s="6">
        <f t="shared" si="26"/>
        <v>33.191489361702125</v>
      </c>
      <c r="AJ36" s="5">
        <f t="shared" si="21"/>
        <v>0.52</v>
      </c>
      <c r="AK36" s="1">
        <f t="shared" si="22"/>
        <v>0.48</v>
      </c>
      <c r="AL36" s="1">
        <f t="shared" si="23"/>
        <v>6.6382978723404253</v>
      </c>
      <c r="AM36" s="6">
        <f t="shared" si="24"/>
        <v>33.319148936170215</v>
      </c>
    </row>
    <row r="37" spans="1:39" x14ac:dyDescent="0.15">
      <c r="A37" s="31" t="s">
        <v>111</v>
      </c>
      <c r="B37" s="54">
        <f>(V48_Max-V12_Nom)*(V12_Nom/V48_Max)/((B25)*(B36)*Fsw)*(1000000)</f>
        <v>5.5534196249305818</v>
      </c>
      <c r="C37" s="31" t="s">
        <v>6</v>
      </c>
      <c r="E37" s="34" t="s">
        <v>193</v>
      </c>
      <c r="N37">
        <v>3.1E-2</v>
      </c>
      <c r="O37">
        <f t="shared" si="0"/>
        <v>31</v>
      </c>
      <c r="P37" s="5">
        <f t="shared" si="1"/>
        <v>0.66666666666666663</v>
      </c>
      <c r="Q37" s="1">
        <f t="shared" si="2"/>
        <v>0.33333333333333337</v>
      </c>
      <c r="R37" s="1">
        <f t="shared" si="3"/>
        <v>3.5460992907801421</v>
      </c>
      <c r="S37" s="6">
        <f t="shared" si="4"/>
        <v>32.773049645390074</v>
      </c>
      <c r="T37" s="5">
        <f t="shared" si="5"/>
        <v>0.4</v>
      </c>
      <c r="U37" s="1">
        <f t="shared" si="6"/>
        <v>0.6</v>
      </c>
      <c r="V37" s="1">
        <f t="shared" si="7"/>
        <v>6.3829787234042561</v>
      </c>
      <c r="W37" s="6">
        <f t="shared" si="8"/>
        <v>34.191489361702125</v>
      </c>
      <c r="X37" s="5">
        <f t="shared" si="9"/>
        <v>0.23529411764705882</v>
      </c>
      <c r="Y37" s="1">
        <f t="shared" si="10"/>
        <v>0.76470588235294112</v>
      </c>
      <c r="Z37" s="1">
        <f t="shared" si="11"/>
        <v>8.1351689612015026</v>
      </c>
      <c r="AA37" s="6">
        <f t="shared" si="12"/>
        <v>35.06758448060075</v>
      </c>
      <c r="AB37" s="5">
        <f t="shared" si="13"/>
        <v>0.37</v>
      </c>
      <c r="AC37" s="1">
        <f t="shared" si="14"/>
        <v>0.63</v>
      </c>
      <c r="AD37" s="1">
        <f t="shared" si="15"/>
        <v>6.1994680851063828</v>
      </c>
      <c r="AE37" s="6">
        <f t="shared" si="16"/>
        <v>34.099734042553195</v>
      </c>
      <c r="AF37" s="5">
        <f t="shared" si="17"/>
        <v>0.4</v>
      </c>
      <c r="AG37" s="1">
        <f t="shared" si="18"/>
        <v>0.6</v>
      </c>
      <c r="AH37" s="1">
        <f t="shared" si="25"/>
        <v>6.3829787234042561</v>
      </c>
      <c r="AI37" s="6">
        <f t="shared" si="26"/>
        <v>34.191489361702125</v>
      </c>
      <c r="AJ37" s="5">
        <f t="shared" si="21"/>
        <v>0.52</v>
      </c>
      <c r="AK37" s="1">
        <f t="shared" si="22"/>
        <v>0.48</v>
      </c>
      <c r="AL37" s="1">
        <f t="shared" si="23"/>
        <v>6.6382978723404253</v>
      </c>
      <c r="AM37" s="6">
        <f t="shared" si="24"/>
        <v>34.319148936170215</v>
      </c>
    </row>
    <row r="38" spans="1:39" x14ac:dyDescent="0.15">
      <c r="A38" s="31" t="s">
        <v>5</v>
      </c>
      <c r="B38" s="55">
        <f>Design_Converter!B37</f>
        <v>4.7</v>
      </c>
      <c r="C38" s="31" t="s">
        <v>6</v>
      </c>
      <c r="N38">
        <v>3.2000000000000001E-2</v>
      </c>
      <c r="O38">
        <f t="shared" ref="O38:O56" si="27">N38/Rcs</f>
        <v>32</v>
      </c>
      <c r="P38" s="5">
        <f t="shared" ref="P38:P56" si="28">IF($O38&lt;((V48_Min-V12_Nom)*V12_Nom)/((2*Lm*Fsw)*V48_Min),SQRT((2*$O38*Lm*Fsw*V12_Nom)/(V48_Min*(V48_Min-V12_Nom))),(V12_Nom/V48_Min))</f>
        <v>0.66666666666666663</v>
      </c>
      <c r="Q38" s="1">
        <f t="shared" ref="Q38:Q56" si="29">IF($O38&lt;((V48_Min-V12_Nom)*V12_Nom)/((2*Lm*Fsw)*V48_Min),SQRT((2*$O38*Lm*Fsw*V12_Nom)/(V48_Min*(V48_Min-V12_Nom)))*((V48_Min-V12_Nom)/(V12_Nom)),1-(V12_Nom/V48_Min))</f>
        <v>0.33333333333333337</v>
      </c>
      <c r="R38" s="1">
        <f t="shared" ref="R38:R56" si="30">IF($O38&lt;((V48_Min-V12_Nom)*V12_Nom)/((2*Lm*Fsw)*V48_Min),(P38/(Fsw*Lm))*(V48_Min-V12_Nom),((P38/(Fsw*Lm))*(V48_Min-V12_Nom)))</f>
        <v>3.5460992907801421</v>
      </c>
      <c r="S38" s="6">
        <f t="shared" ref="S38:S56" si="31">IF($O38&lt;((V48_Min-V12_Nom)*V12_Nom)/((2*Lm*Fsw)*V48_Min),(P38/(Fsw*Lm))*(V48_Min-V12_Nom),(R38/2)+$O38)</f>
        <v>33.773049645390074</v>
      </c>
      <c r="T38" s="5">
        <f t="shared" ref="T38:T56" si="32">IF($O38&lt;((V48_Nom-V12_Nom)*V12_Nom)/((2*Lm*Fsw)*V48_Nom),SQRT((2*$O38*Lm*Fsw*V12_Nom)/(V48_Nom*(V48_Nom-V12_Nom))),(V12_Nom/V48_Nom))</f>
        <v>0.4</v>
      </c>
      <c r="U38" s="1">
        <f t="shared" ref="U38:U56" si="33">IF($O38&lt;((V48_Nom-V12_Nom)*V12_Nom)/((2*Lm*Fsw)*V48_Nom),SQRT((2*$O38*Lm*Fsw*V12_Nom)/(V48_Nom*(V48_Nom-V12_Nom)))*((V48_Nom-V12_Nom)/(V12_Nom)),1-(V12_Nom/V48_Nom))</f>
        <v>0.6</v>
      </c>
      <c r="V38" s="1">
        <f t="shared" ref="V38:V56" si="34">IF($O38&lt;((V48_Nom-V12_Nom)*V12_Nom)/((2*Lm*Fsw)*V48_Nom),(T38/(Fsw*Lm))*(V48_Nom-V12_Nom),((T38/(Fsw*Lm))*(V48_Nom-V12_Nom)))</f>
        <v>6.3829787234042561</v>
      </c>
      <c r="W38" s="6">
        <f t="shared" ref="W38:W56" si="35">IF($O38&lt;((V48_Nom-V12_Nom)*V12_Nom)/((2*Lm*Fsw)*V48_Nom),(T38/(Fsw*Lm))*(V48_Nom-V12_Nom),(V38/2)+$O38)</f>
        <v>35.191489361702125</v>
      </c>
      <c r="X38" s="5">
        <f t="shared" ref="X38:X56" si="36">IF($O38&lt;((V48_Max-V12_Nom)*V12_Nom)/((2*Lm*Fsw)*V48_Max),SQRT((2*$O38*Lm*Fsw*V12_Nom)/(V48_Max*(V48_Max-V12_Nom))),(V12_Nom/V48_Max))</f>
        <v>0.23529411764705882</v>
      </c>
      <c r="Y38" s="1">
        <f t="shared" ref="Y38:Y56" si="37">IF($O38&lt;((V48_Max-V12_Nom)*V12_Nom)/((2*Lm*Fsw)*V48_Max),SQRT((2*$O38*Lm*Fsw*V12_Nom)/(V48_Max*(V48_Max-V12_Nom)))*((V48_Max-V12_Nom)/(V12_Nom)),1-(V12_Nom/V48_Max))</f>
        <v>0.76470588235294112</v>
      </c>
      <c r="Z38" s="1">
        <f t="shared" ref="Z38:Z56" si="38">IF($O38&lt;((V48_Max-V12_Nom)*V12_Nom)/((2*Lm*Fsw)*V48_Max),(X38/(Fsw*Lm))*(V48_Max-V12_Nom),((X38/(Fsw*Lm))*(V48_Max-V12_Nom)))</f>
        <v>8.1351689612015026</v>
      </c>
      <c r="AA38" s="6">
        <f t="shared" ref="AA38:AA56" si="39">IF($O38&lt;((V48_Max-V12_Nom)*V12_Nom)/((2*Lm*Fsw)*V48_Max),(X38/(Fsw*Lm))*(V48_Max-V12_Nom),(Z38/2)+$O38)</f>
        <v>36.06758448060075</v>
      </c>
      <c r="AB38" s="5">
        <f t="shared" ref="AB38:AB56" si="40">IF($O38&lt;((V48_Nom-V12_Min)*V12_Min)/((2*Lm*Fsw)*V48_Nom),SQRT((2*$O38*Lm*Fsw*V12_Min)/(V48_Nom*(V48_Nom-V12_Min))),(V12_Min/V48_Nom))</f>
        <v>0.37</v>
      </c>
      <c r="AC38" s="1">
        <f t="shared" ref="AC38:AC56" si="41">IF($O38&lt;((V48_Nom-V12_Min)*V12_Min)/((2*Lm*Fsw)*V48_Nom),SQRT((2*$O38*Lm*Fsw*V12_Min)/(V48_Nom*(V48_Nom-V12_Min)))*((V48_Nom-V12_Min)/(V12_Min)),1-(V12_Min/V48_Nom))</f>
        <v>0.63</v>
      </c>
      <c r="AD38" s="1">
        <f t="shared" ref="AD38:AD56" si="42">IF($O38&lt;((V48_Nom-V12_Min)*V12_Min)/((2*Lm*Fsw)*V48_Nom),(AB38/(Fsw*Lm))*(V48_Nom-V12_Min),((AB38/(Fsw*Lm))*(V48_Nom-V12_Min)))</f>
        <v>6.1994680851063828</v>
      </c>
      <c r="AE38" s="6">
        <f t="shared" ref="AE38:AE56" si="43">IF($O38&lt;((V48_Nom-V12_Min)*V12_Min)/((2*Lm*Fsw)*V48_Nom),(AB38/(Fsw*Lm))*(V48_Nom-V12_Min),(AD38/2)+$O38)</f>
        <v>35.099734042553195</v>
      </c>
      <c r="AF38" s="5">
        <f t="shared" si="17"/>
        <v>0.4</v>
      </c>
      <c r="AG38" s="1">
        <f t="shared" si="18"/>
        <v>0.6</v>
      </c>
      <c r="AH38" s="1">
        <f t="shared" si="25"/>
        <v>6.3829787234042561</v>
      </c>
      <c r="AI38" s="6">
        <f t="shared" si="26"/>
        <v>35.191489361702125</v>
      </c>
      <c r="AJ38" s="5">
        <f t="shared" ref="AJ38:AJ56" si="44">IF($O38&lt;((V48_Nom-V12_Max)*V12_Max)/((2*Lm*Fsw)*V48_Nom),SQRT((2*$O38*Lm*Fsw*V12_Max)/(V48_Nom*(V48_Nom-V12_Max))),(V12_Max/V48_Nom))</f>
        <v>0.52</v>
      </c>
      <c r="AK38" s="1">
        <f t="shared" ref="AK38:AK56" si="45">IF($O38&lt;((V48_Nom-V12_Max)*V12_Max)/((2*Lm*Fsw)*V48_Nom),SQRT((2*$O38*Lm*Fsw*V12_Max)/(V48_Nom*(V48_Nom-V12_Max)))*((V48_Nom-V12_Max)/(V12_Max)),1-(V12_Max/V48_Nom))</f>
        <v>0.48</v>
      </c>
      <c r="AL38" s="1">
        <f t="shared" ref="AL38:AL56" si="46">IF($O38&lt;((V48_Nom-V12_Max)*V12_Max)/((2*Lm*Fsw)*V48_Nom),(AJ38/(Fsw*Lm))*(V48_Nom-V12_Max),((AJ38/(Fsw*Lm))*(V48_Nom-V12_Max)))</f>
        <v>6.6382978723404253</v>
      </c>
      <c r="AM38" s="6">
        <f t="shared" ref="AM38:AM56" si="47">IF($O38&lt;((V48_Nom-V12_Max)*V12_Max)/((2*Lm*Fsw)*V48_Nom),(AJ38/(Fsw*Lm))*(V48_Nom-V12_Max),(AL38/2)+$O38)</f>
        <v>35.319148936170215</v>
      </c>
    </row>
    <row r="39" spans="1:39" ht="15" x14ac:dyDescent="0.25">
      <c r="A39" s="31" t="s">
        <v>29</v>
      </c>
      <c r="B39" s="49">
        <f>Lm_DCR</f>
        <v>2.3999999999999998E-3</v>
      </c>
      <c r="C39" s="67" t="s">
        <v>80</v>
      </c>
      <c r="N39">
        <v>3.3000000000000002E-2</v>
      </c>
      <c r="O39">
        <f t="shared" si="27"/>
        <v>33</v>
      </c>
      <c r="P39" s="5">
        <f t="shared" si="28"/>
        <v>0.66666666666666663</v>
      </c>
      <c r="Q39" s="1">
        <f t="shared" si="29"/>
        <v>0.33333333333333337</v>
      </c>
      <c r="R39" s="1">
        <f t="shared" si="30"/>
        <v>3.5460992907801421</v>
      </c>
      <c r="S39" s="6">
        <f t="shared" si="31"/>
        <v>34.773049645390074</v>
      </c>
      <c r="T39" s="5">
        <f t="shared" si="32"/>
        <v>0.4</v>
      </c>
      <c r="U39" s="1">
        <f t="shared" si="33"/>
        <v>0.6</v>
      </c>
      <c r="V39" s="1">
        <f t="shared" si="34"/>
        <v>6.3829787234042561</v>
      </c>
      <c r="W39" s="6">
        <f t="shared" si="35"/>
        <v>36.191489361702125</v>
      </c>
      <c r="X39" s="5">
        <f t="shared" si="36"/>
        <v>0.23529411764705882</v>
      </c>
      <c r="Y39" s="1">
        <f t="shared" si="37"/>
        <v>0.76470588235294112</v>
      </c>
      <c r="Z39" s="1">
        <f t="shared" si="38"/>
        <v>8.1351689612015026</v>
      </c>
      <c r="AA39" s="6">
        <f t="shared" si="39"/>
        <v>37.06758448060075</v>
      </c>
      <c r="AB39" s="5">
        <f t="shared" si="40"/>
        <v>0.37</v>
      </c>
      <c r="AC39" s="1">
        <f t="shared" si="41"/>
        <v>0.63</v>
      </c>
      <c r="AD39" s="1">
        <f t="shared" si="42"/>
        <v>6.1994680851063828</v>
      </c>
      <c r="AE39" s="6">
        <f t="shared" si="43"/>
        <v>36.099734042553195</v>
      </c>
      <c r="AF39" s="5">
        <f t="shared" si="17"/>
        <v>0.4</v>
      </c>
      <c r="AG39" s="1">
        <f t="shared" si="18"/>
        <v>0.6</v>
      </c>
      <c r="AH39" s="1">
        <f t="shared" si="25"/>
        <v>6.3829787234042561</v>
      </c>
      <c r="AI39" s="6">
        <f t="shared" si="26"/>
        <v>36.191489361702125</v>
      </c>
      <c r="AJ39" s="5">
        <f t="shared" si="44"/>
        <v>0.52</v>
      </c>
      <c r="AK39" s="1">
        <f t="shared" si="45"/>
        <v>0.48</v>
      </c>
      <c r="AL39" s="1">
        <f t="shared" si="46"/>
        <v>6.6382978723404253</v>
      </c>
      <c r="AM39" s="6">
        <f t="shared" si="47"/>
        <v>36.319148936170215</v>
      </c>
    </row>
    <row r="40" spans="1:39" ht="14.25" thickBot="1" x14ac:dyDescent="0.2">
      <c r="A40" s="199" t="s">
        <v>10</v>
      </c>
      <c r="B40" s="200"/>
      <c r="C40" s="201"/>
      <c r="E40" s="34" t="s">
        <v>154</v>
      </c>
      <c r="N40">
        <v>3.4000000000000002E-2</v>
      </c>
      <c r="O40">
        <f t="shared" si="27"/>
        <v>34</v>
      </c>
      <c r="P40" s="5">
        <f t="shared" si="28"/>
        <v>0.66666666666666663</v>
      </c>
      <c r="Q40" s="1">
        <f t="shared" si="29"/>
        <v>0.33333333333333337</v>
      </c>
      <c r="R40" s="1">
        <f t="shared" si="30"/>
        <v>3.5460992907801421</v>
      </c>
      <c r="S40" s="6">
        <f t="shared" si="31"/>
        <v>35.773049645390074</v>
      </c>
      <c r="T40" s="5">
        <f t="shared" si="32"/>
        <v>0.4</v>
      </c>
      <c r="U40" s="1">
        <f t="shared" si="33"/>
        <v>0.6</v>
      </c>
      <c r="V40" s="1">
        <f t="shared" si="34"/>
        <v>6.3829787234042561</v>
      </c>
      <c r="W40" s="6">
        <f t="shared" si="35"/>
        <v>37.191489361702125</v>
      </c>
      <c r="X40" s="5">
        <f t="shared" si="36"/>
        <v>0.23529411764705882</v>
      </c>
      <c r="Y40" s="1">
        <f t="shared" si="37"/>
        <v>0.76470588235294112</v>
      </c>
      <c r="Z40" s="1">
        <f t="shared" si="38"/>
        <v>8.1351689612015026</v>
      </c>
      <c r="AA40" s="6">
        <f t="shared" si="39"/>
        <v>38.06758448060075</v>
      </c>
      <c r="AB40" s="5">
        <f t="shared" si="40"/>
        <v>0.37</v>
      </c>
      <c r="AC40" s="1">
        <f t="shared" si="41"/>
        <v>0.63</v>
      </c>
      <c r="AD40" s="1">
        <f t="shared" si="42"/>
        <v>6.1994680851063828</v>
      </c>
      <c r="AE40" s="6">
        <f t="shared" si="43"/>
        <v>37.099734042553195</v>
      </c>
      <c r="AF40" s="5">
        <f t="shared" si="17"/>
        <v>0.4</v>
      </c>
      <c r="AG40" s="1">
        <f t="shared" si="18"/>
        <v>0.6</v>
      </c>
      <c r="AH40" s="1">
        <f t="shared" si="25"/>
        <v>6.3829787234042561</v>
      </c>
      <c r="AI40" s="6">
        <f t="shared" si="26"/>
        <v>37.191489361702125</v>
      </c>
      <c r="AJ40" s="5">
        <f t="shared" si="44"/>
        <v>0.52</v>
      </c>
      <c r="AK40" s="1">
        <f t="shared" si="45"/>
        <v>0.48</v>
      </c>
      <c r="AL40" s="1">
        <f t="shared" si="46"/>
        <v>6.6382978723404253</v>
      </c>
      <c r="AM40" s="6">
        <f t="shared" si="47"/>
        <v>37.319148936170215</v>
      </c>
    </row>
    <row r="41" spans="1:39" x14ac:dyDescent="0.15">
      <c r="A41" s="75" t="s">
        <v>82</v>
      </c>
      <c r="B41" s="76">
        <f>((V48_Min-V12_Nom)/(2*Lm*Fsw))*((V12_Nom*Rcs)/V48_Min)*1000</f>
        <v>1.7730496453900708</v>
      </c>
      <c r="C41" s="77" t="s">
        <v>72</v>
      </c>
      <c r="N41">
        <v>3.5000000000000003E-2</v>
      </c>
      <c r="O41">
        <f t="shared" si="27"/>
        <v>35</v>
      </c>
      <c r="P41" s="5">
        <f t="shared" si="28"/>
        <v>0.66666666666666663</v>
      </c>
      <c r="Q41" s="1">
        <f t="shared" si="29"/>
        <v>0.33333333333333337</v>
      </c>
      <c r="R41" s="1">
        <f t="shared" si="30"/>
        <v>3.5460992907801421</v>
      </c>
      <c r="S41" s="6">
        <f t="shared" si="31"/>
        <v>36.773049645390074</v>
      </c>
      <c r="T41" s="5">
        <f t="shared" si="32"/>
        <v>0.4</v>
      </c>
      <c r="U41" s="1">
        <f t="shared" si="33"/>
        <v>0.6</v>
      </c>
      <c r="V41" s="1">
        <f t="shared" si="34"/>
        <v>6.3829787234042561</v>
      </c>
      <c r="W41" s="6">
        <f t="shared" si="35"/>
        <v>38.191489361702125</v>
      </c>
      <c r="X41" s="5">
        <f t="shared" si="36"/>
        <v>0.23529411764705882</v>
      </c>
      <c r="Y41" s="1">
        <f t="shared" si="37"/>
        <v>0.76470588235294112</v>
      </c>
      <c r="Z41" s="1">
        <f t="shared" si="38"/>
        <v>8.1351689612015026</v>
      </c>
      <c r="AA41" s="6">
        <f t="shared" si="39"/>
        <v>39.06758448060075</v>
      </c>
      <c r="AB41" s="5">
        <f t="shared" si="40"/>
        <v>0.37</v>
      </c>
      <c r="AC41" s="1">
        <f t="shared" si="41"/>
        <v>0.63</v>
      </c>
      <c r="AD41" s="1">
        <f t="shared" si="42"/>
        <v>6.1994680851063828</v>
      </c>
      <c r="AE41" s="6">
        <f t="shared" si="43"/>
        <v>38.099734042553195</v>
      </c>
      <c r="AF41" s="5">
        <f t="shared" si="17"/>
        <v>0.4</v>
      </c>
      <c r="AG41" s="1">
        <f t="shared" si="18"/>
        <v>0.6</v>
      </c>
      <c r="AH41" s="1">
        <f t="shared" si="25"/>
        <v>6.3829787234042561</v>
      </c>
      <c r="AI41" s="6">
        <f t="shared" si="26"/>
        <v>38.191489361702125</v>
      </c>
      <c r="AJ41" s="5">
        <f t="shared" si="44"/>
        <v>0.52</v>
      </c>
      <c r="AK41" s="1">
        <f t="shared" si="45"/>
        <v>0.48</v>
      </c>
      <c r="AL41" s="1">
        <f t="shared" si="46"/>
        <v>6.6382978723404253</v>
      </c>
      <c r="AM41" s="6">
        <f t="shared" si="47"/>
        <v>38.319148936170215</v>
      </c>
    </row>
    <row r="42" spans="1:39" x14ac:dyDescent="0.15">
      <c r="A42" s="78" t="s">
        <v>83</v>
      </c>
      <c r="B42" s="57">
        <f>(B41/1000)/Rcs</f>
        <v>1.7730496453900708</v>
      </c>
      <c r="C42" s="42" t="s">
        <v>4</v>
      </c>
      <c r="N42">
        <v>3.5999999999999997E-2</v>
      </c>
      <c r="O42">
        <f t="shared" si="27"/>
        <v>36</v>
      </c>
      <c r="P42" s="5">
        <f t="shared" si="28"/>
        <v>0.66666666666666663</v>
      </c>
      <c r="Q42" s="1">
        <f t="shared" si="29"/>
        <v>0.33333333333333337</v>
      </c>
      <c r="R42" s="1">
        <f t="shared" si="30"/>
        <v>3.5460992907801421</v>
      </c>
      <c r="S42" s="6">
        <f t="shared" si="31"/>
        <v>37.773049645390074</v>
      </c>
      <c r="T42" s="5">
        <f t="shared" si="32"/>
        <v>0.4</v>
      </c>
      <c r="U42" s="1">
        <f t="shared" si="33"/>
        <v>0.6</v>
      </c>
      <c r="V42" s="1">
        <f t="shared" si="34"/>
        <v>6.3829787234042561</v>
      </c>
      <c r="W42" s="6">
        <f t="shared" si="35"/>
        <v>39.191489361702125</v>
      </c>
      <c r="X42" s="5">
        <f t="shared" si="36"/>
        <v>0.23529411764705882</v>
      </c>
      <c r="Y42" s="1">
        <f t="shared" si="37"/>
        <v>0.76470588235294112</v>
      </c>
      <c r="Z42" s="1">
        <f t="shared" si="38"/>
        <v>8.1351689612015026</v>
      </c>
      <c r="AA42" s="6">
        <f t="shared" si="39"/>
        <v>40.06758448060075</v>
      </c>
      <c r="AB42" s="5">
        <f t="shared" si="40"/>
        <v>0.37</v>
      </c>
      <c r="AC42" s="1">
        <f t="shared" si="41"/>
        <v>0.63</v>
      </c>
      <c r="AD42" s="1">
        <f t="shared" si="42"/>
        <v>6.1994680851063828</v>
      </c>
      <c r="AE42" s="6">
        <f t="shared" si="43"/>
        <v>39.099734042553195</v>
      </c>
      <c r="AF42" s="5">
        <f t="shared" si="17"/>
        <v>0.4</v>
      </c>
      <c r="AG42" s="1">
        <f t="shared" si="18"/>
        <v>0.6</v>
      </c>
      <c r="AH42" s="1">
        <f t="shared" si="25"/>
        <v>6.3829787234042561</v>
      </c>
      <c r="AI42" s="6">
        <f t="shared" si="26"/>
        <v>39.191489361702125</v>
      </c>
      <c r="AJ42" s="5">
        <f t="shared" si="44"/>
        <v>0.52</v>
      </c>
      <c r="AK42" s="1">
        <f t="shared" si="45"/>
        <v>0.48</v>
      </c>
      <c r="AL42" s="1">
        <f t="shared" si="46"/>
        <v>6.6382978723404253</v>
      </c>
      <c r="AM42" s="6">
        <f t="shared" si="47"/>
        <v>39.319148936170215</v>
      </c>
    </row>
    <row r="43" spans="1:39" x14ac:dyDescent="0.15">
      <c r="A43" s="78" t="s">
        <v>383</v>
      </c>
      <c r="B43" s="50">
        <f>(V12_Nom/V48_Min)</f>
        <v>0.66666666666666663</v>
      </c>
      <c r="C43" s="42"/>
      <c r="N43">
        <v>3.6999999999999998E-2</v>
      </c>
      <c r="O43">
        <f t="shared" si="27"/>
        <v>37</v>
      </c>
      <c r="P43" s="5">
        <f t="shared" si="28"/>
        <v>0.66666666666666663</v>
      </c>
      <c r="Q43" s="1">
        <f t="shared" si="29"/>
        <v>0.33333333333333337</v>
      </c>
      <c r="R43" s="1">
        <f t="shared" si="30"/>
        <v>3.5460992907801421</v>
      </c>
      <c r="S43" s="6">
        <f t="shared" si="31"/>
        <v>38.773049645390074</v>
      </c>
      <c r="T43" s="5">
        <f t="shared" si="32"/>
        <v>0.4</v>
      </c>
      <c r="U43" s="1">
        <f t="shared" si="33"/>
        <v>0.6</v>
      </c>
      <c r="V43" s="1">
        <f t="shared" si="34"/>
        <v>6.3829787234042561</v>
      </c>
      <c r="W43" s="6">
        <f t="shared" si="35"/>
        <v>40.191489361702125</v>
      </c>
      <c r="X43" s="5">
        <f t="shared" si="36"/>
        <v>0.23529411764705882</v>
      </c>
      <c r="Y43" s="1">
        <f t="shared" si="37"/>
        <v>0.76470588235294112</v>
      </c>
      <c r="Z43" s="1">
        <f t="shared" si="38"/>
        <v>8.1351689612015026</v>
      </c>
      <c r="AA43" s="6">
        <f t="shared" si="39"/>
        <v>41.06758448060075</v>
      </c>
      <c r="AB43" s="5">
        <f t="shared" si="40"/>
        <v>0.37</v>
      </c>
      <c r="AC43" s="1">
        <f t="shared" si="41"/>
        <v>0.63</v>
      </c>
      <c r="AD43" s="1">
        <f t="shared" si="42"/>
        <v>6.1994680851063828</v>
      </c>
      <c r="AE43" s="6">
        <f t="shared" si="43"/>
        <v>40.099734042553195</v>
      </c>
      <c r="AF43" s="5">
        <f t="shared" si="17"/>
        <v>0.4</v>
      </c>
      <c r="AG43" s="1">
        <f t="shared" si="18"/>
        <v>0.6</v>
      </c>
      <c r="AH43" s="1">
        <f t="shared" si="25"/>
        <v>6.3829787234042561</v>
      </c>
      <c r="AI43" s="6">
        <f t="shared" si="26"/>
        <v>40.191489361702125</v>
      </c>
      <c r="AJ43" s="5">
        <f t="shared" si="44"/>
        <v>0.52</v>
      </c>
      <c r="AK43" s="1">
        <f t="shared" si="45"/>
        <v>0.48</v>
      </c>
      <c r="AL43" s="1">
        <f t="shared" si="46"/>
        <v>6.6382978723404253</v>
      </c>
      <c r="AM43" s="6">
        <f t="shared" si="47"/>
        <v>40.319148936170215</v>
      </c>
    </row>
    <row r="44" spans="1:39" x14ac:dyDescent="0.15">
      <c r="A44" s="78" t="s">
        <v>74</v>
      </c>
      <c r="B44" s="56">
        <f>((V48_Nom-V12_Nom)/(2*Lm*Fsw))*((V12_Nom*Rcs)/V48_Nom)*1000</f>
        <v>3.191489361702128</v>
      </c>
      <c r="C44" s="42" t="s">
        <v>72</v>
      </c>
      <c r="N44">
        <v>3.7999999999999999E-2</v>
      </c>
      <c r="O44">
        <f t="shared" si="27"/>
        <v>38</v>
      </c>
      <c r="P44" s="5">
        <f t="shared" si="28"/>
        <v>0.66666666666666663</v>
      </c>
      <c r="Q44" s="1">
        <f t="shared" si="29"/>
        <v>0.33333333333333337</v>
      </c>
      <c r="R44" s="1">
        <f t="shared" si="30"/>
        <v>3.5460992907801421</v>
      </c>
      <c r="S44" s="6">
        <f t="shared" si="31"/>
        <v>39.773049645390074</v>
      </c>
      <c r="T44" s="5">
        <f t="shared" si="32"/>
        <v>0.4</v>
      </c>
      <c r="U44" s="1">
        <f t="shared" si="33"/>
        <v>0.6</v>
      </c>
      <c r="V44" s="1">
        <f t="shared" si="34"/>
        <v>6.3829787234042561</v>
      </c>
      <c r="W44" s="6">
        <f t="shared" si="35"/>
        <v>41.191489361702125</v>
      </c>
      <c r="X44" s="5">
        <f t="shared" si="36"/>
        <v>0.23529411764705882</v>
      </c>
      <c r="Y44" s="1">
        <f t="shared" si="37"/>
        <v>0.76470588235294112</v>
      </c>
      <c r="Z44" s="1">
        <f t="shared" si="38"/>
        <v>8.1351689612015026</v>
      </c>
      <c r="AA44" s="6">
        <f t="shared" si="39"/>
        <v>42.06758448060075</v>
      </c>
      <c r="AB44" s="5">
        <f t="shared" si="40"/>
        <v>0.37</v>
      </c>
      <c r="AC44" s="1">
        <f t="shared" si="41"/>
        <v>0.63</v>
      </c>
      <c r="AD44" s="1">
        <f t="shared" si="42"/>
        <v>6.1994680851063828</v>
      </c>
      <c r="AE44" s="6">
        <f t="shared" si="43"/>
        <v>41.099734042553195</v>
      </c>
      <c r="AF44" s="5">
        <f t="shared" si="17"/>
        <v>0.4</v>
      </c>
      <c r="AG44" s="1">
        <f t="shared" si="18"/>
        <v>0.6</v>
      </c>
      <c r="AH44" s="1">
        <f t="shared" si="25"/>
        <v>6.3829787234042561</v>
      </c>
      <c r="AI44" s="6">
        <f t="shared" si="26"/>
        <v>41.191489361702125</v>
      </c>
      <c r="AJ44" s="5">
        <f t="shared" si="44"/>
        <v>0.52</v>
      </c>
      <c r="AK44" s="1">
        <f t="shared" si="45"/>
        <v>0.48</v>
      </c>
      <c r="AL44" s="1">
        <f t="shared" si="46"/>
        <v>6.6382978723404253</v>
      </c>
      <c r="AM44" s="6">
        <f t="shared" si="47"/>
        <v>41.319148936170215</v>
      </c>
    </row>
    <row r="45" spans="1:39" x14ac:dyDescent="0.15">
      <c r="A45" s="78" t="s">
        <v>81</v>
      </c>
      <c r="B45" s="57">
        <f>(B44/1000)/Rcs</f>
        <v>3.191489361702128</v>
      </c>
      <c r="C45" s="42" t="s">
        <v>4</v>
      </c>
      <c r="N45">
        <v>3.9E-2</v>
      </c>
      <c r="O45">
        <f t="shared" si="27"/>
        <v>39</v>
      </c>
      <c r="P45" s="5">
        <f t="shared" si="28"/>
        <v>0.66666666666666663</v>
      </c>
      <c r="Q45" s="1">
        <f t="shared" si="29"/>
        <v>0.33333333333333337</v>
      </c>
      <c r="R45" s="1">
        <f t="shared" si="30"/>
        <v>3.5460992907801421</v>
      </c>
      <c r="S45" s="6">
        <f t="shared" si="31"/>
        <v>40.773049645390074</v>
      </c>
      <c r="T45" s="5">
        <f t="shared" si="32"/>
        <v>0.4</v>
      </c>
      <c r="U45" s="1">
        <f t="shared" si="33"/>
        <v>0.6</v>
      </c>
      <c r="V45" s="1">
        <f t="shared" si="34"/>
        <v>6.3829787234042561</v>
      </c>
      <c r="W45" s="6">
        <f t="shared" si="35"/>
        <v>42.191489361702125</v>
      </c>
      <c r="X45" s="5">
        <f t="shared" si="36"/>
        <v>0.23529411764705882</v>
      </c>
      <c r="Y45" s="1">
        <f t="shared" si="37"/>
        <v>0.76470588235294112</v>
      </c>
      <c r="Z45" s="1">
        <f t="shared" si="38"/>
        <v>8.1351689612015026</v>
      </c>
      <c r="AA45" s="6">
        <f t="shared" si="39"/>
        <v>43.06758448060075</v>
      </c>
      <c r="AB45" s="5">
        <f t="shared" si="40"/>
        <v>0.37</v>
      </c>
      <c r="AC45" s="1">
        <f t="shared" si="41"/>
        <v>0.63</v>
      </c>
      <c r="AD45" s="1">
        <f t="shared" si="42"/>
        <v>6.1994680851063828</v>
      </c>
      <c r="AE45" s="6">
        <f t="shared" si="43"/>
        <v>42.099734042553195</v>
      </c>
      <c r="AF45" s="5">
        <f t="shared" si="17"/>
        <v>0.4</v>
      </c>
      <c r="AG45" s="1">
        <f t="shared" si="18"/>
        <v>0.6</v>
      </c>
      <c r="AH45" s="1">
        <f t="shared" si="25"/>
        <v>6.3829787234042561</v>
      </c>
      <c r="AI45" s="6">
        <f t="shared" si="26"/>
        <v>42.191489361702125</v>
      </c>
      <c r="AJ45" s="5">
        <f t="shared" si="44"/>
        <v>0.52</v>
      </c>
      <c r="AK45" s="1">
        <f t="shared" si="45"/>
        <v>0.48</v>
      </c>
      <c r="AL45" s="1">
        <f t="shared" si="46"/>
        <v>6.6382978723404253</v>
      </c>
      <c r="AM45" s="6">
        <f t="shared" si="47"/>
        <v>42.319148936170215</v>
      </c>
    </row>
    <row r="46" spans="1:39" x14ac:dyDescent="0.15">
      <c r="A46" s="78" t="s">
        <v>383</v>
      </c>
      <c r="B46" s="61">
        <f>(V12_Nom/V48_Nom)</f>
        <v>0.4</v>
      </c>
      <c r="C46" s="42"/>
      <c r="N46">
        <v>0.04</v>
      </c>
      <c r="O46">
        <f t="shared" si="27"/>
        <v>40</v>
      </c>
      <c r="P46" s="5">
        <f t="shared" si="28"/>
        <v>0.66666666666666663</v>
      </c>
      <c r="Q46" s="1">
        <f t="shared" si="29"/>
        <v>0.33333333333333337</v>
      </c>
      <c r="R46" s="1">
        <f t="shared" si="30"/>
        <v>3.5460992907801421</v>
      </c>
      <c r="S46" s="6">
        <f t="shared" si="31"/>
        <v>41.773049645390074</v>
      </c>
      <c r="T46" s="5">
        <f t="shared" si="32"/>
        <v>0.4</v>
      </c>
      <c r="U46" s="1">
        <f t="shared" si="33"/>
        <v>0.6</v>
      </c>
      <c r="V46" s="1">
        <f t="shared" si="34"/>
        <v>6.3829787234042561</v>
      </c>
      <c r="W46" s="6">
        <f t="shared" si="35"/>
        <v>43.191489361702125</v>
      </c>
      <c r="X46" s="5">
        <f t="shared" si="36"/>
        <v>0.23529411764705882</v>
      </c>
      <c r="Y46" s="1">
        <f t="shared" si="37"/>
        <v>0.76470588235294112</v>
      </c>
      <c r="Z46" s="1">
        <f t="shared" si="38"/>
        <v>8.1351689612015026</v>
      </c>
      <c r="AA46" s="6">
        <f t="shared" si="39"/>
        <v>44.06758448060075</v>
      </c>
      <c r="AB46" s="5">
        <f t="shared" si="40"/>
        <v>0.37</v>
      </c>
      <c r="AC46" s="1">
        <f t="shared" si="41"/>
        <v>0.63</v>
      </c>
      <c r="AD46" s="1">
        <f t="shared" si="42"/>
        <v>6.1994680851063828</v>
      </c>
      <c r="AE46" s="6">
        <f t="shared" si="43"/>
        <v>43.099734042553195</v>
      </c>
      <c r="AF46" s="5">
        <f t="shared" si="17"/>
        <v>0.4</v>
      </c>
      <c r="AG46" s="1">
        <f t="shared" si="18"/>
        <v>0.6</v>
      </c>
      <c r="AH46" s="1">
        <f t="shared" si="25"/>
        <v>6.3829787234042561</v>
      </c>
      <c r="AI46" s="6">
        <f t="shared" si="26"/>
        <v>43.191489361702125</v>
      </c>
      <c r="AJ46" s="5">
        <f t="shared" si="44"/>
        <v>0.52</v>
      </c>
      <c r="AK46" s="1">
        <f t="shared" si="45"/>
        <v>0.48</v>
      </c>
      <c r="AL46" s="1">
        <f t="shared" si="46"/>
        <v>6.6382978723404253</v>
      </c>
      <c r="AM46" s="6">
        <f t="shared" si="47"/>
        <v>43.319148936170215</v>
      </c>
    </row>
    <row r="47" spans="1:39" x14ac:dyDescent="0.15">
      <c r="A47" s="78" t="s">
        <v>84</v>
      </c>
      <c r="B47" s="56">
        <f>((V48_Max-V12_Nom)/(2*Lm*Fsw))*((V12_Nom*Rcs)/V48_Max)*1000</f>
        <v>4.0675844806007513</v>
      </c>
      <c r="C47" s="42" t="s">
        <v>72</v>
      </c>
      <c r="N47">
        <v>4.1000000000000002E-2</v>
      </c>
      <c r="O47">
        <f t="shared" si="27"/>
        <v>41</v>
      </c>
      <c r="P47" s="5">
        <f t="shared" si="28"/>
        <v>0.66666666666666663</v>
      </c>
      <c r="Q47" s="1">
        <f t="shared" si="29"/>
        <v>0.33333333333333337</v>
      </c>
      <c r="R47" s="1">
        <f t="shared" si="30"/>
        <v>3.5460992907801421</v>
      </c>
      <c r="S47" s="6">
        <f t="shared" si="31"/>
        <v>42.773049645390074</v>
      </c>
      <c r="T47" s="5">
        <f t="shared" si="32"/>
        <v>0.4</v>
      </c>
      <c r="U47" s="1">
        <f t="shared" si="33"/>
        <v>0.6</v>
      </c>
      <c r="V47" s="1">
        <f t="shared" si="34"/>
        <v>6.3829787234042561</v>
      </c>
      <c r="W47" s="6">
        <f t="shared" si="35"/>
        <v>44.191489361702125</v>
      </c>
      <c r="X47" s="5">
        <f t="shared" si="36"/>
        <v>0.23529411764705882</v>
      </c>
      <c r="Y47" s="1">
        <f t="shared" si="37"/>
        <v>0.76470588235294112</v>
      </c>
      <c r="Z47" s="1">
        <f t="shared" si="38"/>
        <v>8.1351689612015026</v>
      </c>
      <c r="AA47" s="6">
        <f t="shared" si="39"/>
        <v>45.06758448060075</v>
      </c>
      <c r="AB47" s="5">
        <f t="shared" si="40"/>
        <v>0.37</v>
      </c>
      <c r="AC47" s="1">
        <f t="shared" si="41"/>
        <v>0.63</v>
      </c>
      <c r="AD47" s="1">
        <f t="shared" si="42"/>
        <v>6.1994680851063828</v>
      </c>
      <c r="AE47" s="6">
        <f t="shared" si="43"/>
        <v>44.099734042553195</v>
      </c>
      <c r="AF47" s="5">
        <f t="shared" si="17"/>
        <v>0.4</v>
      </c>
      <c r="AG47" s="1">
        <f t="shared" si="18"/>
        <v>0.6</v>
      </c>
      <c r="AH47" s="1">
        <f t="shared" si="25"/>
        <v>6.3829787234042561</v>
      </c>
      <c r="AI47" s="6">
        <f t="shared" si="26"/>
        <v>44.191489361702125</v>
      </c>
      <c r="AJ47" s="5">
        <f t="shared" si="44"/>
        <v>0.52</v>
      </c>
      <c r="AK47" s="1">
        <f t="shared" si="45"/>
        <v>0.48</v>
      </c>
      <c r="AL47" s="1">
        <f t="shared" si="46"/>
        <v>6.6382978723404253</v>
      </c>
      <c r="AM47" s="6">
        <f t="shared" si="47"/>
        <v>44.319148936170215</v>
      </c>
    </row>
    <row r="48" spans="1:39" x14ac:dyDescent="0.15">
      <c r="A48" s="78" t="s">
        <v>85</v>
      </c>
      <c r="B48" s="57">
        <f>(B47/1000)/Rcs</f>
        <v>4.0675844806007513</v>
      </c>
      <c r="C48" s="42" t="s">
        <v>4</v>
      </c>
      <c r="N48">
        <v>4.2000000000000003E-2</v>
      </c>
      <c r="O48">
        <f t="shared" si="27"/>
        <v>42</v>
      </c>
      <c r="P48" s="5">
        <f t="shared" si="28"/>
        <v>0.66666666666666663</v>
      </c>
      <c r="Q48" s="1">
        <f t="shared" si="29"/>
        <v>0.33333333333333337</v>
      </c>
      <c r="R48" s="1">
        <f t="shared" si="30"/>
        <v>3.5460992907801421</v>
      </c>
      <c r="S48" s="6">
        <f t="shared" si="31"/>
        <v>43.773049645390074</v>
      </c>
      <c r="T48" s="5">
        <f t="shared" si="32"/>
        <v>0.4</v>
      </c>
      <c r="U48" s="1">
        <f t="shared" si="33"/>
        <v>0.6</v>
      </c>
      <c r="V48" s="1">
        <f t="shared" si="34"/>
        <v>6.3829787234042561</v>
      </c>
      <c r="W48" s="6">
        <f t="shared" si="35"/>
        <v>45.191489361702125</v>
      </c>
      <c r="X48" s="5">
        <f t="shared" si="36"/>
        <v>0.23529411764705882</v>
      </c>
      <c r="Y48" s="1">
        <f t="shared" si="37"/>
        <v>0.76470588235294112</v>
      </c>
      <c r="Z48" s="1">
        <f t="shared" si="38"/>
        <v>8.1351689612015026</v>
      </c>
      <c r="AA48" s="6">
        <f t="shared" si="39"/>
        <v>46.06758448060075</v>
      </c>
      <c r="AB48" s="5">
        <f t="shared" si="40"/>
        <v>0.37</v>
      </c>
      <c r="AC48" s="1">
        <f t="shared" si="41"/>
        <v>0.63</v>
      </c>
      <c r="AD48" s="1">
        <f t="shared" si="42"/>
        <v>6.1994680851063828</v>
      </c>
      <c r="AE48" s="6">
        <f t="shared" si="43"/>
        <v>45.099734042553195</v>
      </c>
      <c r="AF48" s="5">
        <f t="shared" si="17"/>
        <v>0.4</v>
      </c>
      <c r="AG48" s="1">
        <f t="shared" si="18"/>
        <v>0.6</v>
      </c>
      <c r="AH48" s="1">
        <f t="shared" si="25"/>
        <v>6.3829787234042561</v>
      </c>
      <c r="AI48" s="6">
        <f t="shared" si="26"/>
        <v>45.191489361702125</v>
      </c>
      <c r="AJ48" s="5">
        <f t="shared" si="44"/>
        <v>0.52</v>
      </c>
      <c r="AK48" s="1">
        <f t="shared" si="45"/>
        <v>0.48</v>
      </c>
      <c r="AL48" s="1">
        <f t="shared" si="46"/>
        <v>6.6382978723404253</v>
      </c>
      <c r="AM48" s="6">
        <f t="shared" si="47"/>
        <v>45.319148936170215</v>
      </c>
    </row>
    <row r="49" spans="1:42" ht="14.25" thickBot="1" x14ac:dyDescent="0.2">
      <c r="A49" s="79" t="s">
        <v>383</v>
      </c>
      <c r="B49" s="57">
        <f>(V12_Nom/V48_Max)</f>
        <v>0.23529411764705882</v>
      </c>
      <c r="C49" s="80"/>
      <c r="N49">
        <v>4.2999999999999997E-2</v>
      </c>
      <c r="O49">
        <f t="shared" si="27"/>
        <v>42.999999999999993</v>
      </c>
      <c r="P49" s="5">
        <f t="shared" si="28"/>
        <v>0.66666666666666663</v>
      </c>
      <c r="Q49" s="1">
        <f t="shared" si="29"/>
        <v>0.33333333333333337</v>
      </c>
      <c r="R49" s="1">
        <f t="shared" si="30"/>
        <v>3.5460992907801421</v>
      </c>
      <c r="S49" s="6">
        <f t="shared" si="31"/>
        <v>44.773049645390067</v>
      </c>
      <c r="T49" s="5">
        <f t="shared" si="32"/>
        <v>0.4</v>
      </c>
      <c r="U49" s="1">
        <f t="shared" si="33"/>
        <v>0.6</v>
      </c>
      <c r="V49" s="1">
        <f t="shared" si="34"/>
        <v>6.3829787234042561</v>
      </c>
      <c r="W49" s="6">
        <f t="shared" si="35"/>
        <v>46.191489361702118</v>
      </c>
      <c r="X49" s="5">
        <f t="shared" si="36"/>
        <v>0.23529411764705882</v>
      </c>
      <c r="Y49" s="1">
        <f t="shared" si="37"/>
        <v>0.76470588235294112</v>
      </c>
      <c r="Z49" s="1">
        <f t="shared" si="38"/>
        <v>8.1351689612015026</v>
      </c>
      <c r="AA49" s="6">
        <f t="shared" si="39"/>
        <v>47.067584480600743</v>
      </c>
      <c r="AB49" s="5">
        <f t="shared" si="40"/>
        <v>0.37</v>
      </c>
      <c r="AC49" s="1">
        <f t="shared" si="41"/>
        <v>0.63</v>
      </c>
      <c r="AD49" s="1">
        <f t="shared" si="42"/>
        <v>6.1994680851063828</v>
      </c>
      <c r="AE49" s="6">
        <f t="shared" si="43"/>
        <v>46.099734042553187</v>
      </c>
      <c r="AF49" s="5">
        <f t="shared" si="17"/>
        <v>0.4</v>
      </c>
      <c r="AG49" s="1">
        <f t="shared" si="18"/>
        <v>0.6</v>
      </c>
      <c r="AH49" s="1">
        <f t="shared" si="25"/>
        <v>6.3829787234042561</v>
      </c>
      <c r="AI49" s="6">
        <f t="shared" si="26"/>
        <v>46.191489361702118</v>
      </c>
      <c r="AJ49" s="5">
        <f t="shared" si="44"/>
        <v>0.52</v>
      </c>
      <c r="AK49" s="1">
        <f t="shared" si="45"/>
        <v>0.48</v>
      </c>
      <c r="AL49" s="1">
        <f t="shared" si="46"/>
        <v>6.6382978723404253</v>
      </c>
      <c r="AM49" s="6">
        <f t="shared" si="47"/>
        <v>46.319148936170208</v>
      </c>
    </row>
    <row r="50" spans="1:42" x14ac:dyDescent="0.15">
      <c r="A50" s="75" t="s">
        <v>382</v>
      </c>
      <c r="B50" s="76">
        <f>((V48_Nom-V12_Min)/(2*Lm*Fsw))*((V12_Min*Rcs)/V48_Nom)*1000</f>
        <v>3.0997340425531914</v>
      </c>
      <c r="C50" s="77" t="s">
        <v>72</v>
      </c>
      <c r="N50">
        <v>4.3999999999999997E-2</v>
      </c>
      <c r="O50">
        <f t="shared" si="27"/>
        <v>44</v>
      </c>
      <c r="P50" s="5">
        <f t="shared" si="28"/>
        <v>0.66666666666666663</v>
      </c>
      <c r="Q50" s="1">
        <f t="shared" si="29"/>
        <v>0.33333333333333337</v>
      </c>
      <c r="R50" s="1">
        <f t="shared" si="30"/>
        <v>3.5460992907801421</v>
      </c>
      <c r="S50" s="6">
        <f t="shared" si="31"/>
        <v>45.773049645390074</v>
      </c>
      <c r="T50" s="5">
        <f t="shared" si="32"/>
        <v>0.4</v>
      </c>
      <c r="U50" s="1">
        <f t="shared" si="33"/>
        <v>0.6</v>
      </c>
      <c r="V50" s="1">
        <f t="shared" si="34"/>
        <v>6.3829787234042561</v>
      </c>
      <c r="W50" s="6">
        <f t="shared" si="35"/>
        <v>47.191489361702125</v>
      </c>
      <c r="X50" s="5">
        <f t="shared" si="36"/>
        <v>0.23529411764705882</v>
      </c>
      <c r="Y50" s="1">
        <f t="shared" si="37"/>
        <v>0.76470588235294112</v>
      </c>
      <c r="Z50" s="1">
        <f t="shared" si="38"/>
        <v>8.1351689612015026</v>
      </c>
      <c r="AA50" s="6">
        <f t="shared" si="39"/>
        <v>48.06758448060075</v>
      </c>
      <c r="AB50" s="5">
        <f t="shared" si="40"/>
        <v>0.37</v>
      </c>
      <c r="AC50" s="1">
        <f t="shared" si="41"/>
        <v>0.63</v>
      </c>
      <c r="AD50" s="1">
        <f t="shared" si="42"/>
        <v>6.1994680851063828</v>
      </c>
      <c r="AE50" s="6">
        <f t="shared" si="43"/>
        <v>47.099734042553195</v>
      </c>
      <c r="AF50" s="5">
        <f t="shared" si="17"/>
        <v>0.4</v>
      </c>
      <c r="AG50" s="1">
        <f t="shared" si="18"/>
        <v>0.6</v>
      </c>
      <c r="AH50" s="1">
        <f t="shared" si="25"/>
        <v>6.3829787234042561</v>
      </c>
      <c r="AI50" s="6">
        <f t="shared" si="26"/>
        <v>47.191489361702125</v>
      </c>
      <c r="AJ50" s="5">
        <f t="shared" si="44"/>
        <v>0.52</v>
      </c>
      <c r="AK50" s="1">
        <f t="shared" si="45"/>
        <v>0.48</v>
      </c>
      <c r="AL50" s="1">
        <f t="shared" si="46"/>
        <v>6.6382978723404253</v>
      </c>
      <c r="AM50" s="6">
        <f t="shared" si="47"/>
        <v>47.319148936170215</v>
      </c>
    </row>
    <row r="51" spans="1:42" x14ac:dyDescent="0.15">
      <c r="A51" s="78" t="s">
        <v>381</v>
      </c>
      <c r="B51" s="57">
        <f>(B50/1000)/Rcs</f>
        <v>3.0997340425531914</v>
      </c>
      <c r="C51" s="42" t="s">
        <v>4</v>
      </c>
      <c r="N51">
        <v>4.4999999999999998E-2</v>
      </c>
      <c r="O51">
        <f t="shared" si="27"/>
        <v>45</v>
      </c>
      <c r="P51" s="5">
        <f t="shared" si="28"/>
        <v>0.66666666666666663</v>
      </c>
      <c r="Q51" s="1">
        <f t="shared" si="29"/>
        <v>0.33333333333333337</v>
      </c>
      <c r="R51" s="1">
        <f t="shared" si="30"/>
        <v>3.5460992907801421</v>
      </c>
      <c r="S51" s="6">
        <f t="shared" si="31"/>
        <v>46.773049645390074</v>
      </c>
      <c r="T51" s="5">
        <f t="shared" si="32"/>
        <v>0.4</v>
      </c>
      <c r="U51" s="1">
        <f t="shared" si="33"/>
        <v>0.6</v>
      </c>
      <c r="V51" s="1">
        <f t="shared" si="34"/>
        <v>6.3829787234042561</v>
      </c>
      <c r="W51" s="6">
        <f t="shared" si="35"/>
        <v>48.191489361702125</v>
      </c>
      <c r="X51" s="5">
        <f t="shared" si="36"/>
        <v>0.23529411764705882</v>
      </c>
      <c r="Y51" s="1">
        <f t="shared" si="37"/>
        <v>0.76470588235294112</v>
      </c>
      <c r="Z51" s="1">
        <f t="shared" si="38"/>
        <v>8.1351689612015026</v>
      </c>
      <c r="AA51" s="6">
        <f t="shared" si="39"/>
        <v>49.06758448060075</v>
      </c>
      <c r="AB51" s="5">
        <f t="shared" si="40"/>
        <v>0.37</v>
      </c>
      <c r="AC51" s="1">
        <f t="shared" si="41"/>
        <v>0.63</v>
      </c>
      <c r="AD51" s="1">
        <f t="shared" si="42"/>
        <v>6.1994680851063828</v>
      </c>
      <c r="AE51" s="6">
        <f t="shared" si="43"/>
        <v>48.099734042553195</v>
      </c>
      <c r="AF51" s="5">
        <f t="shared" si="17"/>
        <v>0.4</v>
      </c>
      <c r="AG51" s="1">
        <f t="shared" si="18"/>
        <v>0.6</v>
      </c>
      <c r="AH51" s="1">
        <f t="shared" si="25"/>
        <v>6.3829787234042561</v>
      </c>
      <c r="AI51" s="6">
        <f t="shared" si="26"/>
        <v>48.191489361702125</v>
      </c>
      <c r="AJ51" s="5">
        <f t="shared" si="44"/>
        <v>0.52</v>
      </c>
      <c r="AK51" s="1">
        <f t="shared" si="45"/>
        <v>0.48</v>
      </c>
      <c r="AL51" s="1">
        <f t="shared" si="46"/>
        <v>6.6382978723404253</v>
      </c>
      <c r="AM51" s="6">
        <f t="shared" si="47"/>
        <v>48.319148936170215</v>
      </c>
    </row>
    <row r="52" spans="1:42" x14ac:dyDescent="0.15">
      <c r="A52" s="78" t="s">
        <v>383</v>
      </c>
      <c r="B52" s="50">
        <f>1-(V12_Min/V48_Nom)</f>
        <v>0.63</v>
      </c>
      <c r="C52" s="42"/>
      <c r="N52">
        <v>4.5999999999999999E-2</v>
      </c>
      <c r="O52">
        <f t="shared" si="27"/>
        <v>46</v>
      </c>
      <c r="P52" s="5">
        <f t="shared" si="28"/>
        <v>0.66666666666666663</v>
      </c>
      <c r="Q52" s="1">
        <f t="shared" si="29"/>
        <v>0.33333333333333337</v>
      </c>
      <c r="R52" s="1">
        <f t="shared" si="30"/>
        <v>3.5460992907801421</v>
      </c>
      <c r="S52" s="6">
        <f t="shared" si="31"/>
        <v>47.773049645390074</v>
      </c>
      <c r="T52" s="5">
        <f t="shared" si="32"/>
        <v>0.4</v>
      </c>
      <c r="U52" s="1">
        <f t="shared" si="33"/>
        <v>0.6</v>
      </c>
      <c r="V52" s="1">
        <f t="shared" si="34"/>
        <v>6.3829787234042561</v>
      </c>
      <c r="W52" s="6">
        <f t="shared" si="35"/>
        <v>49.191489361702125</v>
      </c>
      <c r="X52" s="5">
        <f t="shared" si="36"/>
        <v>0.23529411764705882</v>
      </c>
      <c r="Y52" s="1">
        <f t="shared" si="37"/>
        <v>0.76470588235294112</v>
      </c>
      <c r="Z52" s="1">
        <f t="shared" si="38"/>
        <v>8.1351689612015026</v>
      </c>
      <c r="AA52" s="6">
        <f t="shared" si="39"/>
        <v>50.06758448060075</v>
      </c>
      <c r="AB52" s="5">
        <f t="shared" si="40"/>
        <v>0.37</v>
      </c>
      <c r="AC52" s="1">
        <f t="shared" si="41"/>
        <v>0.63</v>
      </c>
      <c r="AD52" s="1">
        <f t="shared" si="42"/>
        <v>6.1994680851063828</v>
      </c>
      <c r="AE52" s="6">
        <f t="shared" si="43"/>
        <v>49.099734042553195</v>
      </c>
      <c r="AF52" s="5">
        <f t="shared" si="17"/>
        <v>0.4</v>
      </c>
      <c r="AG52" s="1">
        <f t="shared" si="18"/>
        <v>0.6</v>
      </c>
      <c r="AH52" s="1">
        <f t="shared" si="25"/>
        <v>6.3829787234042561</v>
      </c>
      <c r="AI52" s="6">
        <f t="shared" si="26"/>
        <v>49.191489361702125</v>
      </c>
      <c r="AJ52" s="5">
        <f t="shared" si="44"/>
        <v>0.52</v>
      </c>
      <c r="AK52" s="1">
        <f t="shared" si="45"/>
        <v>0.48</v>
      </c>
      <c r="AL52" s="1">
        <f t="shared" si="46"/>
        <v>6.6382978723404253</v>
      </c>
      <c r="AM52" s="6">
        <f t="shared" si="47"/>
        <v>49.319148936170215</v>
      </c>
    </row>
    <row r="53" spans="1:42" x14ac:dyDescent="0.15">
      <c r="A53" s="78" t="s">
        <v>74</v>
      </c>
      <c r="B53" s="56">
        <f>((V48_Nom-V12_Nom)/(2*Lm*Fsw))*((V12_Nom*Rcs)/V48_Nom)*1000</f>
        <v>3.191489361702128</v>
      </c>
      <c r="C53" s="42" t="s">
        <v>72</v>
      </c>
      <c r="N53">
        <v>4.7E-2</v>
      </c>
      <c r="O53">
        <f t="shared" si="27"/>
        <v>47</v>
      </c>
      <c r="P53" s="5">
        <f t="shared" si="28"/>
        <v>0.66666666666666663</v>
      </c>
      <c r="Q53" s="1">
        <f t="shared" si="29"/>
        <v>0.33333333333333337</v>
      </c>
      <c r="R53" s="1">
        <f t="shared" si="30"/>
        <v>3.5460992907801421</v>
      </c>
      <c r="S53" s="6">
        <f t="shared" si="31"/>
        <v>48.773049645390074</v>
      </c>
      <c r="T53" s="5">
        <f t="shared" si="32"/>
        <v>0.4</v>
      </c>
      <c r="U53" s="1">
        <f t="shared" si="33"/>
        <v>0.6</v>
      </c>
      <c r="V53" s="1">
        <f t="shared" si="34"/>
        <v>6.3829787234042561</v>
      </c>
      <c r="W53" s="6">
        <f t="shared" si="35"/>
        <v>50.191489361702125</v>
      </c>
      <c r="X53" s="5">
        <f t="shared" si="36"/>
        <v>0.23529411764705882</v>
      </c>
      <c r="Y53" s="1">
        <f t="shared" si="37"/>
        <v>0.76470588235294112</v>
      </c>
      <c r="Z53" s="1">
        <f t="shared" si="38"/>
        <v>8.1351689612015026</v>
      </c>
      <c r="AA53" s="6">
        <f t="shared" si="39"/>
        <v>51.06758448060075</v>
      </c>
      <c r="AB53" s="5">
        <f t="shared" si="40"/>
        <v>0.37</v>
      </c>
      <c r="AC53" s="1">
        <f t="shared" si="41"/>
        <v>0.63</v>
      </c>
      <c r="AD53" s="1">
        <f t="shared" si="42"/>
        <v>6.1994680851063828</v>
      </c>
      <c r="AE53" s="6">
        <f t="shared" si="43"/>
        <v>50.099734042553195</v>
      </c>
      <c r="AF53" s="5">
        <f t="shared" si="17"/>
        <v>0.4</v>
      </c>
      <c r="AG53" s="1">
        <f t="shared" si="18"/>
        <v>0.6</v>
      </c>
      <c r="AH53" s="1">
        <f t="shared" si="25"/>
        <v>6.3829787234042561</v>
      </c>
      <c r="AI53" s="6">
        <f t="shared" si="26"/>
        <v>50.191489361702125</v>
      </c>
      <c r="AJ53" s="5">
        <f t="shared" si="44"/>
        <v>0.52</v>
      </c>
      <c r="AK53" s="1">
        <f t="shared" si="45"/>
        <v>0.48</v>
      </c>
      <c r="AL53" s="1">
        <f t="shared" si="46"/>
        <v>6.6382978723404253</v>
      </c>
      <c r="AM53" s="6">
        <f t="shared" si="47"/>
        <v>50.319148936170215</v>
      </c>
    </row>
    <row r="54" spans="1:42" x14ac:dyDescent="0.15">
      <c r="A54" s="78" t="s">
        <v>81</v>
      </c>
      <c r="B54" s="57">
        <f>(B53/1000)/Rcs</f>
        <v>3.191489361702128</v>
      </c>
      <c r="C54" s="42" t="s">
        <v>4</v>
      </c>
      <c r="N54">
        <v>4.8000000000000001E-2</v>
      </c>
      <c r="O54">
        <f t="shared" si="27"/>
        <v>48</v>
      </c>
      <c r="P54" s="5">
        <f t="shared" si="28"/>
        <v>0.66666666666666663</v>
      </c>
      <c r="Q54" s="1">
        <f t="shared" si="29"/>
        <v>0.33333333333333337</v>
      </c>
      <c r="R54" s="1">
        <f t="shared" si="30"/>
        <v>3.5460992907801421</v>
      </c>
      <c r="S54" s="6">
        <f t="shared" si="31"/>
        <v>49.773049645390074</v>
      </c>
      <c r="T54" s="5">
        <f t="shared" si="32"/>
        <v>0.4</v>
      </c>
      <c r="U54" s="1">
        <f t="shared" si="33"/>
        <v>0.6</v>
      </c>
      <c r="V54" s="1">
        <f t="shared" si="34"/>
        <v>6.3829787234042561</v>
      </c>
      <c r="W54" s="6">
        <f t="shared" si="35"/>
        <v>51.191489361702125</v>
      </c>
      <c r="X54" s="5">
        <f t="shared" si="36"/>
        <v>0.23529411764705882</v>
      </c>
      <c r="Y54" s="1">
        <f t="shared" si="37"/>
        <v>0.76470588235294112</v>
      </c>
      <c r="Z54" s="1">
        <f t="shared" si="38"/>
        <v>8.1351689612015026</v>
      </c>
      <c r="AA54" s="6">
        <f t="shared" si="39"/>
        <v>52.06758448060075</v>
      </c>
      <c r="AB54" s="5">
        <f t="shared" si="40"/>
        <v>0.37</v>
      </c>
      <c r="AC54" s="1">
        <f t="shared" si="41"/>
        <v>0.63</v>
      </c>
      <c r="AD54" s="1">
        <f t="shared" si="42"/>
        <v>6.1994680851063828</v>
      </c>
      <c r="AE54" s="6">
        <f t="shared" si="43"/>
        <v>51.099734042553195</v>
      </c>
      <c r="AF54" s="5">
        <f t="shared" si="17"/>
        <v>0.4</v>
      </c>
      <c r="AG54" s="1">
        <f t="shared" si="18"/>
        <v>0.6</v>
      </c>
      <c r="AH54" s="1">
        <f t="shared" si="25"/>
        <v>6.3829787234042561</v>
      </c>
      <c r="AI54" s="6">
        <f t="shared" si="26"/>
        <v>51.191489361702125</v>
      </c>
      <c r="AJ54" s="5">
        <f t="shared" si="44"/>
        <v>0.52</v>
      </c>
      <c r="AK54" s="1">
        <f t="shared" si="45"/>
        <v>0.48</v>
      </c>
      <c r="AL54" s="1">
        <f t="shared" si="46"/>
        <v>6.6382978723404253</v>
      </c>
      <c r="AM54" s="6">
        <f t="shared" si="47"/>
        <v>51.319148936170215</v>
      </c>
    </row>
    <row r="55" spans="1:42" x14ac:dyDescent="0.15">
      <c r="A55" s="78" t="s">
        <v>383</v>
      </c>
      <c r="B55" s="57">
        <f>1-(V12_Nom/V48_Nom)</f>
        <v>0.6</v>
      </c>
      <c r="C55" s="42"/>
      <c r="N55">
        <v>4.9000000000000002E-2</v>
      </c>
      <c r="O55">
        <f t="shared" si="27"/>
        <v>49</v>
      </c>
      <c r="P55" s="5">
        <f t="shared" si="28"/>
        <v>0.66666666666666663</v>
      </c>
      <c r="Q55" s="1">
        <f t="shared" si="29"/>
        <v>0.33333333333333337</v>
      </c>
      <c r="R55" s="1">
        <f t="shared" si="30"/>
        <v>3.5460992907801421</v>
      </c>
      <c r="S55" s="6">
        <f t="shared" si="31"/>
        <v>50.773049645390074</v>
      </c>
      <c r="T55" s="5">
        <f t="shared" si="32"/>
        <v>0.4</v>
      </c>
      <c r="U55" s="1">
        <f t="shared" si="33"/>
        <v>0.6</v>
      </c>
      <c r="V55" s="1">
        <f t="shared" si="34"/>
        <v>6.3829787234042561</v>
      </c>
      <c r="W55" s="6">
        <f t="shared" si="35"/>
        <v>52.191489361702125</v>
      </c>
      <c r="X55" s="5">
        <f t="shared" si="36"/>
        <v>0.23529411764705882</v>
      </c>
      <c r="Y55" s="1">
        <f t="shared" si="37"/>
        <v>0.76470588235294112</v>
      </c>
      <c r="Z55" s="1">
        <f t="shared" si="38"/>
        <v>8.1351689612015026</v>
      </c>
      <c r="AA55" s="6">
        <f t="shared" si="39"/>
        <v>53.06758448060075</v>
      </c>
      <c r="AB55" s="5">
        <f t="shared" si="40"/>
        <v>0.37</v>
      </c>
      <c r="AC55" s="1">
        <f t="shared" si="41"/>
        <v>0.63</v>
      </c>
      <c r="AD55" s="1">
        <f t="shared" si="42"/>
        <v>6.1994680851063828</v>
      </c>
      <c r="AE55" s="6">
        <f t="shared" si="43"/>
        <v>52.099734042553195</v>
      </c>
      <c r="AF55" s="5">
        <f t="shared" si="17"/>
        <v>0.4</v>
      </c>
      <c r="AG55" s="1">
        <f t="shared" si="18"/>
        <v>0.6</v>
      </c>
      <c r="AH55" s="1">
        <f t="shared" si="25"/>
        <v>6.3829787234042561</v>
      </c>
      <c r="AI55" s="6">
        <f t="shared" si="26"/>
        <v>52.191489361702125</v>
      </c>
      <c r="AJ55" s="5">
        <f t="shared" si="44"/>
        <v>0.52</v>
      </c>
      <c r="AK55" s="1">
        <f t="shared" si="45"/>
        <v>0.48</v>
      </c>
      <c r="AL55" s="1">
        <f t="shared" si="46"/>
        <v>6.6382978723404253</v>
      </c>
      <c r="AM55" s="6">
        <f t="shared" si="47"/>
        <v>52.319148936170215</v>
      </c>
    </row>
    <row r="56" spans="1:42" x14ac:dyDescent="0.15">
      <c r="A56" s="78" t="s">
        <v>380</v>
      </c>
      <c r="B56" s="56">
        <f>((V48_Nom-V12_Max)/(2*Lm*Fsw))*((V12_Max*Rcs)/V48_Nom)*1000</f>
        <v>3.3191489361702136</v>
      </c>
      <c r="C56" s="42" t="s">
        <v>72</v>
      </c>
      <c r="N56">
        <v>0.05</v>
      </c>
      <c r="O56">
        <f t="shared" si="27"/>
        <v>50</v>
      </c>
      <c r="P56" s="5">
        <f t="shared" si="28"/>
        <v>0.66666666666666663</v>
      </c>
      <c r="Q56" s="1">
        <f t="shared" si="29"/>
        <v>0.33333333333333337</v>
      </c>
      <c r="R56" s="1">
        <f t="shared" si="30"/>
        <v>3.5460992907801421</v>
      </c>
      <c r="S56" s="6">
        <f t="shared" si="31"/>
        <v>51.773049645390074</v>
      </c>
      <c r="T56" s="5">
        <f t="shared" si="32"/>
        <v>0.4</v>
      </c>
      <c r="U56" s="1">
        <f t="shared" si="33"/>
        <v>0.6</v>
      </c>
      <c r="V56" s="1">
        <f t="shared" si="34"/>
        <v>6.3829787234042561</v>
      </c>
      <c r="W56" s="6">
        <f t="shared" si="35"/>
        <v>53.191489361702125</v>
      </c>
      <c r="X56" s="5">
        <f t="shared" si="36"/>
        <v>0.23529411764705882</v>
      </c>
      <c r="Y56" s="1">
        <f t="shared" si="37"/>
        <v>0.76470588235294112</v>
      </c>
      <c r="Z56" s="1">
        <f t="shared" si="38"/>
        <v>8.1351689612015026</v>
      </c>
      <c r="AA56" s="6">
        <f t="shared" si="39"/>
        <v>54.06758448060075</v>
      </c>
      <c r="AB56" s="5">
        <f t="shared" si="40"/>
        <v>0.37</v>
      </c>
      <c r="AC56" s="1">
        <f t="shared" si="41"/>
        <v>0.63</v>
      </c>
      <c r="AD56" s="1">
        <f t="shared" si="42"/>
        <v>6.1994680851063828</v>
      </c>
      <c r="AE56" s="6">
        <f t="shared" si="43"/>
        <v>53.099734042553195</v>
      </c>
      <c r="AF56" s="5">
        <f t="shared" si="17"/>
        <v>0.4</v>
      </c>
      <c r="AG56" s="1">
        <f t="shared" si="18"/>
        <v>0.6</v>
      </c>
      <c r="AH56" s="1">
        <f t="shared" si="25"/>
        <v>6.3829787234042561</v>
      </c>
      <c r="AI56" s="6">
        <f t="shared" si="26"/>
        <v>53.191489361702125</v>
      </c>
      <c r="AJ56" s="5">
        <f t="shared" si="44"/>
        <v>0.52</v>
      </c>
      <c r="AK56" s="1">
        <f t="shared" si="45"/>
        <v>0.48</v>
      </c>
      <c r="AL56" s="1">
        <f t="shared" si="46"/>
        <v>6.6382978723404253</v>
      </c>
      <c r="AM56" s="6">
        <f t="shared" si="47"/>
        <v>53.319148936170215</v>
      </c>
    </row>
    <row r="57" spans="1:42" x14ac:dyDescent="0.15">
      <c r="A57" s="78" t="s">
        <v>379</v>
      </c>
      <c r="B57" s="57">
        <f>(B56/1000)/Rcs</f>
        <v>3.3191489361702136</v>
      </c>
      <c r="C57" s="42" t="s">
        <v>4</v>
      </c>
    </row>
    <row r="58" spans="1:42" ht="14.25" thickBot="1" x14ac:dyDescent="0.2">
      <c r="A58" s="79" t="s">
        <v>383</v>
      </c>
      <c r="B58" s="50">
        <f>1-(V12_Max/V48_Nom)</f>
        <v>0.48</v>
      </c>
      <c r="C58" s="80"/>
      <c r="N58" s="40"/>
      <c r="O58" s="40"/>
      <c r="P58" s="40" t="s">
        <v>79</v>
      </c>
      <c r="Q58" s="40"/>
      <c r="R58" s="40"/>
      <c r="S58" s="40"/>
      <c r="T58" s="40"/>
      <c r="U58" s="40"/>
      <c r="V58" s="40"/>
      <c r="W58" s="40"/>
      <c r="X58" s="40"/>
      <c r="Y58" s="40"/>
      <c r="Z58" s="40"/>
      <c r="AA58" s="40"/>
      <c r="AD58" s="202" t="s">
        <v>79</v>
      </c>
      <c r="AE58" s="202"/>
      <c r="AF58" s="202"/>
      <c r="AG58" s="202"/>
      <c r="AH58" s="202"/>
      <c r="AI58" s="202"/>
      <c r="AJ58" s="202"/>
      <c r="AK58" s="202"/>
      <c r="AL58" s="202"/>
      <c r="AM58" s="202"/>
      <c r="AN58" s="202"/>
      <c r="AO58" s="202"/>
    </row>
    <row r="59" spans="1:42" ht="14.25" thickBot="1" x14ac:dyDescent="0.2">
      <c r="N59" s="40"/>
      <c r="O59" s="40"/>
      <c r="P59" s="41" t="s">
        <v>76</v>
      </c>
      <c r="Q59" s="41"/>
      <c r="R59" s="41"/>
      <c r="S59" s="41"/>
      <c r="T59" s="41" t="s">
        <v>77</v>
      </c>
      <c r="U59" s="41"/>
      <c r="V59" s="41"/>
      <c r="W59" s="41"/>
      <c r="X59" s="41" t="s">
        <v>78</v>
      </c>
      <c r="Y59" s="41"/>
      <c r="Z59" s="41"/>
      <c r="AA59" s="41"/>
      <c r="AC59" s="40"/>
      <c r="AD59" s="40"/>
      <c r="AE59" s="41" t="s">
        <v>108</v>
      </c>
      <c r="AF59" s="41"/>
      <c r="AG59" s="41"/>
      <c r="AH59" s="41"/>
      <c r="AI59" s="41" t="s">
        <v>109</v>
      </c>
      <c r="AJ59" s="41"/>
      <c r="AK59" s="41"/>
      <c r="AL59" s="41"/>
      <c r="AM59" s="41" t="s">
        <v>110</v>
      </c>
      <c r="AN59" s="41"/>
      <c r="AO59" s="41"/>
      <c r="AP59" s="41"/>
    </row>
    <row r="60" spans="1:42" ht="27.75" thickBot="1" x14ac:dyDescent="0.2">
      <c r="N60" s="40"/>
      <c r="O60" s="40" t="s">
        <v>30</v>
      </c>
      <c r="P60" s="17" t="s">
        <v>15</v>
      </c>
      <c r="Q60" s="18" t="s">
        <v>14</v>
      </c>
      <c r="R60" s="18" t="s">
        <v>13</v>
      </c>
      <c r="S60" s="19" t="s">
        <v>12</v>
      </c>
      <c r="T60" s="17" t="s">
        <v>15</v>
      </c>
      <c r="U60" s="18" t="s">
        <v>14</v>
      </c>
      <c r="V60" s="18" t="s">
        <v>13</v>
      </c>
      <c r="W60" s="19" t="s">
        <v>12</v>
      </c>
      <c r="X60" s="17" t="s">
        <v>15</v>
      </c>
      <c r="Y60" s="18" t="s">
        <v>14</v>
      </c>
      <c r="Z60" s="18" t="s">
        <v>13</v>
      </c>
      <c r="AA60" s="19" t="s">
        <v>12</v>
      </c>
      <c r="AC60" s="40"/>
      <c r="AD60" s="40" t="s">
        <v>107</v>
      </c>
      <c r="AE60" s="17" t="s">
        <v>15</v>
      </c>
      <c r="AF60" s="18" t="s">
        <v>14</v>
      </c>
      <c r="AG60" s="18" t="s">
        <v>13</v>
      </c>
      <c r="AH60" s="19" t="s">
        <v>12</v>
      </c>
      <c r="AI60" s="17" t="s">
        <v>15</v>
      </c>
      <c r="AJ60" s="18" t="s">
        <v>14</v>
      </c>
      <c r="AK60" s="18" t="s">
        <v>13</v>
      </c>
      <c r="AL60" s="19" t="s">
        <v>12</v>
      </c>
      <c r="AM60" s="17" t="s">
        <v>15</v>
      </c>
      <c r="AN60" s="18" t="s">
        <v>14</v>
      </c>
      <c r="AO60" s="18" t="s">
        <v>13</v>
      </c>
      <c r="AP60" s="19" t="s">
        <v>12</v>
      </c>
    </row>
    <row r="61" spans="1:42" x14ac:dyDescent="0.15">
      <c r="N61">
        <v>0</v>
      </c>
      <c r="O61">
        <f>V48_Min</f>
        <v>30</v>
      </c>
      <c r="P61" s="14">
        <f t="shared" ref="P61:P92" si="48">IF(I_Channel&lt;(($O61-V12_Min)*V12_Min)/((2*Lm*Fsw)*$O61),SQRT((2*I_Channel*Lm*Fsw*V12_Min)/($O61*($O61-V12_Min))),(V12_Min/$O61))</f>
        <v>0.6166666666666667</v>
      </c>
      <c r="Q61" s="15">
        <f t="shared" ref="Q61:Q92" si="49">IF(I_Channel&lt;(($O61-V12_Min)*V12_Min)/((2*Lm*Fsw)*$O61),SQRT((2*I_Channel*Lm*Fsw*V12_Min)/($O61*($O61-V12_Min)))*(($O61-V12_Min)/(V12_Min)),1-(V12_Min/$O61))</f>
        <v>0.3833333333333333</v>
      </c>
      <c r="R61" s="15">
        <f t="shared" ref="R61:R92" si="50">IF(I_Channel&lt;(($O61-V12_Min)*V12_Min)/((2*Lm*Fsw)*$O61),(P61/(Fsw*Lm))*($O61-V12_Min),((P61/(Fsw*Lm))*($O61-V12_Min)))</f>
        <v>3.7721631205673765</v>
      </c>
      <c r="S61" s="16">
        <f t="shared" ref="S61:S92" si="51">IF(I_Channel&lt;(($O61-V12_Min)*V12_Min)/((2*Lm*Fsw)*$O61),(P61/(Fsw*Lm))*($O61-V12_Min),(R61/2)+I_Channel)</f>
        <v>51.886081560283685</v>
      </c>
      <c r="T61" s="14">
        <f t="shared" ref="T61:T92" si="52">IF(I_Channel&lt;(($O61-V12_Nom)*V12_Nom)/((2*Lm*Fsw)*$O61),SQRT((2*I_Channel*Lm*Fsw*V12_Nom)/($O61*($O61-V12_Nom))),(V12_Nom/$O61))</f>
        <v>0.66666666666666663</v>
      </c>
      <c r="U61" s="15">
        <f t="shared" ref="U61:U92" si="53">IF(I_Channel&lt;(($O61-V12_Nom)*V12_Nom)/((2*Lm*Fsw)*$O61),SQRT((2*I_Channel*Lm*Fsw*V12_Nom)/($O61*($O61-V12_Nom)))*(($O61-V12_Nom)/(V12_Nom)),1-(V12_Nom/$O61))</f>
        <v>0.33333333333333337</v>
      </c>
      <c r="V61" s="15">
        <f t="shared" ref="V61:V92" si="54">IF(I_Channel&lt;(($O61-V12_Nom)*V12_Nom)/((2*Lm*Fsw)*$O61),(T61/(Fsw*Lm))*($O61-V12_Nom),((T61/(Fsw*Lm))*($O61-V12_Nom)))</f>
        <v>3.5460992907801421</v>
      </c>
      <c r="W61" s="16">
        <f t="shared" ref="W61:W92" si="55">IF(I_Channel&lt;(($O61-V12_Nom)*V12_Nom)/((2*Lm*Fsw)*$O61),(T61/(Fsw*Lm))*($O61-V12_Nom),(V61/2)+I_Channel)</f>
        <v>51.773049645390074</v>
      </c>
      <c r="X61" s="14">
        <f t="shared" ref="X61:X92" si="56">IF(I_Channel&lt;(($O61-V12_Max)*V12_Max)/((2*Lm*Fsw)*$O61),SQRT((2*I_Channel*Lm*Fsw*V12_Max)/($O61*($O61-V12_Max))),(V12_Max/$O61))</f>
        <v>0.8666666666666667</v>
      </c>
      <c r="Y61" s="15">
        <f t="shared" ref="Y61:Y92" si="57">IF(I_Channel&lt;(($O61-V12_Max)*V12_Max)/((2*Lm*Fsw)*$O61),SQRT((2*I_Channel*Lm*Fsw*V12_Max)/($O61*($O61-V12_Max)))*(($O61-V12_Max)/(V12_Max)),1-(V12_Max/$O61))</f>
        <v>0.1333333333333333</v>
      </c>
      <c r="Z61" s="15">
        <f t="shared" ref="Z61:Z92" si="58">IF(I_Channel&lt;(($O61-V12_Max)*V12_Max)/((2*Lm*Fsw)*$O61),(X61/(Fsw*Lm))*($O61-V12_Max),((X61/(Fsw*Lm))*($O61-V12_Max)))</f>
        <v>1.843971631205674</v>
      </c>
      <c r="AA61" s="16">
        <f t="shared" ref="AA61:AA92" si="59">IF(I_Channel&lt;(($O61-V12_Max)*V12_Max)/((2*Lm*Fsw)*$O61),(X61/(Fsw*Lm))*($O61-V12_Max),(Z61/2)+I_Channel)</f>
        <v>50.921985815602838</v>
      </c>
      <c r="AC61">
        <v>0</v>
      </c>
      <c r="AD61">
        <f>V12_Min</f>
        <v>18.5</v>
      </c>
      <c r="AE61" s="14">
        <f t="shared" ref="AE61:AE92" si="60">IF(I_Channel&lt;((V48_Min-$AD61)*$AD61)/((2*Lm*Fsw)*V48_Min),SQRT((2*I_Channel*Lm*Fsw*$AD61)/(V48_Min*(V48_Min-$AD61))),($AD61/V48_Min))</f>
        <v>0.6166666666666667</v>
      </c>
      <c r="AF61" s="15">
        <f t="shared" ref="AF61:AF92" si="61">IF(I_Channel&lt;((V48_Min-$AD61)*$AD61)/((2*Lm*Fsw)*V48_Min),SQRT((2*I_Channel*Lm*Fsw*$AD61)/(V48_Min*(V48_Min-$AD61)))*((V48_Min-$AD61)/($AD61)),1-($AD61/V48_Min))</f>
        <v>0.3833333333333333</v>
      </c>
      <c r="AG61" s="15">
        <f t="shared" ref="AG61:AG92" si="62">IF(I_Channel&lt;((V48_Min-$AD61)*$AD61)/((2*Lm*Fsw)*V48_Min),(AE61/(Fsw*Lm))*(V48_Min-$AD61),((AE61/(Fsw*Lm))*(V48_Min-$AD61)))</f>
        <v>3.7721631205673765</v>
      </c>
      <c r="AH61" s="16">
        <f t="shared" ref="AH61:AH92" si="63">IF(I_Channel&lt;((V48_Min-$AD61)*$AD61)/((2*Lm*Fsw)*V48_Min),(AE61/(Fsw*Lm))*(V48_Min-$AD61),(AG61/2)+I_Channel)</f>
        <v>51.886081560283685</v>
      </c>
      <c r="AI61" s="14">
        <f t="shared" ref="AI61:AI92" si="64">IF(I_Channel&lt;((V48_Nom-$AD61)*$AD61)/((2*Lm*Fsw)*V48_Nom),SQRT((2*I_Channel*Lm*Fsw*$AD61)/(V48_Nom*(V48_Nom-$AD61))),($AD61/V48_Nom))</f>
        <v>0.37</v>
      </c>
      <c r="AJ61" s="15">
        <f t="shared" ref="AJ61:AJ92" si="65">IF(I_Channel&lt;((V48_Nom-$AD61)*$AD61)/((2*Lm*Fsw)*V48_Nom),SQRT((2*I_Channel*Lm*Fsw*$AD61)/(V48_Nom*(V48_Nom-$AD61)))*((V48_Nom-$AD61)/($AD61)),1-($AD61/V48_Nom))</f>
        <v>0.63</v>
      </c>
      <c r="AK61" s="15">
        <f t="shared" ref="AK61:AK92" si="66">IF(I_Channel&lt;((V48_Nom-$AD61)*$AD61)/((2*Lm*Fsw)*V48_Nom),(AI61/(Fsw*Lm))*(V48_Nom-$AD61),((AI61/(Fsw*Lm))*(V48_Nom-$AD61)))</f>
        <v>6.1994680851063828</v>
      </c>
      <c r="AL61" s="16">
        <f t="shared" ref="AL61:AL92" si="67">IF(I_Channel&lt;((V48_Nom-$AD61)*$AD61)/((2*Lm*Fsw)*V48_Nom),(AI61/(Fsw*Lm))*(V48_Nom-$AD61),(AK61/2)+I_Channel)</f>
        <v>53.099734042553195</v>
      </c>
      <c r="AM61" s="14">
        <f t="shared" ref="AM61:AM92" si="68">IF(I_Channel&lt;((V48_Max-$AD61)*$AD61)/((2*Lm*Fsw)*V48_Max),SQRT((2*I_Channel*Lm*Fsw*$AD61)/(V48_Max*(V48_Max-$AD61))),($AD61/V48_Max))</f>
        <v>0.21764705882352942</v>
      </c>
      <c r="AN61" s="15">
        <f t="shared" ref="AN61:AN92" si="69">IF(I_Channel&lt;((V48_Max-$AD61)*$AD61)/((2*Lm*Fsw)*V48_Max),SQRT((2*I_Channel*Lm*Fsw*$AD61)/(V48_Max*(V48_Max-$AD61)))*((V48_Max-$AD61)/($AD61)),1-($AD61/V48_Max))</f>
        <v>0.78235294117647058</v>
      </c>
      <c r="AO61" s="15">
        <f t="shared" ref="AO61:AO92" si="70">IF(I_Channel&lt;((V48_Max-$AD61)*$AD61)/((2*Lm*Fsw)*V48_Max),(AM61/(Fsw*Lm))*(V48_Max-$AD61),((AM61/(Fsw*Lm))*(V48_Max-$AD61)))</f>
        <v>7.698685857321653</v>
      </c>
      <c r="AP61" s="16">
        <f t="shared" ref="AP61:AP92" si="71">IF(I_Channel&lt;((V48_Max-$AD61)*$AD61)/((2*Lm*Fsw)*V48_Max),(AM61/(Fsw*Lm))*(V48_Max-$AD61),(AO61/2)+I_Channel)</f>
        <v>53.849342928660825</v>
      </c>
    </row>
    <row r="62" spans="1:42" x14ac:dyDescent="0.15">
      <c r="N62">
        <v>1</v>
      </c>
      <c r="O62">
        <f t="shared" ref="O62:O93" si="72">((V48_Max-V48_Min)/50)*N62+V48_Min</f>
        <v>31.1</v>
      </c>
      <c r="P62" s="14">
        <f t="shared" si="48"/>
        <v>0.59485530546623788</v>
      </c>
      <c r="Q62" s="15">
        <f t="shared" si="49"/>
        <v>0.40514469453376212</v>
      </c>
      <c r="R62" s="15">
        <f t="shared" si="50"/>
        <v>3.9867961962098928</v>
      </c>
      <c r="S62" s="16">
        <f t="shared" si="51"/>
        <v>51.993398098104947</v>
      </c>
      <c r="T62" s="14">
        <f t="shared" si="52"/>
        <v>0.64308681672025725</v>
      </c>
      <c r="U62" s="15">
        <f t="shared" si="53"/>
        <v>0.35691318327974275</v>
      </c>
      <c r="V62" s="15">
        <f t="shared" si="54"/>
        <v>3.7969487582951365</v>
      </c>
      <c r="W62" s="16">
        <f t="shared" si="55"/>
        <v>51.898474379147565</v>
      </c>
      <c r="X62" s="14">
        <f t="shared" si="56"/>
        <v>0.83601286173633438</v>
      </c>
      <c r="Y62" s="15">
        <f t="shared" si="57"/>
        <v>0.16398713826366562</v>
      </c>
      <c r="Z62" s="15">
        <f t="shared" si="58"/>
        <v>2.2679072313060145</v>
      </c>
      <c r="AA62" s="16">
        <f t="shared" si="59"/>
        <v>51.133953615653006</v>
      </c>
      <c r="AC62">
        <v>1</v>
      </c>
      <c r="AD62">
        <f t="shared" ref="AD62:AD93" si="73">((V12_Max-V12_Min)/50)*AC62+V12_Min</f>
        <v>18.649999999999999</v>
      </c>
      <c r="AE62" s="14">
        <f t="shared" si="60"/>
        <v>0.62166666666666659</v>
      </c>
      <c r="AF62" s="15">
        <f t="shared" si="61"/>
        <v>0.37833333333333341</v>
      </c>
      <c r="AG62" s="15">
        <f t="shared" si="62"/>
        <v>3.7531471631205675</v>
      </c>
      <c r="AH62" s="16">
        <f t="shared" si="63"/>
        <v>51.876573581560287</v>
      </c>
      <c r="AI62" s="14">
        <f t="shared" si="64"/>
        <v>0.373</v>
      </c>
      <c r="AJ62" s="15">
        <f t="shared" si="65"/>
        <v>0.627</v>
      </c>
      <c r="AK62" s="15">
        <f t="shared" si="66"/>
        <v>6.2199734042553203</v>
      </c>
      <c r="AL62" s="16">
        <f t="shared" si="67"/>
        <v>53.109986702127657</v>
      </c>
      <c r="AM62" s="14">
        <f t="shared" si="68"/>
        <v>0.21941176470588233</v>
      </c>
      <c r="AN62" s="15">
        <f t="shared" si="69"/>
        <v>0.78058823529411769</v>
      </c>
      <c r="AO62" s="15">
        <f t="shared" si="70"/>
        <v>7.7436013767208998</v>
      </c>
      <c r="AP62" s="16">
        <f t="shared" si="71"/>
        <v>53.871800688360452</v>
      </c>
    </row>
    <row r="63" spans="1:42" x14ac:dyDescent="0.15">
      <c r="A63" s="196" t="s">
        <v>73</v>
      </c>
      <c r="B63" s="197"/>
      <c r="C63" s="198"/>
      <c r="E63" s="65" t="s">
        <v>152</v>
      </c>
      <c r="N63">
        <v>2</v>
      </c>
      <c r="O63">
        <f t="shared" si="72"/>
        <v>32.200000000000003</v>
      </c>
      <c r="P63" s="14">
        <f t="shared" si="48"/>
        <v>0.57453416149068315</v>
      </c>
      <c r="Q63" s="15">
        <f t="shared" si="49"/>
        <v>0.42546583850931685</v>
      </c>
      <c r="R63" s="15">
        <f t="shared" si="50"/>
        <v>4.1867649002246603</v>
      </c>
      <c r="S63" s="16">
        <f t="shared" si="51"/>
        <v>52.09338245011233</v>
      </c>
      <c r="T63" s="14">
        <f t="shared" si="52"/>
        <v>0.6211180124223602</v>
      </c>
      <c r="U63" s="15">
        <f t="shared" si="53"/>
        <v>0.3788819875776398</v>
      </c>
      <c r="V63" s="15">
        <f t="shared" si="54"/>
        <v>4.0306594423153177</v>
      </c>
      <c r="W63" s="16">
        <f t="shared" si="55"/>
        <v>52.015329721157656</v>
      </c>
      <c r="X63" s="14">
        <f t="shared" si="56"/>
        <v>0.80745341614906829</v>
      </c>
      <c r="Y63" s="15">
        <f t="shared" si="57"/>
        <v>0.19254658385093171</v>
      </c>
      <c r="Z63" s="15">
        <f t="shared" si="58"/>
        <v>2.6628782873001202</v>
      </c>
      <c r="AA63" s="16">
        <f t="shared" si="59"/>
        <v>51.331439143650059</v>
      </c>
      <c r="AC63">
        <v>2</v>
      </c>
      <c r="AD63">
        <f t="shared" si="73"/>
        <v>18.8</v>
      </c>
      <c r="AE63" s="14">
        <f t="shared" si="60"/>
        <v>0.62666666666666671</v>
      </c>
      <c r="AF63" s="15">
        <f t="shared" si="61"/>
        <v>0.37333333333333329</v>
      </c>
      <c r="AG63" s="15">
        <f t="shared" si="62"/>
        <v>3.7333333333333334</v>
      </c>
      <c r="AH63" s="16">
        <f t="shared" si="63"/>
        <v>51.866666666666667</v>
      </c>
      <c r="AI63" s="14">
        <f t="shared" si="64"/>
        <v>0.376</v>
      </c>
      <c r="AJ63" s="15">
        <f t="shared" si="65"/>
        <v>0.624</v>
      </c>
      <c r="AK63" s="15">
        <f t="shared" si="66"/>
        <v>6.24</v>
      </c>
      <c r="AL63" s="16">
        <f t="shared" si="67"/>
        <v>53.12</v>
      </c>
      <c r="AM63" s="14">
        <f t="shared" si="68"/>
        <v>0.22117647058823531</v>
      </c>
      <c r="AN63" s="15">
        <f t="shared" si="69"/>
        <v>0.77882352941176469</v>
      </c>
      <c r="AO63" s="15">
        <f t="shared" si="70"/>
        <v>7.7882352941176478</v>
      </c>
      <c r="AP63" s="16">
        <f t="shared" si="71"/>
        <v>53.89411764705882</v>
      </c>
    </row>
    <row r="64" spans="1:42" x14ac:dyDescent="0.15">
      <c r="A64" s="31" t="s">
        <v>71</v>
      </c>
      <c r="B64" s="57">
        <f>IF(V48_Max/2&gt;V12_Nom,((V48_Max-V12_Nom)*(V12_Nom/V48_Max))/(Lm*Fsw),((V48_Max-(V48_Max/2))*(V12_Nom/V48_Max))/(Lm*Fsw))</f>
        <v>8.1351689612015026</v>
      </c>
      <c r="C64" s="31" t="s">
        <v>4</v>
      </c>
      <c r="E64" s="34" t="s">
        <v>194</v>
      </c>
      <c r="N64">
        <v>3</v>
      </c>
      <c r="O64">
        <f t="shared" si="72"/>
        <v>33.299999999999997</v>
      </c>
      <c r="P64" s="14">
        <f t="shared" si="48"/>
        <v>0.55555555555555558</v>
      </c>
      <c r="Q64" s="15">
        <f t="shared" si="49"/>
        <v>0.44444444444444442</v>
      </c>
      <c r="R64" s="15">
        <f t="shared" si="50"/>
        <v>4.373522458628841</v>
      </c>
      <c r="S64" s="16">
        <f t="shared" si="51"/>
        <v>52.186761229314421</v>
      </c>
      <c r="T64" s="14">
        <f t="shared" si="52"/>
        <v>0.60060060060060061</v>
      </c>
      <c r="U64" s="15">
        <f t="shared" si="53"/>
        <v>0.39939939939939939</v>
      </c>
      <c r="V64" s="15">
        <f t="shared" si="54"/>
        <v>4.2489297808446738</v>
      </c>
      <c r="W64" s="16">
        <f t="shared" si="55"/>
        <v>52.124464890422338</v>
      </c>
      <c r="X64" s="14">
        <f t="shared" si="56"/>
        <v>0.78078078078078084</v>
      </c>
      <c r="Y64" s="15">
        <f t="shared" si="57"/>
        <v>0.21921921921921916</v>
      </c>
      <c r="Z64" s="15">
        <f t="shared" si="58"/>
        <v>3.0317551594147329</v>
      </c>
      <c r="AA64" s="16">
        <f t="shared" si="59"/>
        <v>51.515877579707364</v>
      </c>
      <c r="AC64">
        <v>3</v>
      </c>
      <c r="AD64">
        <f t="shared" si="73"/>
        <v>18.95</v>
      </c>
      <c r="AE64" s="14">
        <f t="shared" si="60"/>
        <v>0.6316666666666666</v>
      </c>
      <c r="AF64" s="15">
        <f t="shared" si="61"/>
        <v>0.3683333333333334</v>
      </c>
      <c r="AG64" s="15">
        <f t="shared" si="62"/>
        <v>3.7127216312056741</v>
      </c>
      <c r="AH64" s="16">
        <f t="shared" si="63"/>
        <v>51.856360815602834</v>
      </c>
      <c r="AI64" s="14">
        <f t="shared" si="64"/>
        <v>0.379</v>
      </c>
      <c r="AJ64" s="15">
        <f t="shared" si="65"/>
        <v>0.621</v>
      </c>
      <c r="AK64" s="15">
        <f t="shared" si="66"/>
        <v>6.2595478723404261</v>
      </c>
      <c r="AL64" s="16">
        <f t="shared" si="67"/>
        <v>53.12977393617021</v>
      </c>
      <c r="AM64" s="14">
        <f t="shared" si="68"/>
        <v>0.22294117647058823</v>
      </c>
      <c r="AN64" s="15">
        <f t="shared" si="69"/>
        <v>0.7770588235294118</v>
      </c>
      <c r="AO64" s="15">
        <f t="shared" si="70"/>
        <v>7.83258760951189</v>
      </c>
      <c r="AP64" s="16">
        <f t="shared" si="71"/>
        <v>53.916293804755945</v>
      </c>
    </row>
    <row r="65" spans="1:42" x14ac:dyDescent="0.15">
      <c r="A65" s="31" t="s">
        <v>204</v>
      </c>
      <c r="B65" s="58">
        <f>(B64/2)+B25</f>
        <v>26.56758448060075</v>
      </c>
      <c r="C65" s="31" t="s">
        <v>4</v>
      </c>
      <c r="E65" s="34" t="s">
        <v>203</v>
      </c>
      <c r="N65">
        <v>4</v>
      </c>
      <c r="O65">
        <f t="shared" si="72"/>
        <v>34.4</v>
      </c>
      <c r="P65" s="14">
        <f t="shared" si="48"/>
        <v>0.53779069767441867</v>
      </c>
      <c r="Q65" s="15">
        <f t="shared" si="49"/>
        <v>0.46220930232558133</v>
      </c>
      <c r="R65" s="15">
        <f t="shared" si="50"/>
        <v>4.5483362196932218</v>
      </c>
      <c r="S65" s="16">
        <f t="shared" si="51"/>
        <v>52.274168109846613</v>
      </c>
      <c r="T65" s="14">
        <f t="shared" si="52"/>
        <v>0.58139534883720934</v>
      </c>
      <c r="U65" s="15">
        <f t="shared" si="53"/>
        <v>0.41860465116279066</v>
      </c>
      <c r="V65" s="15">
        <f t="shared" si="54"/>
        <v>4.453240969816922</v>
      </c>
      <c r="W65" s="16">
        <f t="shared" si="55"/>
        <v>52.226620484908459</v>
      </c>
      <c r="X65" s="14">
        <f t="shared" si="56"/>
        <v>0.7558139534883721</v>
      </c>
      <c r="Y65" s="15">
        <f t="shared" si="57"/>
        <v>0.2441860465116279</v>
      </c>
      <c r="Z65" s="15">
        <f t="shared" si="58"/>
        <v>3.3770410687778325</v>
      </c>
      <c r="AA65" s="16">
        <f t="shared" si="59"/>
        <v>51.688520534388914</v>
      </c>
      <c r="AC65">
        <v>4</v>
      </c>
      <c r="AD65">
        <f t="shared" si="73"/>
        <v>19.100000000000001</v>
      </c>
      <c r="AE65" s="14">
        <f t="shared" si="60"/>
        <v>0.63666666666666671</v>
      </c>
      <c r="AF65" s="15">
        <f t="shared" si="61"/>
        <v>0.36333333333333329</v>
      </c>
      <c r="AG65" s="15">
        <f t="shared" si="62"/>
        <v>3.6913120567375883</v>
      </c>
      <c r="AH65" s="16">
        <f t="shared" si="63"/>
        <v>51.845656028368793</v>
      </c>
      <c r="AI65" s="14">
        <f t="shared" si="64"/>
        <v>0.38200000000000001</v>
      </c>
      <c r="AJ65" s="15">
        <f t="shared" si="65"/>
        <v>0.61799999999999999</v>
      </c>
      <c r="AK65" s="15">
        <f t="shared" si="66"/>
        <v>6.2786170212765962</v>
      </c>
      <c r="AL65" s="16">
        <f t="shared" si="67"/>
        <v>53.139308510638301</v>
      </c>
      <c r="AM65" s="14">
        <f t="shared" si="68"/>
        <v>0.2247058823529412</v>
      </c>
      <c r="AN65" s="15">
        <f t="shared" si="69"/>
        <v>0.7752941176470588</v>
      </c>
      <c r="AO65" s="15">
        <f t="shared" si="70"/>
        <v>7.8766583229036309</v>
      </c>
      <c r="AP65" s="16">
        <f t="shared" si="71"/>
        <v>53.938329161451819</v>
      </c>
    </row>
    <row r="66" spans="1:42" x14ac:dyDescent="0.15">
      <c r="A66" s="34" t="s">
        <v>288</v>
      </c>
      <c r="B66" s="64">
        <f>Design_Converter!B44</f>
        <v>10</v>
      </c>
      <c r="C66" s="34" t="s">
        <v>26</v>
      </c>
      <c r="N66">
        <v>5</v>
      </c>
      <c r="O66">
        <f t="shared" si="72"/>
        <v>35.5</v>
      </c>
      <c r="P66" s="14">
        <f t="shared" si="48"/>
        <v>0.52112676056338025</v>
      </c>
      <c r="Q66" s="15">
        <f t="shared" si="49"/>
        <v>0.47887323943661975</v>
      </c>
      <c r="R66" s="15">
        <f t="shared" si="50"/>
        <v>4.7123164519029075</v>
      </c>
      <c r="S66" s="16">
        <f t="shared" si="51"/>
        <v>52.356158225951454</v>
      </c>
      <c r="T66" s="14">
        <f t="shared" si="52"/>
        <v>0.56338028169014087</v>
      </c>
      <c r="U66" s="15">
        <f t="shared" si="53"/>
        <v>0.43661971830985913</v>
      </c>
      <c r="V66" s="15">
        <f t="shared" si="54"/>
        <v>4.6448906203176508</v>
      </c>
      <c r="W66" s="16">
        <f t="shared" si="55"/>
        <v>52.322445310158827</v>
      </c>
      <c r="X66" s="14">
        <f t="shared" si="56"/>
        <v>0.73239436619718312</v>
      </c>
      <c r="Y66" s="15">
        <f t="shared" si="57"/>
        <v>0.26760563380281688</v>
      </c>
      <c r="Z66" s="15">
        <f t="shared" si="58"/>
        <v>3.7009289781240637</v>
      </c>
      <c r="AA66" s="16">
        <f t="shared" si="59"/>
        <v>51.850464489062034</v>
      </c>
      <c r="AC66">
        <v>5</v>
      </c>
      <c r="AD66">
        <f t="shared" si="73"/>
        <v>19.25</v>
      </c>
      <c r="AE66" s="14">
        <f t="shared" si="60"/>
        <v>0.64166666666666672</v>
      </c>
      <c r="AF66" s="15">
        <f t="shared" si="61"/>
        <v>0.35833333333333328</v>
      </c>
      <c r="AG66" s="15">
        <f t="shared" si="62"/>
        <v>3.6691046099290783</v>
      </c>
      <c r="AH66" s="16">
        <f t="shared" si="63"/>
        <v>51.834552304964539</v>
      </c>
      <c r="AI66" s="14">
        <f t="shared" si="64"/>
        <v>0.38500000000000001</v>
      </c>
      <c r="AJ66" s="15">
        <f t="shared" si="65"/>
        <v>0.61499999999999999</v>
      </c>
      <c r="AK66" s="15">
        <f t="shared" si="66"/>
        <v>6.2972074468085104</v>
      </c>
      <c r="AL66" s="16">
        <f t="shared" si="67"/>
        <v>53.148603723404257</v>
      </c>
      <c r="AM66" s="14">
        <f t="shared" si="68"/>
        <v>0.22647058823529412</v>
      </c>
      <c r="AN66" s="15">
        <f t="shared" si="69"/>
        <v>0.77352941176470591</v>
      </c>
      <c r="AO66" s="15">
        <f t="shared" si="70"/>
        <v>7.9204474342928668</v>
      </c>
      <c r="AP66" s="16">
        <f t="shared" si="71"/>
        <v>53.960223717146434</v>
      </c>
    </row>
    <row r="67" spans="1:42" x14ac:dyDescent="0.15">
      <c r="A67" s="31" t="s">
        <v>205</v>
      </c>
      <c r="B67" s="54">
        <f>I_Channel_Peak_No_Ilimit*(1+(B66/100))</f>
        <v>29.224342928660828</v>
      </c>
      <c r="C67" s="31" t="s">
        <v>4</v>
      </c>
      <c r="E67" s="34" t="s">
        <v>153</v>
      </c>
      <c r="N67">
        <v>6</v>
      </c>
      <c r="O67">
        <f t="shared" si="72"/>
        <v>36.6</v>
      </c>
      <c r="P67" s="14">
        <f t="shared" si="48"/>
        <v>0.50546448087431695</v>
      </c>
      <c r="Q67" s="15">
        <f t="shared" si="49"/>
        <v>0.49453551912568305</v>
      </c>
      <c r="R67" s="15">
        <f t="shared" si="50"/>
        <v>4.8664399488431584</v>
      </c>
      <c r="S67" s="16">
        <f t="shared" si="51"/>
        <v>52.433219974421576</v>
      </c>
      <c r="T67" s="14">
        <f t="shared" si="52"/>
        <v>0.54644808743169393</v>
      </c>
      <c r="U67" s="15">
        <f t="shared" si="53"/>
        <v>0.45355191256830607</v>
      </c>
      <c r="V67" s="15">
        <f t="shared" si="54"/>
        <v>4.8250203464713408</v>
      </c>
      <c r="W67" s="16">
        <f t="shared" si="55"/>
        <v>52.412510173235674</v>
      </c>
      <c r="X67" s="14">
        <f t="shared" si="56"/>
        <v>0.7103825136612022</v>
      </c>
      <c r="Y67" s="15">
        <f t="shared" si="57"/>
        <v>0.2896174863387978</v>
      </c>
      <c r="Z67" s="15">
        <f t="shared" si="58"/>
        <v>4.0053482153238003</v>
      </c>
      <c r="AA67" s="16">
        <f t="shared" si="59"/>
        <v>52.002674107661903</v>
      </c>
      <c r="AC67">
        <v>6</v>
      </c>
      <c r="AD67">
        <f t="shared" si="73"/>
        <v>19.399999999999999</v>
      </c>
      <c r="AE67" s="14">
        <f t="shared" si="60"/>
        <v>0.64666666666666661</v>
      </c>
      <c r="AF67" s="15">
        <f t="shared" si="61"/>
        <v>0.35333333333333339</v>
      </c>
      <c r="AG67" s="15">
        <f t="shared" si="62"/>
        <v>3.6460992907801422</v>
      </c>
      <c r="AH67" s="16">
        <f t="shared" si="63"/>
        <v>51.823049645390071</v>
      </c>
      <c r="AI67" s="14">
        <f t="shared" si="64"/>
        <v>0.38799999999999996</v>
      </c>
      <c r="AJ67" s="15">
        <f t="shared" si="65"/>
        <v>0.6120000000000001</v>
      </c>
      <c r="AK67" s="15">
        <f t="shared" si="66"/>
        <v>6.3153191489361706</v>
      </c>
      <c r="AL67" s="16">
        <f t="shared" si="67"/>
        <v>53.157659574468084</v>
      </c>
      <c r="AM67" s="14">
        <f t="shared" si="68"/>
        <v>0.22823529411764704</v>
      </c>
      <c r="AN67" s="15">
        <f t="shared" si="69"/>
        <v>0.77176470588235291</v>
      </c>
      <c r="AO67" s="15">
        <f t="shared" si="70"/>
        <v>7.9639549436795978</v>
      </c>
      <c r="AP67" s="16">
        <f t="shared" si="71"/>
        <v>53.981977471839798</v>
      </c>
    </row>
    <row r="68" spans="1:42" ht="15" x14ac:dyDescent="0.25">
      <c r="A68" s="31" t="s">
        <v>206</v>
      </c>
      <c r="B68" s="54">
        <f>((Rcs*I_Channel_Peak_Select))/(Constants!C22*1000)</f>
        <v>26.567584480600754</v>
      </c>
      <c r="C68" s="67" t="s">
        <v>104</v>
      </c>
      <c r="E68" s="34" t="s">
        <v>155</v>
      </c>
      <c r="N68">
        <v>7</v>
      </c>
      <c r="O68">
        <f t="shared" si="72"/>
        <v>37.700000000000003</v>
      </c>
      <c r="P68" s="14">
        <f t="shared" si="48"/>
        <v>0.49071618037135273</v>
      </c>
      <c r="Q68" s="15">
        <f t="shared" si="49"/>
        <v>0.50928381962864733</v>
      </c>
      <c r="R68" s="15">
        <f t="shared" si="50"/>
        <v>5.01156950166488</v>
      </c>
      <c r="S68" s="16">
        <f t="shared" si="51"/>
        <v>52.50578475083244</v>
      </c>
      <c r="T68" s="14">
        <f t="shared" si="52"/>
        <v>0.53050397877984079</v>
      </c>
      <c r="U68" s="15">
        <f t="shared" si="53"/>
        <v>0.46949602122015921</v>
      </c>
      <c r="V68" s="15">
        <f t="shared" si="54"/>
        <v>4.9946385236187156</v>
      </c>
      <c r="W68" s="16">
        <f t="shared" si="55"/>
        <v>52.497319261809359</v>
      </c>
      <c r="X68" s="14">
        <f t="shared" si="56"/>
        <v>0.68965517241379304</v>
      </c>
      <c r="Y68" s="15">
        <f t="shared" si="57"/>
        <v>0.31034482758620696</v>
      </c>
      <c r="Z68" s="15">
        <f t="shared" si="58"/>
        <v>4.2920029347028628</v>
      </c>
      <c r="AA68" s="16">
        <f t="shared" si="59"/>
        <v>52.146001467351432</v>
      </c>
      <c r="AC68">
        <v>7</v>
      </c>
      <c r="AD68">
        <f t="shared" si="73"/>
        <v>19.55</v>
      </c>
      <c r="AE68" s="14">
        <f t="shared" si="60"/>
        <v>0.65166666666666673</v>
      </c>
      <c r="AF68" s="15">
        <f t="shared" si="61"/>
        <v>0.34833333333333327</v>
      </c>
      <c r="AG68" s="15">
        <f t="shared" si="62"/>
        <v>3.6222960992907804</v>
      </c>
      <c r="AH68" s="16">
        <f t="shared" si="63"/>
        <v>51.811148049645389</v>
      </c>
      <c r="AI68" s="14">
        <f t="shared" si="64"/>
        <v>0.39100000000000001</v>
      </c>
      <c r="AJ68" s="15">
        <f t="shared" si="65"/>
        <v>0.60899999999999999</v>
      </c>
      <c r="AK68" s="15">
        <f t="shared" si="66"/>
        <v>6.3329521276595742</v>
      </c>
      <c r="AL68" s="16">
        <f t="shared" si="67"/>
        <v>53.166476063829791</v>
      </c>
      <c r="AM68" s="14">
        <f t="shared" si="68"/>
        <v>0.23</v>
      </c>
      <c r="AN68" s="15">
        <f t="shared" si="69"/>
        <v>0.77</v>
      </c>
      <c r="AO68" s="15">
        <f t="shared" si="70"/>
        <v>8.0071808510638309</v>
      </c>
      <c r="AP68" s="16">
        <f t="shared" si="71"/>
        <v>54.003590425531918</v>
      </c>
    </row>
    <row r="69" spans="1:42" ht="15" x14ac:dyDescent="0.25">
      <c r="A69" s="31" t="s">
        <v>190</v>
      </c>
      <c r="B69" s="60">
        <f>Design_Converter!B47</f>
        <v>26</v>
      </c>
      <c r="C69" s="67" t="s">
        <v>104</v>
      </c>
      <c r="N69">
        <v>8</v>
      </c>
      <c r="O69">
        <f t="shared" si="72"/>
        <v>38.799999999999997</v>
      </c>
      <c r="P69" s="14">
        <f t="shared" si="48"/>
        <v>0.47680412371134023</v>
      </c>
      <c r="Q69" s="15">
        <f t="shared" si="49"/>
        <v>0.52319587628865971</v>
      </c>
      <c r="R69" s="15">
        <f t="shared" si="50"/>
        <v>5.1484700592235138</v>
      </c>
      <c r="S69" s="16">
        <f t="shared" si="51"/>
        <v>52.574235029611756</v>
      </c>
      <c r="T69" s="14">
        <f t="shared" si="52"/>
        <v>0.51546391752577325</v>
      </c>
      <c r="U69" s="15">
        <f t="shared" si="53"/>
        <v>0.48453608247422675</v>
      </c>
      <c r="V69" s="15">
        <f t="shared" si="54"/>
        <v>5.1546391752577314</v>
      </c>
      <c r="W69" s="16">
        <f t="shared" si="55"/>
        <v>52.577319587628864</v>
      </c>
      <c r="X69" s="14">
        <f t="shared" si="56"/>
        <v>0.67010309278350522</v>
      </c>
      <c r="Y69" s="15">
        <f t="shared" si="57"/>
        <v>0.32989690721649478</v>
      </c>
      <c r="Z69" s="15">
        <f t="shared" si="58"/>
        <v>4.5624040359728006</v>
      </c>
      <c r="AA69" s="16">
        <f t="shared" si="59"/>
        <v>52.281202017986402</v>
      </c>
      <c r="AC69">
        <v>8</v>
      </c>
      <c r="AD69">
        <f t="shared" si="73"/>
        <v>19.7</v>
      </c>
      <c r="AE69" s="14">
        <f t="shared" si="60"/>
        <v>0.65666666666666662</v>
      </c>
      <c r="AF69" s="15">
        <f t="shared" si="61"/>
        <v>0.34333333333333338</v>
      </c>
      <c r="AG69" s="15">
        <f t="shared" si="62"/>
        <v>3.5976950354609931</v>
      </c>
      <c r="AH69" s="16">
        <f t="shared" si="63"/>
        <v>51.798847517730493</v>
      </c>
      <c r="AI69" s="14">
        <f t="shared" si="64"/>
        <v>0.39399999999999996</v>
      </c>
      <c r="AJ69" s="15">
        <f t="shared" si="65"/>
        <v>0.60600000000000009</v>
      </c>
      <c r="AK69" s="15">
        <f t="shared" si="66"/>
        <v>6.3501063829787237</v>
      </c>
      <c r="AL69" s="16">
        <f t="shared" si="67"/>
        <v>53.175053191489361</v>
      </c>
      <c r="AM69" s="14">
        <f t="shared" si="68"/>
        <v>0.23176470588235293</v>
      </c>
      <c r="AN69" s="15">
        <f t="shared" si="69"/>
        <v>0.76823529411764713</v>
      </c>
      <c r="AO69" s="15">
        <f t="shared" si="70"/>
        <v>8.0501251564455565</v>
      </c>
      <c r="AP69" s="16">
        <f t="shared" si="71"/>
        <v>54.02506257822278</v>
      </c>
    </row>
    <row r="70" spans="1:42" ht="15" x14ac:dyDescent="0.25">
      <c r="A70" s="31" t="s">
        <v>191</v>
      </c>
      <c r="B70" s="60">
        <f>(B69*1000*Constants!C22)/(Calculations!B28*(10^-3))</f>
        <v>28.6</v>
      </c>
      <c r="C70" s="67" t="s">
        <v>4</v>
      </c>
      <c r="D70" s="31">
        <f>IF(B70&lt;I_Channel_Peak_No_Ilimit,1,0)</f>
        <v>0</v>
      </c>
      <c r="E70" s="34" t="s">
        <v>156</v>
      </c>
      <c r="N70">
        <v>9</v>
      </c>
      <c r="O70">
        <f t="shared" si="72"/>
        <v>39.9</v>
      </c>
      <c r="P70" s="14">
        <f t="shared" si="48"/>
        <v>0.46365914786967422</v>
      </c>
      <c r="Q70" s="15">
        <f t="shared" si="49"/>
        <v>0.53634085213032578</v>
      </c>
      <c r="R70" s="15">
        <f t="shared" si="50"/>
        <v>5.2778222151122485</v>
      </c>
      <c r="S70" s="16">
        <f t="shared" si="51"/>
        <v>52.638911107556126</v>
      </c>
      <c r="T70" s="14">
        <f t="shared" si="52"/>
        <v>0.50125313283208017</v>
      </c>
      <c r="U70" s="15">
        <f t="shared" si="53"/>
        <v>0.49874686716791983</v>
      </c>
      <c r="V70" s="15">
        <f t="shared" si="54"/>
        <v>5.305817735828934</v>
      </c>
      <c r="W70" s="16">
        <f t="shared" si="55"/>
        <v>52.652908867914469</v>
      </c>
      <c r="X70" s="14">
        <f t="shared" si="56"/>
        <v>0.65162907268170434</v>
      </c>
      <c r="Y70" s="15">
        <f t="shared" si="57"/>
        <v>0.34837092731829566</v>
      </c>
      <c r="Z70" s="15">
        <f t="shared" si="58"/>
        <v>4.8178958033381329</v>
      </c>
      <c r="AA70" s="16">
        <f t="shared" si="59"/>
        <v>52.408947901669066</v>
      </c>
      <c r="AC70">
        <v>9</v>
      </c>
      <c r="AD70">
        <f t="shared" si="73"/>
        <v>19.850000000000001</v>
      </c>
      <c r="AE70" s="14">
        <f t="shared" si="60"/>
        <v>0.66166666666666674</v>
      </c>
      <c r="AF70" s="15">
        <f t="shared" si="61"/>
        <v>0.33833333333333326</v>
      </c>
      <c r="AG70" s="15">
        <f t="shared" si="62"/>
        <v>3.5722960992907802</v>
      </c>
      <c r="AH70" s="16">
        <f t="shared" si="63"/>
        <v>51.786148049645391</v>
      </c>
      <c r="AI70" s="14">
        <f t="shared" si="64"/>
        <v>0.39700000000000002</v>
      </c>
      <c r="AJ70" s="15">
        <f t="shared" si="65"/>
        <v>0.60299999999999998</v>
      </c>
      <c r="AK70" s="15">
        <f t="shared" si="66"/>
        <v>6.3667819148936173</v>
      </c>
      <c r="AL70" s="16">
        <f t="shared" si="67"/>
        <v>53.183390957446811</v>
      </c>
      <c r="AM70" s="14">
        <f t="shared" si="68"/>
        <v>0.2335294117647059</v>
      </c>
      <c r="AN70" s="15">
        <f t="shared" si="69"/>
        <v>0.76647058823529413</v>
      </c>
      <c r="AO70" s="15">
        <f t="shared" si="70"/>
        <v>8.0927878598247833</v>
      </c>
      <c r="AP70" s="16">
        <f t="shared" si="71"/>
        <v>54.046393929912391</v>
      </c>
    </row>
    <row r="71" spans="1:42" x14ac:dyDescent="0.15">
      <c r="N71">
        <v>10</v>
      </c>
      <c r="O71">
        <f t="shared" si="72"/>
        <v>41</v>
      </c>
      <c r="P71" s="14">
        <f t="shared" si="48"/>
        <v>0.45121951219512196</v>
      </c>
      <c r="Q71" s="15">
        <f t="shared" si="49"/>
        <v>0.54878048780487809</v>
      </c>
      <c r="R71" s="15">
        <f t="shared" si="50"/>
        <v>5.4002335236118331</v>
      </c>
      <c r="S71" s="16">
        <f t="shared" si="51"/>
        <v>52.700116761805916</v>
      </c>
      <c r="T71" s="14">
        <f t="shared" si="52"/>
        <v>0.48780487804878048</v>
      </c>
      <c r="U71" s="15">
        <f t="shared" si="53"/>
        <v>0.51219512195121952</v>
      </c>
      <c r="V71" s="15">
        <f t="shared" si="54"/>
        <v>5.4488842760768037</v>
      </c>
      <c r="W71" s="16">
        <f t="shared" si="55"/>
        <v>52.724442138038398</v>
      </c>
      <c r="X71" s="14">
        <f t="shared" si="56"/>
        <v>0.63414634146341464</v>
      </c>
      <c r="Y71" s="15">
        <f t="shared" si="57"/>
        <v>0.36585365853658536</v>
      </c>
      <c r="Z71" s="15">
        <f t="shared" si="58"/>
        <v>5.0596782563570315</v>
      </c>
      <c r="AA71" s="16">
        <f t="shared" si="59"/>
        <v>52.529839128178516</v>
      </c>
      <c r="AC71">
        <v>10</v>
      </c>
      <c r="AD71">
        <f t="shared" si="73"/>
        <v>20</v>
      </c>
      <c r="AE71" s="14">
        <f t="shared" si="60"/>
        <v>0.66666666666666663</v>
      </c>
      <c r="AF71" s="15">
        <f t="shared" si="61"/>
        <v>0.33333333333333337</v>
      </c>
      <c r="AG71" s="15">
        <f t="shared" si="62"/>
        <v>3.5460992907801421</v>
      </c>
      <c r="AH71" s="16">
        <f t="shared" si="63"/>
        <v>51.773049645390074</v>
      </c>
      <c r="AI71" s="14">
        <f t="shared" si="64"/>
        <v>0.4</v>
      </c>
      <c r="AJ71" s="15">
        <f t="shared" si="65"/>
        <v>0.6</v>
      </c>
      <c r="AK71" s="15">
        <f t="shared" si="66"/>
        <v>6.3829787234042561</v>
      </c>
      <c r="AL71" s="16">
        <f t="shared" si="67"/>
        <v>53.191489361702125</v>
      </c>
      <c r="AM71" s="14">
        <f t="shared" si="68"/>
        <v>0.23529411764705882</v>
      </c>
      <c r="AN71" s="15">
        <f t="shared" si="69"/>
        <v>0.76470588235294112</v>
      </c>
      <c r="AO71" s="15">
        <f t="shared" si="70"/>
        <v>8.1351689612015026</v>
      </c>
      <c r="AP71" s="16">
        <f t="shared" si="71"/>
        <v>54.06758448060075</v>
      </c>
    </row>
    <row r="72" spans="1:42" x14ac:dyDescent="0.15">
      <c r="N72">
        <v>11</v>
      </c>
      <c r="O72">
        <f t="shared" si="72"/>
        <v>42.1</v>
      </c>
      <c r="P72" s="14">
        <f t="shared" si="48"/>
        <v>0.4394299287410926</v>
      </c>
      <c r="Q72" s="15">
        <f t="shared" si="49"/>
        <v>0.56057007125890745</v>
      </c>
      <c r="R72" s="15">
        <f t="shared" si="50"/>
        <v>5.5162480416435038</v>
      </c>
      <c r="S72" s="16">
        <f t="shared" si="51"/>
        <v>52.758124020821754</v>
      </c>
      <c r="T72" s="14">
        <f t="shared" si="52"/>
        <v>0.47505938242280282</v>
      </c>
      <c r="U72" s="15">
        <f t="shared" si="53"/>
        <v>0.52494061757719712</v>
      </c>
      <c r="V72" s="15">
        <f t="shared" si="54"/>
        <v>5.5844746550765656</v>
      </c>
      <c r="W72" s="16">
        <f t="shared" si="55"/>
        <v>52.792237327538281</v>
      </c>
      <c r="X72" s="14">
        <f t="shared" si="56"/>
        <v>0.61757719714964365</v>
      </c>
      <c r="Y72" s="15">
        <f t="shared" si="57"/>
        <v>0.38242280285035635</v>
      </c>
      <c r="Z72" s="15">
        <f t="shared" si="58"/>
        <v>5.2888259968666302</v>
      </c>
      <c r="AA72" s="16">
        <f t="shared" si="59"/>
        <v>52.644412998433317</v>
      </c>
      <c r="AC72">
        <v>11</v>
      </c>
      <c r="AD72">
        <f t="shared" si="73"/>
        <v>20.149999999999999</v>
      </c>
      <c r="AE72" s="14">
        <f t="shared" si="60"/>
        <v>0.67166666666666663</v>
      </c>
      <c r="AF72" s="15">
        <f t="shared" si="61"/>
        <v>0.32833333333333337</v>
      </c>
      <c r="AG72" s="15">
        <f t="shared" si="62"/>
        <v>3.5191046099290788</v>
      </c>
      <c r="AH72" s="16">
        <f t="shared" si="63"/>
        <v>51.759552304964537</v>
      </c>
      <c r="AI72" s="14">
        <f t="shared" si="64"/>
        <v>0.40299999999999997</v>
      </c>
      <c r="AJ72" s="15">
        <f t="shared" si="65"/>
        <v>0.59699999999999998</v>
      </c>
      <c r="AK72" s="15">
        <f t="shared" si="66"/>
        <v>6.3986968085106382</v>
      </c>
      <c r="AL72" s="16">
        <f t="shared" si="67"/>
        <v>53.199348404255318</v>
      </c>
      <c r="AM72" s="14">
        <f t="shared" si="68"/>
        <v>0.23705882352941174</v>
      </c>
      <c r="AN72" s="15">
        <f t="shared" si="69"/>
        <v>0.76294117647058823</v>
      </c>
      <c r="AO72" s="15">
        <f t="shared" si="70"/>
        <v>8.1772684605757178</v>
      </c>
      <c r="AP72" s="16">
        <f t="shared" si="71"/>
        <v>54.088634230287859</v>
      </c>
    </row>
    <row r="73" spans="1:42" x14ac:dyDescent="0.15">
      <c r="N73">
        <v>12</v>
      </c>
      <c r="O73">
        <f t="shared" si="72"/>
        <v>43.2</v>
      </c>
      <c r="P73" s="14">
        <f t="shared" si="48"/>
        <v>0.4282407407407407</v>
      </c>
      <c r="Q73" s="15">
        <f t="shared" si="49"/>
        <v>0.5717592592592593</v>
      </c>
      <c r="R73" s="15">
        <f t="shared" si="50"/>
        <v>5.6263544129235621</v>
      </c>
      <c r="S73" s="16">
        <f t="shared" si="51"/>
        <v>52.813177206461781</v>
      </c>
      <c r="T73" s="14">
        <f t="shared" si="52"/>
        <v>0.46296296296296291</v>
      </c>
      <c r="U73" s="15">
        <f t="shared" si="53"/>
        <v>0.53703703703703709</v>
      </c>
      <c r="V73" s="15">
        <f t="shared" si="54"/>
        <v>5.7131599684791183</v>
      </c>
      <c r="W73" s="16">
        <f t="shared" si="55"/>
        <v>52.856579984239559</v>
      </c>
      <c r="X73" s="14">
        <f t="shared" si="56"/>
        <v>0.60185185185185186</v>
      </c>
      <c r="Y73" s="15">
        <f t="shared" si="57"/>
        <v>0.39814814814814814</v>
      </c>
      <c r="Z73" s="15">
        <f t="shared" si="58"/>
        <v>5.5063041765169443</v>
      </c>
      <c r="AA73" s="16">
        <f t="shared" si="59"/>
        <v>52.753152088258474</v>
      </c>
      <c r="AC73">
        <v>12</v>
      </c>
      <c r="AD73">
        <f t="shared" si="73"/>
        <v>20.3</v>
      </c>
      <c r="AE73" s="14">
        <f t="shared" si="60"/>
        <v>0.67666666666666664</v>
      </c>
      <c r="AF73" s="15">
        <f t="shared" si="61"/>
        <v>0.32333333333333336</v>
      </c>
      <c r="AG73" s="15">
        <f t="shared" si="62"/>
        <v>3.4913120567375882</v>
      </c>
      <c r="AH73" s="16">
        <f t="shared" si="63"/>
        <v>51.745656028368792</v>
      </c>
      <c r="AI73" s="14">
        <f t="shared" si="64"/>
        <v>0.40600000000000003</v>
      </c>
      <c r="AJ73" s="15">
        <f t="shared" si="65"/>
        <v>0.59399999999999997</v>
      </c>
      <c r="AK73" s="15">
        <f t="shared" si="66"/>
        <v>6.4139361702127671</v>
      </c>
      <c r="AL73" s="16">
        <f t="shared" si="67"/>
        <v>53.206968085106382</v>
      </c>
      <c r="AM73" s="14">
        <f t="shared" si="68"/>
        <v>0.23882352941176471</v>
      </c>
      <c r="AN73" s="15">
        <f t="shared" si="69"/>
        <v>0.76117647058823534</v>
      </c>
      <c r="AO73" s="15">
        <f t="shared" si="70"/>
        <v>8.219086357947436</v>
      </c>
      <c r="AP73" s="16">
        <f t="shared" si="71"/>
        <v>54.109543178973716</v>
      </c>
    </row>
    <row r="74" spans="1:42" x14ac:dyDescent="0.15">
      <c r="A74" s="47" t="s">
        <v>99</v>
      </c>
      <c r="B74" s="47"/>
      <c r="C74" s="47"/>
      <c r="N74">
        <v>13</v>
      </c>
      <c r="O74">
        <f t="shared" si="72"/>
        <v>44.3</v>
      </c>
      <c r="P74" s="14">
        <f t="shared" si="48"/>
        <v>0.41760722347629797</v>
      </c>
      <c r="Q74" s="15">
        <f t="shared" si="49"/>
        <v>0.58239277652370203</v>
      </c>
      <c r="R74" s="15">
        <f t="shared" si="50"/>
        <v>5.730992747706642</v>
      </c>
      <c r="S74" s="16">
        <f t="shared" si="51"/>
        <v>52.865496373853318</v>
      </c>
      <c r="T74" s="14">
        <f t="shared" si="52"/>
        <v>0.45146726862302489</v>
      </c>
      <c r="U74" s="15">
        <f t="shared" si="53"/>
        <v>0.54853273137697511</v>
      </c>
      <c r="V74" s="15">
        <f t="shared" si="54"/>
        <v>5.8354545891167575</v>
      </c>
      <c r="W74" s="16">
        <f t="shared" si="55"/>
        <v>52.917727294558375</v>
      </c>
      <c r="X74" s="14">
        <f t="shared" si="56"/>
        <v>0.58690744920993232</v>
      </c>
      <c r="Y74" s="15">
        <f t="shared" si="57"/>
        <v>0.41309255079006768</v>
      </c>
      <c r="Z74" s="15">
        <f t="shared" si="58"/>
        <v>5.712982085394553</v>
      </c>
      <c r="AA74" s="16">
        <f t="shared" si="59"/>
        <v>52.856491042697279</v>
      </c>
      <c r="AC74">
        <v>13</v>
      </c>
      <c r="AD74">
        <f t="shared" si="73"/>
        <v>20.45</v>
      </c>
      <c r="AE74" s="14">
        <f t="shared" si="60"/>
        <v>0.68166666666666664</v>
      </c>
      <c r="AF74" s="15">
        <f t="shared" si="61"/>
        <v>0.31833333333333336</v>
      </c>
      <c r="AG74" s="15">
        <f t="shared" si="62"/>
        <v>3.4627216312056741</v>
      </c>
      <c r="AH74" s="16">
        <f t="shared" si="63"/>
        <v>51.731360815602834</v>
      </c>
      <c r="AI74" s="14">
        <f t="shared" si="64"/>
        <v>0.40899999999999997</v>
      </c>
      <c r="AJ74" s="15">
        <f t="shared" si="65"/>
        <v>0.59099999999999997</v>
      </c>
      <c r="AK74" s="15">
        <f t="shared" si="66"/>
        <v>6.4286968085106384</v>
      </c>
      <c r="AL74" s="16">
        <f t="shared" si="67"/>
        <v>53.214348404255318</v>
      </c>
      <c r="AM74" s="14">
        <f t="shared" si="68"/>
        <v>0.24058823529411763</v>
      </c>
      <c r="AN74" s="15">
        <f t="shared" si="69"/>
        <v>0.75941176470588234</v>
      </c>
      <c r="AO74" s="15">
        <f t="shared" si="70"/>
        <v>8.2606226533166449</v>
      </c>
      <c r="AP74" s="16">
        <f t="shared" si="71"/>
        <v>54.130311326658322</v>
      </c>
    </row>
    <row r="75" spans="1:42" x14ac:dyDescent="0.15">
      <c r="A75" s="31" t="s">
        <v>207</v>
      </c>
      <c r="B75" s="49">
        <f>Design_Converter!B62</f>
        <v>1</v>
      </c>
      <c r="C75" s="31" t="s">
        <v>40</v>
      </c>
      <c r="N75">
        <v>14</v>
      </c>
      <c r="O75">
        <f t="shared" si="72"/>
        <v>45.400000000000006</v>
      </c>
      <c r="P75" s="14">
        <f t="shared" si="48"/>
        <v>0.40748898678414092</v>
      </c>
      <c r="Q75" s="15">
        <f t="shared" si="49"/>
        <v>0.59251101321585908</v>
      </c>
      <c r="R75" s="15">
        <f t="shared" si="50"/>
        <v>5.830560502390103</v>
      </c>
      <c r="S75" s="16">
        <f t="shared" si="51"/>
        <v>52.91528025119505</v>
      </c>
      <c r="T75" s="14">
        <f t="shared" si="52"/>
        <v>0.44052863436123341</v>
      </c>
      <c r="U75" s="15">
        <f t="shared" si="53"/>
        <v>0.55947136563876665</v>
      </c>
      <c r="V75" s="15">
        <f t="shared" si="54"/>
        <v>5.9518230387102822</v>
      </c>
      <c r="W75" s="16">
        <f t="shared" si="55"/>
        <v>52.975911519355144</v>
      </c>
      <c r="X75" s="14">
        <f t="shared" si="56"/>
        <v>0.57268722466960342</v>
      </c>
      <c r="Y75" s="15">
        <f t="shared" si="57"/>
        <v>0.42731277533039658</v>
      </c>
      <c r="Z75" s="15">
        <f t="shared" si="58"/>
        <v>5.9096447652076121</v>
      </c>
      <c r="AA75" s="16">
        <f t="shared" si="59"/>
        <v>52.954822382603808</v>
      </c>
      <c r="AC75">
        <v>14</v>
      </c>
      <c r="AD75">
        <f t="shared" si="73"/>
        <v>20.6</v>
      </c>
      <c r="AE75" s="14">
        <f t="shared" si="60"/>
        <v>0.68666666666666676</v>
      </c>
      <c r="AF75" s="15">
        <f t="shared" si="61"/>
        <v>0.31333333333333324</v>
      </c>
      <c r="AG75" s="15">
        <f t="shared" si="62"/>
        <v>3.4333333333333336</v>
      </c>
      <c r="AH75" s="16">
        <f t="shared" si="63"/>
        <v>51.716666666666669</v>
      </c>
      <c r="AI75" s="14">
        <f t="shared" si="64"/>
        <v>0.41200000000000003</v>
      </c>
      <c r="AJ75" s="15">
        <f t="shared" si="65"/>
        <v>0.58799999999999997</v>
      </c>
      <c r="AK75" s="15">
        <f t="shared" si="66"/>
        <v>6.4429787234042557</v>
      </c>
      <c r="AL75" s="16">
        <f t="shared" si="67"/>
        <v>53.221489361702126</v>
      </c>
      <c r="AM75" s="14">
        <f t="shared" si="68"/>
        <v>0.2423529411764706</v>
      </c>
      <c r="AN75" s="15">
        <f t="shared" si="69"/>
        <v>0.75764705882352934</v>
      </c>
      <c r="AO75" s="15">
        <f t="shared" si="70"/>
        <v>8.3018773466833551</v>
      </c>
      <c r="AP75" s="16">
        <f t="shared" si="71"/>
        <v>54.150938673341678</v>
      </c>
    </row>
    <row r="76" spans="1:42" ht="15" x14ac:dyDescent="0.25">
      <c r="A76" s="31" t="s">
        <v>157</v>
      </c>
      <c r="B76" s="56">
        <f>9.6/(((B75*10^-9)*Fsw)*1000)</f>
        <v>23.999999999999996</v>
      </c>
      <c r="C76" s="67" t="s">
        <v>104</v>
      </c>
      <c r="E76" s="34" t="s">
        <v>488</v>
      </c>
      <c r="N76">
        <v>15</v>
      </c>
      <c r="O76">
        <f t="shared" si="72"/>
        <v>46.5</v>
      </c>
      <c r="P76" s="14">
        <f t="shared" si="48"/>
        <v>0.39784946236559138</v>
      </c>
      <c r="Q76" s="15">
        <f t="shared" si="49"/>
        <v>0.60215053763440862</v>
      </c>
      <c r="R76" s="15">
        <f t="shared" si="50"/>
        <v>5.9254175245939145</v>
      </c>
      <c r="S76" s="16">
        <f t="shared" si="51"/>
        <v>52.962708762296955</v>
      </c>
      <c r="T76" s="14">
        <f t="shared" si="52"/>
        <v>0.43010752688172044</v>
      </c>
      <c r="U76" s="15">
        <f t="shared" si="53"/>
        <v>0.56989247311827951</v>
      </c>
      <c r="V76" s="15">
        <f t="shared" si="54"/>
        <v>6.062685884237017</v>
      </c>
      <c r="W76" s="16">
        <f t="shared" si="55"/>
        <v>53.031342942118506</v>
      </c>
      <c r="X76" s="14">
        <f t="shared" si="56"/>
        <v>0.55913978494623651</v>
      </c>
      <c r="Y76" s="15">
        <f t="shared" si="57"/>
        <v>0.44086021505376349</v>
      </c>
      <c r="Z76" s="15">
        <f t="shared" si="58"/>
        <v>6.0970029741477916</v>
      </c>
      <c r="AA76" s="16">
        <f t="shared" si="59"/>
        <v>53.048501487073892</v>
      </c>
      <c r="AC76">
        <v>15</v>
      </c>
      <c r="AD76">
        <f t="shared" si="73"/>
        <v>20.75</v>
      </c>
      <c r="AE76" s="14">
        <f t="shared" si="60"/>
        <v>0.69166666666666665</v>
      </c>
      <c r="AF76" s="15">
        <f t="shared" si="61"/>
        <v>0.30833333333333335</v>
      </c>
      <c r="AG76" s="15">
        <f t="shared" si="62"/>
        <v>3.4031471631205674</v>
      </c>
      <c r="AH76" s="16">
        <f t="shared" si="63"/>
        <v>51.701573581560282</v>
      </c>
      <c r="AI76" s="14">
        <f t="shared" si="64"/>
        <v>0.41499999999999998</v>
      </c>
      <c r="AJ76" s="15">
        <f t="shared" si="65"/>
        <v>0.58499999999999996</v>
      </c>
      <c r="AK76" s="15">
        <f t="shared" si="66"/>
        <v>6.4567819148936172</v>
      </c>
      <c r="AL76" s="16">
        <f t="shared" si="67"/>
        <v>53.228390957446805</v>
      </c>
      <c r="AM76" s="14">
        <f t="shared" si="68"/>
        <v>0.24411764705882352</v>
      </c>
      <c r="AN76" s="15">
        <f t="shared" si="69"/>
        <v>0.75588235294117645</v>
      </c>
      <c r="AO76" s="15">
        <f t="shared" si="70"/>
        <v>8.3428504380475594</v>
      </c>
      <c r="AP76" s="16">
        <f t="shared" si="71"/>
        <v>54.171425219023781</v>
      </c>
    </row>
    <row r="77" spans="1:42" ht="15" x14ac:dyDescent="0.25">
      <c r="A77" s="34" t="s">
        <v>208</v>
      </c>
      <c r="B77" s="49">
        <v>96</v>
      </c>
      <c r="C77" s="67" t="s">
        <v>104</v>
      </c>
      <c r="E77" s="34" t="s">
        <v>100</v>
      </c>
      <c r="N77">
        <v>16</v>
      </c>
      <c r="O77">
        <f t="shared" si="72"/>
        <v>47.6</v>
      </c>
      <c r="P77" s="14">
        <f t="shared" si="48"/>
        <v>0.38865546218487396</v>
      </c>
      <c r="Q77" s="15">
        <f t="shared" si="49"/>
        <v>0.6113445378151261</v>
      </c>
      <c r="R77" s="15">
        <f t="shared" si="50"/>
        <v>6.0158903987126777</v>
      </c>
      <c r="S77" s="16">
        <f t="shared" si="51"/>
        <v>53.007945199356342</v>
      </c>
      <c r="T77" s="14">
        <f t="shared" si="52"/>
        <v>0.42016806722689076</v>
      </c>
      <c r="U77" s="15">
        <f t="shared" si="53"/>
        <v>0.57983193277310918</v>
      </c>
      <c r="V77" s="15">
        <f t="shared" si="54"/>
        <v>6.1684248167352056</v>
      </c>
      <c r="W77" s="16">
        <f t="shared" si="55"/>
        <v>53.084212408367605</v>
      </c>
      <c r="X77" s="14">
        <f t="shared" si="56"/>
        <v>0.54621848739495793</v>
      </c>
      <c r="Y77" s="15">
        <f t="shared" si="57"/>
        <v>0.45378151260504207</v>
      </c>
      <c r="Z77" s="15">
        <f t="shared" si="58"/>
        <v>6.2757017700697304</v>
      </c>
      <c r="AA77" s="16">
        <f t="shared" si="59"/>
        <v>53.137850885034865</v>
      </c>
      <c r="AC77">
        <v>16</v>
      </c>
      <c r="AD77">
        <f t="shared" si="73"/>
        <v>20.9</v>
      </c>
      <c r="AE77" s="14">
        <f t="shared" si="60"/>
        <v>0.69666666666666666</v>
      </c>
      <c r="AF77" s="15">
        <f t="shared" si="61"/>
        <v>0.30333333333333334</v>
      </c>
      <c r="AG77" s="15">
        <f t="shared" si="62"/>
        <v>3.3721631205673765</v>
      </c>
      <c r="AH77" s="16">
        <f t="shared" si="63"/>
        <v>51.686081560283689</v>
      </c>
      <c r="AI77" s="14">
        <f t="shared" si="64"/>
        <v>0.41799999999999998</v>
      </c>
      <c r="AJ77" s="15">
        <f t="shared" si="65"/>
        <v>0.58200000000000007</v>
      </c>
      <c r="AK77" s="15">
        <f t="shared" si="66"/>
        <v>6.4701063829787238</v>
      </c>
      <c r="AL77" s="16">
        <f t="shared" si="67"/>
        <v>53.235053191489364</v>
      </c>
      <c r="AM77" s="14">
        <f t="shared" si="68"/>
        <v>0.24588235294117644</v>
      </c>
      <c r="AN77" s="15">
        <f t="shared" si="69"/>
        <v>0.75411764705882356</v>
      </c>
      <c r="AO77" s="15">
        <f t="shared" si="70"/>
        <v>8.3835419274092615</v>
      </c>
      <c r="AP77" s="16">
        <f t="shared" si="71"/>
        <v>54.191770963704627</v>
      </c>
    </row>
    <row r="78" spans="1:42" x14ac:dyDescent="0.15">
      <c r="A78" s="31" t="s">
        <v>101</v>
      </c>
      <c r="B78" s="61">
        <f>(V48_Min)/(Ramp_C*Ramp_R*Fsw)</f>
        <v>3.125</v>
      </c>
      <c r="C78" s="31" t="s">
        <v>1</v>
      </c>
      <c r="D78" s="34">
        <f>IF(B78&lt;Constants!$C$44,1,IF(B78&gt;Constants!$C$43,1,0))</f>
        <v>0</v>
      </c>
      <c r="E78" s="34" t="s">
        <v>209</v>
      </c>
      <c r="N78">
        <v>17</v>
      </c>
      <c r="O78">
        <f t="shared" si="72"/>
        <v>48.7</v>
      </c>
      <c r="P78" s="14">
        <f t="shared" si="48"/>
        <v>0.37987679671457902</v>
      </c>
      <c r="Q78" s="15">
        <f t="shared" si="49"/>
        <v>0.62012320328542092</v>
      </c>
      <c r="R78" s="15">
        <f t="shared" si="50"/>
        <v>6.1022762025427069</v>
      </c>
      <c r="S78" s="16">
        <f t="shared" si="51"/>
        <v>53.051138101271356</v>
      </c>
      <c r="T78" s="14">
        <f t="shared" si="52"/>
        <v>0.41067761806981518</v>
      </c>
      <c r="U78" s="15">
        <f t="shared" si="53"/>
        <v>0.58932238193018482</v>
      </c>
      <c r="V78" s="15">
        <f t="shared" si="54"/>
        <v>6.2693870418104778</v>
      </c>
      <c r="W78" s="16">
        <f t="shared" si="55"/>
        <v>53.134693520905238</v>
      </c>
      <c r="X78" s="14">
        <f t="shared" si="56"/>
        <v>0.53388090349075967</v>
      </c>
      <c r="Y78" s="15">
        <f t="shared" si="57"/>
        <v>0.46611909650924033</v>
      </c>
      <c r="Z78" s="15">
        <f t="shared" si="58"/>
        <v>6.4463279304469401</v>
      </c>
      <c r="AA78" s="16">
        <f t="shared" si="59"/>
        <v>53.22316396522347</v>
      </c>
      <c r="AC78">
        <v>17</v>
      </c>
      <c r="AD78">
        <f t="shared" si="73"/>
        <v>21.05</v>
      </c>
      <c r="AE78" s="14">
        <f t="shared" si="60"/>
        <v>0.70166666666666666</v>
      </c>
      <c r="AF78" s="15">
        <f t="shared" si="61"/>
        <v>0.29833333333333334</v>
      </c>
      <c r="AG78" s="15">
        <f t="shared" si="62"/>
        <v>3.3403812056737587</v>
      </c>
      <c r="AH78" s="16">
        <f t="shared" si="63"/>
        <v>51.670190602836882</v>
      </c>
      <c r="AI78" s="14">
        <f t="shared" si="64"/>
        <v>0.42100000000000004</v>
      </c>
      <c r="AJ78" s="15">
        <f t="shared" si="65"/>
        <v>0.57899999999999996</v>
      </c>
      <c r="AK78" s="15">
        <f t="shared" si="66"/>
        <v>6.4829521276595754</v>
      </c>
      <c r="AL78" s="16">
        <f t="shared" si="67"/>
        <v>53.241476063829786</v>
      </c>
      <c r="AM78" s="14">
        <f t="shared" si="68"/>
        <v>0.24764705882352941</v>
      </c>
      <c r="AN78" s="15">
        <f t="shared" si="69"/>
        <v>0.75235294117647056</v>
      </c>
      <c r="AO78" s="15">
        <f t="shared" si="70"/>
        <v>8.4239518147684613</v>
      </c>
      <c r="AP78" s="16">
        <f t="shared" si="71"/>
        <v>54.211975907384229</v>
      </c>
    </row>
    <row r="79" spans="1:42" x14ac:dyDescent="0.15">
      <c r="A79" s="31" t="s">
        <v>102</v>
      </c>
      <c r="B79" s="50">
        <f>(V48_Nom)/(Ramp_C*Ramp_R*Fsw)</f>
        <v>5.2083333333333339</v>
      </c>
      <c r="C79" s="31" t="s">
        <v>1</v>
      </c>
      <c r="D79" s="34">
        <f>IF(B79&lt;Constants!$C$44,1,IF(B79&gt;Constants!$C$43,1,0))</f>
        <v>0</v>
      </c>
      <c r="E79" s="34" t="s">
        <v>209</v>
      </c>
      <c r="N79">
        <v>18</v>
      </c>
      <c r="O79">
        <f t="shared" si="72"/>
        <v>49.8</v>
      </c>
      <c r="P79" s="14">
        <f t="shared" si="48"/>
        <v>0.37148594377510041</v>
      </c>
      <c r="Q79" s="15">
        <f t="shared" si="49"/>
        <v>0.62851405622489964</v>
      </c>
      <c r="R79" s="15">
        <f t="shared" si="50"/>
        <v>6.184845766042895</v>
      </c>
      <c r="S79" s="16">
        <f t="shared" si="51"/>
        <v>53.092422883021449</v>
      </c>
      <c r="T79" s="14">
        <f t="shared" si="52"/>
        <v>0.40160642570281124</v>
      </c>
      <c r="U79" s="15">
        <f t="shared" si="53"/>
        <v>0.59839357429718876</v>
      </c>
      <c r="V79" s="15">
        <f t="shared" si="54"/>
        <v>6.3658890882679646</v>
      </c>
      <c r="W79" s="16">
        <f t="shared" si="55"/>
        <v>53.182944544133981</v>
      </c>
      <c r="X79" s="14">
        <f t="shared" si="56"/>
        <v>0.52208835341365467</v>
      </c>
      <c r="Y79" s="15">
        <f t="shared" si="57"/>
        <v>0.47791164658634533</v>
      </c>
      <c r="Z79" s="15">
        <f t="shared" si="58"/>
        <v>6.6094163889600965</v>
      </c>
      <c r="AA79" s="16">
        <f t="shared" si="59"/>
        <v>53.30470819448005</v>
      </c>
      <c r="AC79">
        <v>18</v>
      </c>
      <c r="AD79">
        <f t="shared" si="73"/>
        <v>21.2</v>
      </c>
      <c r="AE79" s="14">
        <f t="shared" si="60"/>
        <v>0.70666666666666667</v>
      </c>
      <c r="AF79" s="15">
        <f t="shared" si="61"/>
        <v>0.29333333333333333</v>
      </c>
      <c r="AG79" s="15">
        <f t="shared" si="62"/>
        <v>3.3078014184397171</v>
      </c>
      <c r="AH79" s="16">
        <f t="shared" si="63"/>
        <v>51.653900709219862</v>
      </c>
      <c r="AI79" s="14">
        <f t="shared" si="64"/>
        <v>0.42399999999999999</v>
      </c>
      <c r="AJ79" s="15">
        <f t="shared" si="65"/>
        <v>0.57600000000000007</v>
      </c>
      <c r="AK79" s="15">
        <f t="shared" si="66"/>
        <v>6.4953191489361712</v>
      </c>
      <c r="AL79" s="16">
        <f t="shared" si="67"/>
        <v>53.247659574468088</v>
      </c>
      <c r="AM79" s="14">
        <f t="shared" si="68"/>
        <v>0.24941176470588233</v>
      </c>
      <c r="AN79" s="15">
        <f t="shared" si="69"/>
        <v>0.75058823529411767</v>
      </c>
      <c r="AO79" s="15">
        <f t="shared" si="70"/>
        <v>8.4640801001251553</v>
      </c>
      <c r="AP79" s="16">
        <f t="shared" si="71"/>
        <v>54.232040050062579</v>
      </c>
    </row>
    <row r="80" spans="1:42" x14ac:dyDescent="0.15">
      <c r="A80" s="31" t="s">
        <v>103</v>
      </c>
      <c r="B80" s="61">
        <f>(V48_Max)/(Ramp_C*Ramp_R*Fsw)</f>
        <v>8.8541666666666679</v>
      </c>
      <c r="C80" s="31" t="s">
        <v>1</v>
      </c>
      <c r="D80" s="34">
        <f>IF(B80&lt;Constants!$C$44,1,IF(B80&gt;Constants!$C$43,1,0))</f>
        <v>0</v>
      </c>
      <c r="E80" s="34" t="s">
        <v>209</v>
      </c>
      <c r="N80">
        <v>19</v>
      </c>
      <c r="O80">
        <f t="shared" si="72"/>
        <v>50.900000000000006</v>
      </c>
      <c r="P80" s="14">
        <f t="shared" si="48"/>
        <v>0.36345776031434179</v>
      </c>
      <c r="Q80" s="15">
        <f t="shared" si="49"/>
        <v>0.63654223968565815</v>
      </c>
      <c r="R80" s="15">
        <f t="shared" si="50"/>
        <v>6.2638465075450407</v>
      </c>
      <c r="S80" s="16">
        <f t="shared" si="51"/>
        <v>53.13192325377252</v>
      </c>
      <c r="T80" s="14">
        <f t="shared" si="52"/>
        <v>0.39292730844793711</v>
      </c>
      <c r="U80" s="15">
        <f t="shared" si="53"/>
        <v>0.60707269155206289</v>
      </c>
      <c r="V80" s="15">
        <f t="shared" si="54"/>
        <v>6.4582201228942866</v>
      </c>
      <c r="W80" s="16">
        <f t="shared" si="55"/>
        <v>53.229110061447145</v>
      </c>
      <c r="X80" s="14">
        <f t="shared" si="56"/>
        <v>0.51080550098231825</v>
      </c>
      <c r="Y80" s="15">
        <f t="shared" si="57"/>
        <v>0.48919449901768175</v>
      </c>
      <c r="Z80" s="15">
        <f t="shared" si="58"/>
        <v>6.7654558374785791</v>
      </c>
      <c r="AA80" s="16">
        <f t="shared" si="59"/>
        <v>53.382727918739292</v>
      </c>
      <c r="AC80">
        <v>19</v>
      </c>
      <c r="AD80">
        <f t="shared" si="73"/>
        <v>21.35</v>
      </c>
      <c r="AE80" s="14">
        <f t="shared" si="60"/>
        <v>0.71166666666666667</v>
      </c>
      <c r="AF80" s="15">
        <f t="shared" si="61"/>
        <v>0.28833333333333333</v>
      </c>
      <c r="AG80" s="15">
        <f t="shared" si="62"/>
        <v>3.2744237588652476</v>
      </c>
      <c r="AH80" s="16">
        <f t="shared" si="63"/>
        <v>51.637211879432627</v>
      </c>
      <c r="AI80" s="14">
        <f t="shared" si="64"/>
        <v>0.42700000000000005</v>
      </c>
      <c r="AJ80" s="15">
        <f t="shared" si="65"/>
        <v>0.57299999999999995</v>
      </c>
      <c r="AK80" s="15">
        <f t="shared" si="66"/>
        <v>6.5072074468085113</v>
      </c>
      <c r="AL80" s="16">
        <f t="shared" si="67"/>
        <v>53.253603723404254</v>
      </c>
      <c r="AM80" s="14">
        <f t="shared" si="68"/>
        <v>0.25117647058823533</v>
      </c>
      <c r="AN80" s="15">
        <f t="shared" si="69"/>
        <v>0.74882352941176467</v>
      </c>
      <c r="AO80" s="15">
        <f t="shared" si="70"/>
        <v>8.5039267834793506</v>
      </c>
      <c r="AP80" s="16">
        <f t="shared" si="71"/>
        <v>54.251963391739679</v>
      </c>
    </row>
    <row r="81" spans="1:42" x14ac:dyDescent="0.15">
      <c r="N81">
        <v>20</v>
      </c>
      <c r="O81">
        <f t="shared" si="72"/>
        <v>52</v>
      </c>
      <c r="P81" s="14">
        <f t="shared" si="48"/>
        <v>0.35576923076923078</v>
      </c>
      <c r="Q81" s="15">
        <f t="shared" si="49"/>
        <v>0.64423076923076916</v>
      </c>
      <c r="R81" s="15">
        <f t="shared" si="50"/>
        <v>6.339504909983634</v>
      </c>
      <c r="S81" s="16">
        <f t="shared" si="51"/>
        <v>53.169752454991816</v>
      </c>
      <c r="T81" s="14">
        <f t="shared" si="52"/>
        <v>0.38461538461538464</v>
      </c>
      <c r="U81" s="15">
        <f t="shared" si="53"/>
        <v>0.61538461538461542</v>
      </c>
      <c r="V81" s="15">
        <f t="shared" si="54"/>
        <v>6.5466448445171856</v>
      </c>
      <c r="W81" s="16">
        <f t="shared" si="55"/>
        <v>53.273322422258595</v>
      </c>
      <c r="X81" s="14">
        <f t="shared" si="56"/>
        <v>0.5</v>
      </c>
      <c r="Y81" s="15">
        <f t="shared" si="57"/>
        <v>0.5</v>
      </c>
      <c r="Z81" s="15">
        <f t="shared" si="58"/>
        <v>6.914893617021276</v>
      </c>
      <c r="AA81" s="16">
        <f t="shared" si="59"/>
        <v>53.457446808510639</v>
      </c>
      <c r="AC81">
        <v>20</v>
      </c>
      <c r="AD81">
        <f t="shared" si="73"/>
        <v>21.5</v>
      </c>
      <c r="AE81" s="14">
        <f t="shared" si="60"/>
        <v>0.71666666666666667</v>
      </c>
      <c r="AF81" s="15">
        <f t="shared" si="61"/>
        <v>0.28333333333333333</v>
      </c>
      <c r="AG81" s="15">
        <f t="shared" si="62"/>
        <v>3.2402482269503547</v>
      </c>
      <c r="AH81" s="16">
        <f t="shared" si="63"/>
        <v>51.620124113475178</v>
      </c>
      <c r="AI81" s="14">
        <f t="shared" si="64"/>
        <v>0.43</v>
      </c>
      <c r="AJ81" s="15">
        <f t="shared" si="65"/>
        <v>0.57000000000000006</v>
      </c>
      <c r="AK81" s="15">
        <f t="shared" si="66"/>
        <v>6.5186170212765955</v>
      </c>
      <c r="AL81" s="16">
        <f t="shared" si="67"/>
        <v>53.259308510638299</v>
      </c>
      <c r="AM81" s="14">
        <f t="shared" si="68"/>
        <v>0.25294117647058822</v>
      </c>
      <c r="AN81" s="15">
        <f t="shared" si="69"/>
        <v>0.74705882352941178</v>
      </c>
      <c r="AO81" s="15">
        <f t="shared" si="70"/>
        <v>8.5434918648310383</v>
      </c>
      <c r="AP81" s="16">
        <f t="shared" si="71"/>
        <v>54.27174593241552</v>
      </c>
    </row>
    <row r="82" spans="1:42" x14ac:dyDescent="0.15">
      <c r="A82" s="44" t="s">
        <v>112</v>
      </c>
      <c r="B82" s="45"/>
      <c r="C82" s="46"/>
      <c r="N82">
        <v>21</v>
      </c>
      <c r="O82">
        <f t="shared" si="72"/>
        <v>53.1</v>
      </c>
      <c r="P82" s="14">
        <f t="shared" si="48"/>
        <v>0.34839924670433142</v>
      </c>
      <c r="Q82" s="15">
        <f t="shared" si="49"/>
        <v>0.65160075329566858</v>
      </c>
      <c r="R82" s="15">
        <f t="shared" si="50"/>
        <v>6.4120286893456742</v>
      </c>
      <c r="S82" s="16">
        <f t="shared" si="51"/>
        <v>53.206014344672838</v>
      </c>
      <c r="T82" s="14">
        <f t="shared" si="52"/>
        <v>0.37664783427495291</v>
      </c>
      <c r="U82" s="15">
        <f t="shared" si="53"/>
        <v>0.62335216572504715</v>
      </c>
      <c r="V82" s="15">
        <f t="shared" si="54"/>
        <v>6.6314060183515648</v>
      </c>
      <c r="W82" s="16">
        <f t="shared" si="55"/>
        <v>53.315703009175785</v>
      </c>
      <c r="X82" s="14">
        <f t="shared" si="56"/>
        <v>0.4896421845574388</v>
      </c>
      <c r="Y82" s="15">
        <f t="shared" si="57"/>
        <v>0.5103578154425612</v>
      </c>
      <c r="Z82" s="15">
        <f t="shared" si="58"/>
        <v>7.0581400008013793</v>
      </c>
      <c r="AA82" s="16">
        <f t="shared" si="59"/>
        <v>53.529070000400687</v>
      </c>
      <c r="AC82">
        <v>21</v>
      </c>
      <c r="AD82">
        <f t="shared" si="73"/>
        <v>21.65</v>
      </c>
      <c r="AE82" s="14">
        <f t="shared" si="60"/>
        <v>0.72166666666666657</v>
      </c>
      <c r="AF82" s="15">
        <f t="shared" si="61"/>
        <v>0.27833333333333343</v>
      </c>
      <c r="AG82" s="15">
        <f t="shared" si="62"/>
        <v>3.2052748226950358</v>
      </c>
      <c r="AH82" s="16">
        <f t="shared" si="63"/>
        <v>51.602637411347516</v>
      </c>
      <c r="AI82" s="14">
        <f t="shared" si="64"/>
        <v>0.433</v>
      </c>
      <c r="AJ82" s="15">
        <f t="shared" si="65"/>
        <v>0.56699999999999995</v>
      </c>
      <c r="AK82" s="15">
        <f t="shared" si="66"/>
        <v>6.5295478723404266</v>
      </c>
      <c r="AL82" s="16">
        <f t="shared" si="67"/>
        <v>53.264773936170215</v>
      </c>
      <c r="AM82" s="14">
        <f t="shared" si="68"/>
        <v>0.25470588235294117</v>
      </c>
      <c r="AN82" s="15">
        <f t="shared" si="69"/>
        <v>0.74529411764705888</v>
      </c>
      <c r="AO82" s="15">
        <f t="shared" si="70"/>
        <v>8.5827753441802255</v>
      </c>
      <c r="AP82" s="16">
        <f t="shared" si="71"/>
        <v>54.29138767209011</v>
      </c>
    </row>
    <row r="83" spans="1:42" x14ac:dyDescent="0.15">
      <c r="A83" s="31" t="s">
        <v>210</v>
      </c>
      <c r="B83" s="49">
        <f>Design_Converter!B72*(10^-3)</f>
        <v>2E-3</v>
      </c>
      <c r="C83" s="31" t="s">
        <v>23</v>
      </c>
      <c r="N83">
        <v>22</v>
      </c>
      <c r="O83">
        <f t="shared" si="72"/>
        <v>54.2</v>
      </c>
      <c r="P83" s="14">
        <f t="shared" si="48"/>
        <v>0.34132841328413283</v>
      </c>
      <c r="Q83" s="15">
        <f t="shared" si="49"/>
        <v>0.65867158671586723</v>
      </c>
      <c r="R83" s="15">
        <f t="shared" si="50"/>
        <v>6.4816086990657142</v>
      </c>
      <c r="S83" s="16">
        <f t="shared" si="51"/>
        <v>53.240804349532858</v>
      </c>
      <c r="T83" s="14">
        <f t="shared" si="52"/>
        <v>0.36900369003690037</v>
      </c>
      <c r="U83" s="15">
        <f t="shared" si="53"/>
        <v>0.63099630996309963</v>
      </c>
      <c r="V83" s="15">
        <f t="shared" si="54"/>
        <v>6.7127267017351029</v>
      </c>
      <c r="W83" s="16">
        <f t="shared" si="55"/>
        <v>53.356363350867554</v>
      </c>
      <c r="X83" s="14">
        <f t="shared" si="56"/>
        <v>0.47970479704797048</v>
      </c>
      <c r="Y83" s="15">
        <f t="shared" si="57"/>
        <v>0.52029520295202958</v>
      </c>
      <c r="Z83" s="15">
        <f t="shared" si="58"/>
        <v>7.1955719557195588</v>
      </c>
      <c r="AA83" s="16">
        <f t="shared" si="59"/>
        <v>53.597785977859779</v>
      </c>
      <c r="AC83">
        <v>22</v>
      </c>
      <c r="AD83">
        <f t="shared" si="73"/>
        <v>21.8</v>
      </c>
      <c r="AE83" s="14">
        <f t="shared" si="60"/>
        <v>0.72666666666666668</v>
      </c>
      <c r="AF83" s="15">
        <f t="shared" si="61"/>
        <v>0.27333333333333332</v>
      </c>
      <c r="AG83" s="15">
        <f t="shared" si="62"/>
        <v>3.1695035460992909</v>
      </c>
      <c r="AH83" s="16">
        <f t="shared" si="63"/>
        <v>51.584751773049646</v>
      </c>
      <c r="AI83" s="14">
        <f t="shared" si="64"/>
        <v>0.436</v>
      </c>
      <c r="AJ83" s="15">
        <f t="shared" si="65"/>
        <v>0.56400000000000006</v>
      </c>
      <c r="AK83" s="15">
        <f t="shared" si="66"/>
        <v>6.54</v>
      </c>
      <c r="AL83" s="16">
        <f t="shared" si="67"/>
        <v>53.27</v>
      </c>
      <c r="AM83" s="14">
        <f t="shared" si="68"/>
        <v>0.25647058823529412</v>
      </c>
      <c r="AN83" s="15">
        <f t="shared" si="69"/>
        <v>0.74352941176470588</v>
      </c>
      <c r="AO83" s="15">
        <f t="shared" si="70"/>
        <v>8.6217772215269104</v>
      </c>
      <c r="AP83" s="16">
        <f t="shared" si="71"/>
        <v>54.310888610763456</v>
      </c>
    </row>
    <row r="84" spans="1:42" x14ac:dyDescent="0.15">
      <c r="A84" s="31" t="s">
        <v>115</v>
      </c>
      <c r="B84" s="50">
        <f>(Constants!C33*Calculations!B83/(Constants!C34))*(10^6)</f>
        <v>0.01</v>
      </c>
      <c r="C84" s="31" t="s">
        <v>32</v>
      </c>
      <c r="N84">
        <v>23</v>
      </c>
      <c r="O84">
        <f t="shared" si="72"/>
        <v>55.3</v>
      </c>
      <c r="P84" s="14">
        <f t="shared" si="48"/>
        <v>0.3345388788426763</v>
      </c>
      <c r="Q84" s="15">
        <f t="shared" si="49"/>
        <v>0.6654611211573237</v>
      </c>
      <c r="R84" s="15">
        <f t="shared" si="50"/>
        <v>6.548420607133238</v>
      </c>
      <c r="S84" s="16">
        <f t="shared" si="51"/>
        <v>53.274210303566619</v>
      </c>
      <c r="T84" s="14">
        <f t="shared" si="52"/>
        <v>0.36166365280289331</v>
      </c>
      <c r="U84" s="15">
        <f t="shared" si="53"/>
        <v>0.63833634719710663</v>
      </c>
      <c r="V84" s="15">
        <f t="shared" si="54"/>
        <v>6.7908122042245394</v>
      </c>
      <c r="W84" s="16">
        <f t="shared" si="55"/>
        <v>53.395406102112268</v>
      </c>
      <c r="X84" s="14">
        <f t="shared" si="56"/>
        <v>0.47016274864376134</v>
      </c>
      <c r="Y84" s="15">
        <f t="shared" si="57"/>
        <v>0.5298372513562386</v>
      </c>
      <c r="Z84" s="15">
        <f t="shared" si="58"/>
        <v>7.3275364549267055</v>
      </c>
      <c r="AA84" s="16">
        <f t="shared" si="59"/>
        <v>53.663768227463351</v>
      </c>
      <c r="AC84">
        <v>23</v>
      </c>
      <c r="AD84">
        <f t="shared" si="73"/>
        <v>21.95</v>
      </c>
      <c r="AE84" s="14">
        <f t="shared" si="60"/>
        <v>0.73166666666666669</v>
      </c>
      <c r="AF84" s="15">
        <f t="shared" si="61"/>
        <v>0.26833333333333331</v>
      </c>
      <c r="AG84" s="15">
        <f t="shared" si="62"/>
        <v>3.1329343971631212</v>
      </c>
      <c r="AH84" s="16">
        <f t="shared" si="63"/>
        <v>51.566467198581563</v>
      </c>
      <c r="AI84" s="14">
        <f t="shared" si="64"/>
        <v>0.439</v>
      </c>
      <c r="AJ84" s="15">
        <f t="shared" si="65"/>
        <v>0.56099999999999994</v>
      </c>
      <c r="AK84" s="15">
        <f t="shared" si="66"/>
        <v>6.5499734042553195</v>
      </c>
      <c r="AL84" s="16">
        <f t="shared" si="67"/>
        <v>53.274986702127663</v>
      </c>
      <c r="AM84" s="14">
        <f t="shared" si="68"/>
        <v>0.25823529411764706</v>
      </c>
      <c r="AN84" s="15">
        <f t="shared" si="69"/>
        <v>0.74176470588235288</v>
      </c>
      <c r="AO84" s="15">
        <f t="shared" si="70"/>
        <v>8.6604974968710877</v>
      </c>
      <c r="AP84" s="16">
        <f t="shared" si="71"/>
        <v>54.330248748435544</v>
      </c>
    </row>
    <row r="85" spans="1:42" x14ac:dyDescent="0.15">
      <c r="A85" s="31" t="s">
        <v>181</v>
      </c>
      <c r="B85" s="49">
        <f>Design_Converter!B74</f>
        <v>0.01</v>
      </c>
      <c r="C85" s="31" t="s">
        <v>32</v>
      </c>
      <c r="N85">
        <v>24</v>
      </c>
      <c r="O85">
        <f t="shared" si="72"/>
        <v>56.400000000000006</v>
      </c>
      <c r="P85" s="14">
        <f t="shared" si="48"/>
        <v>0.32801418439716307</v>
      </c>
      <c r="Q85" s="15">
        <f t="shared" si="49"/>
        <v>0.67198581560283688</v>
      </c>
      <c r="R85" s="15">
        <f t="shared" si="50"/>
        <v>6.61262637694281</v>
      </c>
      <c r="S85" s="16">
        <f t="shared" si="51"/>
        <v>53.306313188471407</v>
      </c>
      <c r="T85" s="14">
        <f t="shared" si="52"/>
        <v>0.35460992907801414</v>
      </c>
      <c r="U85" s="15">
        <f t="shared" si="53"/>
        <v>0.64539007092198586</v>
      </c>
      <c r="V85" s="15">
        <f t="shared" si="54"/>
        <v>6.8658518183189985</v>
      </c>
      <c r="W85" s="16">
        <f t="shared" si="55"/>
        <v>53.432925909159501</v>
      </c>
      <c r="X85" s="14">
        <f t="shared" si="56"/>
        <v>0.46099290780141838</v>
      </c>
      <c r="Y85" s="15">
        <f t="shared" si="57"/>
        <v>0.53900709219858167</v>
      </c>
      <c r="Z85" s="15">
        <f t="shared" si="58"/>
        <v>7.4543534027463414</v>
      </c>
      <c r="AA85" s="16">
        <f t="shared" si="59"/>
        <v>53.727176701373168</v>
      </c>
      <c r="AC85">
        <v>24</v>
      </c>
      <c r="AD85">
        <f t="shared" si="73"/>
        <v>22.1</v>
      </c>
      <c r="AE85" s="14">
        <f t="shared" si="60"/>
        <v>0.73666666666666669</v>
      </c>
      <c r="AF85" s="15">
        <f t="shared" si="61"/>
        <v>0.26333333333333331</v>
      </c>
      <c r="AG85" s="15">
        <f t="shared" si="62"/>
        <v>3.0955673758865245</v>
      </c>
      <c r="AH85" s="16">
        <f t="shared" si="63"/>
        <v>51.547783687943266</v>
      </c>
      <c r="AI85" s="14">
        <f t="shared" si="64"/>
        <v>0.442</v>
      </c>
      <c r="AJ85" s="15">
        <f t="shared" si="65"/>
        <v>0.55800000000000005</v>
      </c>
      <c r="AK85" s="15">
        <f t="shared" si="66"/>
        <v>6.5594680851063831</v>
      </c>
      <c r="AL85" s="16">
        <f t="shared" si="67"/>
        <v>53.279734042553194</v>
      </c>
      <c r="AM85" s="14">
        <f t="shared" si="68"/>
        <v>0.26</v>
      </c>
      <c r="AN85" s="15">
        <f t="shared" si="69"/>
        <v>0.74</v>
      </c>
      <c r="AO85" s="15">
        <f t="shared" si="70"/>
        <v>8.6989361702127663</v>
      </c>
      <c r="AP85" s="16">
        <f t="shared" si="71"/>
        <v>54.34946808510638</v>
      </c>
    </row>
    <row r="86" spans="1:42" x14ac:dyDescent="0.15">
      <c r="A86" s="31" t="s">
        <v>183</v>
      </c>
      <c r="B86" s="50">
        <f>1000*(Constants!C34*(B85*10^-6)/(Constants!C33))</f>
        <v>2</v>
      </c>
      <c r="C86" s="31" t="s">
        <v>114</v>
      </c>
      <c r="N86">
        <v>25</v>
      </c>
      <c r="O86">
        <f t="shared" si="72"/>
        <v>57.5</v>
      </c>
      <c r="P86" s="14">
        <f t="shared" si="48"/>
        <v>0.32173913043478258</v>
      </c>
      <c r="Q86" s="15">
        <f t="shared" si="49"/>
        <v>0.67826086956521747</v>
      </c>
      <c r="R86" s="15">
        <f t="shared" si="50"/>
        <v>6.6743755781683625</v>
      </c>
      <c r="S86" s="16">
        <f t="shared" si="51"/>
        <v>53.337187789084183</v>
      </c>
      <c r="T86" s="14">
        <f t="shared" si="52"/>
        <v>0.34782608695652173</v>
      </c>
      <c r="U86" s="15">
        <f t="shared" si="53"/>
        <v>0.65217391304347827</v>
      </c>
      <c r="V86" s="15">
        <f t="shared" si="54"/>
        <v>6.9380203515263643</v>
      </c>
      <c r="W86" s="16">
        <f t="shared" si="55"/>
        <v>53.469010175763181</v>
      </c>
      <c r="X86" s="14">
        <f t="shared" si="56"/>
        <v>0.45217391304347826</v>
      </c>
      <c r="Y86" s="15">
        <f t="shared" si="57"/>
        <v>0.54782608695652169</v>
      </c>
      <c r="Z86" s="15">
        <f t="shared" si="58"/>
        <v>7.5763182238667905</v>
      </c>
      <c r="AA86" s="16">
        <f t="shared" si="59"/>
        <v>53.788159111933396</v>
      </c>
      <c r="AC86">
        <v>25</v>
      </c>
      <c r="AD86">
        <f t="shared" si="73"/>
        <v>22.25</v>
      </c>
      <c r="AE86" s="14">
        <f t="shared" si="60"/>
        <v>0.7416666666666667</v>
      </c>
      <c r="AF86" s="15">
        <f t="shared" si="61"/>
        <v>0.2583333333333333</v>
      </c>
      <c r="AG86" s="15">
        <f t="shared" si="62"/>
        <v>3.0574024822695041</v>
      </c>
      <c r="AH86" s="16">
        <f t="shared" si="63"/>
        <v>51.528701241134755</v>
      </c>
      <c r="AI86" s="14">
        <f t="shared" si="64"/>
        <v>0.44500000000000001</v>
      </c>
      <c r="AJ86" s="15">
        <f t="shared" si="65"/>
        <v>0.55499999999999994</v>
      </c>
      <c r="AK86" s="15">
        <f t="shared" si="66"/>
        <v>6.5684840425531918</v>
      </c>
      <c r="AL86" s="16">
        <f t="shared" si="67"/>
        <v>53.284242021276597</v>
      </c>
      <c r="AM86" s="14">
        <f t="shared" si="68"/>
        <v>0.26176470588235295</v>
      </c>
      <c r="AN86" s="15">
        <f t="shared" si="69"/>
        <v>0.7382352941176471</v>
      </c>
      <c r="AO86" s="15">
        <f t="shared" si="70"/>
        <v>8.7370932415519409</v>
      </c>
      <c r="AP86" s="16">
        <f t="shared" si="71"/>
        <v>54.368546620775973</v>
      </c>
    </row>
    <row r="87" spans="1:42" x14ac:dyDescent="0.15">
      <c r="N87">
        <v>26</v>
      </c>
      <c r="O87">
        <f t="shared" si="72"/>
        <v>58.6</v>
      </c>
      <c r="P87" s="14">
        <f t="shared" si="48"/>
        <v>0.31569965870307165</v>
      </c>
      <c r="Q87" s="15">
        <f t="shared" si="49"/>
        <v>0.6843003412969284</v>
      </c>
      <c r="R87" s="15">
        <f t="shared" si="50"/>
        <v>6.7338065499963697</v>
      </c>
      <c r="S87" s="16">
        <f t="shared" si="51"/>
        <v>53.366903274998187</v>
      </c>
      <c r="T87" s="14">
        <f t="shared" si="52"/>
        <v>0.34129692832764502</v>
      </c>
      <c r="U87" s="15">
        <f t="shared" si="53"/>
        <v>0.65870307167235498</v>
      </c>
      <c r="V87" s="15">
        <f t="shared" si="54"/>
        <v>7.0074794858761162</v>
      </c>
      <c r="W87" s="16">
        <f t="shared" si="55"/>
        <v>53.503739742938059</v>
      </c>
      <c r="X87" s="14">
        <f t="shared" si="56"/>
        <v>0.44368600682593856</v>
      </c>
      <c r="Y87" s="15">
        <f t="shared" si="57"/>
        <v>0.55631399317406149</v>
      </c>
      <c r="Z87" s="15">
        <f t="shared" si="58"/>
        <v>7.6937041609178713</v>
      </c>
      <c r="AA87" s="16">
        <f t="shared" si="59"/>
        <v>53.846852080458937</v>
      </c>
      <c r="AC87">
        <v>26</v>
      </c>
      <c r="AD87">
        <f t="shared" si="73"/>
        <v>22.4</v>
      </c>
      <c r="AE87" s="14">
        <f t="shared" si="60"/>
        <v>0.74666666666666659</v>
      </c>
      <c r="AF87" s="15">
        <f t="shared" si="61"/>
        <v>0.25333333333333341</v>
      </c>
      <c r="AG87" s="15">
        <f t="shared" si="62"/>
        <v>3.0184397163120571</v>
      </c>
      <c r="AH87" s="16">
        <f t="shared" si="63"/>
        <v>51.50921985815603</v>
      </c>
      <c r="AI87" s="14">
        <f t="shared" si="64"/>
        <v>0.44799999999999995</v>
      </c>
      <c r="AJ87" s="15">
        <f t="shared" si="65"/>
        <v>0.55200000000000005</v>
      </c>
      <c r="AK87" s="15">
        <f t="shared" si="66"/>
        <v>6.5770212765957448</v>
      </c>
      <c r="AL87" s="16">
        <f t="shared" si="67"/>
        <v>53.288510638297872</v>
      </c>
      <c r="AM87" s="14">
        <f t="shared" si="68"/>
        <v>0.26352941176470585</v>
      </c>
      <c r="AN87" s="15">
        <f t="shared" si="69"/>
        <v>0.73647058823529421</v>
      </c>
      <c r="AO87" s="15">
        <f t="shared" si="70"/>
        <v>8.7749687108886114</v>
      </c>
      <c r="AP87" s="16">
        <f t="shared" si="71"/>
        <v>54.387484355444307</v>
      </c>
    </row>
    <row r="88" spans="1:42" x14ac:dyDescent="0.15">
      <c r="A88" s="31" t="s">
        <v>160</v>
      </c>
      <c r="B88" s="53"/>
      <c r="C88" s="31"/>
      <c r="N88">
        <v>27</v>
      </c>
      <c r="O88">
        <f t="shared" si="72"/>
        <v>59.7</v>
      </c>
      <c r="P88" s="14">
        <f t="shared" si="48"/>
        <v>0.30988274706867669</v>
      </c>
      <c r="Q88" s="15">
        <f t="shared" si="49"/>
        <v>0.69011725293132331</v>
      </c>
      <c r="R88" s="15">
        <f t="shared" si="50"/>
        <v>6.7910474357603619</v>
      </c>
      <c r="S88" s="16">
        <f t="shared" si="51"/>
        <v>53.395523717880181</v>
      </c>
      <c r="T88" s="14">
        <f t="shared" si="52"/>
        <v>0.3350083752093802</v>
      </c>
      <c r="U88" s="15">
        <f t="shared" si="53"/>
        <v>0.6649916247906198</v>
      </c>
      <c r="V88" s="15">
        <f t="shared" si="54"/>
        <v>7.0743789871342528</v>
      </c>
      <c r="W88" s="16">
        <f t="shared" si="55"/>
        <v>53.537189493567126</v>
      </c>
      <c r="X88" s="14">
        <f t="shared" si="56"/>
        <v>0.43551088777219427</v>
      </c>
      <c r="Y88" s="15">
        <f t="shared" si="57"/>
        <v>0.56448911222780573</v>
      </c>
      <c r="Z88" s="15">
        <f t="shared" si="58"/>
        <v>7.806764318044122</v>
      </c>
      <c r="AA88" s="16">
        <f t="shared" si="59"/>
        <v>53.903382159022058</v>
      </c>
      <c r="AC88">
        <v>27</v>
      </c>
      <c r="AD88">
        <f t="shared" si="73"/>
        <v>22.55</v>
      </c>
      <c r="AE88" s="14">
        <f t="shared" si="60"/>
        <v>0.75166666666666671</v>
      </c>
      <c r="AF88" s="15">
        <f t="shared" si="61"/>
        <v>0.24833333333333329</v>
      </c>
      <c r="AG88" s="15">
        <f t="shared" si="62"/>
        <v>2.9786790780141845</v>
      </c>
      <c r="AH88" s="16">
        <f t="shared" si="63"/>
        <v>51.489339539007091</v>
      </c>
      <c r="AI88" s="14">
        <f t="shared" si="64"/>
        <v>0.45100000000000001</v>
      </c>
      <c r="AJ88" s="15">
        <f t="shared" si="65"/>
        <v>0.54899999999999993</v>
      </c>
      <c r="AK88" s="15">
        <f t="shared" si="66"/>
        <v>6.5850797872340427</v>
      </c>
      <c r="AL88" s="16">
        <f t="shared" si="67"/>
        <v>53.292539893617018</v>
      </c>
      <c r="AM88" s="14">
        <f t="shared" si="68"/>
        <v>0.26529411764705885</v>
      </c>
      <c r="AN88" s="15">
        <f t="shared" si="69"/>
        <v>0.7347058823529411</v>
      </c>
      <c r="AO88" s="15">
        <f t="shared" si="70"/>
        <v>8.8125625782227814</v>
      </c>
      <c r="AP88" s="16">
        <f t="shared" si="71"/>
        <v>54.406281289111391</v>
      </c>
    </row>
    <row r="89" spans="1:42" x14ac:dyDescent="0.15">
      <c r="A89" s="31" t="s">
        <v>161</v>
      </c>
      <c r="B89" s="49">
        <f>Design_Converter!B80</f>
        <v>60</v>
      </c>
      <c r="C89" s="31" t="s">
        <v>1</v>
      </c>
      <c r="N89">
        <v>28</v>
      </c>
      <c r="O89">
        <f t="shared" si="72"/>
        <v>60.800000000000004</v>
      </c>
      <c r="P89" s="14">
        <f t="shared" si="48"/>
        <v>0.30427631578947367</v>
      </c>
      <c r="Q89" s="15">
        <f t="shared" si="49"/>
        <v>0.69572368421052633</v>
      </c>
      <c r="R89" s="15">
        <f t="shared" si="50"/>
        <v>6.8462171052631584</v>
      </c>
      <c r="S89" s="16">
        <f t="shared" si="51"/>
        <v>53.423108552631582</v>
      </c>
      <c r="T89" s="14">
        <f t="shared" si="52"/>
        <v>0.3289473684210526</v>
      </c>
      <c r="U89" s="15">
        <f t="shared" si="53"/>
        <v>0.67105263157894735</v>
      </c>
      <c r="V89" s="15">
        <f t="shared" si="54"/>
        <v>7.1388577827547595</v>
      </c>
      <c r="W89" s="16">
        <f t="shared" si="55"/>
        <v>53.569428891377378</v>
      </c>
      <c r="X89" s="14">
        <f t="shared" si="56"/>
        <v>0.42763157894736842</v>
      </c>
      <c r="Y89" s="15">
        <f t="shared" si="57"/>
        <v>0.57236842105263164</v>
      </c>
      <c r="Z89" s="15">
        <f t="shared" si="58"/>
        <v>7.9157334826427785</v>
      </c>
      <c r="AA89" s="16">
        <f t="shared" si="59"/>
        <v>53.957866741321389</v>
      </c>
      <c r="AC89">
        <v>28</v>
      </c>
      <c r="AD89">
        <f t="shared" si="73"/>
        <v>22.7</v>
      </c>
      <c r="AE89" s="14">
        <f t="shared" si="60"/>
        <v>0.7566666666666666</v>
      </c>
      <c r="AF89" s="15">
        <f t="shared" si="61"/>
        <v>0.2433333333333334</v>
      </c>
      <c r="AG89" s="15">
        <f t="shared" si="62"/>
        <v>2.9381205673758868</v>
      </c>
      <c r="AH89" s="16">
        <f t="shared" si="63"/>
        <v>51.469060283687945</v>
      </c>
      <c r="AI89" s="14">
        <f t="shared" si="64"/>
        <v>0.45399999999999996</v>
      </c>
      <c r="AJ89" s="15">
        <f t="shared" si="65"/>
        <v>0.54600000000000004</v>
      </c>
      <c r="AK89" s="15">
        <f t="shared" si="66"/>
        <v>6.5926595744680849</v>
      </c>
      <c r="AL89" s="16">
        <f t="shared" si="67"/>
        <v>53.296329787234043</v>
      </c>
      <c r="AM89" s="14">
        <f t="shared" si="68"/>
        <v>0.26705882352941174</v>
      </c>
      <c r="AN89" s="15">
        <f t="shared" si="69"/>
        <v>0.73294117647058821</v>
      </c>
      <c r="AO89" s="15">
        <f t="shared" si="70"/>
        <v>8.8498748435544421</v>
      </c>
      <c r="AP89" s="16">
        <f t="shared" si="71"/>
        <v>54.424937421777223</v>
      </c>
    </row>
    <row r="90" spans="1:42" ht="15" x14ac:dyDescent="0.25">
      <c r="A90" s="31" t="s">
        <v>162</v>
      </c>
      <c r="B90" s="54">
        <f>Constants!C19*Constants!C18/(B89-Constants!C18)/1000-1</f>
        <v>59.443764345830147</v>
      </c>
      <c r="C90" s="67" t="s">
        <v>104</v>
      </c>
      <c r="N90">
        <v>29</v>
      </c>
      <c r="O90">
        <f t="shared" si="72"/>
        <v>61.900000000000006</v>
      </c>
      <c r="P90" s="14">
        <f t="shared" si="48"/>
        <v>0.29886914378029078</v>
      </c>
      <c r="Q90" s="15">
        <f t="shared" si="49"/>
        <v>0.70113085621970916</v>
      </c>
      <c r="R90" s="15">
        <f t="shared" si="50"/>
        <v>6.8994259787577787</v>
      </c>
      <c r="S90" s="16">
        <f t="shared" si="51"/>
        <v>53.449712989378888</v>
      </c>
      <c r="T90" s="14">
        <f t="shared" si="52"/>
        <v>0.32310177705977378</v>
      </c>
      <c r="U90" s="15">
        <f t="shared" si="53"/>
        <v>0.67689822294022628</v>
      </c>
      <c r="V90" s="15">
        <f t="shared" si="54"/>
        <v>7.2010449248960233</v>
      </c>
      <c r="W90" s="16">
        <f t="shared" si="55"/>
        <v>53.600522462448012</v>
      </c>
      <c r="X90" s="14">
        <f t="shared" si="56"/>
        <v>0.42003231017770593</v>
      </c>
      <c r="Y90" s="15">
        <f t="shared" si="57"/>
        <v>0.57996768982229407</v>
      </c>
      <c r="Z90" s="15">
        <f t="shared" si="58"/>
        <v>8.0208297528615127</v>
      </c>
      <c r="AA90" s="16">
        <f t="shared" si="59"/>
        <v>54.010414876430758</v>
      </c>
      <c r="AC90">
        <v>29</v>
      </c>
      <c r="AD90">
        <f t="shared" si="73"/>
        <v>22.85</v>
      </c>
      <c r="AE90" s="14">
        <f t="shared" si="60"/>
        <v>0.76166666666666671</v>
      </c>
      <c r="AF90" s="15">
        <f t="shared" si="61"/>
        <v>0.23833333333333329</v>
      </c>
      <c r="AG90" s="15">
        <f t="shared" si="62"/>
        <v>2.896764184397163</v>
      </c>
      <c r="AH90" s="16">
        <f t="shared" si="63"/>
        <v>51.448382092198578</v>
      </c>
      <c r="AI90" s="14">
        <f t="shared" si="64"/>
        <v>0.45700000000000002</v>
      </c>
      <c r="AJ90" s="15">
        <f t="shared" si="65"/>
        <v>0.54299999999999993</v>
      </c>
      <c r="AK90" s="15">
        <f t="shared" si="66"/>
        <v>6.5997606382978731</v>
      </c>
      <c r="AL90" s="16">
        <f t="shared" si="67"/>
        <v>53.29988031914894</v>
      </c>
      <c r="AM90" s="14">
        <f t="shared" si="68"/>
        <v>0.26882352941176474</v>
      </c>
      <c r="AN90" s="15">
        <f t="shared" si="69"/>
        <v>0.73117647058823532</v>
      </c>
      <c r="AO90" s="15">
        <f t="shared" si="70"/>
        <v>8.8869055068836058</v>
      </c>
      <c r="AP90" s="16">
        <f t="shared" si="71"/>
        <v>54.443452753441804</v>
      </c>
    </row>
    <row r="91" spans="1:42" ht="15" x14ac:dyDescent="0.25">
      <c r="A91" s="31" t="s">
        <v>164</v>
      </c>
      <c r="B91" s="49">
        <f>Design_Converter!B82</f>
        <v>60</v>
      </c>
      <c r="C91" s="67" t="s">
        <v>104</v>
      </c>
      <c r="N91">
        <v>30</v>
      </c>
      <c r="O91">
        <f t="shared" si="72"/>
        <v>63</v>
      </c>
      <c r="P91" s="14">
        <f t="shared" si="48"/>
        <v>0.29365079365079366</v>
      </c>
      <c r="Q91" s="15">
        <f t="shared" si="49"/>
        <v>0.70634920634920628</v>
      </c>
      <c r="R91" s="15">
        <f t="shared" si="50"/>
        <v>6.9507767646065526</v>
      </c>
      <c r="S91" s="16">
        <f t="shared" si="51"/>
        <v>53.475388382303279</v>
      </c>
      <c r="T91" s="14">
        <f t="shared" si="52"/>
        <v>0.31746031746031744</v>
      </c>
      <c r="U91" s="15">
        <f t="shared" si="53"/>
        <v>0.68253968253968256</v>
      </c>
      <c r="V91" s="15">
        <f t="shared" si="54"/>
        <v>7.2610604525498141</v>
      </c>
      <c r="W91" s="16">
        <f t="shared" si="55"/>
        <v>53.630530226274907</v>
      </c>
      <c r="X91" s="14">
        <f t="shared" si="56"/>
        <v>0.41269841269841268</v>
      </c>
      <c r="Y91" s="15">
        <f t="shared" si="57"/>
        <v>0.58730158730158732</v>
      </c>
      <c r="Z91" s="15">
        <f t="shared" si="58"/>
        <v>8.1222559945964203</v>
      </c>
      <c r="AA91" s="16">
        <f t="shared" si="59"/>
        <v>54.061127997298208</v>
      </c>
      <c r="AC91">
        <v>30</v>
      </c>
      <c r="AD91">
        <f t="shared" si="73"/>
        <v>23</v>
      </c>
      <c r="AE91" s="14">
        <f t="shared" si="60"/>
        <v>0.76666666666666672</v>
      </c>
      <c r="AF91" s="15">
        <f t="shared" si="61"/>
        <v>0.23333333333333328</v>
      </c>
      <c r="AG91" s="15">
        <f t="shared" si="62"/>
        <v>2.8546099290780145</v>
      </c>
      <c r="AH91" s="16">
        <f t="shared" si="63"/>
        <v>51.427304964539005</v>
      </c>
      <c r="AI91" s="14">
        <f t="shared" si="64"/>
        <v>0.46</v>
      </c>
      <c r="AJ91" s="15">
        <f t="shared" si="65"/>
        <v>0.54</v>
      </c>
      <c r="AK91" s="15">
        <f t="shared" si="66"/>
        <v>6.6063829787234045</v>
      </c>
      <c r="AL91" s="16">
        <f t="shared" si="67"/>
        <v>53.303191489361701</v>
      </c>
      <c r="AM91" s="14">
        <f t="shared" si="68"/>
        <v>0.27058823529411763</v>
      </c>
      <c r="AN91" s="15">
        <f t="shared" si="69"/>
        <v>0.72941176470588243</v>
      </c>
      <c r="AO91" s="15">
        <f t="shared" si="70"/>
        <v>8.9236545682102619</v>
      </c>
      <c r="AP91" s="16">
        <f t="shared" si="71"/>
        <v>54.461827284105134</v>
      </c>
    </row>
    <row r="92" spans="1:42" ht="15" x14ac:dyDescent="0.25">
      <c r="A92" s="31" t="s">
        <v>163</v>
      </c>
      <c r="B92" s="54">
        <f>((B91*1000+Constants!C19)/((B91+1)*1000))*Constants!C18</f>
        <v>59.44426229508197</v>
      </c>
      <c r="C92" s="67" t="s">
        <v>1</v>
      </c>
      <c r="N92">
        <v>31</v>
      </c>
      <c r="O92">
        <f t="shared" si="72"/>
        <v>64.099999999999994</v>
      </c>
      <c r="P92" s="14">
        <f t="shared" si="48"/>
        <v>0.2886115444617785</v>
      </c>
      <c r="Q92" s="15">
        <f t="shared" si="49"/>
        <v>0.7113884555382215</v>
      </c>
      <c r="R92" s="15">
        <f t="shared" si="50"/>
        <v>7.0003651209878184</v>
      </c>
      <c r="S92" s="16">
        <f t="shared" si="51"/>
        <v>53.500182560493911</v>
      </c>
      <c r="T92" s="14">
        <f t="shared" si="52"/>
        <v>0.31201248049921998</v>
      </c>
      <c r="U92" s="15">
        <f t="shared" si="53"/>
        <v>0.68798751950078008</v>
      </c>
      <c r="V92" s="15">
        <f t="shared" si="54"/>
        <v>7.3190161649019148</v>
      </c>
      <c r="W92" s="16">
        <f t="shared" si="55"/>
        <v>53.659508082450955</v>
      </c>
      <c r="X92" s="14">
        <f t="shared" si="56"/>
        <v>0.405616224648986</v>
      </c>
      <c r="Y92" s="15">
        <f t="shared" si="57"/>
        <v>0.59438377535101394</v>
      </c>
      <c r="Z92" s="15">
        <f t="shared" si="58"/>
        <v>8.220201148471471</v>
      </c>
      <c r="AA92" s="16">
        <f t="shared" si="59"/>
        <v>54.110100574235737</v>
      </c>
      <c r="AC92">
        <v>31</v>
      </c>
      <c r="AD92">
        <f t="shared" si="73"/>
        <v>23.15</v>
      </c>
      <c r="AE92" s="14">
        <f t="shared" si="60"/>
        <v>0.77166666666666661</v>
      </c>
      <c r="AF92" s="15">
        <f t="shared" si="61"/>
        <v>0.22833333333333339</v>
      </c>
      <c r="AG92" s="15">
        <f t="shared" si="62"/>
        <v>2.8116578014184404</v>
      </c>
      <c r="AH92" s="16">
        <f t="shared" si="63"/>
        <v>51.405828900709217</v>
      </c>
      <c r="AI92" s="14">
        <f t="shared" si="64"/>
        <v>0.46299999999999997</v>
      </c>
      <c r="AJ92" s="15">
        <f t="shared" si="65"/>
        <v>0.53700000000000003</v>
      </c>
      <c r="AK92" s="15">
        <f t="shared" si="66"/>
        <v>6.612526595744681</v>
      </c>
      <c r="AL92" s="16">
        <f t="shared" si="67"/>
        <v>53.306263297872341</v>
      </c>
      <c r="AM92" s="14">
        <f t="shared" si="68"/>
        <v>0.27235294117647058</v>
      </c>
      <c r="AN92" s="15">
        <f t="shared" si="69"/>
        <v>0.72764705882352942</v>
      </c>
      <c r="AO92" s="15">
        <f t="shared" si="70"/>
        <v>8.9601220275344193</v>
      </c>
      <c r="AP92" s="16">
        <f t="shared" si="71"/>
        <v>54.480061013767212</v>
      </c>
    </row>
    <row r="93" spans="1:42" x14ac:dyDescent="0.15">
      <c r="A93" s="31" t="s">
        <v>165</v>
      </c>
      <c r="B93" s="49">
        <f>Design_Converter!B85</f>
        <v>28</v>
      </c>
      <c r="C93" s="31" t="s">
        <v>1</v>
      </c>
      <c r="N93">
        <v>32</v>
      </c>
      <c r="O93">
        <f t="shared" si="72"/>
        <v>65.2</v>
      </c>
      <c r="P93" s="14">
        <f t="shared" ref="P93:P111" si="74">IF(I_Channel&lt;(($O93-V12_Min)*V12_Min)/((2*Lm*Fsw)*$O93),SQRT((2*I_Channel*Lm*Fsw*V12_Min)/($O93*($O93-V12_Min))),(V12_Min/$O93))</f>
        <v>0.28374233128834353</v>
      </c>
      <c r="Q93" s="15">
        <f t="shared" ref="Q93:Q111" si="75">IF(I_Channel&lt;(($O93-V12_Min)*V12_Min)/((2*Lm*Fsw)*$O93),SQRT((2*I_Channel*Lm*Fsw*V12_Min)/($O93*($O93-V12_Min)))*(($O93-V12_Min)/(V12_Min)),1-(V12_Min/$O93))</f>
        <v>0.71625766871165641</v>
      </c>
      <c r="R93" s="15">
        <f t="shared" ref="R93:R111" si="76">IF(I_Channel&lt;(($O93-V12_Min)*V12_Min)/((2*Lm*Fsw)*$O93),(P93/(Fsw*Lm))*($O93-V12_Min),((P93/(Fsw*Lm))*($O93-V12_Min)))</f>
        <v>7.0482802506200235</v>
      </c>
      <c r="S93" s="16">
        <f t="shared" ref="S93:S111" si="77">IF(I_Channel&lt;(($O93-V12_Min)*V12_Min)/((2*Lm*Fsw)*$O93),(P93/(Fsw*Lm))*($O93-V12_Min),(R93/2)+I_Channel)</f>
        <v>53.524140125310012</v>
      </c>
      <c r="T93" s="14">
        <f t="shared" ref="T93:T111" si="78">IF(I_Channel&lt;(($O93-V12_Nom)*V12_Nom)/((2*Lm*Fsw)*$O93),SQRT((2*I_Channel*Lm*Fsw*V12_Nom)/($O93*($O93-V12_Nom))),(V12_Nom/$O93))</f>
        <v>0.30674846625766872</v>
      </c>
      <c r="U93" s="15">
        <f t="shared" ref="U93:U111" si="79">IF(I_Channel&lt;(($O93-V12_Nom)*V12_Nom)/((2*Lm*Fsw)*$O93),SQRT((2*I_Channel*Lm*Fsw*V12_Nom)/($O93*($O93-V12_Nom)))*(($O93-V12_Nom)/(V12_Nom)),1-(V12_Nom/$O93))</f>
        <v>0.69325153374233128</v>
      </c>
      <c r="V93" s="15">
        <f t="shared" ref="V93:V111" si="80">IF(I_Channel&lt;(($O93-V12_Nom)*V12_Nom)/((2*Lm*Fsw)*$O93),(T93/(Fsw*Lm))*($O93-V12_Nom),((T93/(Fsw*Lm))*($O93-V12_Nom)))</f>
        <v>7.3750163164077804</v>
      </c>
      <c r="W93" s="16">
        <f t="shared" ref="W93:W111" si="81">IF(I_Channel&lt;(($O93-V12_Nom)*V12_Nom)/((2*Lm*Fsw)*$O93),(T93/(Fsw*Lm))*($O93-V12_Nom),(V93/2)+I_Channel)</f>
        <v>53.68750815820389</v>
      </c>
      <c r="X93" s="14">
        <f t="shared" ref="X93:X111" si="82">IF(I_Channel&lt;(($O93-V12_Max)*V12_Max)/((2*Lm*Fsw)*$O93),SQRT((2*I_Channel*Lm*Fsw*V12_Max)/($O93*($O93-V12_Max))),(V12_Max/$O93))</f>
        <v>0.3987730061349693</v>
      </c>
      <c r="Y93" s="15">
        <f t="shared" ref="Y93:Y111" si="83">IF(I_Channel&lt;(($O93-V12_Max)*V12_Max)/((2*Lm*Fsw)*$O93),SQRT((2*I_Channel*Lm*Fsw*V12_Max)/($O93*($O93-V12_Max)))*(($O93-V12_Max)/(V12_Max)),1-(V12_Max/$O93))</f>
        <v>0.60122699386503076</v>
      </c>
      <c r="Z93" s="15">
        <f t="shared" ref="Z93:Z111" si="84">IF(I_Channel&lt;(($O93-V12_Max)*V12_Max)/((2*Lm*Fsw)*$O93),(X93/(Fsw*Lm))*($O93-V12_Max),((X93/(Fsw*Lm))*($O93-V12_Max)))</f>
        <v>8.3148414045163825</v>
      </c>
      <c r="AA93" s="16">
        <f t="shared" ref="AA93:AA111" si="85">IF(I_Channel&lt;(($O93-V12_Max)*V12_Max)/((2*Lm*Fsw)*$O93),(X93/(Fsw*Lm))*($O93-V12_Max),(Z93/2)+I_Channel)</f>
        <v>54.157420702258193</v>
      </c>
      <c r="AC93">
        <v>32</v>
      </c>
      <c r="AD93">
        <f t="shared" si="73"/>
        <v>23.3</v>
      </c>
      <c r="AE93" s="14">
        <f t="shared" ref="AE93:AE111" si="86">IF(I_Channel&lt;((V48_Min-$AD93)*$AD93)/((2*Lm*Fsw)*V48_Min),SQRT((2*I_Channel*Lm*Fsw*$AD93)/(V48_Min*(V48_Min-$AD93))),($AD93/V48_Min))</f>
        <v>0.77666666666666673</v>
      </c>
      <c r="AF93" s="15">
        <f t="shared" ref="AF93:AF111" si="87">IF(I_Channel&lt;((V48_Min-$AD93)*$AD93)/((2*Lm*Fsw)*V48_Min),SQRT((2*I_Channel*Lm*Fsw*$AD93)/(V48_Min*(V48_Min-$AD93)))*((V48_Min-$AD93)/($AD93)),1-($AD93/V48_Min))</f>
        <v>0.22333333333333327</v>
      </c>
      <c r="AG93" s="15">
        <f t="shared" ref="AG93:AG111" si="88">IF(I_Channel&lt;((V48_Min-$AD93)*$AD93)/((2*Lm*Fsw)*V48_Min),(AE93/(Fsw*Lm))*(V48_Min-$AD93),((AE93/(Fsw*Lm))*(V48_Min-$AD93)))</f>
        <v>2.7679078014184397</v>
      </c>
      <c r="AH93" s="16">
        <f t="shared" ref="AH93:AH111" si="89">IF(I_Channel&lt;((V48_Min-$AD93)*$AD93)/((2*Lm*Fsw)*V48_Min),(AE93/(Fsw*Lm))*(V48_Min-$AD93),(AG93/2)+I_Channel)</f>
        <v>51.383953900709223</v>
      </c>
      <c r="AI93" s="14">
        <f t="shared" ref="AI93:AI111" si="90">IF(I_Channel&lt;((V48_Nom-$AD93)*$AD93)/((2*Lm*Fsw)*V48_Nom),SQRT((2*I_Channel*Lm*Fsw*$AD93)/(V48_Nom*(V48_Nom-$AD93))),($AD93/V48_Nom))</f>
        <v>0.46600000000000003</v>
      </c>
      <c r="AJ93" s="15">
        <f t="shared" ref="AJ93:AJ111" si="91">IF(I_Channel&lt;((V48_Nom-$AD93)*$AD93)/((2*Lm*Fsw)*V48_Nom),SQRT((2*I_Channel*Lm*Fsw*$AD93)/(V48_Nom*(V48_Nom-$AD93)))*((V48_Nom-$AD93)/($AD93)),1-($AD93/V48_Nom))</f>
        <v>0.53400000000000003</v>
      </c>
      <c r="AK93" s="15">
        <f t="shared" ref="AK93:AK111" si="92">IF(I_Channel&lt;((V48_Nom-$AD93)*$AD93)/((2*Lm*Fsw)*V48_Nom),(AI93/(Fsw*Lm))*(V48_Nom-$AD93),((AI93/(Fsw*Lm))*(V48_Nom-$AD93)))</f>
        <v>6.6181914893617027</v>
      </c>
      <c r="AL93" s="16">
        <f t="shared" ref="AL93:AL111" si="93">IF(I_Channel&lt;((V48_Nom-$AD93)*$AD93)/((2*Lm*Fsw)*V48_Nom),(AI93/(Fsw*Lm))*(V48_Nom-$AD93),(AK93/2)+I_Channel)</f>
        <v>53.309095744680853</v>
      </c>
      <c r="AM93" s="14">
        <f t="shared" ref="AM93:AM111" si="94">IF(I_Channel&lt;((V48_Max-$AD93)*$AD93)/((2*Lm*Fsw)*V48_Max),SQRT((2*I_Channel*Lm*Fsw*$AD93)/(V48_Max*(V48_Max-$AD93))),($AD93/V48_Max))</f>
        <v>0.27411764705882352</v>
      </c>
      <c r="AN93" s="15">
        <f t="shared" ref="AN93:AN111" si="95">IF(I_Channel&lt;((V48_Max-$AD93)*$AD93)/((2*Lm*Fsw)*V48_Max),SQRT((2*I_Channel*Lm*Fsw*$AD93)/(V48_Max*(V48_Max-$AD93)))*((V48_Max-$AD93)/($AD93)),1-($AD93/V48_Max))</f>
        <v>0.72588235294117642</v>
      </c>
      <c r="AO93" s="15">
        <f t="shared" ref="AO93:AO111" si="96">IF(I_Channel&lt;((V48_Max-$AD93)*$AD93)/((2*Lm*Fsw)*V48_Max),(AM93/(Fsw*Lm))*(V48_Max-$AD93),((AM93/(Fsw*Lm))*(V48_Max-$AD93)))</f>
        <v>8.9963078848560709</v>
      </c>
      <c r="AP93" s="16">
        <f t="shared" ref="AP93:AP111" si="97">IF(I_Channel&lt;((V48_Max-$AD93)*$AD93)/((2*Lm*Fsw)*V48_Max),(AM93/(Fsw*Lm))*(V48_Max-$AD93),(AO93/2)+I_Channel)</f>
        <v>54.498153942428033</v>
      </c>
    </row>
    <row r="94" spans="1:42" ht="15" x14ac:dyDescent="0.25">
      <c r="A94" s="31" t="s">
        <v>166</v>
      </c>
      <c r="B94" s="54">
        <f>Constants!C20*Constants!C18/(B93-Constants!C18)/1000-1</f>
        <v>43.191683759090061</v>
      </c>
      <c r="C94" s="67" t="s">
        <v>104</v>
      </c>
      <c r="N94">
        <v>33</v>
      </c>
      <c r="O94">
        <f t="shared" ref="O94:O111" si="98">((V48_Max-V48_Min)/50)*N94+V48_Min</f>
        <v>66.300000000000011</v>
      </c>
      <c r="P94" s="14">
        <f t="shared" si="74"/>
        <v>0.27903469079939663</v>
      </c>
      <c r="Q94" s="15">
        <f t="shared" si="75"/>
        <v>0.72096530920060342</v>
      </c>
      <c r="R94" s="15">
        <f t="shared" si="76"/>
        <v>7.0946054362825341</v>
      </c>
      <c r="S94" s="16">
        <f t="shared" si="77"/>
        <v>53.547302718141268</v>
      </c>
      <c r="T94" s="14">
        <f t="shared" si="78"/>
        <v>0.30165912518853688</v>
      </c>
      <c r="U94" s="15">
        <f t="shared" si="79"/>
        <v>0.69834087481146312</v>
      </c>
      <c r="V94" s="15">
        <f t="shared" si="80"/>
        <v>7.4291582426751397</v>
      </c>
      <c r="W94" s="16">
        <f t="shared" si="81"/>
        <v>53.714579121337572</v>
      </c>
      <c r="X94" s="14">
        <f t="shared" si="82"/>
        <v>0.39215686274509798</v>
      </c>
      <c r="Y94" s="15">
        <f t="shared" si="83"/>
        <v>0.60784313725490202</v>
      </c>
      <c r="Z94" s="15">
        <f t="shared" si="84"/>
        <v>8.4063412599082206</v>
      </c>
      <c r="AA94" s="16">
        <f t="shared" si="85"/>
        <v>54.203170629954109</v>
      </c>
      <c r="AC94">
        <v>33</v>
      </c>
      <c r="AD94">
        <f t="shared" ref="AD94:AD111" si="99">((V12_Max-V12_Min)/50)*AC94+V12_Min</f>
        <v>23.45</v>
      </c>
      <c r="AE94" s="14">
        <f t="shared" si="86"/>
        <v>0.78166666666666662</v>
      </c>
      <c r="AF94" s="15">
        <f t="shared" si="87"/>
        <v>0.21833333333333338</v>
      </c>
      <c r="AG94" s="15">
        <f t="shared" si="88"/>
        <v>2.7233599290780144</v>
      </c>
      <c r="AH94" s="16">
        <f t="shared" si="89"/>
        <v>51.361679964539007</v>
      </c>
      <c r="AI94" s="14">
        <f t="shared" si="90"/>
        <v>0.46899999999999997</v>
      </c>
      <c r="AJ94" s="15">
        <f t="shared" si="91"/>
        <v>0.53100000000000003</v>
      </c>
      <c r="AK94" s="15">
        <f t="shared" si="92"/>
        <v>6.6233776595744684</v>
      </c>
      <c r="AL94" s="16">
        <f t="shared" si="93"/>
        <v>53.311688829787236</v>
      </c>
      <c r="AM94" s="14">
        <f t="shared" si="94"/>
        <v>0.27588235294117647</v>
      </c>
      <c r="AN94" s="15">
        <f t="shared" si="95"/>
        <v>0.72411764705882353</v>
      </c>
      <c r="AO94" s="15">
        <f t="shared" si="96"/>
        <v>9.0322121401752185</v>
      </c>
      <c r="AP94" s="16">
        <f t="shared" si="97"/>
        <v>54.516106070087609</v>
      </c>
    </row>
    <row r="95" spans="1:42" ht="15" x14ac:dyDescent="0.25">
      <c r="A95" s="31" t="s">
        <v>167</v>
      </c>
      <c r="B95" s="49">
        <f>Design_Converter!B87</f>
        <v>43</v>
      </c>
      <c r="C95" s="67" t="s">
        <v>104</v>
      </c>
      <c r="N95">
        <v>34</v>
      </c>
      <c r="O95">
        <f t="shared" si="98"/>
        <v>67.400000000000006</v>
      </c>
      <c r="P95" s="14">
        <f t="shared" si="74"/>
        <v>0.27448071216617209</v>
      </c>
      <c r="Q95" s="15">
        <f t="shared" si="75"/>
        <v>0.72551928783382791</v>
      </c>
      <c r="R95" s="15">
        <f t="shared" si="76"/>
        <v>7.1394185238967118</v>
      </c>
      <c r="S95" s="16">
        <f t="shared" si="77"/>
        <v>53.569709261948354</v>
      </c>
      <c r="T95" s="14">
        <f t="shared" si="78"/>
        <v>0.29673590504451036</v>
      </c>
      <c r="U95" s="15">
        <f t="shared" si="79"/>
        <v>0.70326409495548958</v>
      </c>
      <c r="V95" s="15">
        <f t="shared" si="80"/>
        <v>7.4815329250584011</v>
      </c>
      <c r="W95" s="16">
        <f t="shared" si="81"/>
        <v>53.740766462529201</v>
      </c>
      <c r="X95" s="14">
        <f t="shared" si="82"/>
        <v>0.38575667655786344</v>
      </c>
      <c r="Y95" s="15">
        <f t="shared" si="83"/>
        <v>0.6142433234421365</v>
      </c>
      <c r="Z95" s="15">
        <f t="shared" si="84"/>
        <v>8.4948544731359306</v>
      </c>
      <c r="AA95" s="16">
        <f t="shared" si="85"/>
        <v>54.247427236567965</v>
      </c>
      <c r="AC95">
        <v>34</v>
      </c>
      <c r="AD95">
        <f t="shared" si="99"/>
        <v>23.6</v>
      </c>
      <c r="AE95" s="14">
        <f t="shared" si="86"/>
        <v>0.78666666666666674</v>
      </c>
      <c r="AF95" s="15">
        <f t="shared" si="87"/>
        <v>0.21333333333333326</v>
      </c>
      <c r="AG95" s="15">
        <f t="shared" si="88"/>
        <v>2.678014184397163</v>
      </c>
      <c r="AH95" s="16">
        <f t="shared" si="89"/>
        <v>51.339007092198578</v>
      </c>
      <c r="AI95" s="14">
        <f t="shared" si="90"/>
        <v>0.47200000000000003</v>
      </c>
      <c r="AJ95" s="15">
        <f t="shared" si="91"/>
        <v>0.52800000000000002</v>
      </c>
      <c r="AK95" s="15">
        <f t="shared" si="92"/>
        <v>6.6280851063829793</v>
      </c>
      <c r="AL95" s="16">
        <f t="shared" si="93"/>
        <v>53.314042553191491</v>
      </c>
      <c r="AM95" s="14">
        <f t="shared" si="94"/>
        <v>0.27764705882352941</v>
      </c>
      <c r="AN95" s="15">
        <f t="shared" si="95"/>
        <v>0.72235294117647064</v>
      </c>
      <c r="AO95" s="15">
        <f t="shared" si="96"/>
        <v>9.0678347934918655</v>
      </c>
      <c r="AP95" s="16">
        <f t="shared" si="97"/>
        <v>54.533917396745935</v>
      </c>
    </row>
    <row r="96" spans="1:42" ht="15" x14ac:dyDescent="0.25">
      <c r="A96" s="31" t="s">
        <v>168</v>
      </c>
      <c r="B96" s="54">
        <f>(Constants!C18*(Constants!C20+(Calculations!B95*1000)))/(Calculations!B95*1000)</f>
        <v>28.743139534883721</v>
      </c>
      <c r="C96" s="67" t="s">
        <v>1</v>
      </c>
      <c r="N96">
        <v>35</v>
      </c>
      <c r="O96">
        <f t="shared" si="98"/>
        <v>68.5</v>
      </c>
      <c r="P96" s="14">
        <f t="shared" si="74"/>
        <v>0.27007299270072993</v>
      </c>
      <c r="Q96" s="15">
        <f t="shared" si="75"/>
        <v>0.72992700729927007</v>
      </c>
      <c r="R96" s="15">
        <f t="shared" si="76"/>
        <v>7.1827923590619669</v>
      </c>
      <c r="S96" s="16">
        <f t="shared" si="77"/>
        <v>53.591396179530982</v>
      </c>
      <c r="T96" s="14">
        <f t="shared" si="78"/>
        <v>0.29197080291970801</v>
      </c>
      <c r="U96" s="15">
        <f t="shared" si="79"/>
        <v>0.70802919708029199</v>
      </c>
      <c r="V96" s="15">
        <f t="shared" si="80"/>
        <v>7.5322255008541692</v>
      </c>
      <c r="W96" s="16">
        <f t="shared" si="81"/>
        <v>53.766112750427084</v>
      </c>
      <c r="X96" s="14">
        <f t="shared" si="82"/>
        <v>0.37956204379562042</v>
      </c>
      <c r="Y96" s="15">
        <f t="shared" si="83"/>
        <v>0.62043795620437958</v>
      </c>
      <c r="Z96" s="15">
        <f t="shared" si="84"/>
        <v>8.5805249262307814</v>
      </c>
      <c r="AA96" s="16">
        <f t="shared" si="85"/>
        <v>54.29026246311539</v>
      </c>
      <c r="AC96">
        <v>35</v>
      </c>
      <c r="AD96">
        <f t="shared" si="99"/>
        <v>23.75</v>
      </c>
      <c r="AE96" s="14">
        <f t="shared" si="86"/>
        <v>0.79166666666666663</v>
      </c>
      <c r="AF96" s="15">
        <f t="shared" si="87"/>
        <v>0.20833333333333337</v>
      </c>
      <c r="AG96" s="15">
        <f t="shared" si="88"/>
        <v>2.6318705673758864</v>
      </c>
      <c r="AH96" s="16">
        <f t="shared" si="89"/>
        <v>51.315935283687942</v>
      </c>
      <c r="AI96" s="14">
        <f t="shared" si="90"/>
        <v>0.47499999999999998</v>
      </c>
      <c r="AJ96" s="15">
        <f t="shared" si="91"/>
        <v>0.52500000000000002</v>
      </c>
      <c r="AK96" s="15">
        <f t="shared" si="92"/>
        <v>6.6323138297872344</v>
      </c>
      <c r="AL96" s="16">
        <f t="shared" si="93"/>
        <v>53.316156914893618</v>
      </c>
      <c r="AM96" s="14">
        <f t="shared" si="94"/>
        <v>0.27941176470588236</v>
      </c>
      <c r="AN96" s="15">
        <f t="shared" si="95"/>
        <v>0.72058823529411764</v>
      </c>
      <c r="AO96" s="15">
        <f t="shared" si="96"/>
        <v>9.1031758448060085</v>
      </c>
      <c r="AP96" s="16">
        <f t="shared" si="97"/>
        <v>54.551587922403002</v>
      </c>
    </row>
    <row r="97" spans="1:42" x14ac:dyDescent="0.15">
      <c r="N97">
        <v>36</v>
      </c>
      <c r="O97">
        <f t="shared" si="98"/>
        <v>69.599999999999994</v>
      </c>
      <c r="P97" s="14">
        <f t="shared" si="74"/>
        <v>0.26580459770114945</v>
      </c>
      <c r="Q97" s="15">
        <f t="shared" si="75"/>
        <v>0.73419540229885061</v>
      </c>
      <c r="R97" s="15">
        <f t="shared" si="76"/>
        <v>7.2247951821961358</v>
      </c>
      <c r="S97" s="16">
        <f t="shared" si="77"/>
        <v>53.612397591098066</v>
      </c>
      <c r="T97" s="14">
        <f t="shared" si="78"/>
        <v>0.2873563218390805</v>
      </c>
      <c r="U97" s="15">
        <f t="shared" si="79"/>
        <v>0.71264367816091956</v>
      </c>
      <c r="V97" s="15">
        <f t="shared" si="80"/>
        <v>7.5813157251161662</v>
      </c>
      <c r="W97" s="16">
        <f t="shared" si="81"/>
        <v>53.790657862558085</v>
      </c>
      <c r="X97" s="14">
        <f t="shared" si="82"/>
        <v>0.37356321839080464</v>
      </c>
      <c r="Y97" s="15">
        <f t="shared" si="83"/>
        <v>0.62643678160919536</v>
      </c>
      <c r="Z97" s="15">
        <f t="shared" si="84"/>
        <v>8.6634874052335533</v>
      </c>
      <c r="AA97" s="16">
        <f t="shared" si="85"/>
        <v>54.331743702616777</v>
      </c>
      <c r="AC97">
        <v>36</v>
      </c>
      <c r="AD97">
        <f t="shared" si="99"/>
        <v>23.9</v>
      </c>
      <c r="AE97" s="14">
        <f t="shared" si="86"/>
        <v>0.79666666666666663</v>
      </c>
      <c r="AF97" s="15">
        <f t="shared" si="87"/>
        <v>0.20333333333333337</v>
      </c>
      <c r="AG97" s="15">
        <f t="shared" si="88"/>
        <v>2.5849290780141851</v>
      </c>
      <c r="AH97" s="16">
        <f t="shared" si="89"/>
        <v>51.292464539007092</v>
      </c>
      <c r="AI97" s="14">
        <f t="shared" si="90"/>
        <v>0.47799999999999998</v>
      </c>
      <c r="AJ97" s="15">
        <f t="shared" si="91"/>
        <v>0.52200000000000002</v>
      </c>
      <c r="AK97" s="15">
        <f t="shared" si="92"/>
        <v>6.6360638297872345</v>
      </c>
      <c r="AL97" s="16">
        <f t="shared" si="93"/>
        <v>53.318031914893616</v>
      </c>
      <c r="AM97" s="14">
        <f t="shared" si="94"/>
        <v>0.28117647058823525</v>
      </c>
      <c r="AN97" s="15">
        <f t="shared" si="95"/>
        <v>0.71882352941176475</v>
      </c>
      <c r="AO97" s="15">
        <f t="shared" si="96"/>
        <v>9.1382352941176475</v>
      </c>
      <c r="AP97" s="16">
        <f t="shared" si="97"/>
        <v>54.569117647058825</v>
      </c>
    </row>
    <row r="98" spans="1:42" x14ac:dyDescent="0.15">
      <c r="A98" s="32" t="s">
        <v>169</v>
      </c>
      <c r="B98" s="53"/>
      <c r="C98" s="31"/>
      <c r="N98">
        <v>37</v>
      </c>
      <c r="O98">
        <f t="shared" si="98"/>
        <v>70.7</v>
      </c>
      <c r="P98" s="14">
        <f t="shared" si="74"/>
        <v>0.26166902404526166</v>
      </c>
      <c r="Q98" s="15">
        <f t="shared" si="75"/>
        <v>0.73833097595473829</v>
      </c>
      <c r="R98" s="15">
        <f t="shared" si="76"/>
        <v>7.2654909867886488</v>
      </c>
      <c r="S98" s="16">
        <f t="shared" si="77"/>
        <v>53.632745493394324</v>
      </c>
      <c r="T98" s="14">
        <f t="shared" si="78"/>
        <v>0.28288543140028288</v>
      </c>
      <c r="U98" s="15">
        <f t="shared" si="79"/>
        <v>0.71711456859971712</v>
      </c>
      <c r="V98" s="15">
        <f t="shared" si="80"/>
        <v>7.6288783893586931</v>
      </c>
      <c r="W98" s="16">
        <f t="shared" si="81"/>
        <v>53.814439194679345</v>
      </c>
      <c r="X98" s="14">
        <f t="shared" si="82"/>
        <v>0.36775106082036774</v>
      </c>
      <c r="Y98" s="15">
        <f t="shared" si="83"/>
        <v>0.63224893917963221</v>
      </c>
      <c r="Z98" s="15">
        <f t="shared" si="84"/>
        <v>8.7438683078034245</v>
      </c>
      <c r="AA98" s="16">
        <f t="shared" si="85"/>
        <v>54.371934153901712</v>
      </c>
      <c r="AC98">
        <v>37</v>
      </c>
      <c r="AD98">
        <f t="shared" si="99"/>
        <v>24.05</v>
      </c>
      <c r="AE98" s="14">
        <f t="shared" si="86"/>
        <v>0.80166666666666664</v>
      </c>
      <c r="AF98" s="15">
        <f t="shared" si="87"/>
        <v>0.19833333333333336</v>
      </c>
      <c r="AG98" s="15">
        <f t="shared" si="88"/>
        <v>2.5371897163120565</v>
      </c>
      <c r="AH98" s="16">
        <f t="shared" si="89"/>
        <v>51.268594858156028</v>
      </c>
      <c r="AI98" s="14">
        <f t="shared" si="90"/>
        <v>0.48100000000000004</v>
      </c>
      <c r="AJ98" s="15">
        <f t="shared" si="91"/>
        <v>0.51899999999999991</v>
      </c>
      <c r="AK98" s="15">
        <f t="shared" si="92"/>
        <v>6.6393351063829797</v>
      </c>
      <c r="AL98" s="16">
        <f t="shared" si="93"/>
        <v>53.319667553191493</v>
      </c>
      <c r="AM98" s="14">
        <f t="shared" si="94"/>
        <v>0.28294117647058825</v>
      </c>
      <c r="AN98" s="15">
        <f t="shared" si="95"/>
        <v>0.71705882352941175</v>
      </c>
      <c r="AO98" s="15">
        <f t="shared" si="96"/>
        <v>9.1730131414267859</v>
      </c>
      <c r="AP98" s="16">
        <f t="shared" si="97"/>
        <v>54.586506570713397</v>
      </c>
    </row>
    <row r="99" spans="1:42" x14ac:dyDescent="0.15">
      <c r="A99" s="31" t="s">
        <v>170</v>
      </c>
      <c r="B99" s="49">
        <f>IF(Design_Converter!B93=Lists!A2,0,1)</f>
        <v>0</v>
      </c>
      <c r="C99" s="31"/>
      <c r="E99" s="34" t="s">
        <v>220</v>
      </c>
      <c r="N99">
        <v>38</v>
      </c>
      <c r="O99">
        <f t="shared" si="98"/>
        <v>71.800000000000011</v>
      </c>
      <c r="P99" s="14">
        <f t="shared" si="74"/>
        <v>0.25766016713091916</v>
      </c>
      <c r="Q99" s="15">
        <f t="shared" si="75"/>
        <v>0.7423398328690809</v>
      </c>
      <c r="R99" s="15">
        <f t="shared" si="76"/>
        <v>7.3049398447223384</v>
      </c>
      <c r="S99" s="16">
        <f t="shared" si="77"/>
        <v>53.652469922361171</v>
      </c>
      <c r="T99" s="14">
        <f t="shared" si="78"/>
        <v>0.27855153203342614</v>
      </c>
      <c r="U99" s="15">
        <f t="shared" si="79"/>
        <v>0.7214484679665738</v>
      </c>
      <c r="V99" s="15">
        <f t="shared" si="80"/>
        <v>7.6749837017720637</v>
      </c>
      <c r="W99" s="16">
        <f t="shared" si="81"/>
        <v>53.837491850886032</v>
      </c>
      <c r="X99" s="14">
        <f t="shared" si="82"/>
        <v>0.36211699164345396</v>
      </c>
      <c r="Y99" s="15">
        <f t="shared" si="83"/>
        <v>0.6378830083565461</v>
      </c>
      <c r="Z99" s="15">
        <f t="shared" si="84"/>
        <v>8.8217862857820197</v>
      </c>
      <c r="AA99" s="16">
        <f t="shared" si="85"/>
        <v>54.410893142891013</v>
      </c>
      <c r="AC99">
        <v>38</v>
      </c>
      <c r="AD99">
        <f t="shared" si="99"/>
        <v>24.2</v>
      </c>
      <c r="AE99" s="14">
        <f t="shared" si="86"/>
        <v>0.80666666666666664</v>
      </c>
      <c r="AF99" s="15">
        <f t="shared" si="87"/>
        <v>0.19333333333333336</v>
      </c>
      <c r="AG99" s="15">
        <f t="shared" si="88"/>
        <v>2.488652482269504</v>
      </c>
      <c r="AH99" s="16">
        <f t="shared" si="89"/>
        <v>51.24432624113475</v>
      </c>
      <c r="AI99" s="14">
        <f t="shared" si="90"/>
        <v>0.48399999999999999</v>
      </c>
      <c r="AJ99" s="15">
        <f t="shared" si="91"/>
        <v>0.51600000000000001</v>
      </c>
      <c r="AK99" s="15">
        <f t="shared" si="92"/>
        <v>6.6421276595744683</v>
      </c>
      <c r="AL99" s="16">
        <f t="shared" si="93"/>
        <v>53.321063829787235</v>
      </c>
      <c r="AM99" s="14">
        <f t="shared" si="94"/>
        <v>0.28470588235294114</v>
      </c>
      <c r="AN99" s="15">
        <f t="shared" si="95"/>
        <v>0.71529411764705886</v>
      </c>
      <c r="AO99" s="15">
        <f t="shared" si="96"/>
        <v>9.207509386733415</v>
      </c>
      <c r="AP99" s="16">
        <f t="shared" si="97"/>
        <v>54.60375469336671</v>
      </c>
    </row>
    <row r="100" spans="1:42" x14ac:dyDescent="0.15">
      <c r="A100" s="31" t="s">
        <v>174</v>
      </c>
      <c r="B100" s="49">
        <f>Design_Converter!B94</f>
        <v>24</v>
      </c>
      <c r="C100" s="31" t="s">
        <v>1</v>
      </c>
      <c r="N100">
        <v>39</v>
      </c>
      <c r="O100">
        <f t="shared" si="98"/>
        <v>72.900000000000006</v>
      </c>
      <c r="P100" s="14">
        <f t="shared" si="74"/>
        <v>0.25377229080932784</v>
      </c>
      <c r="Q100" s="15">
        <f t="shared" si="75"/>
        <v>0.74622770919067216</v>
      </c>
      <c r="R100" s="15">
        <f t="shared" si="76"/>
        <v>7.3431982021422533</v>
      </c>
      <c r="S100" s="16">
        <f t="shared" si="77"/>
        <v>53.671599101071124</v>
      </c>
      <c r="T100" s="14">
        <f t="shared" si="78"/>
        <v>0.2743484224965706</v>
      </c>
      <c r="U100" s="15">
        <f t="shared" si="79"/>
        <v>0.72565157750342935</v>
      </c>
      <c r="V100" s="15">
        <f t="shared" si="80"/>
        <v>7.7196976330152056</v>
      </c>
      <c r="W100" s="16">
        <f t="shared" si="81"/>
        <v>53.859848816507601</v>
      </c>
      <c r="X100" s="14">
        <f t="shared" si="82"/>
        <v>0.35665294924554181</v>
      </c>
      <c r="Y100" s="15">
        <f t="shared" si="83"/>
        <v>0.64334705075445819</v>
      </c>
      <c r="Z100" s="15">
        <f t="shared" si="84"/>
        <v>8.8973528295829336</v>
      </c>
      <c r="AA100" s="16">
        <f t="shared" si="85"/>
        <v>54.448676414791464</v>
      </c>
      <c r="AC100">
        <v>39</v>
      </c>
      <c r="AD100">
        <f t="shared" si="99"/>
        <v>24.35</v>
      </c>
      <c r="AE100" s="14">
        <f t="shared" si="86"/>
        <v>0.81166666666666676</v>
      </c>
      <c r="AF100" s="15">
        <f t="shared" si="87"/>
        <v>0.18833333333333324</v>
      </c>
      <c r="AG100" s="15">
        <f t="shared" si="88"/>
        <v>2.4393173758865245</v>
      </c>
      <c r="AH100" s="16">
        <f t="shared" si="89"/>
        <v>51.219658687943266</v>
      </c>
      <c r="AI100" s="14">
        <f t="shared" si="90"/>
        <v>0.48700000000000004</v>
      </c>
      <c r="AJ100" s="15">
        <f t="shared" si="91"/>
        <v>0.5129999999999999</v>
      </c>
      <c r="AK100" s="15">
        <f t="shared" si="92"/>
        <v>6.6444414893617028</v>
      </c>
      <c r="AL100" s="16">
        <f t="shared" si="93"/>
        <v>53.322220744680848</v>
      </c>
      <c r="AM100" s="14">
        <f t="shared" si="94"/>
        <v>0.28647058823529414</v>
      </c>
      <c r="AN100" s="15">
        <f t="shared" si="95"/>
        <v>0.71352941176470586</v>
      </c>
      <c r="AO100" s="15">
        <f t="shared" si="96"/>
        <v>9.2417240300375472</v>
      </c>
      <c r="AP100" s="16">
        <f t="shared" si="97"/>
        <v>54.620862015018773</v>
      </c>
    </row>
    <row r="101" spans="1:42" ht="15" x14ac:dyDescent="0.25">
      <c r="A101" s="31" t="s">
        <v>175</v>
      </c>
      <c r="B101" s="49">
        <f>Design_Converter!B95</f>
        <v>10</v>
      </c>
      <c r="C101" s="67" t="s">
        <v>104</v>
      </c>
      <c r="N101">
        <v>40</v>
      </c>
      <c r="O101">
        <f t="shared" si="98"/>
        <v>74</v>
      </c>
      <c r="P101" s="14">
        <f t="shared" si="74"/>
        <v>0.25</v>
      </c>
      <c r="Q101" s="15">
        <f t="shared" si="75"/>
        <v>0.75</v>
      </c>
      <c r="R101" s="15">
        <f t="shared" si="76"/>
        <v>7.3803191489361701</v>
      </c>
      <c r="S101" s="16">
        <f t="shared" si="77"/>
        <v>53.690159574468083</v>
      </c>
      <c r="T101" s="14">
        <f t="shared" si="78"/>
        <v>0.27027027027027029</v>
      </c>
      <c r="U101" s="15">
        <f t="shared" si="79"/>
        <v>0.72972972972972971</v>
      </c>
      <c r="V101" s="15">
        <f t="shared" si="80"/>
        <v>7.7630822311673384</v>
      </c>
      <c r="W101" s="16">
        <f t="shared" si="81"/>
        <v>53.881541115583673</v>
      </c>
      <c r="X101" s="14">
        <f t="shared" si="82"/>
        <v>0.35135135135135137</v>
      </c>
      <c r="Y101" s="15">
        <f t="shared" si="83"/>
        <v>0.64864864864864868</v>
      </c>
      <c r="Z101" s="15">
        <f t="shared" si="84"/>
        <v>8.9706728004600365</v>
      </c>
      <c r="AA101" s="16">
        <f t="shared" si="85"/>
        <v>54.485336400230018</v>
      </c>
      <c r="AC101">
        <v>40</v>
      </c>
      <c r="AD101">
        <f t="shared" si="99"/>
        <v>24.5</v>
      </c>
      <c r="AE101" s="14">
        <f t="shared" si="86"/>
        <v>0.81666666666666665</v>
      </c>
      <c r="AF101" s="15">
        <f t="shared" si="87"/>
        <v>0.18333333333333335</v>
      </c>
      <c r="AG101" s="15">
        <f t="shared" si="88"/>
        <v>2.3891843971631208</v>
      </c>
      <c r="AH101" s="16">
        <f t="shared" si="89"/>
        <v>51.19459219858156</v>
      </c>
      <c r="AI101" s="14">
        <f t="shared" si="90"/>
        <v>0.49</v>
      </c>
      <c r="AJ101" s="15">
        <f t="shared" si="91"/>
        <v>0.51</v>
      </c>
      <c r="AK101" s="15">
        <f t="shared" si="92"/>
        <v>6.6462765957446814</v>
      </c>
      <c r="AL101" s="16">
        <f t="shared" si="93"/>
        <v>53.32313829787234</v>
      </c>
      <c r="AM101" s="14">
        <f t="shared" si="94"/>
        <v>0.28823529411764703</v>
      </c>
      <c r="AN101" s="15">
        <f t="shared" si="95"/>
        <v>0.71176470588235297</v>
      </c>
      <c r="AO101" s="15">
        <f t="shared" si="96"/>
        <v>9.2756570713391735</v>
      </c>
      <c r="AP101" s="16">
        <f t="shared" si="97"/>
        <v>54.637828535669584</v>
      </c>
    </row>
    <row r="102" spans="1:42" ht="15" x14ac:dyDescent="0.25">
      <c r="A102" s="31" t="s">
        <v>176</v>
      </c>
      <c r="B102" s="53">
        <f>((B100-Constants!C11)/(Constants!C11))*B101</f>
        <v>86</v>
      </c>
      <c r="C102" s="67" t="s">
        <v>104</v>
      </c>
      <c r="N102">
        <v>41</v>
      </c>
      <c r="O102">
        <f t="shared" si="98"/>
        <v>75.099999999999994</v>
      </c>
      <c r="P102" s="14">
        <f t="shared" si="74"/>
        <v>0.24633821571238351</v>
      </c>
      <c r="Q102" s="15">
        <f t="shared" si="75"/>
        <v>0.75366178428761654</v>
      </c>
      <c r="R102" s="15">
        <f t="shared" si="76"/>
        <v>7.4163526645323978</v>
      </c>
      <c r="S102" s="16">
        <f t="shared" si="77"/>
        <v>53.708176332266198</v>
      </c>
      <c r="T102" s="14">
        <f t="shared" si="78"/>
        <v>0.26631158455392812</v>
      </c>
      <c r="U102" s="15">
        <f t="shared" si="79"/>
        <v>0.73368841544607188</v>
      </c>
      <c r="V102" s="15">
        <f t="shared" si="80"/>
        <v>7.8051959090007648</v>
      </c>
      <c r="W102" s="16">
        <f t="shared" si="81"/>
        <v>53.902597954500379</v>
      </c>
      <c r="X102" s="14">
        <f t="shared" si="82"/>
        <v>0.34620505992010653</v>
      </c>
      <c r="Y102" s="15">
        <f t="shared" si="83"/>
        <v>0.65379494007989347</v>
      </c>
      <c r="Z102" s="15">
        <f t="shared" si="84"/>
        <v>9.0418449159985261</v>
      </c>
      <c r="AA102" s="16">
        <f t="shared" si="85"/>
        <v>54.520922457999262</v>
      </c>
      <c r="AC102">
        <v>41</v>
      </c>
      <c r="AD102">
        <f t="shared" si="99"/>
        <v>24.65</v>
      </c>
      <c r="AE102" s="14">
        <f t="shared" si="86"/>
        <v>0.82166666666666666</v>
      </c>
      <c r="AF102" s="15">
        <f t="shared" si="87"/>
        <v>0.17833333333333334</v>
      </c>
      <c r="AG102" s="15">
        <f t="shared" si="88"/>
        <v>2.3382535460992915</v>
      </c>
      <c r="AH102" s="16">
        <f t="shared" si="89"/>
        <v>51.169126773049648</v>
      </c>
      <c r="AI102" s="14">
        <f t="shared" si="90"/>
        <v>0.49299999999999999</v>
      </c>
      <c r="AJ102" s="15">
        <f t="shared" si="91"/>
        <v>0.50700000000000001</v>
      </c>
      <c r="AK102" s="15">
        <f t="shared" si="92"/>
        <v>6.6476329787234043</v>
      </c>
      <c r="AL102" s="16">
        <f t="shared" si="93"/>
        <v>53.323816489361704</v>
      </c>
      <c r="AM102" s="14">
        <f t="shared" si="94"/>
        <v>0.28999999999999998</v>
      </c>
      <c r="AN102" s="15">
        <f t="shared" si="95"/>
        <v>0.71</v>
      </c>
      <c r="AO102" s="15">
        <f t="shared" si="96"/>
        <v>9.3093085106382976</v>
      </c>
      <c r="AP102" s="16">
        <f t="shared" si="97"/>
        <v>54.654654255319151</v>
      </c>
    </row>
    <row r="103" spans="1:42" ht="15" x14ac:dyDescent="0.25">
      <c r="A103" s="31" t="s">
        <v>177</v>
      </c>
      <c r="B103" s="49">
        <f>Design_Converter!B97</f>
        <v>86.6</v>
      </c>
      <c r="C103" s="67" t="s">
        <v>104</v>
      </c>
      <c r="N103">
        <v>42</v>
      </c>
      <c r="O103">
        <f t="shared" si="98"/>
        <v>76.2</v>
      </c>
      <c r="P103" s="14">
        <f t="shared" si="74"/>
        <v>0.24278215223097113</v>
      </c>
      <c r="Q103" s="15">
        <f t="shared" si="75"/>
        <v>0.7572178477690289</v>
      </c>
      <c r="R103" s="15">
        <f t="shared" si="76"/>
        <v>7.4513458424079984</v>
      </c>
      <c r="S103" s="16">
        <f t="shared" si="77"/>
        <v>53.725672921204001</v>
      </c>
      <c r="T103" s="14">
        <f t="shared" si="78"/>
        <v>0.26246719160104987</v>
      </c>
      <c r="U103" s="15">
        <f t="shared" si="79"/>
        <v>0.73753280839895008</v>
      </c>
      <c r="V103" s="15">
        <f t="shared" si="80"/>
        <v>7.8460937063718106</v>
      </c>
      <c r="W103" s="16">
        <f t="shared" si="81"/>
        <v>53.923046853185909</v>
      </c>
      <c r="X103" s="14">
        <f t="shared" si="82"/>
        <v>0.3412073490813648</v>
      </c>
      <c r="Y103" s="15">
        <f t="shared" si="83"/>
        <v>0.65879265091863526</v>
      </c>
      <c r="Z103" s="15">
        <f t="shared" si="84"/>
        <v>9.1109621935555936</v>
      </c>
      <c r="AA103" s="16">
        <f t="shared" si="85"/>
        <v>54.555481096777797</v>
      </c>
      <c r="AC103">
        <v>42</v>
      </c>
      <c r="AD103">
        <f t="shared" si="99"/>
        <v>24.8</v>
      </c>
      <c r="AE103" s="14">
        <f t="shared" si="86"/>
        <v>0.82666666666666666</v>
      </c>
      <c r="AF103" s="15">
        <f t="shared" si="87"/>
        <v>0.17333333333333334</v>
      </c>
      <c r="AG103" s="15">
        <f t="shared" si="88"/>
        <v>2.2865248226950352</v>
      </c>
      <c r="AH103" s="16">
        <f t="shared" si="89"/>
        <v>51.143262411347514</v>
      </c>
      <c r="AI103" s="14">
        <f t="shared" si="90"/>
        <v>0.496</v>
      </c>
      <c r="AJ103" s="15">
        <f t="shared" si="91"/>
        <v>0.504</v>
      </c>
      <c r="AK103" s="15">
        <f t="shared" si="92"/>
        <v>6.6485106382978723</v>
      </c>
      <c r="AL103" s="16">
        <f t="shared" si="93"/>
        <v>53.324255319148939</v>
      </c>
      <c r="AM103" s="14">
        <f t="shared" si="94"/>
        <v>0.29176470588235293</v>
      </c>
      <c r="AN103" s="15">
        <f t="shared" si="95"/>
        <v>0.70823529411764707</v>
      </c>
      <c r="AO103" s="15">
        <f t="shared" si="96"/>
        <v>9.3426783479349194</v>
      </c>
      <c r="AP103" s="16">
        <f t="shared" si="97"/>
        <v>54.671339173967461</v>
      </c>
    </row>
    <row r="104" spans="1:42" x14ac:dyDescent="0.15">
      <c r="A104" s="31" t="s">
        <v>240</v>
      </c>
      <c r="B104" s="49">
        <f>IF(Design_Converter!B98=Lists!C2,0,1)</f>
        <v>0</v>
      </c>
      <c r="C104" s="31"/>
      <c r="E104" s="34" t="s">
        <v>239</v>
      </c>
      <c r="N104">
        <v>43</v>
      </c>
      <c r="O104">
        <f t="shared" si="98"/>
        <v>77.300000000000011</v>
      </c>
      <c r="P104" s="14">
        <f t="shared" si="74"/>
        <v>0.23932729624838289</v>
      </c>
      <c r="Q104" s="15">
        <f t="shared" si="75"/>
        <v>0.76067270375161711</v>
      </c>
      <c r="R104" s="15">
        <f t="shared" si="76"/>
        <v>7.4853430954281484</v>
      </c>
      <c r="S104" s="16">
        <f t="shared" si="77"/>
        <v>53.742671547714075</v>
      </c>
      <c r="T104" s="14">
        <f t="shared" si="78"/>
        <v>0.25873221216041392</v>
      </c>
      <c r="U104" s="15">
        <f t="shared" si="79"/>
        <v>0.74126778783958613</v>
      </c>
      <c r="V104" s="15">
        <f t="shared" si="80"/>
        <v>7.8858275302083616</v>
      </c>
      <c r="W104" s="16">
        <f t="shared" si="81"/>
        <v>53.94291376510418</v>
      </c>
      <c r="X104" s="14">
        <f t="shared" si="82"/>
        <v>0.33635187580853809</v>
      </c>
      <c r="Y104" s="15">
        <f t="shared" si="83"/>
        <v>0.66364812419146191</v>
      </c>
      <c r="Z104" s="15">
        <f t="shared" si="84"/>
        <v>9.1781123558393674</v>
      </c>
      <c r="AA104" s="16">
        <f t="shared" si="85"/>
        <v>54.589056177919687</v>
      </c>
      <c r="AC104">
        <v>43</v>
      </c>
      <c r="AD104">
        <f t="shared" si="99"/>
        <v>24.95</v>
      </c>
      <c r="AE104" s="14">
        <f t="shared" si="86"/>
        <v>0.83166666666666667</v>
      </c>
      <c r="AF104" s="15">
        <f t="shared" si="87"/>
        <v>0.16833333333333333</v>
      </c>
      <c r="AG104" s="15">
        <f t="shared" si="88"/>
        <v>2.2339982269503551</v>
      </c>
      <c r="AH104" s="16">
        <f t="shared" si="89"/>
        <v>51.116999113475174</v>
      </c>
      <c r="AI104" s="14">
        <f t="shared" si="90"/>
        <v>0.499</v>
      </c>
      <c r="AJ104" s="15">
        <f t="shared" si="91"/>
        <v>0.501</v>
      </c>
      <c r="AK104" s="15">
        <f t="shared" si="92"/>
        <v>6.6489095744680862</v>
      </c>
      <c r="AL104" s="16">
        <f t="shared" si="93"/>
        <v>53.324454787234046</v>
      </c>
      <c r="AM104" s="14">
        <f t="shared" si="94"/>
        <v>0.29352941176470587</v>
      </c>
      <c r="AN104" s="15">
        <f t="shared" si="95"/>
        <v>0.70647058823529418</v>
      </c>
      <c r="AO104" s="15">
        <f t="shared" si="96"/>
        <v>9.3757665832290371</v>
      </c>
      <c r="AP104" s="16">
        <f t="shared" si="97"/>
        <v>54.687883291614519</v>
      </c>
    </row>
    <row r="105" spans="1:42" x14ac:dyDescent="0.15">
      <c r="A105" s="31" t="s">
        <v>242</v>
      </c>
      <c r="B105" s="49">
        <f>Design_Converter!B99</f>
        <v>2.4</v>
      </c>
      <c r="C105" s="31" t="s">
        <v>1</v>
      </c>
      <c r="N105">
        <v>44</v>
      </c>
      <c r="O105">
        <f t="shared" si="98"/>
        <v>78.400000000000006</v>
      </c>
      <c r="P105" s="14">
        <f t="shared" si="74"/>
        <v>0.23596938775510201</v>
      </c>
      <c r="Q105" s="15">
        <f t="shared" si="75"/>
        <v>0.76403061224489799</v>
      </c>
      <c r="R105" s="15">
        <f t="shared" si="76"/>
        <v>7.5183863438992624</v>
      </c>
      <c r="S105" s="16">
        <f t="shared" si="77"/>
        <v>53.759193171949633</v>
      </c>
      <c r="T105" s="14">
        <f t="shared" si="78"/>
        <v>0.25510204081632654</v>
      </c>
      <c r="U105" s="15">
        <f t="shared" si="79"/>
        <v>0.74489795918367352</v>
      </c>
      <c r="V105" s="15">
        <f t="shared" si="80"/>
        <v>7.9244463742943996</v>
      </c>
      <c r="W105" s="16">
        <f t="shared" si="81"/>
        <v>53.962223187147202</v>
      </c>
      <c r="X105" s="14">
        <f t="shared" si="82"/>
        <v>0.33163265306122447</v>
      </c>
      <c r="Y105" s="15">
        <f t="shared" si="83"/>
        <v>0.66836734693877553</v>
      </c>
      <c r="Z105" s="15">
        <f t="shared" si="84"/>
        <v>9.2433782023447701</v>
      </c>
      <c r="AA105" s="16">
        <f t="shared" si="85"/>
        <v>54.621689101172386</v>
      </c>
      <c r="AC105">
        <v>44</v>
      </c>
      <c r="AD105">
        <f t="shared" si="99"/>
        <v>25.1</v>
      </c>
      <c r="AE105" s="14">
        <f t="shared" si="86"/>
        <v>0.83666666666666667</v>
      </c>
      <c r="AF105" s="15">
        <f t="shared" si="87"/>
        <v>0.16333333333333333</v>
      </c>
      <c r="AG105" s="15">
        <f t="shared" si="88"/>
        <v>2.1806737588652476</v>
      </c>
      <c r="AH105" s="16">
        <f t="shared" si="89"/>
        <v>51.090336879432627</v>
      </c>
      <c r="AI105" s="14">
        <f t="shared" si="90"/>
        <v>0.502</v>
      </c>
      <c r="AJ105" s="15">
        <f t="shared" si="91"/>
        <v>0.498</v>
      </c>
      <c r="AK105" s="15">
        <f t="shared" si="92"/>
        <v>6.6488297872340425</v>
      </c>
      <c r="AL105" s="16">
        <f t="shared" si="93"/>
        <v>53.324414893617018</v>
      </c>
      <c r="AM105" s="14">
        <f t="shared" si="94"/>
        <v>0.29529411764705882</v>
      </c>
      <c r="AN105" s="15">
        <f t="shared" si="95"/>
        <v>0.70470588235294118</v>
      </c>
      <c r="AO105" s="15">
        <f t="shared" si="96"/>
        <v>9.4085732165206508</v>
      </c>
      <c r="AP105" s="16">
        <f t="shared" si="97"/>
        <v>54.704286608260325</v>
      </c>
    </row>
    <row r="106" spans="1:42" ht="15" x14ac:dyDescent="0.25">
      <c r="A106" s="31" t="s">
        <v>243</v>
      </c>
      <c r="B106" s="63">
        <f>((B105/Constants!C13)-(B103*1000))/(1+(B103/B101))/1000</f>
        <v>0.97308488612836441</v>
      </c>
      <c r="C106" s="67" t="s">
        <v>104</v>
      </c>
      <c r="N106">
        <v>45</v>
      </c>
      <c r="O106">
        <f t="shared" si="98"/>
        <v>79.5</v>
      </c>
      <c r="P106" s="14">
        <f t="shared" si="74"/>
        <v>0.23270440251572327</v>
      </c>
      <c r="Q106" s="15">
        <f t="shared" si="75"/>
        <v>0.76729559748427678</v>
      </c>
      <c r="R106" s="15">
        <f t="shared" si="76"/>
        <v>7.5505151880101709</v>
      </c>
      <c r="S106" s="16">
        <f t="shared" si="77"/>
        <v>53.775257594005083</v>
      </c>
      <c r="T106" s="14">
        <f t="shared" si="78"/>
        <v>0.25157232704402516</v>
      </c>
      <c r="U106" s="15">
        <f t="shared" si="79"/>
        <v>0.7484276729559749</v>
      </c>
      <c r="V106" s="15">
        <f t="shared" si="80"/>
        <v>7.9619965208082437</v>
      </c>
      <c r="W106" s="16">
        <f t="shared" si="81"/>
        <v>53.980998260404121</v>
      </c>
      <c r="X106" s="14">
        <f t="shared" si="82"/>
        <v>0.32704402515723269</v>
      </c>
      <c r="Y106" s="15">
        <f t="shared" si="83"/>
        <v>0.67295597484276737</v>
      </c>
      <c r="Z106" s="15">
        <f t="shared" si="84"/>
        <v>9.3068379499531648</v>
      </c>
      <c r="AA106" s="16">
        <f t="shared" si="85"/>
        <v>54.653418974976582</v>
      </c>
      <c r="AC106">
        <v>45</v>
      </c>
      <c r="AD106">
        <f t="shared" si="99"/>
        <v>25.25</v>
      </c>
      <c r="AE106" s="14">
        <f t="shared" si="86"/>
        <v>0.84166666666666667</v>
      </c>
      <c r="AF106" s="15">
        <f t="shared" si="87"/>
        <v>0.15833333333333333</v>
      </c>
      <c r="AG106" s="15">
        <f t="shared" si="88"/>
        <v>2.1265514184397163</v>
      </c>
      <c r="AH106" s="16">
        <f t="shared" si="89"/>
        <v>51.063275709219859</v>
      </c>
      <c r="AI106" s="14">
        <f t="shared" si="90"/>
        <v>0.505</v>
      </c>
      <c r="AJ106" s="15">
        <f t="shared" si="91"/>
        <v>0.495</v>
      </c>
      <c r="AK106" s="15">
        <f t="shared" si="92"/>
        <v>6.6482712765957448</v>
      </c>
      <c r="AL106" s="16">
        <f t="shared" si="93"/>
        <v>53.324135638297875</v>
      </c>
      <c r="AM106" s="14">
        <f t="shared" si="94"/>
        <v>0.29705882352941176</v>
      </c>
      <c r="AN106" s="15">
        <f t="shared" si="95"/>
        <v>0.70294117647058818</v>
      </c>
      <c r="AO106" s="15">
        <f t="shared" si="96"/>
        <v>9.4410982478097623</v>
      </c>
      <c r="AP106" s="16">
        <f t="shared" si="97"/>
        <v>54.720549123904881</v>
      </c>
    </row>
    <row r="107" spans="1:42" ht="15" x14ac:dyDescent="0.25">
      <c r="A107" s="31" t="s">
        <v>244</v>
      </c>
      <c r="B107" s="49">
        <f>Design_Converter!B101</f>
        <v>0.97299999999999998</v>
      </c>
      <c r="C107" s="67" t="s">
        <v>104</v>
      </c>
      <c r="N107">
        <v>46</v>
      </c>
      <c r="O107">
        <f t="shared" si="98"/>
        <v>80.599999999999994</v>
      </c>
      <c r="P107" s="14">
        <f t="shared" si="74"/>
        <v>0.22952853598014891</v>
      </c>
      <c r="Q107" s="15">
        <f t="shared" si="75"/>
        <v>0.77047146401985112</v>
      </c>
      <c r="R107" s="15">
        <f t="shared" si="76"/>
        <v>7.5817670661527909</v>
      </c>
      <c r="S107" s="16">
        <f t="shared" si="77"/>
        <v>53.790883533076396</v>
      </c>
      <c r="T107" s="14">
        <f t="shared" si="78"/>
        <v>0.24813895781637718</v>
      </c>
      <c r="U107" s="15">
        <f t="shared" si="79"/>
        <v>0.75186104218362282</v>
      </c>
      <c r="V107" s="15">
        <f t="shared" si="80"/>
        <v>7.9985217253576906</v>
      </c>
      <c r="W107" s="16">
        <f t="shared" si="81"/>
        <v>53.999260862678845</v>
      </c>
      <c r="X107" s="14">
        <f t="shared" si="82"/>
        <v>0.32258064516129037</v>
      </c>
      <c r="Y107" s="15">
        <f t="shared" si="83"/>
        <v>0.67741935483870963</v>
      </c>
      <c r="Z107" s="15">
        <f t="shared" si="84"/>
        <v>9.3685655456417294</v>
      </c>
      <c r="AA107" s="16">
        <f t="shared" si="85"/>
        <v>54.684282772820865</v>
      </c>
      <c r="AC107">
        <v>46</v>
      </c>
      <c r="AD107">
        <f t="shared" si="99"/>
        <v>25.4</v>
      </c>
      <c r="AE107" s="14">
        <f t="shared" si="86"/>
        <v>0.84666666666666657</v>
      </c>
      <c r="AF107" s="15">
        <f t="shared" si="87"/>
        <v>0.15333333333333343</v>
      </c>
      <c r="AG107" s="15">
        <f t="shared" si="88"/>
        <v>2.0716312056737594</v>
      </c>
      <c r="AH107" s="16">
        <f t="shared" si="89"/>
        <v>51.035815602836877</v>
      </c>
      <c r="AI107" s="14">
        <f t="shared" si="90"/>
        <v>0.50800000000000001</v>
      </c>
      <c r="AJ107" s="15">
        <f t="shared" si="91"/>
        <v>0.49199999999999999</v>
      </c>
      <c r="AK107" s="15">
        <f t="shared" si="92"/>
        <v>6.6472340425531922</v>
      </c>
      <c r="AL107" s="16">
        <f t="shared" si="93"/>
        <v>53.323617021276597</v>
      </c>
      <c r="AM107" s="14">
        <f t="shared" si="94"/>
        <v>0.29882352941176471</v>
      </c>
      <c r="AN107" s="15">
        <f t="shared" si="95"/>
        <v>0.70117647058823529</v>
      </c>
      <c r="AO107" s="15">
        <f t="shared" si="96"/>
        <v>9.4733416770963714</v>
      </c>
      <c r="AP107" s="16">
        <f t="shared" si="97"/>
        <v>54.736670838548186</v>
      </c>
    </row>
    <row r="108" spans="1:42" ht="15" x14ac:dyDescent="0.25">
      <c r="A108" s="1" t="s">
        <v>179</v>
      </c>
      <c r="B108" s="63">
        <f>IF(B104=0,Constants!C13*Calculations!B103*1000,((B103*1000)+(B107*1000)*(1+(B103/B101)))*Constants!C13)</f>
        <v>2.165</v>
      </c>
      <c r="C108" s="67" t="s">
        <v>1</v>
      </c>
      <c r="N108">
        <v>47</v>
      </c>
      <c r="O108">
        <f t="shared" si="98"/>
        <v>81.7</v>
      </c>
      <c r="P108" s="14">
        <f t="shared" si="74"/>
        <v>0.22643818849449204</v>
      </c>
      <c r="Q108" s="15">
        <f t="shared" si="75"/>
        <v>0.77356181150550796</v>
      </c>
      <c r="R108" s="15">
        <f t="shared" si="76"/>
        <v>7.6121774004531373</v>
      </c>
      <c r="S108" s="16">
        <f t="shared" si="77"/>
        <v>53.806088700226567</v>
      </c>
      <c r="T108" s="14">
        <f t="shared" si="78"/>
        <v>0.24479804161566707</v>
      </c>
      <c r="U108" s="15">
        <f t="shared" si="79"/>
        <v>0.75520195838433291</v>
      </c>
      <c r="V108" s="15">
        <f t="shared" si="80"/>
        <v>8.0340633870673734</v>
      </c>
      <c r="W108" s="16">
        <f t="shared" si="81"/>
        <v>54.017031693533688</v>
      </c>
      <c r="X108" s="14">
        <f t="shared" si="82"/>
        <v>0.31823745410036719</v>
      </c>
      <c r="Y108" s="15">
        <f t="shared" si="83"/>
        <v>0.68176254589963281</v>
      </c>
      <c r="Z108" s="15">
        <f t="shared" si="84"/>
        <v>9.4286309539310924</v>
      </c>
      <c r="AA108" s="16">
        <f t="shared" si="85"/>
        <v>54.714315476965545</v>
      </c>
      <c r="AC108">
        <v>47</v>
      </c>
      <c r="AD108">
        <f t="shared" si="99"/>
        <v>25.55</v>
      </c>
      <c r="AE108" s="14">
        <f t="shared" si="86"/>
        <v>0.85166666666666668</v>
      </c>
      <c r="AF108" s="15">
        <f t="shared" si="87"/>
        <v>0.14833333333333332</v>
      </c>
      <c r="AG108" s="15">
        <f t="shared" si="88"/>
        <v>2.0159131205673759</v>
      </c>
      <c r="AH108" s="16">
        <f t="shared" si="89"/>
        <v>51.007956560283688</v>
      </c>
      <c r="AI108" s="14">
        <f t="shared" si="90"/>
        <v>0.51100000000000001</v>
      </c>
      <c r="AJ108" s="15">
        <f t="shared" si="91"/>
        <v>0.48899999999999999</v>
      </c>
      <c r="AK108" s="15">
        <f t="shared" si="92"/>
        <v>6.6457180851063837</v>
      </c>
      <c r="AL108" s="16">
        <f t="shared" si="93"/>
        <v>53.322859042553191</v>
      </c>
      <c r="AM108" s="14">
        <f t="shared" si="94"/>
        <v>0.30058823529411766</v>
      </c>
      <c r="AN108" s="15">
        <f t="shared" si="95"/>
        <v>0.6994117647058824</v>
      </c>
      <c r="AO108" s="15">
        <f t="shared" si="96"/>
        <v>9.5053035043804766</v>
      </c>
      <c r="AP108" s="16">
        <f t="shared" si="97"/>
        <v>54.752651752190239</v>
      </c>
    </row>
    <row r="109" spans="1:42" ht="15" x14ac:dyDescent="0.25">
      <c r="A109" s="1" t="s">
        <v>245</v>
      </c>
      <c r="B109" s="53">
        <f>Constants!C11*((Calculations!B101+Calculations!B103)/Calculations!B101)</f>
        <v>24.15</v>
      </c>
      <c r="C109" s="67" t="s">
        <v>1</v>
      </c>
      <c r="N109">
        <v>48</v>
      </c>
      <c r="O109">
        <f t="shared" si="98"/>
        <v>82.800000000000011</v>
      </c>
      <c r="P109" s="14">
        <f t="shared" si="74"/>
        <v>0.22342995169082122</v>
      </c>
      <c r="Q109" s="15">
        <f t="shared" si="75"/>
        <v>0.77657004830917875</v>
      </c>
      <c r="R109" s="15">
        <f t="shared" si="76"/>
        <v>7.6417797307020257</v>
      </c>
      <c r="S109" s="16">
        <f t="shared" si="77"/>
        <v>53.820889865351013</v>
      </c>
      <c r="T109" s="14">
        <f t="shared" si="78"/>
        <v>0.24154589371980673</v>
      </c>
      <c r="U109" s="15">
        <f t="shared" si="79"/>
        <v>0.75845410628019327</v>
      </c>
      <c r="V109" s="15">
        <f t="shared" si="80"/>
        <v>8.0686607051084405</v>
      </c>
      <c r="W109" s="16">
        <f t="shared" si="81"/>
        <v>54.034330352554221</v>
      </c>
      <c r="X109" s="14">
        <f t="shared" si="82"/>
        <v>0.31400966183574874</v>
      </c>
      <c r="Y109" s="15">
        <f t="shared" si="83"/>
        <v>0.68599033816425126</v>
      </c>
      <c r="Z109" s="15">
        <f t="shared" si="84"/>
        <v>9.4871004214204966</v>
      </c>
      <c r="AA109" s="16">
        <f t="shared" si="85"/>
        <v>54.743550210710247</v>
      </c>
      <c r="AC109">
        <v>48</v>
      </c>
      <c r="AD109">
        <f t="shared" si="99"/>
        <v>25.7</v>
      </c>
      <c r="AE109" s="14">
        <f t="shared" si="86"/>
        <v>0.85666666666666669</v>
      </c>
      <c r="AF109" s="15">
        <f t="shared" si="87"/>
        <v>0.14333333333333331</v>
      </c>
      <c r="AG109" s="15">
        <f t="shared" si="88"/>
        <v>1.9593971631205678</v>
      </c>
      <c r="AH109" s="16">
        <f t="shared" si="89"/>
        <v>50.979698581560285</v>
      </c>
      <c r="AI109" s="14">
        <f t="shared" si="90"/>
        <v>0.51400000000000001</v>
      </c>
      <c r="AJ109" s="15">
        <f t="shared" si="91"/>
        <v>0.48599999999999999</v>
      </c>
      <c r="AK109" s="15">
        <f t="shared" si="92"/>
        <v>6.6437234042553204</v>
      </c>
      <c r="AL109" s="16">
        <f t="shared" si="93"/>
        <v>53.321861702127663</v>
      </c>
      <c r="AM109" s="14">
        <f t="shared" si="94"/>
        <v>0.3023529411764706</v>
      </c>
      <c r="AN109" s="15">
        <f t="shared" si="95"/>
        <v>0.6976470588235294</v>
      </c>
      <c r="AO109" s="15">
        <f t="shared" si="96"/>
        <v>9.5369837296620794</v>
      </c>
      <c r="AP109" s="16">
        <f t="shared" si="97"/>
        <v>54.768491864831041</v>
      </c>
    </row>
    <row r="110" spans="1:42" ht="15" x14ac:dyDescent="0.25">
      <c r="A110" s="1" t="s">
        <v>246</v>
      </c>
      <c r="B110" s="62">
        <f>B109-B108</f>
        <v>21.984999999999999</v>
      </c>
      <c r="C110" s="68" t="s">
        <v>1</v>
      </c>
      <c r="N110">
        <v>49</v>
      </c>
      <c r="O110">
        <f t="shared" si="98"/>
        <v>83.9</v>
      </c>
      <c r="P110" s="14">
        <f t="shared" si="74"/>
        <v>0.22050059594755661</v>
      </c>
      <c r="Q110" s="15">
        <f t="shared" si="75"/>
        <v>0.77949940405244345</v>
      </c>
      <c r="R110" s="15">
        <f t="shared" si="76"/>
        <v>7.6706058377501085</v>
      </c>
      <c r="S110" s="16">
        <f t="shared" si="77"/>
        <v>53.835302918875051</v>
      </c>
      <c r="T110" s="14">
        <f t="shared" si="78"/>
        <v>0.23837902264600713</v>
      </c>
      <c r="U110" s="15">
        <f t="shared" si="79"/>
        <v>0.76162097735399281</v>
      </c>
      <c r="V110" s="15">
        <f t="shared" si="80"/>
        <v>8.1023508229148185</v>
      </c>
      <c r="W110" s="16">
        <f t="shared" si="81"/>
        <v>54.051175411457407</v>
      </c>
      <c r="X110" s="14">
        <f t="shared" si="82"/>
        <v>0.30989272943980928</v>
      </c>
      <c r="Y110" s="15">
        <f t="shared" si="83"/>
        <v>0.69010727056019072</v>
      </c>
      <c r="Z110" s="15">
        <f t="shared" si="84"/>
        <v>9.5440367205132759</v>
      </c>
      <c r="AA110" s="16">
        <f t="shared" si="85"/>
        <v>54.772018360256638</v>
      </c>
      <c r="AC110">
        <v>49</v>
      </c>
      <c r="AD110">
        <f t="shared" si="99"/>
        <v>25.85</v>
      </c>
      <c r="AE110" s="14">
        <f t="shared" si="86"/>
        <v>0.86166666666666669</v>
      </c>
      <c r="AF110" s="15">
        <f t="shared" si="87"/>
        <v>0.13833333333333331</v>
      </c>
      <c r="AG110" s="15">
        <f t="shared" si="88"/>
        <v>1.9020833333333329</v>
      </c>
      <c r="AH110" s="16">
        <f t="shared" si="89"/>
        <v>50.951041666666669</v>
      </c>
      <c r="AI110" s="14">
        <f t="shared" si="90"/>
        <v>0.51700000000000002</v>
      </c>
      <c r="AJ110" s="15">
        <f t="shared" si="91"/>
        <v>0.48299999999999998</v>
      </c>
      <c r="AK110" s="15">
        <f t="shared" si="92"/>
        <v>6.6412500000000003</v>
      </c>
      <c r="AL110" s="16">
        <f t="shared" si="93"/>
        <v>53.320625</v>
      </c>
      <c r="AM110" s="14">
        <f t="shared" si="94"/>
        <v>0.30411764705882355</v>
      </c>
      <c r="AN110" s="15">
        <f t="shared" si="95"/>
        <v>0.6958823529411764</v>
      </c>
      <c r="AO110" s="15">
        <f t="shared" si="96"/>
        <v>9.5683823529411764</v>
      </c>
      <c r="AP110" s="16">
        <f t="shared" si="97"/>
        <v>54.784191176470586</v>
      </c>
    </row>
    <row r="111" spans="1:42" ht="15" x14ac:dyDescent="0.25">
      <c r="A111" s="1" t="s">
        <v>178</v>
      </c>
      <c r="B111" s="53">
        <f>Constants!C12*(Calculations!B101+Calculations!B103)/Calculations!B101</f>
        <v>12.074999999999999</v>
      </c>
      <c r="C111" s="67" t="s">
        <v>1</v>
      </c>
      <c r="N111">
        <v>50</v>
      </c>
      <c r="O111">
        <f t="shared" si="98"/>
        <v>85</v>
      </c>
      <c r="P111" s="14">
        <f t="shared" si="74"/>
        <v>0.21764705882352942</v>
      </c>
      <c r="Q111" s="15">
        <f t="shared" si="75"/>
        <v>0.78235294117647058</v>
      </c>
      <c r="R111" s="15">
        <f t="shared" si="76"/>
        <v>7.698685857321653</v>
      </c>
      <c r="S111" s="16">
        <f t="shared" si="77"/>
        <v>53.849342928660825</v>
      </c>
      <c r="T111" s="14">
        <f t="shared" si="78"/>
        <v>0.23529411764705882</v>
      </c>
      <c r="U111" s="15">
        <f t="shared" si="79"/>
        <v>0.76470588235294112</v>
      </c>
      <c r="V111" s="15">
        <f t="shared" si="80"/>
        <v>8.1351689612015026</v>
      </c>
      <c r="W111" s="16">
        <f t="shared" si="81"/>
        <v>54.06758448060075</v>
      </c>
      <c r="X111" s="14">
        <f t="shared" si="82"/>
        <v>0.30588235294117649</v>
      </c>
      <c r="Y111" s="15">
        <f t="shared" si="83"/>
        <v>0.69411764705882351</v>
      </c>
      <c r="Z111" s="15">
        <f t="shared" si="84"/>
        <v>9.599499374217773</v>
      </c>
      <c r="AA111" s="16">
        <f t="shared" si="85"/>
        <v>54.799749687108886</v>
      </c>
      <c r="AC111">
        <v>50</v>
      </c>
      <c r="AD111">
        <f t="shared" si="99"/>
        <v>26</v>
      </c>
      <c r="AE111" s="14">
        <f t="shared" si="86"/>
        <v>0.8666666666666667</v>
      </c>
      <c r="AF111" s="15">
        <f t="shared" si="87"/>
        <v>0.1333333333333333</v>
      </c>
      <c r="AG111" s="15">
        <f t="shared" si="88"/>
        <v>1.843971631205674</v>
      </c>
      <c r="AH111" s="16">
        <f t="shared" si="89"/>
        <v>50.921985815602838</v>
      </c>
      <c r="AI111" s="14">
        <f t="shared" si="90"/>
        <v>0.52</v>
      </c>
      <c r="AJ111" s="15">
        <f t="shared" si="91"/>
        <v>0.48</v>
      </c>
      <c r="AK111" s="15">
        <f t="shared" si="92"/>
        <v>6.6382978723404253</v>
      </c>
      <c r="AL111" s="16">
        <f t="shared" si="93"/>
        <v>53.319148936170215</v>
      </c>
      <c r="AM111" s="14">
        <f t="shared" si="94"/>
        <v>0.30588235294117649</v>
      </c>
      <c r="AN111" s="15">
        <f t="shared" si="95"/>
        <v>0.69411764705882351</v>
      </c>
      <c r="AO111" s="15">
        <f t="shared" si="96"/>
        <v>9.599499374217773</v>
      </c>
      <c r="AP111" s="16">
        <f t="shared" si="97"/>
        <v>54.799749687108886</v>
      </c>
    </row>
    <row r="114" spans="1:28" ht="15.75" customHeight="1" x14ac:dyDescent="0.15">
      <c r="A114" s="40" t="s">
        <v>184</v>
      </c>
    </row>
    <row r="115" spans="1:28" x14ac:dyDescent="0.15">
      <c r="A115" s="31" t="s">
        <v>211</v>
      </c>
      <c r="B115" s="49">
        <f>Design_Converter!B110</f>
        <v>3.3</v>
      </c>
      <c r="C115" s="31" t="s">
        <v>1</v>
      </c>
      <c r="D115" s="34">
        <f>IF(B115&gt;Constants!C48,1,0)</f>
        <v>0</v>
      </c>
      <c r="E115" s="34" t="s">
        <v>188</v>
      </c>
    </row>
    <row r="116" spans="1:28" ht="15" x14ac:dyDescent="0.25">
      <c r="A116" s="31" t="s">
        <v>212</v>
      </c>
      <c r="B116" s="54">
        <f>(B115/((Constants!C6/Constants!C16)+(Constants!C15)))/1000</f>
        <v>11.999999999999998</v>
      </c>
      <c r="C116" s="67" t="s">
        <v>104</v>
      </c>
    </row>
    <row r="117" spans="1:28" s="21" customFormat="1" ht="15" x14ac:dyDescent="0.25">
      <c r="A117" s="31" t="s">
        <v>186</v>
      </c>
      <c r="B117" s="59">
        <f>Design_Converter!B112</f>
        <v>12</v>
      </c>
      <c r="C117" s="67" t="s">
        <v>104</v>
      </c>
      <c r="D117" s="34"/>
      <c r="E117" s="34"/>
      <c r="F117"/>
      <c r="G117"/>
      <c r="H117"/>
      <c r="AB117"/>
    </row>
    <row r="118" spans="1:28" x14ac:dyDescent="0.15">
      <c r="A118" s="31" t="s">
        <v>213</v>
      </c>
      <c r="B118" s="50">
        <f>((Constants!C6/Constants!C16)+(Constants!C15))*B117*1000</f>
        <v>3.3</v>
      </c>
      <c r="C118" s="31" t="s">
        <v>1</v>
      </c>
      <c r="D118" s="34">
        <f>IF(B118&gt;Constants!C48,1,0)</f>
        <v>0</v>
      </c>
      <c r="E118" s="34" t="s">
        <v>188</v>
      </c>
    </row>
    <row r="119" spans="1:28" x14ac:dyDescent="0.15">
      <c r="A119" s="31" t="s">
        <v>214</v>
      </c>
      <c r="B119" s="50">
        <f>(Constants!C15)*B117*1000</f>
        <v>0.3</v>
      </c>
      <c r="C119" s="31" t="s">
        <v>1</v>
      </c>
    </row>
    <row r="120" spans="1:28" x14ac:dyDescent="0.15">
      <c r="A120" s="31" t="s">
        <v>215</v>
      </c>
      <c r="B120" s="54">
        <f>((100*10^-6)/(B117*1000))*(10^9)</f>
        <v>8.3333333333333321</v>
      </c>
      <c r="C120" s="31" t="s">
        <v>40</v>
      </c>
      <c r="E120" s="34" t="s">
        <v>217</v>
      </c>
    </row>
    <row r="121" spans="1:28" x14ac:dyDescent="0.15">
      <c r="A121" s="31" t="s">
        <v>216</v>
      </c>
      <c r="B121" s="49">
        <f>Design_Converter!B116</f>
        <v>8.1999999999999993</v>
      </c>
      <c r="C121" s="31" t="s">
        <v>40</v>
      </c>
    </row>
    <row r="122" spans="1:28" x14ac:dyDescent="0.15">
      <c r="A122" s="31" t="s">
        <v>218</v>
      </c>
      <c r="B122" s="57">
        <f>(1/(2*PI()*B117*1000*(B121*10^-9)))*(1/1000)</f>
        <v>1.6174282834542213</v>
      </c>
      <c r="C122" s="31" t="s">
        <v>3</v>
      </c>
    </row>
    <row r="123" spans="1:28" x14ac:dyDescent="0.15">
      <c r="A123" s="31" t="s">
        <v>219</v>
      </c>
      <c r="B123" s="54">
        <f>((B64*Rcs/(Constants!C16))*(B117*1000)*(10^(-(LOG10(Fsw/(B122*1000))))))*1000</f>
        <v>1.9737078552789296</v>
      </c>
      <c r="C123" s="31" t="s">
        <v>72</v>
      </c>
    </row>
    <row r="126" spans="1:28" x14ac:dyDescent="0.15">
      <c r="A126" s="34" t="s">
        <v>223</v>
      </c>
    </row>
    <row r="127" spans="1:28" x14ac:dyDescent="0.15">
      <c r="A127" s="31" t="s">
        <v>227</v>
      </c>
      <c r="B127" s="49">
        <f>IF(Design_Converter!B123=Lists!G2,0,1)</f>
        <v>1</v>
      </c>
      <c r="C127" s="31"/>
      <c r="E127" s="34" t="s">
        <v>228</v>
      </c>
    </row>
    <row r="128" spans="1:28" x14ac:dyDescent="0.15">
      <c r="A128" s="31" t="s">
        <v>229</v>
      </c>
      <c r="B128" s="49">
        <f>Design_Converter!B124*(10^-9)</f>
        <v>5.5000000000000003E-8</v>
      </c>
      <c r="C128" s="31" t="s">
        <v>23</v>
      </c>
      <c r="D128" s="34">
        <f>IF(B128&lt;Constants!C31,1,IF(B128&gt;Constants!C32,1,0))</f>
        <v>0</v>
      </c>
      <c r="E128" s="34" t="s">
        <v>247</v>
      </c>
    </row>
    <row r="129" spans="1:8" ht="15" x14ac:dyDescent="0.25">
      <c r="A129" s="31" t="s">
        <v>231</v>
      </c>
      <c r="B129" s="53">
        <f>(B128-Constants!C27)/(Constants!C26*1000)</f>
        <v>9.75</v>
      </c>
      <c r="C129" s="67" t="s">
        <v>104</v>
      </c>
    </row>
    <row r="130" spans="1:8" ht="15" x14ac:dyDescent="0.25">
      <c r="A130" s="31" t="s">
        <v>232</v>
      </c>
      <c r="B130" s="49">
        <f>Design_Converter!B126</f>
        <v>10</v>
      </c>
      <c r="C130" s="67" t="s">
        <v>104</v>
      </c>
    </row>
    <row r="131" spans="1:8" x14ac:dyDescent="0.15">
      <c r="A131" s="31" t="s">
        <v>233</v>
      </c>
      <c r="B131" s="53">
        <f>IF(B127=1,(((B130*1000)*Constants!C26)+Constants!C27)*(10^9),(Constants!C29*(10^9)))</f>
        <v>56</v>
      </c>
      <c r="C131" s="31" t="s">
        <v>97</v>
      </c>
    </row>
    <row r="132" spans="1:8" x14ac:dyDescent="0.15">
      <c r="A132" s="31" t="s">
        <v>234</v>
      </c>
      <c r="B132" s="53">
        <f>IF(B127=1,(((B130*1000)*Constants!C26)+Constants!C27)*(10^9),(Constants!C30*(10^9)))</f>
        <v>56</v>
      </c>
      <c r="C132" s="31" t="s">
        <v>97</v>
      </c>
    </row>
    <row r="133" spans="1:8" x14ac:dyDescent="0.15">
      <c r="H133" s="21"/>
    </row>
    <row r="134" spans="1:8" x14ac:dyDescent="0.15">
      <c r="A134" s="47" t="s">
        <v>252</v>
      </c>
      <c r="B134" s="47"/>
      <c r="C134" s="47"/>
    </row>
    <row r="135" spans="1:8" x14ac:dyDescent="0.15">
      <c r="A135" s="31" t="s">
        <v>250</v>
      </c>
      <c r="B135" s="49">
        <f>Design_Converter!B134</f>
        <v>25</v>
      </c>
      <c r="C135" s="31" t="s">
        <v>251</v>
      </c>
    </row>
    <row r="136" spans="1:8" x14ac:dyDescent="0.15">
      <c r="A136" s="31" t="s">
        <v>254</v>
      </c>
      <c r="B136" s="63">
        <f>1/(Ramp_C*Ramp_R*Fsw)</f>
        <v>0.10416666666666667</v>
      </c>
      <c r="C136" s="31" t="s">
        <v>255</v>
      </c>
    </row>
    <row r="137" spans="1:8" x14ac:dyDescent="0.15">
      <c r="A137" s="31" t="s">
        <v>253</v>
      </c>
      <c r="B137" s="63">
        <f>(Rcs+(B135/1000))/(2*PI()*Lm*1000)</f>
        <v>0.88043160008282539</v>
      </c>
      <c r="C137" s="31" t="s">
        <v>3</v>
      </c>
    </row>
    <row r="138" spans="1:8" x14ac:dyDescent="0.15">
      <c r="A138" s="31" t="s">
        <v>256</v>
      </c>
      <c r="B138" s="60">
        <f>1/(B136*(Rcs+(B135/1000)))</f>
        <v>369.23076923076917</v>
      </c>
      <c r="C138" s="31" t="s">
        <v>42</v>
      </c>
    </row>
    <row r="139" spans="1:8" x14ac:dyDescent="0.15">
      <c r="A139" s="31" t="s">
        <v>257</v>
      </c>
      <c r="B139" s="53">
        <f>Fsw/10</f>
        <v>40000</v>
      </c>
      <c r="C139" s="31" t="s">
        <v>87</v>
      </c>
    </row>
    <row r="140" spans="1:8" x14ac:dyDescent="0.15">
      <c r="A140" s="31" t="s">
        <v>258</v>
      </c>
      <c r="B140" s="49">
        <f>Design_Converter!B137*1000</f>
        <v>40000</v>
      </c>
      <c r="C140" s="31" t="s">
        <v>87</v>
      </c>
    </row>
    <row r="141" spans="1:8" x14ac:dyDescent="0.15">
      <c r="A141" s="31" t="s">
        <v>265</v>
      </c>
      <c r="B141" s="60">
        <f>B137*1000</f>
        <v>880.43160008282541</v>
      </c>
      <c r="C141" s="31" t="s">
        <v>87</v>
      </c>
    </row>
    <row r="142" spans="1:8" x14ac:dyDescent="0.15">
      <c r="A142" s="31" t="s">
        <v>266</v>
      </c>
      <c r="B142" s="53">
        <f>IF(B140*100&gt;=Fsw/2,Fsw/2,B140*100)</f>
        <v>200000</v>
      </c>
      <c r="C142" s="31" t="s">
        <v>87</v>
      </c>
    </row>
    <row r="143" spans="1:8" ht="15" x14ac:dyDescent="0.25">
      <c r="A143" s="31" t="s">
        <v>259</v>
      </c>
      <c r="B143" s="63">
        <f>((B136/(Rcs*gm*Acs))*IMABS(COMPLEX(Rcs+(B135/1000),2*PI()*B140*Lm)))/1000</f>
        <v>2.4615102986900763</v>
      </c>
      <c r="C143" s="67" t="s">
        <v>104</v>
      </c>
    </row>
    <row r="144" spans="1:8" ht="15" x14ac:dyDescent="0.25">
      <c r="A144" s="31" t="s">
        <v>260</v>
      </c>
      <c r="B144" s="49">
        <f>Design_Converter!B139</f>
        <v>2.4</v>
      </c>
      <c r="C144" s="67" t="s">
        <v>104</v>
      </c>
    </row>
    <row r="145" spans="1:7" x14ac:dyDescent="0.15">
      <c r="A145" s="31" t="s">
        <v>261</v>
      </c>
      <c r="B145" s="60">
        <f>(Lm/((Rcs+(B135/1000))*(B143*1000)))*(10^9)</f>
        <v>73.438340219591751</v>
      </c>
      <c r="C145" s="31" t="s">
        <v>40</v>
      </c>
    </row>
    <row r="146" spans="1:7" x14ac:dyDescent="0.15">
      <c r="A146" s="31" t="s">
        <v>262</v>
      </c>
      <c r="B146" s="49">
        <f>Design_Converter!B141</f>
        <v>70</v>
      </c>
      <c r="C146" s="31" t="s">
        <v>40</v>
      </c>
    </row>
    <row r="147" spans="1:7" x14ac:dyDescent="0.15">
      <c r="A147" s="31" t="s">
        <v>263</v>
      </c>
      <c r="B147" s="70">
        <f>B145/100</f>
        <v>0.73438340219591747</v>
      </c>
      <c r="C147" s="69" t="s">
        <v>40</v>
      </c>
      <c r="D147" s="35"/>
      <c r="E147" s="66" t="s">
        <v>267</v>
      </c>
      <c r="F147" s="21"/>
      <c r="G147" s="21"/>
    </row>
    <row r="148" spans="1:7" x14ac:dyDescent="0.15">
      <c r="A148" s="31" t="s">
        <v>264</v>
      </c>
      <c r="B148" s="49">
        <f>Design_Converter!B143</f>
        <v>0.7</v>
      </c>
      <c r="C148" s="31" t="s">
        <v>40</v>
      </c>
    </row>
    <row r="149" spans="1:7" x14ac:dyDescent="0.15">
      <c r="A149" s="31" t="s">
        <v>268</v>
      </c>
      <c r="B149" s="63">
        <f>(1/(2*PI()*B144*1000*B146*(10^-9)))/1000</f>
        <v>0.94735085173747235</v>
      </c>
      <c r="C149" s="31" t="s">
        <v>3</v>
      </c>
    </row>
    <row r="150" spans="1:7" x14ac:dyDescent="0.15">
      <c r="A150" s="31" t="s">
        <v>269</v>
      </c>
      <c r="B150" s="60">
        <f>(1/(2*PI()*B144*1000*B148*(10^-9)))/1000</f>
        <v>94.735085173747237</v>
      </c>
      <c r="C150" s="31" t="s">
        <v>3</v>
      </c>
    </row>
    <row r="151" spans="1:7" x14ac:dyDescent="0.15">
      <c r="A151" s="34" t="s">
        <v>278</v>
      </c>
      <c r="E151" s="34" t="s">
        <v>280</v>
      </c>
    </row>
    <row r="152" spans="1:7" x14ac:dyDescent="0.15">
      <c r="A152" s="34" t="s">
        <v>279</v>
      </c>
      <c r="E152" s="34" t="s">
        <v>280</v>
      </c>
    </row>
    <row r="156" spans="1:7" x14ac:dyDescent="0.15">
      <c r="A156" s="34" t="s">
        <v>399</v>
      </c>
    </row>
    <row r="157" spans="1:7" x14ac:dyDescent="0.15">
      <c r="A157" s="31" t="s">
        <v>433</v>
      </c>
      <c r="B157" s="49">
        <f>Design_Converter!B152</f>
        <v>3.3</v>
      </c>
      <c r="C157" s="31" t="s">
        <v>1</v>
      </c>
    </row>
    <row r="158" spans="1:7" x14ac:dyDescent="0.15">
      <c r="A158" s="31" t="s">
        <v>419</v>
      </c>
      <c r="B158" s="49">
        <f>Design_Converter!B153*1000</f>
        <v>5000</v>
      </c>
      <c r="C158" s="31" t="s">
        <v>56</v>
      </c>
    </row>
    <row r="159" spans="1:7" x14ac:dyDescent="0.15">
      <c r="A159" s="31" t="s">
        <v>434</v>
      </c>
      <c r="B159" s="53">
        <f>(B158*V12_Nom/B157)-B158</f>
        <v>25303.030303030304</v>
      </c>
      <c r="C159" s="31" t="s">
        <v>56</v>
      </c>
    </row>
    <row r="160" spans="1:7" x14ac:dyDescent="0.15">
      <c r="A160" s="31" t="s">
        <v>418</v>
      </c>
      <c r="B160" s="49">
        <f>Design_Converter!B155*1000</f>
        <v>25000</v>
      </c>
      <c r="C160" s="31" t="s">
        <v>56</v>
      </c>
    </row>
    <row r="161" spans="1:5" x14ac:dyDescent="0.15">
      <c r="A161" s="31" t="s">
        <v>410</v>
      </c>
      <c r="B161" s="63">
        <f>V12_Nom/(I_Channel_Design*np)</f>
        <v>0.44444444444444442</v>
      </c>
      <c r="C161" s="31" t="s">
        <v>56</v>
      </c>
    </row>
    <row r="162" spans="1:5" x14ac:dyDescent="0.15">
      <c r="A162" s="31" t="s">
        <v>411</v>
      </c>
      <c r="B162" s="60">
        <f>1/(2*PI()*Zo_Buck_Cout*B161)</f>
        <v>381.93112410064475</v>
      </c>
      <c r="C162" s="31" t="s">
        <v>87</v>
      </c>
      <c r="E162" s="34" t="s">
        <v>437</v>
      </c>
    </row>
    <row r="163" spans="1:5" x14ac:dyDescent="0.15">
      <c r="A163" s="31" t="s">
        <v>438</v>
      </c>
      <c r="B163" s="103">
        <f>1/(2*PI()*Zo_Buck_Resr*Zo_Buck_Cout)</f>
        <v>1515.5996988120824</v>
      </c>
      <c r="C163" s="31" t="s">
        <v>87</v>
      </c>
      <c r="E163" s="34" t="s">
        <v>441</v>
      </c>
    </row>
    <row r="164" spans="1:5" x14ac:dyDescent="0.15">
      <c r="A164" s="31" t="s">
        <v>439</v>
      </c>
      <c r="B164" s="53">
        <f>B140/10</f>
        <v>4000</v>
      </c>
      <c r="C164" s="31" t="s">
        <v>87</v>
      </c>
      <c r="E164" s="34" t="s">
        <v>442</v>
      </c>
    </row>
    <row r="165" spans="1:5" x14ac:dyDescent="0.15">
      <c r="A165" s="31" t="s">
        <v>440</v>
      </c>
      <c r="B165" s="53">
        <f>Design_Converter!B157*1000</f>
        <v>4000</v>
      </c>
      <c r="C165" s="31" t="s">
        <v>87</v>
      </c>
    </row>
    <row r="166" spans="1:5" x14ac:dyDescent="0.15">
      <c r="A166" s="32" t="s">
        <v>404</v>
      </c>
      <c r="B166" s="53"/>
      <c r="C166" s="31"/>
    </row>
    <row r="167" spans="1:5" x14ac:dyDescent="0.15">
      <c r="A167" s="31" t="s">
        <v>408</v>
      </c>
      <c r="B167" s="63">
        <f>10^(Compensation!S134/20)</f>
        <v>3.345854968816127</v>
      </c>
      <c r="C167" s="31" t="s">
        <v>42</v>
      </c>
    </row>
    <row r="168" spans="1:5" x14ac:dyDescent="0.15">
      <c r="A168" s="31" t="s">
        <v>414</v>
      </c>
      <c r="B168" s="60">
        <f>B162</f>
        <v>381.93112410064475</v>
      </c>
      <c r="C168" s="31" t="s">
        <v>87</v>
      </c>
    </row>
    <row r="169" spans="1:5" x14ac:dyDescent="0.15">
      <c r="A169" s="31" t="s">
        <v>417</v>
      </c>
      <c r="B169" s="103">
        <f>IF(B163&gt;(Fsw/2),Fsw/2,B163)</f>
        <v>1515.5996988120824</v>
      </c>
      <c r="C169" s="31" t="s">
        <v>87</v>
      </c>
    </row>
    <row r="170" spans="1:5" x14ac:dyDescent="0.15">
      <c r="A170" s="31" t="s">
        <v>413</v>
      </c>
      <c r="B170" s="63">
        <f>((B160*B165)/(B168*B167))*SQRT(((1+((B165^2)/(B169^2)))/(1+((B165^2)/(B168^2)))))</f>
        <v>20992.689455649623</v>
      </c>
      <c r="C170" s="104" t="s">
        <v>56</v>
      </c>
    </row>
    <row r="171" spans="1:5" x14ac:dyDescent="0.15">
      <c r="A171" s="31" t="s">
        <v>420</v>
      </c>
      <c r="B171" s="105">
        <f>Design_Converter!B159*1000</f>
        <v>16000</v>
      </c>
      <c r="C171" s="31" t="s">
        <v>56</v>
      </c>
    </row>
    <row r="172" spans="1:5" x14ac:dyDescent="0.15">
      <c r="A172" s="31" t="s">
        <v>422</v>
      </c>
      <c r="B172" s="53">
        <f>1/(2*PI()*B168*B170)</f>
        <v>1.9850296551639049E-8</v>
      </c>
      <c r="C172" s="31" t="s">
        <v>425</v>
      </c>
    </row>
    <row r="173" spans="1:5" x14ac:dyDescent="0.15">
      <c r="A173" s="31" t="s">
        <v>421</v>
      </c>
      <c r="B173" s="49">
        <f>Design_Converter!B161*(10^-9)</f>
        <v>2E-8</v>
      </c>
      <c r="C173" s="31" t="s">
        <v>425</v>
      </c>
    </row>
    <row r="174" spans="1:5" x14ac:dyDescent="0.15">
      <c r="A174" s="31" t="s">
        <v>423</v>
      </c>
      <c r="B174" s="53">
        <f>1/(2*PI()*B169*B170)</f>
        <v>5.0022747310130399E-9</v>
      </c>
      <c r="C174" s="31"/>
    </row>
    <row r="175" spans="1:5" x14ac:dyDescent="0.15">
      <c r="A175" s="31" t="s">
        <v>424</v>
      </c>
      <c r="B175" s="49">
        <f>Design_Converter!B163*(10^-9)</f>
        <v>5.0000000000000001E-9</v>
      </c>
      <c r="C175" s="31"/>
    </row>
    <row r="176" spans="1:5" x14ac:dyDescent="0.15">
      <c r="A176" s="31" t="s">
        <v>435</v>
      </c>
      <c r="B176" s="63">
        <f>1/(2*PI()*B171*B173)/1000</f>
        <v>0.49735919716217303</v>
      </c>
      <c r="C176" s="31" t="s">
        <v>3</v>
      </c>
    </row>
    <row r="177" spans="1:5" x14ac:dyDescent="0.15">
      <c r="A177" s="31" t="s">
        <v>436</v>
      </c>
      <c r="B177" s="63">
        <f>1/(2*PI()*B171*B175)/1000</f>
        <v>1.9894367886486921</v>
      </c>
      <c r="C177" s="31" t="s">
        <v>3</v>
      </c>
    </row>
    <row r="180" spans="1:5" x14ac:dyDescent="0.15">
      <c r="A180" s="34" t="s">
        <v>396</v>
      </c>
    </row>
    <row r="181" spans="1:5" x14ac:dyDescent="0.15">
      <c r="A181" s="31" t="s">
        <v>433</v>
      </c>
      <c r="B181" s="49">
        <f>Design_Converter!B171</f>
        <v>3.3</v>
      </c>
      <c r="C181" s="31" t="s">
        <v>1</v>
      </c>
    </row>
    <row r="182" spans="1:5" x14ac:dyDescent="0.15">
      <c r="A182" s="31" t="s">
        <v>419</v>
      </c>
      <c r="B182" s="49">
        <f>Design_Converter!B172*1000</f>
        <v>1000</v>
      </c>
      <c r="C182" s="31" t="s">
        <v>56</v>
      </c>
    </row>
    <row r="183" spans="1:5" x14ac:dyDescent="0.15">
      <c r="A183" s="31" t="s">
        <v>434</v>
      </c>
      <c r="B183" s="53">
        <f>(B182*V48_Nom/B181)-B182</f>
        <v>14151.515151515152</v>
      </c>
      <c r="C183" s="31" t="s">
        <v>56</v>
      </c>
    </row>
    <row r="184" spans="1:5" x14ac:dyDescent="0.15">
      <c r="A184" s="31" t="s">
        <v>418</v>
      </c>
      <c r="B184" s="49">
        <f>Design_Converter!B174*1000</f>
        <v>14000</v>
      </c>
      <c r="C184" s="31" t="s">
        <v>56</v>
      </c>
    </row>
    <row r="185" spans="1:5" x14ac:dyDescent="0.15">
      <c r="A185" s="31" t="s">
        <v>410</v>
      </c>
      <c r="B185" s="53">
        <f>(V48_Nom^2)/(V12_Min*I_Channel_Design*np)</f>
        <v>3.0030030030030028</v>
      </c>
      <c r="C185" s="31" t="s">
        <v>56</v>
      </c>
      <c r="E185" s="34" t="s">
        <v>406</v>
      </c>
    </row>
    <row r="186" spans="1:5" x14ac:dyDescent="0.15">
      <c r="A186" s="31" t="s">
        <v>400</v>
      </c>
      <c r="B186" s="103">
        <f>2/(((V48_Nom^2)/(V12_Min*I_Channel_Design*np))*(2*PI()*Zo_Boost_Cout))</f>
        <v>150.35062709106711</v>
      </c>
      <c r="C186" s="31" t="s">
        <v>87</v>
      </c>
      <c r="E186" s="34" t="s">
        <v>405</v>
      </c>
    </row>
    <row r="187" spans="1:5" x14ac:dyDescent="0.15">
      <c r="A187" s="31" t="s">
        <v>397</v>
      </c>
      <c r="B187" s="103">
        <f>(((V12_Min/V48_Nom)^2)*B185)/(2*PI()*(Lm/np))</f>
        <v>27842.708720567978</v>
      </c>
      <c r="C187" s="31" t="s">
        <v>87</v>
      </c>
      <c r="E187" s="34" t="s">
        <v>405</v>
      </c>
    </row>
    <row r="188" spans="1:5" x14ac:dyDescent="0.15">
      <c r="A188" s="31" t="s">
        <v>402</v>
      </c>
      <c r="B188" s="63">
        <f>B187/5</f>
        <v>5568.541744113596</v>
      </c>
      <c r="C188" s="31" t="s">
        <v>87</v>
      </c>
      <c r="E188" s="34" t="s">
        <v>412</v>
      </c>
    </row>
    <row r="189" spans="1:5" x14ac:dyDescent="0.15">
      <c r="A189" s="31" t="s">
        <v>401</v>
      </c>
      <c r="B189" s="49">
        <f>Design_Converter!B176*1000</f>
        <v>5500</v>
      </c>
      <c r="C189" s="31" t="s">
        <v>87</v>
      </c>
    </row>
    <row r="190" spans="1:5" x14ac:dyDescent="0.15">
      <c r="A190" s="32" t="s">
        <v>404</v>
      </c>
      <c r="B190" s="32"/>
      <c r="C190" s="32"/>
    </row>
    <row r="191" spans="1:5" x14ac:dyDescent="0.15">
      <c r="A191" s="31" t="s">
        <v>408</v>
      </c>
      <c r="B191" s="63">
        <f>10^(Compensation!S224/20)</f>
        <v>0.76314083310359793</v>
      </c>
      <c r="C191" s="31" t="s">
        <v>409</v>
      </c>
    </row>
    <row r="192" spans="1:5" x14ac:dyDescent="0.15">
      <c r="A192" s="31" t="s">
        <v>414</v>
      </c>
      <c r="B192" s="63">
        <f>2/(2*PI()*B185*Zo_Boost_Cout)</f>
        <v>150.35062709106711</v>
      </c>
      <c r="C192" s="31" t="s">
        <v>416</v>
      </c>
    </row>
    <row r="193" spans="1:5" x14ac:dyDescent="0.15">
      <c r="A193" s="31" t="s">
        <v>417</v>
      </c>
      <c r="B193" s="53">
        <f>Fsw/2</f>
        <v>200000</v>
      </c>
      <c r="C193" s="31" t="s">
        <v>403</v>
      </c>
      <c r="E193" s="34" t="s">
        <v>415</v>
      </c>
    </row>
    <row r="194" spans="1:5" x14ac:dyDescent="0.15">
      <c r="A194" s="31" t="s">
        <v>413</v>
      </c>
      <c r="B194" s="63">
        <f>((B184*B189)/(B191*B192))*SQRT((1+((B189/B193)^2))/(1+((B189/B192)^2)))</f>
        <v>18345.319912942668</v>
      </c>
      <c r="C194" s="31" t="s">
        <v>56</v>
      </c>
    </row>
    <row r="195" spans="1:5" x14ac:dyDescent="0.15">
      <c r="A195" s="31" t="s">
        <v>420</v>
      </c>
      <c r="B195" s="49">
        <f>Design_Converter!B178*1000</f>
        <v>20000</v>
      </c>
      <c r="C195" s="31" t="s">
        <v>56</v>
      </c>
    </row>
    <row r="196" spans="1:5" x14ac:dyDescent="0.15">
      <c r="A196" s="31" t="s">
        <v>422</v>
      </c>
      <c r="B196" s="53">
        <f>1/(2*PI()*B194*B192)</f>
        <v>5.7701831506996109E-8</v>
      </c>
      <c r="C196" s="31" t="s">
        <v>425</v>
      </c>
    </row>
    <row r="197" spans="1:5" x14ac:dyDescent="0.15">
      <c r="A197" s="31" t="s">
        <v>421</v>
      </c>
      <c r="B197" s="49">
        <f>Design_Converter!B180*(10^-9)</f>
        <v>4.7000000000000004E-8</v>
      </c>
      <c r="C197" s="31" t="s">
        <v>425</v>
      </c>
    </row>
    <row r="198" spans="1:5" x14ac:dyDescent="0.15">
      <c r="A198" s="31" t="s">
        <v>423</v>
      </c>
      <c r="B198" s="53">
        <f>1/(2*PI()*B194*B193)</f>
        <v>4.3377532756899793E-11</v>
      </c>
      <c r="C198" s="31" t="s">
        <v>425</v>
      </c>
    </row>
    <row r="199" spans="1:5" x14ac:dyDescent="0.15">
      <c r="A199" s="31" t="s">
        <v>424</v>
      </c>
      <c r="B199" s="49">
        <f>Design_Converter!B182*(10^-9)</f>
        <v>3E-11</v>
      </c>
      <c r="C199" s="31" t="s">
        <v>425</v>
      </c>
    </row>
    <row r="200" spans="1:5" x14ac:dyDescent="0.15">
      <c r="A200" s="31" t="s">
        <v>435</v>
      </c>
      <c r="B200" s="60">
        <f>1/(2*PI()*B195*B197)</f>
        <v>169.31376924669715</v>
      </c>
      <c r="C200" s="31" t="s">
        <v>87</v>
      </c>
    </row>
    <row r="201" spans="1:5" x14ac:dyDescent="0.15">
      <c r="A201" s="31" t="s">
        <v>436</v>
      </c>
      <c r="B201" s="103">
        <f>1/(2*PI()*B195*B199)</f>
        <v>265258.23848649225</v>
      </c>
      <c r="C201" s="31" t="s">
        <v>87</v>
      </c>
    </row>
  </sheetData>
  <mergeCells count="13">
    <mergeCell ref="AD58:AO58"/>
    <mergeCell ref="AB4:AE4"/>
    <mergeCell ref="AF4:AI4"/>
    <mergeCell ref="AJ4:AM4"/>
    <mergeCell ref="P4:S4"/>
    <mergeCell ref="T4:W4"/>
    <mergeCell ref="X4:AA4"/>
    <mergeCell ref="A14:C14"/>
    <mergeCell ref="A6:C6"/>
    <mergeCell ref="A10:C10"/>
    <mergeCell ref="A63:C63"/>
    <mergeCell ref="A40:C40"/>
    <mergeCell ref="A21:C21"/>
  </mergeCells>
  <phoneticPr fontId="30"/>
  <conditionalFormatting sqref="D70">
    <cfRule type="cellIs" dxfId="0" priority="2" operator="equal">
      <formula>1</formula>
    </cfRule>
  </conditionalFormatting>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3:CS228"/>
  <sheetViews>
    <sheetView zoomScaleNormal="100" workbookViewId="0">
      <selection activeCell="D8" sqref="D8"/>
    </sheetView>
  </sheetViews>
  <sheetFormatPr defaultColWidth="8.875" defaultRowHeight="13.5" x14ac:dyDescent="0.15"/>
  <cols>
    <col min="1" max="1" width="27.5" customWidth="1"/>
    <col min="2" max="2" width="11.625" customWidth="1"/>
    <col min="3" max="3" width="12" customWidth="1"/>
    <col min="4" max="4" width="11.875" customWidth="1"/>
    <col min="7" max="7" width="10.5" customWidth="1"/>
    <col min="8" max="8" width="9.5" customWidth="1"/>
    <col min="10" max="10" width="17.5" customWidth="1"/>
    <col min="13" max="13" width="16.375" customWidth="1"/>
    <col min="14" max="14" width="16" bestFit="1" customWidth="1"/>
    <col min="15" max="15" width="13.875" customWidth="1"/>
    <col min="18" max="18" width="17.5" customWidth="1"/>
    <col min="21" max="21" width="12" customWidth="1"/>
    <col min="32" max="32" width="13.5" bestFit="1" customWidth="1"/>
  </cols>
  <sheetData>
    <row r="3" spans="2:30" x14ac:dyDescent="0.15">
      <c r="B3" t="s">
        <v>270</v>
      </c>
    </row>
    <row r="4" spans="2:30" x14ac:dyDescent="0.15">
      <c r="B4" t="s">
        <v>271</v>
      </c>
    </row>
    <row r="5" spans="2:30" x14ac:dyDescent="0.15">
      <c r="B5" s="213" t="s">
        <v>33</v>
      </c>
      <c r="C5" s="213"/>
      <c r="D5" s="202" t="s">
        <v>272</v>
      </c>
      <c r="E5" s="202"/>
      <c r="F5" s="202"/>
      <c r="G5" s="202" t="s">
        <v>276</v>
      </c>
      <c r="H5" s="202"/>
      <c r="I5" s="202"/>
      <c r="J5" s="202" t="s">
        <v>277</v>
      </c>
      <c r="K5" s="202"/>
      <c r="L5" s="202"/>
    </row>
    <row r="6" spans="2:30" x14ac:dyDescent="0.15">
      <c r="B6" s="213"/>
      <c r="C6" s="213"/>
      <c r="D6" s="202"/>
      <c r="E6" s="202"/>
      <c r="F6" s="202"/>
      <c r="G6" s="202"/>
      <c r="H6" s="202"/>
      <c r="I6" s="202"/>
      <c r="J6" s="202"/>
      <c r="K6" s="202"/>
      <c r="L6" s="202"/>
    </row>
    <row r="7" spans="2:30" s="2" customFormat="1" ht="27" x14ac:dyDescent="0.15">
      <c r="B7" s="71" t="s">
        <v>35</v>
      </c>
      <c r="C7" s="71" t="s">
        <v>34</v>
      </c>
      <c r="D7" s="72" t="s">
        <v>273</v>
      </c>
      <c r="E7" s="72" t="s">
        <v>274</v>
      </c>
      <c r="F7" s="72" t="s">
        <v>275</v>
      </c>
      <c r="G7" s="72" t="s">
        <v>273</v>
      </c>
      <c r="H7" s="72" t="s">
        <v>274</v>
      </c>
      <c r="I7" s="72" t="s">
        <v>275</v>
      </c>
      <c r="J7" s="72" t="s">
        <v>273</v>
      </c>
      <c r="K7" s="72" t="s">
        <v>274</v>
      </c>
      <c r="L7" s="72" t="s">
        <v>275</v>
      </c>
    </row>
    <row r="8" spans="2:30" x14ac:dyDescent="0.15">
      <c r="B8" s="1">
        <v>1</v>
      </c>
      <c r="C8" s="1">
        <f>2*PI()*B8</f>
        <v>6.2831853071795862</v>
      </c>
      <c r="D8" s="73" t="str">
        <f>IMPRODUCT(COMPLEX(1/(Calculations!$B$136*(Rcs+(Calculations!$B$135/1000))),0),IMDIV(COMPLEX(1,0),COMPLEX(1,(C8*Lm)/(Rcs+(Calculations!$B$135/1000)))))</f>
        <v>369.230292902802-0.419374194279338i</v>
      </c>
      <c r="E8" s="1">
        <f>20*LOG10(IMABS(D8))</f>
        <v>51.345952098734102</v>
      </c>
      <c r="F8" s="1">
        <f>IMARGUMENT(D8)*(180/PI())</f>
        <v>-6.5076895092640766E-2</v>
      </c>
      <c r="G8" s="1" t="str">
        <f t="shared" ref="G8:G39" si="0">IMPRODUCT(COMPLEX(-(gm*Acs*Rcs)/(IL_Comp_Ccomp+IL_Comp_Chf),0),IMDIV(COMPLEX(1,C8*IL_Comp_Rcomp*IL_Comp_Ccomp),IMPRODUCT(COMPLEX(0,C8),COMPLEX(1,C8*IL_Comp_Rcomp*((IL_Comp_Ccomp*IL_Comp_Chf)/(IL_Comp_Ccomp+IL_Comp_Chf))))))</f>
        <v>-0.117635525915981+112.556538069532i</v>
      </c>
      <c r="H8" s="1">
        <f>20*LOG(IMABS(G8))</f>
        <v>41.027419282220841</v>
      </c>
      <c r="I8" s="1">
        <f>IMARGUMENT(G8)*(180/PI())</f>
        <v>90.059881165655796</v>
      </c>
      <c r="J8" s="1" t="str">
        <f>IMPRODUCT(D8,G8)</f>
        <v>3.76870777404879+41559.3328528426i</v>
      </c>
      <c r="K8" s="1">
        <f>20*LOG(IMABS(J8))</f>
        <v>92.37337138095495</v>
      </c>
      <c r="L8" s="1">
        <f>IMARGUMENT(J8)*(180/PI())</f>
        <v>89.994804270563165</v>
      </c>
      <c r="AA8" t="s">
        <v>87</v>
      </c>
      <c r="AB8" t="s">
        <v>293</v>
      </c>
      <c r="AC8" t="s">
        <v>294</v>
      </c>
      <c r="AD8" t="s">
        <v>274</v>
      </c>
    </row>
    <row r="9" spans="2:30" x14ac:dyDescent="0.15">
      <c r="B9" s="1">
        <v>2</v>
      </c>
      <c r="C9" s="1">
        <f t="shared" ref="C9:C62" si="1">2*PI()*B9</f>
        <v>12.566370614359172</v>
      </c>
      <c r="D9" s="73" t="str">
        <f>IMPRODUCT(COMPLEX(1/(Calculations!$B$136*(Rcs+(Calculations!$B$135/1000))),0),IMDIV(COMPLEX(1,0),COMPLEX(1,(C9*Lm)/(Rcs+(Calculations!$B$135/1000)))))</f>
        <v>369.228863926274-0.838745142476802i</v>
      </c>
      <c r="E9" s="1">
        <f t="shared" ref="E9:E62" si="2">20*LOG10(IMABS(D9))</f>
        <v>51.34593529085474</v>
      </c>
      <c r="F9" s="1">
        <f t="shared" ref="F9:F62" si="3">IMARGUMENT(D9)*(180/PI())</f>
        <v>-0.13015362228010594</v>
      </c>
      <c r="G9" s="1" t="str">
        <f t="shared" si="0"/>
        <v>-0.117635525877433+56.2782708789217i</v>
      </c>
      <c r="H9" s="1">
        <f t="shared" ref="H9:H62" si="4">20*LOG(IMABS(G9))</f>
        <v>35.006833884711327</v>
      </c>
      <c r="I9" s="1">
        <f t="shared" ref="I9:I62" si="5">IMARGUMENT(G9)*(180/PI())</f>
        <v>90.119762196533827</v>
      </c>
      <c r="J9" s="1" t="str">
        <f t="shared" ref="J9:J62" si="6">IMPRODUCT(D9,G9)</f>
        <v>3.76869474959484+20779.6606865853i</v>
      </c>
      <c r="K9" s="1">
        <f t="shared" ref="K9:K62" si="7">20*LOG(IMABS(J9))</f>
        <v>86.352769175566081</v>
      </c>
      <c r="L9" s="1">
        <f t="shared" ref="L9:L62" si="8">IMARGUMENT(J9)*(180/PI())</f>
        <v>89.989608574253737</v>
      </c>
      <c r="Y9" t="s">
        <v>290</v>
      </c>
      <c r="AA9">
        <f>Calculations!B137*1000</f>
        <v>880.43160008282541</v>
      </c>
      <c r="AB9">
        <f>2*PI()*AA9</f>
        <v>5531.9148936170222</v>
      </c>
      <c r="AC9" t="str">
        <f>IMPRODUCT(IMPRODUCT(COMPLEX(1/(Calculations!$B$136*(Rcs+(Calculations!$B$135/1000))),0),IMDIV(COMPLEX(1,0),COMPLEX(1,(AB9*Lm)/(Rcs+(Calculations!$B$135/1000))))),IMPRODUCT(COMPLEX(-(gm*Acs*Rcs)/(IL_Comp_Ccomp+IL_Comp_Chf),0),IMDIV(COMPLEX(1,AB9*IL_Comp_Rcomp*IL_Comp_Ccomp),IMPRODUCT(COMPLEX(0,AB9),COMPLEX(1,AB9*IL_Comp_Rcomp*((IL_Comp_Ccomp*IL_Comp_Chf)/(IL_Comp_Ccomp+IL_Comp_Chf)))))))</f>
        <v>2.08601196416048+45.5169904141852i</v>
      </c>
      <c r="AD9">
        <f>20*LOG10(IMABS(AC9))</f>
        <v>33.172582805277543</v>
      </c>
    </row>
    <row r="10" spans="2:30" x14ac:dyDescent="0.15">
      <c r="B10" s="1">
        <v>3</v>
      </c>
      <c r="C10" s="1">
        <f t="shared" si="1"/>
        <v>18.849555921538759</v>
      </c>
      <c r="D10" s="73" t="str">
        <f>IMPRODUCT(COMPLEX(1/(Calculations!$B$136*(Rcs+(Calculations!$B$135/1000))),0),IMDIV(COMPLEX(1,0),COMPLEX(1,(C10*Lm)/(Rcs+(Calculations!$B$135/1000)))))</f>
        <v>369.226482323307-1.25810959859428i</v>
      </c>
      <c r="E10" s="1">
        <f t="shared" si="2"/>
        <v>51.345907277867028</v>
      </c>
      <c r="F10" s="1">
        <f t="shared" si="3"/>
        <v>-0.19523001365982051</v>
      </c>
      <c r="G10" s="1" t="str">
        <f t="shared" si="0"/>
        <v>-0.117635525813188+37.5188493016761i</v>
      </c>
      <c r="H10" s="1">
        <f t="shared" si="4"/>
        <v>31.485032896439989</v>
      </c>
      <c r="I10" s="1">
        <f t="shared" si="5"/>
        <v>90.179642957858178</v>
      </c>
      <c r="J10" s="1" t="str">
        <f t="shared" si="6"/>
        <v>3.76867304239502+13853.1007468603i</v>
      </c>
      <c r="K10" s="1">
        <f t="shared" si="7"/>
        <v>82.830940174307017</v>
      </c>
      <c r="L10" s="1">
        <f t="shared" si="8"/>
        <v>89.984412944198354</v>
      </c>
      <c r="Y10" t="s">
        <v>291</v>
      </c>
      <c r="AA10">
        <f>Calculations!B149*1000</f>
        <v>947.35085173747234</v>
      </c>
      <c r="AB10">
        <f t="shared" ref="AB10:AB11" si="9">2*PI()*AA10</f>
        <v>5952.3809523809532</v>
      </c>
      <c r="AC10" t="str">
        <f>IMPRODUCT(IMPRODUCT(COMPLEX(1/(Calculations!$B$136*(Rcs+(Calculations!$B$135/1000))),0),IMDIV(COMPLEX(1,0),COMPLEX(1,(AB10*Lm)/(Rcs+(Calculations!$B$135/1000))))),IMPRODUCT(COMPLEX(-(gm*Acs*Rcs)/(IL_Comp_Ccomp+IL_Comp_Chf),0),IMDIV(COMPLEX(1,AB10*IL_Comp_Rcomp*IL_Comp_Ccomp),IMPRODUCT(COMPLEX(0,AB10),COMPLEX(1,AB10*IL_Comp_Rcomp*((IL_Comp_Ccomp*IL_Comp_Chf)/(IL_Comp_Ccomp+IL_Comp_Chf)))))))</f>
        <v>1.96295909592141+42.1868478601754i</v>
      </c>
      <c r="AD10">
        <f t="shared" ref="AD10:AD11" si="10">20*LOG10(IMABS(AC10))</f>
        <v>32.512934072541391</v>
      </c>
    </row>
    <row r="11" spans="2:30" x14ac:dyDescent="0.15">
      <c r="B11" s="1">
        <v>4</v>
      </c>
      <c r="C11" s="1">
        <f t="shared" si="1"/>
        <v>25.132741228718345</v>
      </c>
      <c r="D11" s="73" t="str">
        <f>IMPRODUCT(COMPLEX(1/(Calculations!$B$136*(Rcs+(Calculations!$B$135/1000))),0),IMDIV(COMPLEX(1,0),COMPLEX(1,(C11*Lm)/(Rcs+(Calculations!$B$135/1000)))))</f>
        <v>369.223148130769-1.67746431680115i</v>
      </c>
      <c r="E11" s="1">
        <f t="shared" si="2"/>
        <v>51.345868059987822</v>
      </c>
      <c r="F11" s="1">
        <f t="shared" si="3"/>
        <v>-0.26030590133440634</v>
      </c>
      <c r="G11" s="1" t="str">
        <f t="shared" si="0"/>
        <v>-0.117635525723245+28.1391391277719i</v>
      </c>
      <c r="H11" s="1">
        <f t="shared" si="4"/>
        <v>28.986292034026771</v>
      </c>
      <c r="I11" s="1">
        <f t="shared" si="5"/>
        <v>90.23952331485647</v>
      </c>
      <c r="J11" s="1" t="str">
        <f t="shared" si="6"/>
        <v>3.76864265278583+10389.8188638424i</v>
      </c>
      <c r="K11" s="1">
        <f t="shared" si="7"/>
        <v>80.332160094014569</v>
      </c>
      <c r="L11" s="1">
        <f t="shared" si="8"/>
        <v>89.979217413522079</v>
      </c>
      <c r="Y11" t="s">
        <v>292</v>
      </c>
      <c r="AA11">
        <f>Calculations!B150*1000</f>
        <v>94735.08517374724</v>
      </c>
      <c r="AB11">
        <f t="shared" si="9"/>
        <v>595238.09523809527</v>
      </c>
      <c r="AC11" t="str">
        <f>IMPRODUCT(IMPRODUCT(COMPLEX(1/(Calculations!$B$136*(Rcs+(Calculations!$B$135/1000))),0),IMDIV(COMPLEX(1,0),COMPLEX(1,(AB11*Lm)/(Rcs+(Calculations!$B$135/1000))))),IMPRODUCT(COMPLEX(-(gm*Acs*Rcs)/(IL_Comp_Ccomp+IL_Comp_Chf),0),IMDIV(COMPLEX(1,AB11*IL_Comp_Rcomp*IL_Comp_Ccomp),IMPRODUCT(COMPLEX(0,AB11),COMPLEX(1,AB11*IL_Comp_Rcomp*((IL_Comp_Ccomp*IL_Comp_Chf)/(IL_Comp_Ccomp+IL_Comp_Chf)))))))</f>
        <v>0.203987517093898+0.20573654390458i</v>
      </c>
      <c r="AD11">
        <f t="shared" si="10"/>
        <v>-10.760391445764517</v>
      </c>
    </row>
    <row r="12" spans="2:30" x14ac:dyDescent="0.15">
      <c r="B12" s="1">
        <v>5</v>
      </c>
      <c r="C12" s="1">
        <f t="shared" si="1"/>
        <v>31.415926535897931</v>
      </c>
      <c r="D12" s="73" t="str">
        <f>IMPRODUCT(COMPLEX(1/(Calculations!$B$136*(Rcs+(Calculations!$B$135/1000))),0),IMDIV(COMPLEX(1,0),COMPLEX(1,(C12*Lm)/(Rcs+(Calculations!$B$135/1000)))))</f>
        <v>369.218861400273-2.09680605151802i</v>
      </c>
      <c r="E12" s="1">
        <f t="shared" si="2"/>
        <v>51.345817637520632</v>
      </c>
      <c r="F12" s="1">
        <f t="shared" si="3"/>
        <v>-0.32538111741428183</v>
      </c>
      <c r="G12" s="1" t="str">
        <f t="shared" si="0"/>
        <v>-0.117635525607602+22.5113135152041i</v>
      </c>
      <c r="H12" s="1">
        <f t="shared" si="4"/>
        <v>27.048135320302404</v>
      </c>
      <c r="I12" s="1">
        <f t="shared" si="5"/>
        <v>90.299403132761782</v>
      </c>
      <c r="J12" s="1" t="str">
        <f t="shared" si="6"/>
        <v>3.76860358123788+8311.8482035902i</v>
      </c>
      <c r="K12" s="1">
        <f t="shared" si="7"/>
        <v>78.393952957823046</v>
      </c>
      <c r="L12" s="1">
        <f t="shared" si="8"/>
        <v>89.974022015347515</v>
      </c>
    </row>
    <row r="13" spans="2:30" x14ac:dyDescent="0.15">
      <c r="B13" s="1">
        <v>6</v>
      </c>
      <c r="C13" s="1">
        <f t="shared" si="1"/>
        <v>37.699111843077517</v>
      </c>
      <c r="D13" s="73" t="str">
        <f>IMPRODUCT(COMPLEX(1/(Calculations!$B$136*(Rcs+(Calculations!$B$135/1000))),0),IMDIV(COMPLEX(1,0),COMPLEX(1,(C13*Lm)/(Rcs+(Calculations!$B$135/1000)))))</f>
        <v>369.213622198173-2.51613155750048i</v>
      </c>
      <c r="E13" s="1">
        <f t="shared" si="2"/>
        <v>51.345756010855709</v>
      </c>
      <c r="F13" s="1">
        <f t="shared" si="3"/>
        <v>-0.39045549402026641</v>
      </c>
      <c r="G13" s="1" t="str">
        <f t="shared" si="0"/>
        <v>-0.117635525466262+18.7594301833045i</v>
      </c>
      <c r="H13" s="1">
        <f t="shared" si="4"/>
        <v>25.464563622179522</v>
      </c>
      <c r="I13" s="1">
        <f t="shared" si="5"/>
        <v>90.359282276814383</v>
      </c>
      <c r="J13" s="1" t="str">
        <f t="shared" si="6"/>
        <v>3.76855582835545+6926.5331548095i</v>
      </c>
      <c r="K13" s="1">
        <f t="shared" si="7"/>
        <v>76.810319633035235</v>
      </c>
      <c r="L13" s="1">
        <f t="shared" si="8"/>
        <v>89.968826782794125</v>
      </c>
    </row>
    <row r="14" spans="2:30" x14ac:dyDescent="0.15">
      <c r="B14" s="1">
        <v>7</v>
      </c>
      <c r="C14" s="1">
        <f t="shared" si="1"/>
        <v>43.982297150257104</v>
      </c>
      <c r="D14" s="73" t="str">
        <f>IMPRODUCT(COMPLEX(1/(Calculations!$B$136*(Rcs+(Calculations!$B$135/1000))),0),IMDIV(COMPLEX(1,0),COMPLEX(1,(C14*Lm)/(Rcs+(Calculations!$B$135/1000)))))</f>
        <v>369.207430605568-2.93543758992277i</v>
      </c>
      <c r="E14" s="1">
        <f t="shared" si="2"/>
        <v>51.345683180470054</v>
      </c>
      <c r="F14" s="1">
        <f t="shared" si="3"/>
        <v>-0.4555288632861676</v>
      </c>
      <c r="G14" s="1" t="str">
        <f t="shared" si="0"/>
        <v>-0.117635525299223+16.0795138689297i</v>
      </c>
      <c r="H14" s="1">
        <f t="shared" si="4"/>
        <v>24.125690728433959</v>
      </c>
      <c r="I14" s="1">
        <f t="shared" si="5"/>
        <v>90.419160612263553</v>
      </c>
      <c r="J14" s="1" t="str">
        <f t="shared" si="6"/>
        <v>3.76849939487834+5937.021312677i</v>
      </c>
      <c r="K14" s="1">
        <f t="shared" si="7"/>
        <v>75.471373908904013</v>
      </c>
      <c r="L14" s="1">
        <f t="shared" si="8"/>
        <v>89.963631748977392</v>
      </c>
    </row>
    <row r="15" spans="2:30" x14ac:dyDescent="0.15">
      <c r="B15" s="1">
        <v>8</v>
      </c>
      <c r="C15" s="1">
        <f t="shared" si="1"/>
        <v>50.26548245743669</v>
      </c>
      <c r="D15" s="73" t="str">
        <f>IMPRODUCT(COMPLEX(1/(Calculations!$B$136*(Rcs+(Calculations!$B$135/1000))),0),IMDIV(COMPLEX(1,0),COMPLEX(1,(C15*Lm)/(Rcs+(Calculations!$B$135/1000)))))</f>
        <v>369.200286718291-3.35472090446148i</v>
      </c>
      <c r="E15" s="1">
        <f t="shared" si="2"/>
        <v>51.345599146927306</v>
      </c>
      <c r="F15" s="1">
        <f t="shared" si="3"/>
        <v>-0.52060105736138751</v>
      </c>
      <c r="G15" s="1" t="str">
        <f t="shared" si="0"/>
        <v>-0.117635525106486+14.0695769405078i</v>
      </c>
      <c r="H15" s="1">
        <f t="shared" si="4"/>
        <v>22.965924363363452</v>
      </c>
      <c r="I15" s="1">
        <f t="shared" si="5"/>
        <v>90.479038004369372</v>
      </c>
      <c r="J15" s="1" t="str">
        <f t="shared" si="6"/>
        <v>3.76843428167935+5194.88647479572i</v>
      </c>
      <c r="K15" s="1">
        <f t="shared" si="7"/>
        <v>74.311523510290769</v>
      </c>
      <c r="L15" s="1">
        <f t="shared" si="8"/>
        <v>89.958436947007982</v>
      </c>
    </row>
    <row r="16" spans="2:30" x14ac:dyDescent="0.15">
      <c r="B16" s="1">
        <v>9</v>
      </c>
      <c r="C16" s="1">
        <f t="shared" si="1"/>
        <v>56.548667764616276</v>
      </c>
      <c r="D16" s="73" t="str">
        <f>IMPRODUCT(COMPLEX(1/(Calculations!$B$136*(Rcs+(Calculations!$B$135/1000))),0),IMDIV(COMPLEX(1,0),COMPLEX(1,(C16*Lm)/(Rcs+(Calculations!$B$135/1000)))))</f>
        <v>369.192190646909-3.77397825737922i</v>
      </c>
      <c r="E16" s="1">
        <f t="shared" si="2"/>
        <v>51.345503910877795</v>
      </c>
      <c r="F16" s="1">
        <f t="shared" si="3"/>
        <v>-0.58567190841351979</v>
      </c>
      <c r="G16" s="1" t="str">
        <f t="shared" si="0"/>
        <v>-0.11763552488805+12.5062929360545i</v>
      </c>
      <c r="H16" s="1">
        <f t="shared" si="4"/>
        <v>21.942956164030413</v>
      </c>
      <c r="I16" s="1">
        <f t="shared" si="5"/>
        <v>90.538914318404537</v>
      </c>
      <c r="J16" s="1" t="str">
        <f t="shared" si="6"/>
        <v>3.76836048976685+4617.66963984715i</v>
      </c>
      <c r="K16" s="1">
        <f t="shared" si="7"/>
        <v>73.288460074908215</v>
      </c>
      <c r="L16" s="1">
        <f t="shared" si="8"/>
        <v>89.95324240999102</v>
      </c>
    </row>
    <row r="17" spans="2:12" x14ac:dyDescent="0.15">
      <c r="B17" s="1">
        <v>10</v>
      </c>
      <c r="C17" s="1">
        <f t="shared" si="1"/>
        <v>62.831853071795862</v>
      </c>
      <c r="D17" s="73" t="str">
        <f>IMPRODUCT(COMPLEX(1/(Calculations!$B$136*(Rcs+(Calculations!$B$135/1000))),0),IMDIV(COMPLEX(1,0),COMPLEX(1,(C17*Lm)/(Rcs+(Calculations!$B$135/1000)))))</f>
        <v>369.183142516721-4.19320640560826i</v>
      </c>
      <c r="E17" s="1">
        <f t="shared" si="2"/>
        <v>51.345397473058554</v>
      </c>
      <c r="F17" s="1">
        <f t="shared" si="3"/>
        <v>-0.65074124863094418</v>
      </c>
      <c r="G17" s="1" t="str">
        <f t="shared" si="0"/>
        <v>-0.117635524643917+11.2556659783793i</v>
      </c>
      <c r="H17" s="1">
        <f t="shared" si="4"/>
        <v>21.027898277013101</v>
      </c>
      <c r="I17" s="1">
        <f t="shared" si="5"/>
        <v>90.598789419656171</v>
      </c>
      <c r="J17" s="1" t="str">
        <f t="shared" si="6"/>
        <v>3.76827802028259+4155.89540705208i</v>
      </c>
      <c r="K17" s="1">
        <f t="shared" si="7"/>
        <v>72.373295750071676</v>
      </c>
      <c r="L17" s="1">
        <f t="shared" si="8"/>
        <v>89.948048171025221</v>
      </c>
    </row>
    <row r="18" spans="2:12" x14ac:dyDescent="0.15">
      <c r="B18" s="1">
        <v>20</v>
      </c>
      <c r="C18" s="1">
        <f t="shared" si="1"/>
        <v>125.66370614359172</v>
      </c>
      <c r="D18" s="73" t="str">
        <f>IMPRODUCT(COMPLEX(1/(Calculations!$B$136*(Rcs+(Calculations!$B$135/1000))),0),IMDIV(COMPLEX(1,0),COMPLEX(1,(C18*Lm)/(Rcs+(Calculations!$B$135/1000)))))</f>
        <v>369.040336065937-8.38316880110207i</v>
      </c>
      <c r="E18" s="1">
        <f t="shared" si="2"/>
        <v>51.343717221586516</v>
      </c>
      <c r="F18" s="1">
        <f t="shared" si="3"/>
        <v>-1.3013146563941138</v>
      </c>
      <c r="G18" s="1" t="str">
        <f t="shared" si="0"/>
        <v>-0.117635520789175+5.62785143074346i</v>
      </c>
      <c r="H18" s="1">
        <f t="shared" si="4"/>
        <v>15.00874954051935</v>
      </c>
      <c r="I18" s="1">
        <f t="shared" si="5"/>
        <v>91.197444106148353</v>
      </c>
      <c r="J18" s="1" t="str">
        <f t="shared" si="6"/>
        <v>3.76697640611756+2077.89034175851i</v>
      </c>
      <c r="K18" s="1">
        <f t="shared" si="7"/>
        <v>66.352466762105863</v>
      </c>
      <c r="L18" s="1">
        <f t="shared" si="8"/>
        <v>89.896129449754241</v>
      </c>
    </row>
    <row r="19" spans="2:12" x14ac:dyDescent="0.15">
      <c r="B19" s="1">
        <v>30</v>
      </c>
      <c r="C19" s="1">
        <f t="shared" si="1"/>
        <v>188.49555921538757</v>
      </c>
      <c r="D19" s="73" t="str">
        <f>IMPRODUCT(COMPLEX(1/(Calculations!$B$136*(Rcs+(Calculations!$B$135/1000))),0),IMDIV(COMPLEX(1,0),COMPLEX(1,(C19*Lm)/(Rcs+(Calculations!$B$135/1000)))))</f>
        <v>368.802570667631-12.5666515365737i</v>
      </c>
      <c r="E19" s="1">
        <f t="shared" si="2"/>
        <v>51.34091824627339</v>
      </c>
      <c r="F19" s="1">
        <f t="shared" si="3"/>
        <v>-1.9515526420164087</v>
      </c>
      <c r="G19" s="1" t="str">
        <f t="shared" si="0"/>
        <v>-0.117635514364605+3.75192144444252i</v>
      </c>
      <c r="H19" s="1">
        <f t="shared" si="4"/>
        <v>11.489341910124939</v>
      </c>
      <c r="I19" s="1">
        <f t="shared" si="5"/>
        <v>91.795829506322249</v>
      </c>
      <c r="J19" s="1" t="str">
        <f t="shared" si="6"/>
        <v>3.76480928543205+1385.19655817076i</v>
      </c>
      <c r="K19" s="1">
        <f t="shared" si="7"/>
        <v>62.830260156398332</v>
      </c>
      <c r="L19" s="1">
        <f t="shared" si="8"/>
        <v>89.84427686430584</v>
      </c>
    </row>
    <row r="20" spans="2:12" x14ac:dyDescent="0.15">
      <c r="B20" s="1">
        <v>40</v>
      </c>
      <c r="C20" s="1">
        <f t="shared" si="1"/>
        <v>251.32741228718345</v>
      </c>
      <c r="D20" s="73" t="str">
        <f>IMPRODUCT(COMPLEX(1/(Calculations!$B$136*(Rcs+(Calculations!$B$135/1000))),0),IMDIV(COMPLEX(1,0),COMPLEX(1,(C20*Lm)/(Rcs+(Calculations!$B$135/1000)))))</f>
        <v>368.470213356321-16.7404356373241i</v>
      </c>
      <c r="E20" s="1">
        <f t="shared" si="2"/>
        <v>51.337002708924729</v>
      </c>
      <c r="F20" s="1">
        <f t="shared" si="3"/>
        <v>-2.601288142411057</v>
      </c>
      <c r="G20" s="1" t="str">
        <f t="shared" si="0"/>
        <v>-0.117635505370211+2.81396259847332i</v>
      </c>
      <c r="H20" s="1">
        <f t="shared" si="4"/>
        <v>8.9939494892427181</v>
      </c>
      <c r="I20" s="1">
        <f t="shared" si="5"/>
        <v>92.393811426442156</v>
      </c>
      <c r="J20" s="1" t="str">
        <f t="shared" si="6"/>
        <v>3.76178000353961+1038.83066864249i</v>
      </c>
      <c r="K20" s="1">
        <f t="shared" si="7"/>
        <v>60.330952198167481</v>
      </c>
      <c r="L20" s="1">
        <f t="shared" si="8"/>
        <v>89.792523284031105</v>
      </c>
    </row>
    <row r="21" spans="2:12" x14ac:dyDescent="0.15">
      <c r="B21" s="1">
        <v>50</v>
      </c>
      <c r="C21" s="1">
        <f t="shared" si="1"/>
        <v>314.15926535897933</v>
      </c>
      <c r="D21" s="73" t="str">
        <f>IMPRODUCT(COMPLEX(1/(Calculations!$B$136*(Rcs+(Calculations!$B$135/1000))),0),IMDIV(COMPLEX(1,0),COMPLEX(1,(C21*Lm)/(Rcs+(Calculations!$B$135/1000)))))</f>
        <v>368.043775997739-20.9013270288752i</v>
      </c>
      <c r="E21" s="1">
        <f t="shared" si="2"/>
        <v>51.331973628280451</v>
      </c>
      <c r="F21" s="1">
        <f t="shared" si="3"/>
        <v>-3.2503548692706445</v>
      </c>
      <c r="G21" s="1" t="str">
        <f t="shared" si="0"/>
        <v>-0.11763549380599+2.25119220863452i</v>
      </c>
      <c r="H21" s="1">
        <f t="shared" si="4"/>
        <v>7.0600940472352569</v>
      </c>
      <c r="I21" s="1">
        <f t="shared" si="5"/>
        <v>92.991256210401787</v>
      </c>
      <c r="J21" s="1" t="str">
        <f t="shared" si="6"/>
        <v>3.75789322581076+830.996018888781i</v>
      </c>
      <c r="K21" s="1">
        <f t="shared" si="7"/>
        <v>58.392067675515719</v>
      </c>
      <c r="L21" s="1">
        <f t="shared" si="8"/>
        <v>89.740901341131149</v>
      </c>
    </row>
    <row r="22" spans="2:12" x14ac:dyDescent="0.15">
      <c r="B22" s="1">
        <v>60</v>
      </c>
      <c r="C22" s="1">
        <f t="shared" si="1"/>
        <v>376.99111843077515</v>
      </c>
      <c r="D22" s="73" t="str">
        <f>IMPRODUCT(COMPLEX(1/(Calculations!$B$136*(Rcs+(Calculations!$B$135/1000))),0),IMDIV(COMPLEX(1,0),COMPLEX(1,(C22*Lm)/(Rcs+(Calculations!$B$135/1000)))))</f>
        <v>367.523913323347-25.0461646280374i</v>
      </c>
      <c r="E22" s="1">
        <f t="shared" si="2"/>
        <v>51.325834872277312</v>
      </c>
      <c r="F22" s="1">
        <f t="shared" si="3"/>
        <v>-3.8985875626800706</v>
      </c>
      <c r="G22" s="1" t="str">
        <f t="shared" si="0"/>
        <v>-0.117635479671946+1.87601604685852i</v>
      </c>
      <c r="H22" s="1">
        <f t="shared" si="4"/>
        <v>5.4817735622799901</v>
      </c>
      <c r="I22" s="1">
        <f t="shared" si="5"/>
        <v>93.588030916147844</v>
      </c>
      <c r="J22" s="1" t="str">
        <f t="shared" si="6"/>
        <v>3.75315491975579+692.427076588801i</v>
      </c>
      <c r="K22" s="1">
        <f t="shared" si="7"/>
        <v>56.807608434557302</v>
      </c>
      <c r="L22" s="1">
        <f t="shared" si="8"/>
        <v>89.689443353467766</v>
      </c>
    </row>
    <row r="23" spans="2:12" x14ac:dyDescent="0.15">
      <c r="B23" s="1">
        <v>70</v>
      </c>
      <c r="C23" s="1">
        <f t="shared" si="1"/>
        <v>439.82297150257102</v>
      </c>
      <c r="D23" s="73" t="str">
        <f>IMPRODUCT(COMPLEX(1/(Calculations!$B$136*(Rcs+(Calculations!$B$135/1000))),0),IMDIV(COMPLEX(1,0),COMPLEX(1,(C23*Lm)/(Rcs+(Calculations!$B$135/1000)))))</f>
        <v>366.911420427501-29.1718282573103i</v>
      </c>
      <c r="E23" s="1">
        <f t="shared" si="2"/>
        <v>51.31859114817216</v>
      </c>
      <c r="F23" s="1">
        <f t="shared" si="3"/>
        <v>-4.545822240789585</v>
      </c>
      <c r="G23" s="1" t="str">
        <f t="shared" si="0"/>
        <v>-0.11763546296808+1.60803658683016i</v>
      </c>
      <c r="H23" s="1">
        <f t="shared" si="4"/>
        <v>4.1490983055308908</v>
      </c>
      <c r="I23" s="1">
        <f t="shared" si="5"/>
        <v>94.184003489737037</v>
      </c>
      <c r="J23" s="1" t="str">
        <f t="shared" si="6"/>
        <v>3.74757233221594+593.438629695919i</v>
      </c>
      <c r="K23" s="1">
        <f t="shared" si="7"/>
        <v>55.467689453703045</v>
      </c>
      <c r="L23" s="1">
        <f t="shared" si="8"/>
        <v>89.638181248947447</v>
      </c>
    </row>
    <row r="24" spans="2:12" x14ac:dyDescent="0.15">
      <c r="B24" s="1">
        <v>80</v>
      </c>
      <c r="C24" s="1">
        <f t="shared" si="1"/>
        <v>502.6548245743669</v>
      </c>
      <c r="D24" s="73" t="str">
        <f>IMPRODUCT(COMPLEX(1/(Calculations!$B$136*(Rcs+(Calculations!$B$135/1000))),0),IMDIV(COMPLEX(1,0),COMPLEX(1,(C24*Lm)/(Rcs+(Calculations!$B$135/1000)))))</f>
        <v>366.207229745055-33.2752463415084i</v>
      </c>
      <c r="E24" s="1">
        <f t="shared" si="2"/>
        <v>51.310247990578823</v>
      </c>
      <c r="F24" s="1">
        <f t="shared" si="3"/>
        <v>-5.1918964446156428</v>
      </c>
      <c r="G24" s="1" t="str">
        <f t="shared" si="0"/>
        <v>-0.117635443694394+1.40705506539146i</v>
      </c>
      <c r="H24" s="1">
        <f t="shared" si="4"/>
        <v>2.9964718625155355</v>
      </c>
      <c r="I24" s="1">
        <f t="shared" si="5"/>
        <v>94.779042936463355</v>
      </c>
      <c r="J24" s="1" t="str">
        <f t="shared" si="6"/>
        <v>3.74115396181362+519.188085963177i</v>
      </c>
      <c r="K24" s="1">
        <f t="shared" si="7"/>
        <v>54.30671985309435</v>
      </c>
      <c r="L24" s="1">
        <f t="shared" si="8"/>
        <v>89.587146491847719</v>
      </c>
    </row>
    <row r="25" spans="2:12" x14ac:dyDescent="0.15">
      <c r="B25" s="1">
        <v>90</v>
      </c>
      <c r="C25" s="1">
        <f t="shared" si="1"/>
        <v>565.48667764616278</v>
      </c>
      <c r="D25" s="73" t="str">
        <f>IMPRODUCT(COMPLEX(1/(Calculations!$B$136*(Rcs+(Calculations!$B$135/1000))),0),IMDIV(COMPLEX(1,0),COMPLEX(1,(C25*Lm)/(Rcs+(Calculations!$B$135/1000)))))</f>
        <v>365.412407530715-37.353403347484i</v>
      </c>
      <c r="E25" s="1">
        <f t="shared" si="2"/>
        <v>51.300811747482122</v>
      </c>
      <c r="F25" s="1">
        <f t="shared" si="3"/>
        <v>-5.8366494770724833</v>
      </c>
      <c r="G25" s="1" t="str">
        <f t="shared" si="0"/>
        <v>-0.117635421850891+1.25073883634317i</v>
      </c>
      <c r="H25" s="1">
        <f t="shared" si="4"/>
        <v>1.9815811194374902</v>
      </c>
      <c r="I25" s="1">
        <f t="shared" si="5"/>
        <v>95.373019488509073</v>
      </c>
      <c r="J25" s="1" t="str">
        <f t="shared" si="6"/>
        <v>3.73390952686385+461.42957274067i</v>
      </c>
      <c r="K25" s="1">
        <f t="shared" si="7"/>
        <v>53.282392866919601</v>
      </c>
      <c r="L25" s="1">
        <f t="shared" si="8"/>
        <v>89.536370011436603</v>
      </c>
    </row>
    <row r="26" spans="2:12" x14ac:dyDescent="0.15">
      <c r="B26" s="1">
        <v>100</v>
      </c>
      <c r="C26" s="1">
        <f t="shared" si="1"/>
        <v>628.31853071795865</v>
      </c>
      <c r="D26" s="73" t="str">
        <f>IMPRODUCT(COMPLEX(1/(Calculations!$B$136*(Rcs+(Calculations!$B$135/1000))),0),IMDIV(COMPLEX(1,0),COMPLEX(1,(C26*Lm)/(Rcs+(Calculations!$B$135/1000)))))</f>
        <v>364.528149864741-41.403346930125i</v>
      </c>
      <c r="E26" s="1">
        <f t="shared" si="2"/>
        <v>51.290289564302178</v>
      </c>
      <c r="F26" s="1">
        <f t="shared" si="3"/>
        <v>-6.4799226353771768</v>
      </c>
      <c r="G26" s="1" t="str">
        <f t="shared" si="0"/>
        <v>-0.117635397437574+1.12568831196545i</v>
      </c>
      <c r="H26" s="1">
        <f t="shared" si="4"/>
        <v>1.0755328702682743</v>
      </c>
      <c r="I26" s="1">
        <f t="shared" si="5"/>
        <v>95.965804768594481</v>
      </c>
      <c r="J26" s="1" t="str">
        <f t="shared" si="6"/>
        <v>3.72584992896996+415.2155768565i</v>
      </c>
      <c r="K26" s="1">
        <f t="shared" si="7"/>
        <v>52.365822434570461</v>
      </c>
      <c r="L26" s="1">
        <f t="shared" si="8"/>
        <v>89.485882133217316</v>
      </c>
    </row>
    <row r="27" spans="2:12" x14ac:dyDescent="0.15">
      <c r="B27" s="1">
        <v>200</v>
      </c>
      <c r="C27" s="1">
        <f t="shared" si="1"/>
        <v>1256.6370614359173</v>
      </c>
      <c r="D27" s="73" t="str">
        <f>IMPRODUCT(COMPLEX(1/(Calculations!$B$136*(Rcs+(Calculations!$B$135/1000))),0),IMDIV(COMPLEX(1,0),COMPLEX(1,(C27*Lm)/(Rcs+(Calculations!$B$135/1000)))))</f>
        <v>351.112566241239-79.759192243488i</v>
      </c>
      <c r="E27" s="1">
        <f t="shared" si="2"/>
        <v>51.127442581158924</v>
      </c>
      <c r="F27" s="1">
        <f t="shared" si="3"/>
        <v>-12.79819599264974</v>
      </c>
      <c r="G27" s="1" t="str">
        <f t="shared" si="0"/>
        <v>-0.117635011965487+0.563028570523718i</v>
      </c>
      <c r="H27" s="1">
        <f t="shared" si="4"/>
        <v>-4.8038308097981437</v>
      </c>
      <c r="I27" s="1">
        <f t="shared" si="5"/>
        <v>101.80119109181959</v>
      </c>
      <c r="J27" s="1" t="str">
        <f t="shared" si="6"/>
        <v>3.60357306395647+207.068879797639i</v>
      </c>
      <c r="K27" s="1">
        <f t="shared" si="7"/>
        <v>46.323611771360767</v>
      </c>
      <c r="L27" s="1">
        <f t="shared" si="8"/>
        <v>89.002995099169837</v>
      </c>
    </row>
    <row r="28" spans="2:12" x14ac:dyDescent="0.15">
      <c r="B28" s="1">
        <v>300</v>
      </c>
      <c r="C28" s="1">
        <f t="shared" si="1"/>
        <v>1884.9555921538758</v>
      </c>
      <c r="D28" s="73" t="str">
        <f>IMPRODUCT(COMPLEX(1/(Calculations!$B$136*(Rcs+(Calculations!$B$135/1000))),0),IMDIV(COMPLEX(1,0),COMPLEX(1,(C28*Lm)/(Rcs+(Calculations!$B$135/1000)))))</f>
        <v>330.820790938148-112.724528824395i</v>
      </c>
      <c r="E28" s="1">
        <f t="shared" si="2"/>
        <v>50.868906807073373</v>
      </c>
      <c r="F28" s="1">
        <f t="shared" si="3"/>
        <v>-18.816131350201932</v>
      </c>
      <c r="G28" s="1" t="str">
        <f t="shared" si="0"/>
        <v>-0.117634369517625+0.375557283604201i</v>
      </c>
      <c r="H28" s="1">
        <f t="shared" si="4"/>
        <v>-8.1000152464728874</v>
      </c>
      <c r="I28" s="1">
        <f t="shared" si="5"/>
        <v>107.39192162263257</v>
      </c>
      <c r="J28" s="1" t="str">
        <f t="shared" si="6"/>
        <v>3.41862267552217+137.502436481953i</v>
      </c>
      <c r="K28" s="1">
        <f t="shared" si="7"/>
        <v>42.768891560600473</v>
      </c>
      <c r="L28" s="1">
        <f t="shared" si="8"/>
        <v>88.575790272430652</v>
      </c>
    </row>
    <row r="29" spans="2:12" x14ac:dyDescent="0.15">
      <c r="B29" s="1">
        <v>400</v>
      </c>
      <c r="C29" s="1">
        <f t="shared" si="1"/>
        <v>2513.2741228718346</v>
      </c>
      <c r="D29" s="73" t="str">
        <f>IMPRODUCT(COMPLEX(1/(Calculations!$B$136*(Rcs+(Calculations!$B$135/1000))),0),IMDIV(COMPLEX(1,0),COMPLEX(1,(C29*Lm)/(Rcs+(Calculations!$B$135/1000)))))</f>
        <v>306.057691299312-139.048935213375i</v>
      </c>
      <c r="E29" s="1">
        <f t="shared" si="2"/>
        <v>50.531011829600857</v>
      </c>
      <c r="F29" s="1">
        <f t="shared" si="3"/>
        <v>-24.433373095750845</v>
      </c>
      <c r="G29" s="1" t="str">
        <f t="shared" si="0"/>
        <v>-0.117633470102407+0.281883108300971i</v>
      </c>
      <c r="H29" s="1">
        <f t="shared" si="4"/>
        <v>-10.301382791726832</v>
      </c>
      <c r="I29" s="1">
        <f t="shared" si="5"/>
        <v>112.6514090676655</v>
      </c>
      <c r="J29" s="1" t="str">
        <f t="shared" si="6"/>
        <v>3.19291778481715+102.629302106063i</v>
      </c>
      <c r="K29" s="1">
        <f t="shared" si="7"/>
        <v>40.229629037874012</v>
      </c>
      <c r="L29" s="1">
        <f t="shared" si="8"/>
        <v>88.218035971914659</v>
      </c>
    </row>
    <row r="30" spans="2:12" x14ac:dyDescent="0.15">
      <c r="B30" s="1">
        <v>500</v>
      </c>
      <c r="C30" s="1">
        <f t="shared" si="1"/>
        <v>3141.5926535897929</v>
      </c>
      <c r="D30" s="73" t="str">
        <f>IMPRODUCT(COMPLEX(1/(Calculations!$B$136*(Rcs+(Calculations!$B$135/1000))),0),IMDIV(COMPLEX(1,0),COMPLEX(1,(C30*Lm)/(Rcs+(Calculations!$B$135/1000)))))</f>
        <v>279.188522071455-158.552079483057i</v>
      </c>
      <c r="E30" s="1">
        <f t="shared" si="2"/>
        <v>50.131954447809903</v>
      </c>
      <c r="F30" s="1">
        <f t="shared" si="3"/>
        <v>-29.592385294176545</v>
      </c>
      <c r="G30" s="1" t="str">
        <f t="shared" si="0"/>
        <v>-0.11763231373162+0.225727775388352i</v>
      </c>
      <c r="H30" s="1">
        <f t="shared" si="4"/>
        <v>-11.884894070855861</v>
      </c>
      <c r="I30" s="1">
        <f t="shared" si="5"/>
        <v>117.52513179904075</v>
      </c>
      <c r="J30" s="1" t="str">
        <f t="shared" si="6"/>
        <v>2.94801636633092+81.6714519577031i</v>
      </c>
      <c r="K30" s="1">
        <f t="shared" si="7"/>
        <v>38.247060376954046</v>
      </c>
      <c r="L30" s="1">
        <f t="shared" si="8"/>
        <v>87.932746504864227</v>
      </c>
    </row>
    <row r="31" spans="2:12" x14ac:dyDescent="0.15">
      <c r="B31" s="1">
        <v>600</v>
      </c>
      <c r="C31" s="1">
        <f t="shared" si="1"/>
        <v>3769.9111843077517</v>
      </c>
      <c r="D31" s="73" t="str">
        <f>IMPRODUCT(COMPLEX(1/(Calculations!$B$136*(Rcs+(Calculations!$B$135/1000))),0),IMDIV(COMPLEX(1,0),COMPLEX(1,(C31*Lm)/(Rcs+(Calculations!$B$135/1000)))))</f>
        <v>252.134412718507-171.825554213266i</v>
      </c>
      <c r="E31" s="1">
        <f t="shared" si="2"/>
        <v>49.689300097368758</v>
      </c>
      <c r="F31" s="1">
        <f t="shared" si="3"/>
        <v>-34.273801914058431</v>
      </c>
      <c r="G31" s="1" t="str">
        <f t="shared" si="0"/>
        <v>-0.117630900420422+0.188331861254107i</v>
      </c>
      <c r="H31" s="1">
        <f t="shared" si="4"/>
        <v>-13.071009447546309</v>
      </c>
      <c r="I31" s="1">
        <f t="shared" si="5"/>
        <v>121.98864139265082</v>
      </c>
      <c r="J31" s="1" t="str">
        <f t="shared" si="6"/>
        <v>2.70142844095058+67.6969378908321i</v>
      </c>
      <c r="K31" s="1">
        <f t="shared" si="7"/>
        <v>36.618290649822441</v>
      </c>
      <c r="L31" s="1">
        <f t="shared" si="8"/>
        <v>87.714839478592395</v>
      </c>
    </row>
    <row r="32" spans="2:12" x14ac:dyDescent="0.15">
      <c r="B32" s="1">
        <v>700</v>
      </c>
      <c r="C32" s="1">
        <f t="shared" si="1"/>
        <v>4398.22971502571</v>
      </c>
      <c r="D32" s="73" t="str">
        <f>IMPRODUCT(COMPLEX(1/(Calculations!$B$136*(Rcs+(Calculations!$B$135/1000))),0),IMDIV(COMPLEX(1,0),COMPLEX(1,(C32*Lm)/(Rcs+(Calculations!$B$135/1000)))))</f>
        <v>226.226639178283-179.864792915089i</v>
      </c>
      <c r="E32" s="1">
        <f t="shared" si="2"/>
        <v>49.21841628748102</v>
      </c>
      <c r="F32" s="1">
        <f t="shared" si="3"/>
        <v>-38.486967382384705</v>
      </c>
      <c r="G32" s="1" t="str">
        <f t="shared" si="0"/>
        <v>-0.117629230187335+0.161655612461332i</v>
      </c>
      <c r="H32" s="1">
        <f t="shared" si="4"/>
        <v>-13.982748394065636</v>
      </c>
      <c r="I32" s="1">
        <f t="shared" si="5"/>
        <v>126.04163034614822</v>
      </c>
      <c r="J32" s="1" t="str">
        <f t="shared" si="6"/>
        <v>2.46528784450993+57.7281630398405i</v>
      </c>
      <c r="K32" s="1">
        <f t="shared" si="7"/>
        <v>35.235667893415396</v>
      </c>
      <c r="L32" s="1">
        <f t="shared" si="8"/>
        <v>87.554662963763519</v>
      </c>
    </row>
    <row r="33" spans="2:12" x14ac:dyDescent="0.15">
      <c r="B33" s="1">
        <v>800</v>
      </c>
      <c r="C33" s="1">
        <f t="shared" si="1"/>
        <v>5026.5482457436692</v>
      </c>
      <c r="D33" s="73" t="str">
        <f>IMPRODUCT(COMPLEX(1/(Calculations!$B$136*(Rcs+(Calculations!$B$135/1000))),0),IMDIV(COMPLEX(1,0),COMPLEX(1,(C33*Lm)/(Rcs+(Calculations!$B$135/1000)))))</f>
        <v>202.247724699079-183.771436354672i</v>
      </c>
      <c r="E33" s="1">
        <f t="shared" si="2"/>
        <v>48.731815295375192</v>
      </c>
      <c r="F33" s="1">
        <f t="shared" si="3"/>
        <v>-42.259705847696146</v>
      </c>
      <c r="G33" s="1" t="str">
        <f t="shared" si="0"/>
        <v>-0.117627303054249+0.141679151888947i</v>
      </c>
      <c r="H33" s="1">
        <f t="shared" si="4"/>
        <v>-14.696829107782367</v>
      </c>
      <c r="I33" s="1">
        <f t="shared" si="5"/>
        <v>129.70071936675993</v>
      </c>
      <c r="J33" s="1" t="str">
        <f t="shared" si="6"/>
        <v>2.24672683893265+50.2708245436404i</v>
      </c>
      <c r="K33" s="1">
        <f t="shared" si="7"/>
        <v>34.034986187592835</v>
      </c>
      <c r="L33" s="1">
        <f t="shared" si="8"/>
        <v>87.441013519063787</v>
      </c>
    </row>
    <row r="34" spans="2:12" x14ac:dyDescent="0.15">
      <c r="B34" s="1">
        <v>900</v>
      </c>
      <c r="C34" s="1">
        <f t="shared" si="1"/>
        <v>5654.8667764616275</v>
      </c>
      <c r="D34" s="73" t="str">
        <f>IMPRODUCT(COMPLEX(1/(Calculations!$B$136*(Rcs+(Calculations!$B$135/1000))),0),IMDIV(COMPLEX(1,0),COMPLEX(1,(C34*Lm)/(Rcs+(Calculations!$B$135/1000)))))</f>
        <v>180.557726538478-184.57078763341i</v>
      </c>
      <c r="E34" s="1">
        <f t="shared" si="2"/>
        <v>48.239139628286985</v>
      </c>
      <c r="F34" s="1">
        <f t="shared" si="3"/>
        <v>-45.629702137707604</v>
      </c>
      <c r="G34" s="1" t="str">
        <f t="shared" si="0"/>
        <v>-0.117625119046419+0.126169214111869i</v>
      </c>
      <c r="H34" s="1">
        <f t="shared" si="4"/>
        <v>-15.264496900359848</v>
      </c>
      <c r="I34" s="1">
        <f t="shared" si="5"/>
        <v>132.99281507893298</v>
      </c>
      <c r="J34" s="1" t="str">
        <f t="shared" si="6"/>
        <v>2.04902714487676+44.4909873270567i</v>
      </c>
      <c r="K34" s="1">
        <f t="shared" si="7"/>
        <v>32.974642727927147</v>
      </c>
      <c r="L34" s="1">
        <f t="shared" si="8"/>
        <v>87.363112941225396</v>
      </c>
    </row>
    <row r="35" spans="2:12" x14ac:dyDescent="0.15">
      <c r="B35" s="1">
        <v>1000</v>
      </c>
      <c r="C35" s="1">
        <f t="shared" si="1"/>
        <v>6283.1853071795858</v>
      </c>
      <c r="D35" s="73" t="str">
        <f>IMPRODUCT(COMPLEX(1/(Calculations!$B$136*(Rcs+(Calculations!$B$135/1000))),0),IMDIV(COMPLEX(1,0),COMPLEX(1,(C35*Lm)/(Rcs+(Calculations!$B$135/1000)))))</f>
        <v>161.232160470872-183.128547925477i</v>
      </c>
      <c r="E35" s="1">
        <f t="shared" si="2"/>
        <v>47.747495585300932</v>
      </c>
      <c r="F35" s="1">
        <f t="shared" si="3"/>
        <v>-48.638289298201457</v>
      </c>
      <c r="G35" s="1" t="str">
        <f t="shared" si="0"/>
        <v>-0.117622678192463+0.113785839553095i</v>
      </c>
      <c r="H35" s="1">
        <f t="shared" si="4"/>
        <v>-15.721519396957159</v>
      </c>
      <c r="I35" s="1">
        <f t="shared" si="5"/>
        <v>135.94989813407162</v>
      </c>
      <c r="J35" s="1" t="str">
        <f t="shared" si="6"/>
        <v>1.87287704649866+39.8860070026289i</v>
      </c>
      <c r="K35" s="1">
        <f t="shared" si="7"/>
        <v>32.025976188343769</v>
      </c>
      <c r="L35" s="1">
        <f t="shared" si="8"/>
        <v>87.311608835870189</v>
      </c>
    </row>
    <row r="36" spans="2:12" x14ac:dyDescent="0.15">
      <c r="B36" s="1">
        <v>2000</v>
      </c>
      <c r="C36" s="1">
        <f t="shared" si="1"/>
        <v>12566.370614359172</v>
      </c>
      <c r="D36" s="73" t="str">
        <f>IMPRODUCT(COMPLEX(1/(Calculations!$B$136*(Rcs+(Calculations!$B$135/1000))),0),IMDIV(COMPLEX(1,0),COMPLEX(1,(C36*Lm)/(Rcs+(Calculations!$B$135/1000)))))</f>
        <v>59.9378579918145-136.155626368194i</v>
      </c>
      <c r="E36" s="1">
        <f t="shared" si="2"/>
        <v>43.449991035089141</v>
      </c>
      <c r="F36" s="1">
        <f t="shared" si="3"/>
        <v>-66.240147390567344</v>
      </c>
      <c r="G36" s="1" t="str">
        <f t="shared" si="0"/>
        <v>-0.117584151816059+0.0587360685493158i</v>
      </c>
      <c r="H36" s="1">
        <f t="shared" si="4"/>
        <v>-17.625578477035006</v>
      </c>
      <c r="I36" s="1">
        <f t="shared" si="5"/>
        <v>153.45678575645775</v>
      </c>
      <c r="J36" s="1" t="str">
        <f t="shared" si="6"/>
        <v>0.949504010098371+19.5302579771947i</v>
      </c>
      <c r="K36" s="1">
        <f t="shared" si="7"/>
        <v>25.824412558054139</v>
      </c>
      <c r="L36" s="1">
        <f t="shared" si="8"/>
        <v>87.216638365890404</v>
      </c>
    </row>
    <row r="37" spans="2:12" x14ac:dyDescent="0.15">
      <c r="B37" s="1">
        <v>3000</v>
      </c>
      <c r="C37" s="1">
        <f t="shared" si="1"/>
        <v>18849.555921538758</v>
      </c>
      <c r="D37" s="73" t="str">
        <f>IMPRODUCT(COMPLEX(1/(Calculations!$B$136*(Rcs+(Calculations!$B$135/1000))),0),IMDIV(COMPLEX(1,0),COMPLEX(1,(C37*Lm)/(Rcs+(Calculations!$B$135/1000)))))</f>
        <v>29.2796083041986-99.7679148548647i</v>
      </c>
      <c r="E37" s="1">
        <f t="shared" si="2"/>
        <v>40.338631476032248</v>
      </c>
      <c r="F37" s="1">
        <f t="shared" si="3"/>
        <v>-73.64423886080391</v>
      </c>
      <c r="G37" s="1" t="str">
        <f t="shared" si="0"/>
        <v>-0.117519997242606+0.041203534322941i</v>
      </c>
      <c r="H37" s="1">
        <f t="shared" si="4"/>
        <v>-18.094251371956044</v>
      </c>
      <c r="I37" s="1">
        <f t="shared" si="5"/>
        <v>160.67888942316881</v>
      </c>
      <c r="J37" s="1" t="str">
        <f t="shared" si="6"/>
        <v>0.669851216876669+12.9311484243686i</v>
      </c>
      <c r="K37" s="1">
        <f t="shared" si="7"/>
        <v>22.244380104076228</v>
      </c>
      <c r="L37" s="1">
        <f t="shared" si="8"/>
        <v>87.034650562364931</v>
      </c>
    </row>
    <row r="38" spans="2:12" x14ac:dyDescent="0.15">
      <c r="B38" s="1">
        <v>4000</v>
      </c>
      <c r="C38" s="1">
        <f t="shared" si="1"/>
        <v>25132.741228718343</v>
      </c>
      <c r="D38" s="73" t="str">
        <f>IMPRODUCT(COMPLEX(1/(Calculations!$B$136*(Rcs+(Calculations!$B$135/1000))),0),IMDIV(COMPLEX(1,0),COMPLEX(1,(C38*Lm)/(Rcs+(Calculations!$B$135/1000)))))</f>
        <v>17.0617063263128-77.5151928881597i</v>
      </c>
      <c r="E38" s="1">
        <f t="shared" si="2"/>
        <v>37.993203474831944</v>
      </c>
      <c r="F38" s="1">
        <f t="shared" si="3"/>
        <v>-77.586684795950404</v>
      </c>
      <c r="G38" s="1" t="str">
        <f t="shared" si="0"/>
        <v>-0.117430298360405+0.033048302631661i</v>
      </c>
      <c r="H38" s="1">
        <f t="shared" si="4"/>
        <v>-18.273367947712238</v>
      </c>
      <c r="I38" s="1">
        <f t="shared" si="5"/>
        <v>164.28185340209458</v>
      </c>
      <c r="J38" s="1" t="str">
        <f t="shared" si="6"/>
        <v>0.558184288682956+9.66649266240545i</v>
      </c>
      <c r="K38" s="1">
        <f t="shared" si="7"/>
        <v>19.719835527119702</v>
      </c>
      <c r="L38" s="1">
        <f t="shared" si="8"/>
        <v>86.695168606144193</v>
      </c>
    </row>
    <row r="39" spans="2:12" x14ac:dyDescent="0.15">
      <c r="B39" s="1">
        <v>5000</v>
      </c>
      <c r="C39" s="1">
        <f t="shared" si="1"/>
        <v>31415.926535897932</v>
      </c>
      <c r="D39" s="73" t="str">
        <f>IMPRODUCT(COMPLEX(1/(Calculations!$B$136*(Rcs+(Calculations!$B$135/1000))),0),IMDIV(COMPLEX(1,0),COMPLEX(1,(C39*Lm)/(Rcs+(Calculations!$B$135/1000)))))</f>
        <v>11.1042124401888-63.0611874854566i</v>
      </c>
      <c r="E39" s="1">
        <f t="shared" si="2"/>
        <v>36.127856469618727</v>
      </c>
      <c r="F39" s="1">
        <f t="shared" si="3"/>
        <v>-80.013373607633923</v>
      </c>
      <c r="G39" s="1" t="str">
        <f t="shared" si="0"/>
        <v>-0.117315172229229+0.0286417518415474i</v>
      </c>
      <c r="H39" s="1">
        <f t="shared" si="4"/>
        <v>-18.361471804687085</v>
      </c>
      <c r="I39" s="1">
        <f t="shared" si="5"/>
        <v>166.27999649441304</v>
      </c>
      <c r="J39" s="1" t="str">
        <f t="shared" si="6"/>
        <v>0.503490287901046+7.71607816794375i</v>
      </c>
      <c r="K39" s="1">
        <f t="shared" si="7"/>
        <v>17.766384664931639</v>
      </c>
      <c r="L39" s="1">
        <f t="shared" si="8"/>
        <v>86.266622886779146</v>
      </c>
    </row>
    <row r="40" spans="2:12" x14ac:dyDescent="0.15">
      <c r="B40" s="1">
        <v>6000</v>
      </c>
      <c r="C40" s="1">
        <f t="shared" si="1"/>
        <v>37699.111843077517</v>
      </c>
      <c r="D40" s="73" t="str">
        <f>IMPRODUCT(COMPLEX(1/(Calculations!$B$136*(Rcs+(Calculations!$B$135/1000))),0),IMDIV(COMPLEX(1,0),COMPLEX(1,(C40*Lm)/(Rcs+(Calculations!$B$135/1000)))))</f>
        <v>7.78277651718225-53.0383724285915i</v>
      </c>
      <c r="E40" s="1">
        <f t="shared" si="2"/>
        <v>34.584324449087553</v>
      </c>
      <c r="F40" s="1">
        <f t="shared" si="3"/>
        <v>-81.652073771038275</v>
      </c>
      <c r="G40" s="1" t="str">
        <f t="shared" ref="G40:G62" si="11">IMPRODUCT(COMPLEX(-(gm*Acs*Rcs)/(IL_Comp_Ccomp+IL_Comp_Chf),0),IMDIV(COMPLEX(1,C40*IL_Comp_Rcomp*IL_Comp_Ccomp),IMPRODUCT(COMPLEX(0,C40),COMPLEX(1,C40*IL_Comp_Rcomp*((IL_Comp_Ccomp*IL_Comp_Chf)/(IL_Comp_Ccomp+IL_Comp_Chf))))))</f>
        <v>-0.117174768699285+0.0261071518298908i</v>
      </c>
      <c r="H40" s="1">
        <f t="shared" si="4"/>
        <v>-18.412905187073399</v>
      </c>
      <c r="I40" s="1">
        <f t="shared" si="5"/>
        <v>167.43936403467035</v>
      </c>
      <c r="J40" s="1" t="str">
        <f t="shared" si="6"/>
        <v>0.472735803564475+6.41794514969893i</v>
      </c>
      <c r="K40" s="1">
        <f t="shared" si="7"/>
        <v>16.171419262014155</v>
      </c>
      <c r="L40" s="1">
        <f t="shared" si="8"/>
        <v>85.787290263632102</v>
      </c>
    </row>
    <row r="41" spans="2:12" x14ac:dyDescent="0.15">
      <c r="B41" s="1">
        <v>7000</v>
      </c>
      <c r="C41" s="1">
        <f t="shared" si="1"/>
        <v>43982.297150257102</v>
      </c>
      <c r="D41" s="73" t="str">
        <f>IMPRODUCT(COMPLEX(1/(Calculations!$B$136*(Rcs+(Calculations!$B$135/1000))),0),IMDIV(COMPLEX(1,0),COMPLEX(1,(C41*Lm)/(Rcs+(Calculations!$B$135/1000)))))</f>
        <v>5.75011413849832-45.717122108863i</v>
      </c>
      <c r="E41" s="1">
        <f t="shared" si="2"/>
        <v>33.269743504936862</v>
      </c>
      <c r="F41" s="1">
        <f t="shared" si="3"/>
        <v>-82.831213561251147</v>
      </c>
      <c r="G41" s="1" t="str">
        <f t="shared" si="11"/>
        <v>-0.11700926992528+0.0246397481193424i</v>
      </c>
      <c r="H41" s="1">
        <f t="shared" si="4"/>
        <v>-18.44716007014264</v>
      </c>
      <c r="I41" s="1">
        <f t="shared" si="5"/>
        <v>168.10842663553532</v>
      </c>
      <c r="J41" s="1" t="str">
        <f t="shared" si="6"/>
        <v>0.453641716170885+5.49100844507301i</v>
      </c>
      <c r="K41" s="1">
        <f t="shared" si="7"/>
        <v>14.822583434794232</v>
      </c>
      <c r="L41" s="1">
        <f t="shared" si="8"/>
        <v>85.277213074284191</v>
      </c>
    </row>
    <row r="42" spans="2:12" x14ac:dyDescent="0.15">
      <c r="B42" s="1">
        <v>8000</v>
      </c>
      <c r="C42" s="1">
        <f t="shared" si="1"/>
        <v>50265.482457436687</v>
      </c>
      <c r="D42" s="73" t="str">
        <f>IMPRODUCT(COMPLEX(1/(Calculations!$B$136*(Rcs+(Calculations!$B$135/1000))),0),IMDIV(COMPLEX(1,0),COMPLEX(1,(C42*Lm)/(Rcs+(Calculations!$B$135/1000)))))</f>
        <v>4.41855876541152-40.1490247737208i</v>
      </c>
      <c r="E42" s="1">
        <f t="shared" si="2"/>
        <v>32.125785204136839</v>
      </c>
      <c r="F42" s="1">
        <f t="shared" si="3"/>
        <v>-83.719647375662532</v>
      </c>
      <c r="G42" s="1" t="str">
        <f t="shared" si="11"/>
        <v>-0.11681888977853+0.0238367841309175i</v>
      </c>
      <c r="H42" s="1">
        <f t="shared" si="4"/>
        <v>-18.472578627732595</v>
      </c>
      <c r="I42" s="1">
        <f t="shared" si="5"/>
        <v>168.4671712563686</v>
      </c>
      <c r="J42" s="1" t="str">
        <f t="shared" si="6"/>
        <v>0.440852507201476+4.79548873121765i</v>
      </c>
      <c r="K42" s="1">
        <f t="shared" si="7"/>
        <v>13.653206576404246</v>
      </c>
      <c r="L42" s="1">
        <f t="shared" si="8"/>
        <v>84.747523880706055</v>
      </c>
    </row>
    <row r="43" spans="2:12" x14ac:dyDescent="0.15">
      <c r="B43" s="1">
        <v>9000</v>
      </c>
      <c r="C43" s="1">
        <f t="shared" si="1"/>
        <v>56548.667764616279</v>
      </c>
      <c r="D43" s="73" t="str">
        <f>IMPRODUCT(COMPLEX(1/(Calculations!$B$136*(Rcs+(Calculations!$B$135/1000))),0),IMDIV(COMPLEX(1,0),COMPLEX(1,(C43*Lm)/(Rcs+(Calculations!$B$135/1000)))))</f>
        <v>3.49999744197928-35.77788095617i</v>
      </c>
      <c r="E43" s="1">
        <f t="shared" si="2"/>
        <v>31.113656120091147</v>
      </c>
      <c r="F43" s="1">
        <f t="shared" si="3"/>
        <v>-84.412776104330575</v>
      </c>
      <c r="G43" s="1" t="str">
        <f t="shared" si="11"/>
        <v>-0.116603873160634+0.0234741763148438i</v>
      </c>
      <c r="H43" s="1">
        <f t="shared" si="4"/>
        <v>-18.493202915686343</v>
      </c>
      <c r="I43" s="1">
        <f t="shared" si="5"/>
        <v>168.61760785663651</v>
      </c>
      <c r="J43" s="1" t="str">
        <f t="shared" si="6"/>
        <v>0.431743027949531+4.25399905002403i</v>
      </c>
      <c r="K43" s="1">
        <f t="shared" si="7"/>
        <v>12.620453204404797</v>
      </c>
      <c r="L43" s="1">
        <f t="shared" si="8"/>
        <v>84.20483175230595</v>
      </c>
    </row>
    <row r="44" spans="2:12" x14ac:dyDescent="0.15">
      <c r="B44" s="1">
        <v>10000</v>
      </c>
      <c r="C44" s="1">
        <f t="shared" si="1"/>
        <v>62831.853071795864</v>
      </c>
      <c r="D44" s="73" t="str">
        <f>IMPRODUCT(COMPLEX(1/(Calculations!$B$136*(Rcs+(Calculations!$B$135/1000))),0),IMDIV(COMPLEX(1,0),COMPLEX(1,(C44*Lm)/(Rcs+(Calculations!$B$135/1000)))))</f>
        <v>2.84011308627115-32.2581911644696i</v>
      </c>
      <c r="E44" s="1">
        <f t="shared" si="2"/>
        <v>30.206335179910543</v>
      </c>
      <c r="F44" s="1">
        <f t="shared" si="3"/>
        <v>-84.968472544019519</v>
      </c>
      <c r="G44" s="1" t="str">
        <f t="shared" si="11"/>
        <v>-0.116364495222792+0.0234171851057011i</v>
      </c>
      <c r="H44" s="1">
        <f t="shared" si="4"/>
        <v>-18.511179719162772</v>
      </c>
      <c r="I44" s="1">
        <f t="shared" si="5"/>
        <v>168.62177244420891</v>
      </c>
      <c r="J44" s="1" t="str">
        <f t="shared" si="6"/>
        <v>0.424907708013888+3.82021558551617i</v>
      </c>
      <c r="K44" s="1">
        <f t="shared" si="7"/>
        <v>11.69515546074777</v>
      </c>
      <c r="L44" s="1">
        <f t="shared" si="8"/>
        <v>83.653299900189396</v>
      </c>
    </row>
    <row r="45" spans="2:12" x14ac:dyDescent="0.15">
      <c r="B45" s="1">
        <v>20000</v>
      </c>
      <c r="C45" s="1">
        <f t="shared" si="1"/>
        <v>125663.70614359173</v>
      </c>
      <c r="D45" s="73" t="str">
        <f>IMPRODUCT(COMPLEX(1/(Calculations!$B$136*(Rcs+(Calculations!$B$135/1000))),0),IMDIV(COMPLEX(1,0),COMPLEX(1,(C45*Lm)/(Rcs+(Calculations!$B$135/1000)))))</f>
        <v>0.714148177913604-16.2226839165341i</v>
      </c>
      <c r="E45" s="1">
        <f t="shared" si="2"/>
        <v>24.210862175361015</v>
      </c>
      <c r="F45" s="1">
        <f t="shared" si="3"/>
        <v>-87.479376655932839</v>
      </c>
      <c r="G45" s="1" t="str">
        <f t="shared" si="11"/>
        <v>-0.112711028047144+0.0291872245181098i</v>
      </c>
      <c r="H45" s="1">
        <f t="shared" si="4"/>
        <v>-18.678790148061097</v>
      </c>
      <c r="I45" s="1">
        <f t="shared" si="5"/>
        <v>165.48181413238098</v>
      </c>
      <c r="J45" s="1" t="str">
        <f t="shared" si="6"/>
        <v>0.393002742447572+1.84931938512439i</v>
      </c>
      <c r="K45" s="1">
        <f t="shared" si="7"/>
        <v>5.5320720272999155</v>
      </c>
      <c r="L45" s="1">
        <f t="shared" si="8"/>
        <v>78.002437476448151</v>
      </c>
    </row>
    <row r="46" spans="2:12" x14ac:dyDescent="0.15">
      <c r="B46" s="1">
        <v>30000</v>
      </c>
      <c r="C46" s="1">
        <f t="shared" si="1"/>
        <v>188495.55921538759</v>
      </c>
      <c r="D46" s="73" t="str">
        <f>IMPRODUCT(COMPLEX(1/(Calculations!$B$136*(Rcs+(Calculations!$B$135/1000))),0),IMDIV(COMPLEX(1,0),COMPLEX(1,(C46*Lm)/(Rcs+(Calculations!$B$135/1000)))))</f>
        <v>0.317740611529198-10.8267562692879i</v>
      </c>
      <c r="E46" s="1">
        <f t="shared" si="2"/>
        <v>20.693706121270495</v>
      </c>
      <c r="F46" s="1">
        <f t="shared" si="3"/>
        <v>-88.318982008631139</v>
      </c>
      <c r="G46" s="1" t="str">
        <f t="shared" si="11"/>
        <v>-0.10710637429596+0.037333713811827i</v>
      </c>
      <c r="H46" s="1">
        <f t="shared" si="4"/>
        <v>-18.905705762824486</v>
      </c>
      <c r="I46" s="1">
        <f t="shared" si="5"/>
        <v>160.78314717400769</v>
      </c>
      <c r="J46" s="1" t="str">
        <f t="shared" si="6"/>
        <v>0.370170975200525+1.17147704644671i</v>
      </c>
      <c r="K46" s="1">
        <f t="shared" si="7"/>
        <v>1.7880003584460291</v>
      </c>
      <c r="L46" s="1">
        <f t="shared" si="8"/>
        <v>72.464165165376599</v>
      </c>
    </row>
    <row r="47" spans="2:12" x14ac:dyDescent="0.15">
      <c r="B47" s="1">
        <v>40000</v>
      </c>
      <c r="C47" s="1">
        <f t="shared" si="1"/>
        <v>251327.41228718346</v>
      </c>
      <c r="D47" s="73" t="str">
        <f>IMPRODUCT(COMPLEX(1/(Calculations!$B$136*(Rcs+(Calculations!$B$135/1000))),0),IMDIV(COMPLEX(1,0),COMPLEX(1,(C47*Lm)/(Rcs+(Calculations!$B$135/1000)))))</f>
        <v>0.178796408960556-8.12312547363072i</v>
      </c>
      <c r="E47" s="1">
        <f t="shared" si="2"/>
        <v>18.196566770215124</v>
      </c>
      <c r="F47" s="1">
        <f t="shared" si="3"/>
        <v>-88.739078231137967</v>
      </c>
      <c r="G47" s="1" t="str">
        <f t="shared" si="11"/>
        <v>-0.100135331452296+0.0446754443818675i</v>
      </c>
      <c r="H47" s="1">
        <f t="shared" si="4"/>
        <v>-19.199878776519444</v>
      </c>
      <c r="I47" s="1">
        <f t="shared" si="5"/>
        <v>155.95592889978093</v>
      </c>
      <c r="J47" s="1" t="str">
        <f t="shared" si="6"/>
        <v>0.345000402630375+0.821399670754796i</v>
      </c>
      <c r="K47" s="1">
        <f t="shared" si="7"/>
        <v>-1.0033120063043195</v>
      </c>
      <c r="L47" s="1">
        <f t="shared" si="8"/>
        <v>67.216850668642977</v>
      </c>
    </row>
    <row r="48" spans="2:12" x14ac:dyDescent="0.15">
      <c r="B48" s="1">
        <v>50000</v>
      </c>
      <c r="C48" s="1">
        <f t="shared" si="1"/>
        <v>314159.26535897929</v>
      </c>
      <c r="D48" s="73" t="str">
        <f>IMPRODUCT(COMPLEX(1/(Calculations!$B$136*(Rcs+(Calculations!$B$135/1000))),0),IMDIV(COMPLEX(1,0),COMPLEX(1,(C48*Lm)/(Rcs+(Calculations!$B$135/1000)))))</f>
        <v>0.114449653342105-6.49963343724476i</v>
      </c>
      <c r="E48" s="1">
        <f t="shared" si="2"/>
        <v>16.259123666416627</v>
      </c>
      <c r="F48" s="1">
        <f t="shared" si="3"/>
        <v>-88.991203958438604</v>
      </c>
      <c r="G48" s="1" t="str">
        <f t="shared" si="11"/>
        <v>-0.0924029587192135+0.0505374006926602i</v>
      </c>
      <c r="H48" s="1">
        <f t="shared" si="4"/>
        <v>-19.549769973495426</v>
      </c>
      <c r="I48" s="1">
        <f t="shared" si="5"/>
        <v>151.32469006486753</v>
      </c>
      <c r="J48" s="1" t="str">
        <f t="shared" si="6"/>
        <v>0.317899092780252+0.606369348181833i</v>
      </c>
      <c r="K48" s="1">
        <f t="shared" si="7"/>
        <v>-3.2906463070787995</v>
      </c>
      <c r="L48" s="1">
        <f t="shared" si="8"/>
        <v>62.333486106428929</v>
      </c>
    </row>
    <row r="49" spans="2:12" x14ac:dyDescent="0.15">
      <c r="B49" s="1">
        <v>60000</v>
      </c>
      <c r="C49" s="1">
        <f t="shared" si="1"/>
        <v>376991.11843077518</v>
      </c>
      <c r="D49" s="73" t="str">
        <f>IMPRODUCT(COMPLEX(1/(Calculations!$B$136*(Rcs+(Calculations!$B$135/1000))),0),IMDIV(COMPLEX(1,0),COMPLEX(1,(C49*Lm)/(Rcs+(Calculations!$B$135/1000)))))</f>
        <v>0.0794864542838156-5.41687424279213i</v>
      </c>
      <c r="E49" s="1">
        <f t="shared" si="2"/>
        <v>14.675910095613659</v>
      </c>
      <c r="F49" s="1">
        <f t="shared" si="3"/>
        <v>-89.159310089015364</v>
      </c>
      <c r="G49" s="1" t="str">
        <f t="shared" si="11"/>
        <v>-0.0844341441296188+0.0548224271133475i</v>
      </c>
      <c r="H49" s="1">
        <f t="shared" si="4"/>
        <v>-19.941923931058572</v>
      </c>
      <c r="I49" s="1">
        <f t="shared" si="5"/>
        <v>147.00465254449242</v>
      </c>
      <c r="J49" s="1" t="str">
        <f t="shared" si="6"/>
        <v>0.290254822620289+0.461726780894403i</v>
      </c>
      <c r="K49" s="1">
        <f t="shared" si="7"/>
        <v>-5.2660138354449195</v>
      </c>
      <c r="L49" s="1">
        <f t="shared" si="8"/>
        <v>57.845342455477052</v>
      </c>
    </row>
    <row r="50" spans="2:12" x14ac:dyDescent="0.15">
      <c r="B50" s="1">
        <v>70000</v>
      </c>
      <c r="C50" s="1">
        <f t="shared" si="1"/>
        <v>439822.97150257102</v>
      </c>
      <c r="D50" s="73" t="str">
        <f>IMPRODUCT(COMPLEX(1/(Calculations!$B$136*(Rcs+(Calculations!$B$135/1000))),0),IMDIV(COMPLEX(1,0),COMPLEX(1,(C50*Lm)/(Rcs+(Calculations!$B$135/1000)))))</f>
        <v>0.0584015468560024-4.64330026266162i</v>
      </c>
      <c r="E50" s="1">
        <f t="shared" si="2"/>
        <v>13.337222352998046</v>
      </c>
      <c r="F50" s="1">
        <f t="shared" si="3"/>
        <v>-89.279394928247399</v>
      </c>
      <c r="G50" s="1" t="str">
        <f t="shared" si="11"/>
        <v>-0.0766245828815318+0.0576654781615432i</v>
      </c>
      <c r="H50" s="1">
        <f t="shared" si="4"/>
        <v>-20.363710933975749</v>
      </c>
      <c r="I50" s="1">
        <f t="shared" si="5"/>
        <v>143.0359231610035</v>
      </c>
      <c r="J50" s="1" t="str">
        <f t="shared" si="6"/>
        <v>0.263283135726524+0.359158698944979i</v>
      </c>
      <c r="K50" s="1">
        <f t="shared" si="7"/>
        <v>-7.0264885809776985</v>
      </c>
      <c r="L50" s="1">
        <f t="shared" si="8"/>
        <v>53.756528232756132</v>
      </c>
    </row>
    <row r="51" spans="2:12" x14ac:dyDescent="0.15">
      <c r="B51" s="1">
        <v>80000</v>
      </c>
      <c r="C51" s="1">
        <f t="shared" si="1"/>
        <v>502654.82457436691</v>
      </c>
      <c r="D51" s="73" t="str">
        <f>IMPRODUCT(COMPLEX(1/(Calculations!$B$136*(Rcs+(Calculations!$B$135/1000))),0),IMDIV(COMPLEX(1,0),COMPLEX(1,(C51*Lm)/(Rcs+(Calculations!$B$135/1000)))))</f>
        <v>0.0447153419672326-4.06303835191979i</v>
      </c>
      <c r="E51" s="1">
        <f t="shared" si="2"/>
        <v>12.177544415014518</v>
      </c>
      <c r="F51" s="1">
        <f t="shared" si="3"/>
        <v>-89.369462770364692</v>
      </c>
      <c r="G51" s="1" t="str">
        <f t="shared" si="11"/>
        <v>-0.0692355809937563+0.0592947646465913i</v>
      </c>
      <c r="H51" s="1">
        <f t="shared" si="4"/>
        <v>-20.804285160373045</v>
      </c>
      <c r="I51" s="1">
        <f t="shared" si="5"/>
        <v>139.42257582808224</v>
      </c>
      <c r="J51" s="1" t="str">
        <f t="shared" si="6"/>
        <v>0.237821010146722+0.28395820657312i</v>
      </c>
      <c r="K51" s="1">
        <f t="shared" si="7"/>
        <v>-8.626740745358525</v>
      </c>
      <c r="L51" s="1">
        <f t="shared" si="8"/>
        <v>50.05311305771766</v>
      </c>
    </row>
    <row r="52" spans="2:12" x14ac:dyDescent="0.15">
      <c r="B52" s="1">
        <v>90000</v>
      </c>
      <c r="C52" s="1">
        <f t="shared" si="1"/>
        <v>565486.6776461628</v>
      </c>
      <c r="D52" s="73" t="str">
        <f>IMPRODUCT(COMPLEX(1/(Calculations!$B$136*(Rcs+(Calculations!$B$135/1000))),0),IMDIV(COMPLEX(1,0),COMPLEX(1,(C52*Lm)/(Rcs+(Calculations!$B$135/1000)))))</f>
        <v>0.0353315385848721-3.61168144389565i</v>
      </c>
      <c r="E52" s="1">
        <f t="shared" si="2"/>
        <v>11.154604351662238</v>
      </c>
      <c r="F52" s="1">
        <f t="shared" si="3"/>
        <v>-89.439517713863523</v>
      </c>
      <c r="G52" s="1" t="str">
        <f t="shared" si="11"/>
        <v>-0.0624143923103807+0.0599583235726907i</v>
      </c>
      <c r="H52" s="1">
        <f t="shared" si="4"/>
        <v>-21.254858907131535</v>
      </c>
      <c r="I52" s="1">
        <f t="shared" si="5"/>
        <v>136.14979455278444</v>
      </c>
      <c r="J52" s="1" t="str">
        <f t="shared" si="6"/>
        <v>0.214345168144413+0.227539322362218i</v>
      </c>
      <c r="K52" s="1">
        <f t="shared" si="7"/>
        <v>-10.100254555469286</v>
      </c>
      <c r="L52" s="1">
        <f t="shared" si="8"/>
        <v>46.710276838920862</v>
      </c>
    </row>
    <row r="53" spans="2:12" x14ac:dyDescent="0.15">
      <c r="B53" s="1">
        <v>100000</v>
      </c>
      <c r="C53" s="1">
        <f t="shared" si="1"/>
        <v>628318.53071795858</v>
      </c>
      <c r="D53" s="73" t="str">
        <f>IMPRODUCT(COMPLEX(1/(Calculations!$B$136*(Rcs+(Calculations!$B$135/1000))),0),IMDIV(COMPLEX(1,0),COMPLEX(1,(C53*Lm)/(Rcs+(Calculations!$B$135/1000)))))</f>
        <v>0.0286190665775938-3.25057239823078i</v>
      </c>
      <c r="E53" s="1">
        <f t="shared" si="2"/>
        <v>10.239533500337021</v>
      </c>
      <c r="F53" s="1">
        <f t="shared" si="3"/>
        <v>-89.495562885362773</v>
      </c>
      <c r="G53" s="1" t="str">
        <f t="shared" si="11"/>
        <v>-0.0562234996209931+0.059886088152351i</v>
      </c>
      <c r="H53" s="1">
        <f t="shared" si="4"/>
        <v>-21.708619042266779</v>
      </c>
      <c r="I53" s="1">
        <f t="shared" si="5"/>
        <v>133.19324736893566</v>
      </c>
      <c r="J53" s="1" t="str">
        <f t="shared" si="6"/>
        <v>0.193055001107169+0.184472439943843i</v>
      </c>
      <c r="K53" s="1">
        <f t="shared" si="7"/>
        <v>-11.469085541929751</v>
      </c>
      <c r="L53" s="1">
        <f t="shared" si="8"/>
        <v>43.697684483572949</v>
      </c>
    </row>
    <row r="54" spans="2:12" x14ac:dyDescent="0.15">
      <c r="B54" s="1">
        <v>200000</v>
      </c>
      <c r="C54" s="1">
        <f t="shared" si="1"/>
        <v>1256637.0614359172</v>
      </c>
      <c r="D54" s="73" t="str">
        <f>IMPRODUCT(COMPLEX(1/(Calculations!$B$136*(Rcs+(Calculations!$B$135/1000))),0),IMDIV(COMPLEX(1,0),COMPLEX(1,(C54*Lm)/(Rcs+(Calculations!$B$135/1000)))))</f>
        <v>0.00715518259290025-1.625380686524i</v>
      </c>
      <c r="E54" s="1">
        <f t="shared" si="2"/>
        <v>4.2191860605443896</v>
      </c>
      <c r="F54" s="1">
        <f t="shared" si="3"/>
        <v>-89.747776555097062</v>
      </c>
      <c r="G54" s="1" t="str">
        <f t="shared" si="11"/>
        <v>-0.0219095828861084+0.0463592397900226i</v>
      </c>
      <c r="H54" s="1">
        <f t="shared" si="4"/>
        <v>-25.801749003096152</v>
      </c>
      <c r="I54" s="1">
        <f t="shared" si="5"/>
        <v>115.29562636230865</v>
      </c>
      <c r="J54" s="1" t="str">
        <f t="shared" si="6"/>
        <v>0.0751946459305533+0.035943121698443i</v>
      </c>
      <c r="K54" s="1">
        <f t="shared" si="7"/>
        <v>-21.58256294255176</v>
      </c>
      <c r="L54" s="1">
        <f t="shared" si="8"/>
        <v>25.547849807211566</v>
      </c>
    </row>
    <row r="55" spans="2:12" x14ac:dyDescent="0.15">
      <c r="B55" s="1">
        <v>300000</v>
      </c>
      <c r="C55" s="1">
        <f t="shared" si="1"/>
        <v>1884955.5921538759</v>
      </c>
      <c r="D55" s="73" t="str">
        <f>IMPRODUCT(COMPLEX(1/(Calculations!$B$136*(Rcs+(Calculations!$B$135/1000))),0),IMDIV(COMPLEX(1,0),COMPLEX(1,(C55*Lm)/(Rcs+(Calculations!$B$135/1000)))))</f>
        <v>0.00318011538920352-1.08359879026526i</v>
      </c>
      <c r="E55" s="1">
        <f t="shared" si="2"/>
        <v>0.69740763539091033</v>
      </c>
      <c r="F55" s="1">
        <f t="shared" si="3"/>
        <v>-89.831850433300971</v>
      </c>
      <c r="G55" s="1" t="str">
        <f t="shared" si="11"/>
        <v>-0.0108614489148951+0.0344298677663537i</v>
      </c>
      <c r="H55" s="1">
        <f t="shared" si="4"/>
        <v>-28.849266593143724</v>
      </c>
      <c r="I55" s="1">
        <f t="shared" si="5"/>
        <v>107.50870809195946</v>
      </c>
      <c r="J55" s="1" t="str">
        <f t="shared" si="6"/>
        <v>0.0372736223997704+0.0118789438570403i</v>
      </c>
      <c r="K55" s="1">
        <f t="shared" si="7"/>
        <v>-28.151858957752825</v>
      </c>
      <c r="L55" s="1">
        <f t="shared" si="8"/>
        <v>17.676857658658555</v>
      </c>
    </row>
    <row r="56" spans="2:12" x14ac:dyDescent="0.15">
      <c r="B56" s="1">
        <v>400000</v>
      </c>
      <c r="C56" s="1">
        <f t="shared" si="1"/>
        <v>2513274.1228718343</v>
      </c>
      <c r="D56" s="73" t="str">
        <f>IMPRODUCT(COMPLEX(1/(Calculations!$B$136*(Rcs+(Calculations!$B$135/1000))),0),IMDIV(COMPLEX(1,0),COMPLEX(1,(C56*Lm)/(Rcs+(Calculations!$B$135/1000)))))</f>
        <v>0.00178882164689562-0.812702155046385i</v>
      </c>
      <c r="E56" s="1">
        <f t="shared" si="2"/>
        <v>-1.8013507320701041</v>
      </c>
      <c r="F56" s="1">
        <f t="shared" si="3"/>
        <v>-89.87388766657385</v>
      </c>
      <c r="G56" s="1" t="str">
        <f t="shared" si="11"/>
        <v>-0.00636674969709385+0.0268975602506681i</v>
      </c>
      <c r="H56" s="1">
        <f t="shared" si="4"/>
        <v>-31.16898541598654</v>
      </c>
      <c r="I56" s="1">
        <f t="shared" si="5"/>
        <v>103.3170174829781</v>
      </c>
      <c r="J56" s="1" t="str">
        <f t="shared" si="6"/>
        <v>0.0218483162015294+0.00522238613749417i</v>
      </c>
      <c r="K56" s="1">
        <f t="shared" si="7"/>
        <v>-32.970336148056646</v>
      </c>
      <c r="L56" s="1">
        <f t="shared" si="8"/>
        <v>13.443129816404278</v>
      </c>
    </row>
    <row r="57" spans="2:12" x14ac:dyDescent="0.15">
      <c r="B57" s="1">
        <v>500000</v>
      </c>
      <c r="C57" s="1">
        <f t="shared" si="1"/>
        <v>3141592.653589793</v>
      </c>
      <c r="D57" s="73" t="str">
        <f>IMPRODUCT(COMPLEX(1/(Calculations!$B$136*(Rcs+(Calculations!$B$135/1000))),0),IMDIV(COMPLEX(1,0),COMPLEX(1,(C57*Lm)/(Rcs+(Calculations!$B$135/1000)))))</f>
        <v>0.0011448478507436-0.650162857986867i</v>
      </c>
      <c r="E57" s="1">
        <f t="shared" si="2"/>
        <v>-3.7395434176897728</v>
      </c>
      <c r="F57" s="1">
        <f t="shared" si="3"/>
        <v>-89.899110074604948</v>
      </c>
      <c r="G57" s="1" t="str">
        <f t="shared" si="11"/>
        <v>-0.0041556899510875+0.0219411673659259i</v>
      </c>
      <c r="H57" s="1">
        <f t="shared" si="4"/>
        <v>-33.021740567577361</v>
      </c>
      <c r="I57" s="1">
        <f t="shared" si="5"/>
        <v>100.72486657652355</v>
      </c>
      <c r="J57" s="1" t="str">
        <f t="shared" si="6"/>
        <v>0.0142605744494897+0.00272699455380804i</v>
      </c>
      <c r="K57" s="1">
        <f t="shared" si="7"/>
        <v>-36.761283985267134</v>
      </c>
      <c r="L57" s="1">
        <f t="shared" si="8"/>
        <v>10.825756501918624</v>
      </c>
    </row>
    <row r="58" spans="2:12" x14ac:dyDescent="0.15">
      <c r="B58" s="1">
        <v>600000</v>
      </c>
      <c r="C58" s="1">
        <f t="shared" si="1"/>
        <v>3769911.1843077517</v>
      </c>
      <c r="D58" s="73" t="str">
        <f>IMPRODUCT(COMPLEX(1/(Calculations!$B$136*(Rcs+(Calculations!$B$135/1000))),0),IMDIV(COMPLEX(1,0),COMPLEX(1,(C58*Lm)/(Rcs+(Calculations!$B$135/1000)))))</f>
        <v>0.000795033982909857-0.541802894967696i</v>
      </c>
      <c r="E58" s="1">
        <f t="shared" si="2"/>
        <v>-5.3231642240709789</v>
      </c>
      <c r="F58" s="1">
        <f t="shared" si="3"/>
        <v>-89.915925035619495</v>
      </c>
      <c r="G58" s="1" t="str">
        <f t="shared" si="11"/>
        <v>-0.00291738697423843+0.0184817792138759i</v>
      </c>
      <c r="H58" s="1">
        <f t="shared" si="4"/>
        <v>-34.558236317116567</v>
      </c>
      <c r="I58" s="1">
        <f t="shared" si="5"/>
        <v>98.970241034083671</v>
      </c>
      <c r="J58" s="1" t="str">
        <f t="shared" si="6"/>
        <v>0.0100111620604459+0.0015953423509231i</v>
      </c>
      <c r="K58" s="1">
        <f t="shared" si="7"/>
        <v>-39.881400541187574</v>
      </c>
      <c r="L58" s="1">
        <f t="shared" si="8"/>
        <v>9.0543159984642294</v>
      </c>
    </row>
    <row r="59" spans="2:12" x14ac:dyDescent="0.15">
      <c r="B59" s="1">
        <v>700000</v>
      </c>
      <c r="C59" s="1">
        <f t="shared" si="1"/>
        <v>4398229.7150257099</v>
      </c>
      <c r="D59" s="73" t="str">
        <f>IMPRODUCT(COMPLEX(1/(Calculations!$B$136*(Rcs+(Calculations!$B$135/1000))),0),IMDIV(COMPLEX(1,0),COMPLEX(1,(C59*Lm)/(Rcs+(Calculations!$B$135/1000)))))</f>
        <v>0.000584106933366771-0.464402746696368i</v>
      </c>
      <c r="E59" s="1">
        <f t="shared" si="2"/>
        <v>-6.6620975357246479</v>
      </c>
      <c r="F59" s="1">
        <f t="shared" si="3"/>
        <v>-89.92793573109418</v>
      </c>
      <c r="G59" s="1" t="str">
        <f t="shared" si="11"/>
        <v>-0.00215758248671919+0.0159453821037064i</v>
      </c>
      <c r="H59" s="1">
        <f t="shared" si="4"/>
        <v>-35.868505502546718</v>
      </c>
      <c r="I59" s="1">
        <f t="shared" si="5"/>
        <v>97.705936118809518</v>
      </c>
      <c r="J59" s="1" t="str">
        <f t="shared" si="6"/>
        <v>0.00740381898719456+0.00101130104129833i</v>
      </c>
      <c r="K59" s="1">
        <f t="shared" si="7"/>
        <v>-42.530603038271366</v>
      </c>
      <c r="L59" s="1">
        <f t="shared" si="8"/>
        <v>7.7780003877153518</v>
      </c>
    </row>
    <row r="60" spans="2:12" x14ac:dyDescent="0.15">
      <c r="B60" s="1">
        <v>800000</v>
      </c>
      <c r="C60" s="1">
        <f t="shared" si="1"/>
        <v>5026548.2457436686</v>
      </c>
      <c r="D60" s="73" t="str">
        <f>IMPRODUCT(COMPLEX(1/(Calculations!$B$136*(Rcs+(Calculations!$B$135/1000))),0),IMDIV(COMPLEX(1,0),COMPLEX(1,(C60*Lm)/(Rcs+(Calculations!$B$135/1000)))))</f>
        <v>0.000447207036670338-0.406352554023064i</v>
      </c>
      <c r="E60" s="1">
        <f t="shared" si="2"/>
        <v>-7.8219348650401175</v>
      </c>
      <c r="F60" s="1">
        <f t="shared" si="3"/>
        <v>-89.93694375691426</v>
      </c>
      <c r="G60" s="1" t="str">
        <f t="shared" si="11"/>
        <v>-0.00165903081737644+0.0140118376385022i</v>
      </c>
      <c r="H60" s="1">
        <f t="shared" si="4"/>
        <v>-37.009636915911472</v>
      </c>
      <c r="I60" s="1">
        <f t="shared" si="5"/>
        <v>96.752502403496436</v>
      </c>
      <c r="J60" s="1" t="str">
        <f t="shared" si="6"/>
        <v>0.00569300408070628+0.000680417602232508i</v>
      </c>
      <c r="K60" s="1">
        <f t="shared" si="7"/>
        <v>-44.831571780951592</v>
      </c>
      <c r="L60" s="1">
        <f t="shared" si="8"/>
        <v>6.8155586465821836</v>
      </c>
    </row>
    <row r="61" spans="2:12" x14ac:dyDescent="0.15">
      <c r="B61" s="1">
        <v>900000</v>
      </c>
      <c r="C61" s="1">
        <f t="shared" si="1"/>
        <v>5654866.7764616273</v>
      </c>
      <c r="D61" s="73" t="str">
        <f>IMPRODUCT(COMPLEX(1/(Calculations!$B$136*(Rcs+(Calculations!$B$135/1000))),0),IMDIV(COMPLEX(1,0),COMPLEX(1,(C61*Lm)/(Rcs+(Calculations!$B$135/1000)))))</f>
        <v>0.000353348859535926-0.361202362060173i</v>
      </c>
      <c r="E61" s="1">
        <f t="shared" si="2"/>
        <v>-8.8449842100133349</v>
      </c>
      <c r="F61" s="1">
        <f t="shared" si="3"/>
        <v>-89.943950001396715</v>
      </c>
      <c r="G61" s="1" t="str">
        <f t="shared" si="11"/>
        <v>-0.00131473066088656+0.0124915706538874i</v>
      </c>
      <c r="H61" s="1">
        <f t="shared" si="4"/>
        <v>-38.019814815073175</v>
      </c>
      <c r="I61" s="1">
        <f t="shared" si="5"/>
        <v>96.008227888500457</v>
      </c>
      <c r="J61" s="1" t="str">
        <f t="shared" si="6"/>
        <v>0.00451152026744605+0.000479297702429521i</v>
      </c>
      <c r="K61" s="1">
        <f t="shared" si="7"/>
        <v>-46.864799025086505</v>
      </c>
      <c r="L61" s="1">
        <f t="shared" si="8"/>
        <v>6.0642778871037422</v>
      </c>
    </row>
    <row r="62" spans="2:12" x14ac:dyDescent="0.15">
      <c r="B62" s="1">
        <v>1000000</v>
      </c>
      <c r="C62" s="1">
        <f t="shared" si="1"/>
        <v>6283185.307179586</v>
      </c>
      <c r="D62" s="73" t="str">
        <f>IMPRODUCT(COMPLEX(1/(Calculations!$B$136*(Rcs+(Calculations!$B$135/1000))),0),IMDIV(COMPLEX(1,0),COMPLEX(1,(C62*Lm)/(Rcs+(Calculations!$B$135/1000)))))</f>
        <v>0.000286212628265408-0.325082184963015i</v>
      </c>
      <c r="E62" s="1">
        <f t="shared" si="2"/>
        <v>-9.7601332315602605</v>
      </c>
      <c r="F62" s="1">
        <f t="shared" si="3"/>
        <v>-89.949554998199616</v>
      </c>
      <c r="G62" s="1" t="str">
        <f t="shared" si="11"/>
        <v>-0.00106719802839231+0.0112660981137714i</v>
      </c>
      <c r="H62" s="1">
        <f t="shared" si="4"/>
        <v>-38.925733499539952</v>
      </c>
      <c r="I62" s="1">
        <f t="shared" si="5"/>
        <v>95.411281790215497</v>
      </c>
      <c r="J62" s="1" t="str">
        <f t="shared" si="6"/>
        <v>0.00366210234527992+0.000350151566409432i</v>
      </c>
      <c r="K62" s="1">
        <f t="shared" si="7"/>
        <v>-48.685866731100226</v>
      </c>
      <c r="L62" s="1">
        <f t="shared" si="8"/>
        <v>5.4617267920158881</v>
      </c>
    </row>
    <row r="69" spans="2:97" x14ac:dyDescent="0.15">
      <c r="Q69" t="s">
        <v>398</v>
      </c>
    </row>
    <row r="74" spans="2:97" ht="28.5" x14ac:dyDescent="0.3">
      <c r="B74" s="30" t="s">
        <v>192</v>
      </c>
      <c r="C74" s="29"/>
      <c r="D74" s="29"/>
      <c r="E74" s="29"/>
    </row>
    <row r="75" spans="2:97" ht="28.5" x14ac:dyDescent="0.3">
      <c r="B75" s="29"/>
      <c r="C75" s="29"/>
      <c r="D75" s="29"/>
      <c r="E75" s="29"/>
    </row>
    <row r="76" spans="2:97" ht="14.25" thickBot="1" x14ac:dyDescent="0.2">
      <c r="B76" s="213" t="s">
        <v>33</v>
      </c>
      <c r="C76" s="213"/>
      <c r="D76" s="206" t="s">
        <v>31</v>
      </c>
      <c r="E76" s="202"/>
      <c r="F76" s="202"/>
      <c r="G76" s="202"/>
      <c r="H76" s="202"/>
      <c r="I76" s="202"/>
      <c r="J76" s="202"/>
      <c r="K76" s="202"/>
      <c r="L76" s="202"/>
      <c r="M76" s="202"/>
      <c r="N76" s="202"/>
      <c r="O76" s="202"/>
      <c r="P76" s="202"/>
      <c r="Q76" s="202"/>
      <c r="R76" s="202"/>
      <c r="S76" s="202"/>
      <c r="T76" s="202"/>
    </row>
    <row r="77" spans="2:97" ht="14.25" thickBot="1" x14ac:dyDescent="0.2">
      <c r="B77" s="213"/>
      <c r="C77" s="213"/>
      <c r="D77" s="203" t="s">
        <v>0</v>
      </c>
      <c r="E77" s="204"/>
      <c r="F77" s="205"/>
      <c r="G77" s="203" t="s">
        <v>386</v>
      </c>
      <c r="H77" s="204"/>
      <c r="I77" s="205"/>
      <c r="J77" s="203" t="s">
        <v>387</v>
      </c>
      <c r="K77" s="204"/>
      <c r="L77" s="205"/>
      <c r="M77" s="203" t="s">
        <v>390</v>
      </c>
      <c r="N77" s="205"/>
      <c r="O77" s="207" t="s">
        <v>444</v>
      </c>
      <c r="P77" s="208"/>
      <c r="Q77" s="209"/>
      <c r="R77" s="210" t="s">
        <v>445</v>
      </c>
      <c r="S77" s="211"/>
      <c r="T77" s="211"/>
      <c r="U77" s="202" t="s">
        <v>393</v>
      </c>
      <c r="V77" s="202"/>
      <c r="W77" s="202"/>
      <c r="X77" t="s">
        <v>387</v>
      </c>
    </row>
    <row r="78" spans="2:97" ht="40.5" x14ac:dyDescent="0.15">
      <c r="B78" s="71" t="s">
        <v>35</v>
      </c>
      <c r="C78" s="84" t="s">
        <v>34</v>
      </c>
      <c r="D78" s="85" t="s">
        <v>38</v>
      </c>
      <c r="E78" s="71" t="s">
        <v>36</v>
      </c>
      <c r="F78" s="86" t="s">
        <v>37</v>
      </c>
      <c r="G78" s="85" t="s">
        <v>38</v>
      </c>
      <c r="H78" s="71" t="s">
        <v>36</v>
      </c>
      <c r="I78" s="86" t="s">
        <v>37</v>
      </c>
      <c r="J78" s="85" t="s">
        <v>38</v>
      </c>
      <c r="K78" s="71" t="s">
        <v>36</v>
      </c>
      <c r="L78" s="86" t="s">
        <v>37</v>
      </c>
      <c r="M78" s="85" t="s">
        <v>388</v>
      </c>
      <c r="N78" s="86" t="s">
        <v>389</v>
      </c>
      <c r="O78" s="85" t="s">
        <v>38</v>
      </c>
      <c r="P78" s="71" t="s">
        <v>36</v>
      </c>
      <c r="Q78" s="86" t="s">
        <v>37</v>
      </c>
      <c r="R78" s="89" t="s">
        <v>38</v>
      </c>
      <c r="S78" s="90" t="s">
        <v>36</v>
      </c>
      <c r="T78" s="91" t="s">
        <v>37</v>
      </c>
      <c r="U78" s="89" t="s">
        <v>38</v>
      </c>
      <c r="V78" s="90" t="s">
        <v>36</v>
      </c>
      <c r="W78" s="91" t="s">
        <v>37</v>
      </c>
      <c r="X78" s="89" t="s">
        <v>38</v>
      </c>
      <c r="Y78" s="90" t="s">
        <v>36</v>
      </c>
      <c r="Z78" s="91" t="s">
        <v>37</v>
      </c>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row>
    <row r="79" spans="2:97" x14ac:dyDescent="0.15">
      <c r="B79" s="1">
        <v>1</v>
      </c>
      <c r="C79" s="22">
        <f t="shared" ref="C79:C110" si="12">2*PI()*B79</f>
        <v>6.2831853071795862</v>
      </c>
      <c r="D79" s="26" t="str">
        <f t="shared" ref="D79:D110" si="13">IMDIV(COMPLEX((V12_Nom/(I_Channel_Design*np)),((Zo_Buck_Cout*Zo_Buck_Resr*V12_Nom)/(I_Channel_Design*np))*C79),COMPLEX(1,((Zo_Buck_Cout*Zo_Buck_Resr)+((Zo_Buck_Cout*V12_Nom)/(I_Channel_Design*np)))*C79))</f>
        <v>0.444440629861683-0.00116366444246557i</v>
      </c>
      <c r="E79" s="1">
        <f t="shared" ref="E79:E137" si="14">20*LOG(IMABS(D79))</f>
        <v>-7.0436951397040461</v>
      </c>
      <c r="F79" s="6">
        <f t="shared" ref="F79" si="15">IMARGUMENT(D79)*(180/PI())</f>
        <v>-0.15001533273170786</v>
      </c>
      <c r="G79" s="5" t="str">
        <f t="shared" ref="G79:G110" si="16">IMDIV(COMPLEX(V48_Max,0),IMSUM(COMPLEX(Rcs/np,(Lm*C79)/np),D79))</f>
        <v>191.035449599757+0.493280258227289i</v>
      </c>
      <c r="H79" s="1">
        <f>20*LOG10(IMABS(G79))</f>
        <v>45.622308252731571</v>
      </c>
      <c r="I79" s="6">
        <f>IMARGUMENT(G79)*(180/PI())</f>
        <v>0.14794539002720436</v>
      </c>
      <c r="J79" s="26" t="str">
        <f t="shared" ref="J79:J110" si="17">IMDIV(IMPRODUCT(COMPLEX(V48_Max,0),D79),IMSUM(COMPLEX(Rcs/np,(Lm*C79)/np),D79))</f>
        <v>84.9044895587227-0.00306737128479085i</v>
      </c>
      <c r="K79" s="1">
        <f>20*LOG10(IMABS(J79))</f>
        <v>38.578613113027551</v>
      </c>
      <c r="L79" s="6">
        <f>IMARGUMENT(J79)*(180/PI())</f>
        <v>-2.0699427045035483E-3</v>
      </c>
      <c r="M79" s="26">
        <f t="shared" ref="M79:M110" si="18">(Ramp_C*Ramp_R*Fsw)/(V48_Max)</f>
        <v>0.11294117647058823</v>
      </c>
      <c r="N79" s="6">
        <f t="shared" ref="N79:N110" si="19">(Rcs*Acs)/np</f>
        <v>2.5000000000000001E-2</v>
      </c>
      <c r="O79" s="5" t="str">
        <f t="shared" ref="O79:O110" si="20">IMPRODUCT(COMPLEX(gm/(IL_Comp_Ccomp+IL_Comp_Chf),0),IMDIV(COMPLEX(1,C79*IL_Comp_Rcomp*IL_Comp_Ccomp),IMPRODUCT(COMPLEX(0,C79),COMPLEX(1,C79*IL_Comp_Rcomp*IL_Comp_Chf))))</f>
        <v>2.35247524726262-2251.13076163405i</v>
      </c>
      <c r="P79" s="1">
        <f t="shared" ref="P79:P137" si="21">20*LOG(IMABS(O79))</f>
        <v>67.048019195490951</v>
      </c>
      <c r="Q79" s="6">
        <f t="shared" ref="Q79" si="22">IMARGUMENT(O79)*(180/PI())</f>
        <v>-89.940124822463019</v>
      </c>
      <c r="R79" s="5" t="str">
        <f>IMDIV(IMPRODUCT(J79,O79,COMPLEX(M79,0)),IMSUM(COMPLEX(1,0),IMPRODUCT(G79,O79,COMPLEX(N79,0),COMPLEX(M79,0))))</f>
        <v>17.7775217000427-0.061187021787435i</v>
      </c>
      <c r="S79" s="1">
        <f>20*LOG10(IMABS(R79))</f>
        <v>24.997475795388922</v>
      </c>
      <c r="T79" s="6">
        <f>IMARGUMENT(R79)*(180/PI())</f>
        <v>-0.1972009555343392</v>
      </c>
      <c r="U79" t="str">
        <f>IMPRODUCT(COMPLEX(-1,0),IMDIV(COMPLEX(1,C79*Calculations!$B$171*Calculations!$B$173),IMPRODUCT(COMPLEX(0,C79*Calculations!$B$160),COMPLEX((Calculations!$B$173+Calculations!$B$175),C79*Calculations!$B$171*Calculations!$B$173*Calculations!$B$175))))</f>
        <v>-0.409599933766217+254.648073656938i</v>
      </c>
      <c r="V79">
        <f>20*LOG10(IMABS(U79))</f>
        <v>48.118819140396063</v>
      </c>
      <c r="W79">
        <f>IMARGUMENT(U79)*(180/PI())</f>
        <v>90.092159846006808</v>
      </c>
      <c r="X79" t="str">
        <f>IMPRODUCT(U79,R79)</f>
        <v>8.29948552011044+4527.03671751036i</v>
      </c>
      <c r="Y79">
        <f>20*LOG10(IMABS(X79))</f>
        <v>73.116294935784993</v>
      </c>
      <c r="Z79">
        <f>IMARGUMENT(X79)*(180/PI())</f>
        <v>89.894958890472466</v>
      </c>
    </row>
    <row r="80" spans="2:97" x14ac:dyDescent="0.15">
      <c r="B80" s="1">
        <v>2</v>
      </c>
      <c r="C80" s="22">
        <f t="shared" si="12"/>
        <v>12.566370614359172</v>
      </c>
      <c r="D80" s="26" t="str">
        <f t="shared" si="13"/>
        <v>0.444429186605267-0.00232725386115786i</v>
      </c>
      <c r="E80" s="1">
        <f t="shared" si="14"/>
        <v>-7.0438294691305288</v>
      </c>
      <c r="F80" s="6">
        <f t="shared" ref="F80:F133" si="23">IMARGUMENT(D80)*(180/PI())</f>
        <v>-0.3000266619577317</v>
      </c>
      <c r="G80" s="5" t="str">
        <f t="shared" si="16"/>
        <v>191.036541811496+0.986559318206852i</v>
      </c>
      <c r="H80" s="1">
        <f t="shared" ref="H80:H137" si="24">20*LOG10(IMABS(G80))</f>
        <v>45.622444778646063</v>
      </c>
      <c r="I80" s="6">
        <f t="shared" ref="I80:I133" si="25">IMARGUMENT(G80)*(180/PI())</f>
        <v>0.29588675623133132</v>
      </c>
      <c r="J80" s="26" t="str">
        <f t="shared" si="17"/>
        <v>84.9045108631488-0.00613477422453093i</v>
      </c>
      <c r="K80" s="1">
        <f t="shared" ref="K80:K137" si="26">20*LOG10(IMABS(J80))</f>
        <v>38.578615309515534</v>
      </c>
      <c r="L80" s="6">
        <f t="shared" ref="L80:L133" si="27">IMARGUMENT(J80)*(180/PI())</f>
        <v>-4.1399057264003307E-3</v>
      </c>
      <c r="M80" s="26">
        <f t="shared" si="18"/>
        <v>0.11294117647058823</v>
      </c>
      <c r="N80" s="6">
        <f t="shared" si="19"/>
        <v>2.5000000000000001E-2</v>
      </c>
      <c r="O80" s="5" t="str">
        <f t="shared" si="20"/>
        <v>2.35247524647624-1125.56541806524i</v>
      </c>
      <c r="P80" s="1">
        <f t="shared" si="21"/>
        <v>61.027433797952796</v>
      </c>
      <c r="Q80" s="6">
        <f t="shared" ref="Q80:Q133" si="28">IMARGUMENT(O80)*(180/PI())</f>
        <v>-89.880249779703774</v>
      </c>
      <c r="R80" s="5" t="str">
        <f t="shared" ref="R80:R133" si="29">IMDIV(IMPRODUCT(J80,O80,COMPLEX(M80,0)),IMSUM(COMPLEX(1,0),IMPRODUCT(G80,O80,COMPLEX(N80,0),COMPLEX(M80,0))))</f>
        <v>17.776753521012-0.122367593889034i</v>
      </c>
      <c r="S80" s="1">
        <f t="shared" ref="S80:S137" si="30">20*LOG10(IMABS(R80))</f>
        <v>24.99725479665214</v>
      </c>
      <c r="T80" s="6">
        <f t="shared" ref="T80:T133" si="31">IMARGUMENT(R80)*(180/PI())</f>
        <v>-0.39439349463403506</v>
      </c>
      <c r="U80" t="str">
        <f>IMPRODUCT(COMPLEX(-1,0),IMDIV(COMPLEX(1,C80*Calculations!$B$171*Calculations!$B$173),IMPRODUCT(COMPLEX(0,C80*Calculations!$B$160),COMPLEX((Calculations!$B$173+Calculations!$B$175),C80*Calculations!$B$171*Calculations!$B$173*Calculations!$B$175))))</f>
        <v>-0.409599735064995+127.324283893169i</v>
      </c>
      <c r="V80">
        <f t="shared" ref="V80:V137" si="32">20*LOG10(IMABS(U80))</f>
        <v>42.098269790011003</v>
      </c>
      <c r="W80">
        <f t="shared" ref="W80:W134" si="33">IMARGUMENT(U80)*(180/PI())</f>
        <v>90.184318768063477</v>
      </c>
      <c r="X80" t="str">
        <f t="shared" ref="X80:X134" si="34">IMPRODUCT(U80,R80)</f>
        <v>8.29901273112914+2263.46253374226i</v>
      </c>
      <c r="Y80">
        <f t="shared" ref="Y80:Y137" si="35">20*LOG10(IMABS(X80))</f>
        <v>67.095524586663132</v>
      </c>
      <c r="Z80">
        <f t="shared" ref="Z80:Z134" si="36">IMARGUMENT(X80)*(180/PI())</f>
        <v>89.789925273429446</v>
      </c>
    </row>
    <row r="81" spans="2:26" x14ac:dyDescent="0.15">
      <c r="B81" s="1">
        <v>3</v>
      </c>
      <c r="C81" s="22">
        <f t="shared" si="12"/>
        <v>18.849555921538759</v>
      </c>
      <c r="D81" s="26" t="str">
        <f t="shared" si="13"/>
        <v>0.44441011615064-0.00349069324842582i</v>
      </c>
      <c r="E81" s="1">
        <f t="shared" si="14"/>
        <v>-7.044053341495693</v>
      </c>
      <c r="F81" s="6">
        <f t="shared" si="23"/>
        <v>-0.45002998469266964</v>
      </c>
      <c r="G81" s="5" t="str">
        <f t="shared" si="16"/>
        <v>191.038362160419+1.47983598169664i</v>
      </c>
      <c r="H81" s="1">
        <f t="shared" si="24"/>
        <v>45.622672311812231</v>
      </c>
      <c r="I81" s="6">
        <f t="shared" si="25"/>
        <v>0.44382007530972573</v>
      </c>
      <c r="J81" s="26" t="str">
        <f t="shared" si="17"/>
        <v>84.9045463704098-0.00920224047399939i</v>
      </c>
      <c r="K81" s="1">
        <f t="shared" si="26"/>
        <v>38.578618970316526</v>
      </c>
      <c r="L81" s="6">
        <f t="shared" si="27"/>
        <v>-6.2099093829427526E-3</v>
      </c>
      <c r="M81" s="26">
        <f t="shared" si="18"/>
        <v>0.11294117647058823</v>
      </c>
      <c r="N81" s="6">
        <f t="shared" si="19"/>
        <v>2.5000000000000001E-2</v>
      </c>
      <c r="O81" s="5" t="str">
        <f t="shared" si="20"/>
        <v>2.35247524516564-750.376986763732i</v>
      </c>
      <c r="P81" s="1">
        <f t="shared" si="21"/>
        <v>57.505632809633774</v>
      </c>
      <c r="Q81" s="6">
        <f t="shared" si="28"/>
        <v>-89.820375006498253</v>
      </c>
      <c r="R81" s="5" t="str">
        <f t="shared" si="29"/>
        <v>17.7754734031808-0.183535268894026i</v>
      </c>
      <c r="S81" s="1">
        <f t="shared" si="30"/>
        <v>24.996886492396257</v>
      </c>
      <c r="T81" s="6">
        <f t="shared" si="31"/>
        <v>-0.59156920266086155</v>
      </c>
      <c r="U81" t="str">
        <f>IMPRODUCT(COMPLEX(-1,0),IMDIV(COMPLEX(1,C81*Calculations!$B$171*Calculations!$B$173),IMPRODUCT(COMPLEX(0,C81*Calculations!$B$160),COMPLEX((Calculations!$B$173+Calculations!$B$175),C81*Calculations!$B$171*Calculations!$B$173*Calculations!$B$175))))</f>
        <v>-0.409599403896722+84.8831304447573i</v>
      </c>
      <c r="V81">
        <f t="shared" si="32"/>
        <v>38.576528878971111</v>
      </c>
      <c r="W81">
        <f t="shared" si="33"/>
        <v>90.276475842265057</v>
      </c>
      <c r="X81" t="str">
        <f t="shared" si="34"/>
        <v>8.29822486082032+1508.91300353624i</v>
      </c>
      <c r="Y81">
        <f t="shared" si="35"/>
        <v>63.573415371367346</v>
      </c>
      <c r="Z81">
        <f t="shared" si="36"/>
        <v>89.684906639604193</v>
      </c>
    </row>
    <row r="82" spans="2:26" x14ac:dyDescent="0.15">
      <c r="B82" s="1">
        <v>4</v>
      </c>
      <c r="C82" s="22">
        <f t="shared" si="12"/>
        <v>25.132741228718345</v>
      </c>
      <c r="D82" s="26" t="str">
        <f t="shared" si="13"/>
        <v>0.444383420956347-0.00465390762885559i</v>
      </c>
      <c r="E82" s="1">
        <f t="shared" si="14"/>
        <v>-7.0443667417833371</v>
      </c>
      <c r="F82" s="6">
        <f t="shared" si="23"/>
        <v>-0.60002129899151679</v>
      </c>
      <c r="G82" s="5" t="str">
        <f t="shared" si="16"/>
        <v>191.040910640563+1.97310905046601i</v>
      </c>
      <c r="H82" s="1">
        <f t="shared" si="24"/>
        <v>45.622990837195346</v>
      </c>
      <c r="I82" s="6">
        <f t="shared" si="25"/>
        <v>0.59174132500042542</v>
      </c>
      <c r="J82" s="26" t="str">
        <f t="shared" si="17"/>
        <v>84.9045960803318-0.0122698016876186i</v>
      </c>
      <c r="K82" s="1">
        <f t="shared" si="26"/>
        <v>38.578624095412025</v>
      </c>
      <c r="L82" s="6">
        <f t="shared" si="27"/>
        <v>-8.2799739910903621E-3</v>
      </c>
      <c r="M82" s="26">
        <f t="shared" si="18"/>
        <v>0.11294117647058823</v>
      </c>
      <c r="N82" s="6">
        <f t="shared" si="19"/>
        <v>2.5000000000000001E-2</v>
      </c>
      <c r="O82" s="5" t="str">
        <f t="shared" si="20"/>
        <v>2.3524752433308-562.782783529052i</v>
      </c>
      <c r="P82" s="1">
        <f t="shared" si="21"/>
        <v>55.006891947153811</v>
      </c>
      <c r="Q82" s="6">
        <f t="shared" si="28"/>
        <v>-89.760500637618733</v>
      </c>
      <c r="R82" s="5" t="str">
        <f t="shared" si="29"/>
        <v>17.7736816172789-0.24468360394008i</v>
      </c>
      <c r="S82" s="1">
        <f t="shared" si="30"/>
        <v>24.996370923069449</v>
      </c>
      <c r="T82" s="6">
        <f t="shared" si="31"/>
        <v>-0.78871966856845277</v>
      </c>
      <c r="U82" t="str">
        <f>IMPRODUCT(COMPLEX(-1,0),IMDIV(COMPLEX(1,C82*Calculations!$B$171*Calculations!$B$173),IMPRODUCT(COMPLEX(0,C82*Calculations!$B$160),COMPLEX((Calculations!$B$173+Calculations!$B$175),C82*Calculations!$B$171*Calculations!$B$173*Calculations!$B$175))))</f>
        <v>-0.409598940262038+63.6626360747851i</v>
      </c>
      <c r="V82">
        <f t="shared" si="32"/>
        <v>36.077872121932351</v>
      </c>
      <c r="W82">
        <f t="shared" si="33"/>
        <v>90.368630144796882</v>
      </c>
      <c r="X82" t="str">
        <f t="shared" si="34"/>
        <v>8.29712207611187+1131.6196466548i</v>
      </c>
      <c r="Y82">
        <f t="shared" si="35"/>
        <v>61.074243045001822</v>
      </c>
      <c r="Z82">
        <f t="shared" si="36"/>
        <v>89.579910476228434</v>
      </c>
    </row>
    <row r="83" spans="2:26" x14ac:dyDescent="0.15">
      <c r="B83" s="1">
        <v>5</v>
      </c>
      <c r="C83" s="22">
        <f t="shared" si="12"/>
        <v>31.415926535897931</v>
      </c>
      <c r="D83" s="26" t="str">
        <f t="shared" si="13"/>
        <v>0.444349104463243-0.00581682207537104i</v>
      </c>
      <c r="E83" s="1">
        <f t="shared" si="14"/>
        <v>-7.0447696489752687</v>
      </c>
      <c r="F83" s="6">
        <f t="shared" si="23"/>
        <v>-0.74999660446945848</v>
      </c>
      <c r="G83" s="5" t="str">
        <f t="shared" si="16"/>
        <v>191.044187243581+2.4663773263014i</v>
      </c>
      <c r="H83" s="1">
        <f t="shared" si="24"/>
        <v>45.623400333751363</v>
      </c>
      <c r="I83" s="6">
        <f t="shared" si="25"/>
        <v>0.73964648460207472</v>
      </c>
      <c r="J83" s="26" t="str">
        <f t="shared" si="17"/>
        <v>84.9046599926712-0.0153374895193019i</v>
      </c>
      <c r="K83" s="1">
        <f t="shared" si="26"/>
        <v>38.578630684776101</v>
      </c>
      <c r="L83" s="6">
        <f t="shared" si="27"/>
        <v>-1.035011986738108E-2</v>
      </c>
      <c r="M83" s="26">
        <f t="shared" si="18"/>
        <v>0.11294117647058823</v>
      </c>
      <c r="N83" s="6">
        <f t="shared" si="19"/>
        <v>2.5000000000000001E-2</v>
      </c>
      <c r="O83" s="5" t="str">
        <f t="shared" si="20"/>
        <v>2.3524752409717-450.2262715211i</v>
      </c>
      <c r="P83" s="1">
        <f t="shared" si="21"/>
        <v>53.068735233343631</v>
      </c>
      <c r="Q83" s="6">
        <f t="shared" si="28"/>
        <v>-89.700626807832194</v>
      </c>
      <c r="R83" s="5" t="str">
        <f t="shared" si="29"/>
        <v>17.7713785421271-0.305806162983324i</v>
      </c>
      <c r="S83" s="1">
        <f t="shared" si="30"/>
        <v>24.995708145278989</v>
      </c>
      <c r="T83" s="6">
        <f t="shared" si="31"/>
        <v>-0.98583648669591306</v>
      </c>
      <c r="U83" t="str">
        <f>IMPRODUCT(COMPLEX(-1,0),IMDIV(COMPLEX(1,C83*Calculations!$B$171*Calculations!$B$173),IMPRODUCT(COMPLEX(0,C83*Calculations!$B$160),COMPLEX((Calculations!$B$173+Calculations!$B$175),C83*Calculations!$B$171*Calculations!$B$173*Calculations!$B$175))))</f>
        <v>-0.409598344161843+50.9304053357419i</v>
      </c>
      <c r="V83">
        <f t="shared" si="32"/>
        <v>34.13982353897643</v>
      </c>
      <c r="W83">
        <f t="shared" si="33"/>
        <v>90.460780751979826</v>
      </c>
      <c r="X83" t="str">
        <f t="shared" si="34"/>
        <v>8.29570461058008+905.228770223432i</v>
      </c>
      <c r="Y83">
        <f t="shared" si="35"/>
        <v>59.135531684255426</v>
      </c>
      <c r="Z83">
        <f t="shared" si="36"/>
        <v>89.474944265283924</v>
      </c>
    </row>
    <row r="84" spans="2:26" x14ac:dyDescent="0.15">
      <c r="B84" s="1">
        <v>6</v>
      </c>
      <c r="C84" s="22">
        <f t="shared" si="12"/>
        <v>37.699111843077517</v>
      </c>
      <c r="D84" s="26" t="str">
        <f t="shared" si="13"/>
        <v>0.444307171093381-0.00697936172531215i</v>
      </c>
      <c r="E84" s="1">
        <f t="shared" si="14"/>
        <v>-7.0452620360559131</v>
      </c>
      <c r="F84" s="6">
        <f t="shared" si="23"/>
        <v>-0.89995190282112103</v>
      </c>
      <c r="G84" s="5" t="str">
        <f t="shared" si="16"/>
        <v>191.04819195874+2.95963961101198i</v>
      </c>
      <c r="H84" s="1">
        <f t="shared" si="24"/>
        <v>45.623900774431362</v>
      </c>
      <c r="I84" s="6">
        <f t="shared" si="25"/>
        <v>0.88753153549333907</v>
      </c>
      <c r="J84" s="26" t="str">
        <f t="shared" si="17"/>
        <v>84.9047381071147-0.0184053356222709i</v>
      </c>
      <c r="K84" s="1">
        <f t="shared" si="26"/>
        <v>38.578638738375439</v>
      </c>
      <c r="L84" s="6">
        <f t="shared" si="27"/>
        <v>-1.242036732778188E-2</v>
      </c>
      <c r="M84" s="26">
        <f t="shared" si="18"/>
        <v>0.11294117647058823</v>
      </c>
      <c r="N84" s="6">
        <f t="shared" si="19"/>
        <v>2.5000000000000001E-2</v>
      </c>
      <c r="O84" s="5" t="str">
        <f t="shared" si="20"/>
        <v>2.35247523808835-375.188605126512i</v>
      </c>
      <c r="P84" s="1">
        <f t="shared" si="21"/>
        <v>51.485163535115852</v>
      </c>
      <c r="Q84" s="6">
        <f t="shared" si="28"/>
        <v>-89.640753651898336</v>
      </c>
      <c r="R84" s="5" t="str">
        <f t="shared" si="29"/>
        <v>17.7685646644375-0.366896519063293i</v>
      </c>
      <c r="S84" s="1">
        <f t="shared" si="30"/>
        <v>24.994898231771469</v>
      </c>
      <c r="T84" s="6">
        <f t="shared" si="31"/>
        <v>-1.1829112585584598</v>
      </c>
      <c r="U84" t="str">
        <f>IMPRODUCT(COMPLEX(-1,0),IMDIV(COMPLEX(1,C84*Calculations!$B$171*Calculations!$B$173),IMPRODUCT(COMPLEX(0,C84*Calculations!$B$160),COMPLEX((Calculations!$B$173+Calculations!$B$175),C84*Calculations!$B$171*Calculations!$B$173*Calculations!$B$175))))</f>
        <v>-0.409597615597297+42.4423064116832i</v>
      </c>
      <c r="V84">
        <f t="shared" si="32"/>
        <v>32.55638399348156</v>
      </c>
      <c r="W84">
        <f t="shared" si="33"/>
        <v>90.552926740315343</v>
      </c>
      <c r="X84" t="str">
        <f t="shared" si="34"/>
        <v>8.29397276432426+754.289145923242i</v>
      </c>
      <c r="Y84">
        <f t="shared" si="35"/>
        <v>57.551282225253019</v>
      </c>
      <c r="Z84">
        <f t="shared" si="36"/>
        <v>89.370015481756894</v>
      </c>
    </row>
    <row r="85" spans="2:26" x14ac:dyDescent="0.15">
      <c r="B85" s="1">
        <v>7</v>
      </c>
      <c r="C85" s="22">
        <f t="shared" si="12"/>
        <v>43.982297150257104</v>
      </c>
      <c r="D85" s="26" t="str">
        <f t="shared" si="13"/>
        <v>0.444257626248591-0.00814145179648482i</v>
      </c>
      <c r="E85" s="1">
        <f t="shared" si="14"/>
        <v>-7.045843870018043</v>
      </c>
      <c r="F85" s="6">
        <f t="shared" si="23"/>
        <v>-1.0498831983392078</v>
      </c>
      <c r="G85" s="5" t="str">
        <f t="shared" si="16"/>
        <v>191.052924772922+3.4528947064354i</v>
      </c>
      <c r="H85" s="1">
        <f t="shared" si="24"/>
        <v>45.624492126187377</v>
      </c>
      <c r="I85" s="6">
        <f t="shared" si="25"/>
        <v>1.0353924616516712</v>
      </c>
      <c r="J85" s="26" t="str">
        <f t="shared" si="17"/>
        <v>84.9048304232798-0.0214733716488714i</v>
      </c>
      <c r="K85" s="1">
        <f t="shared" si="26"/>
        <v>38.578648256169345</v>
      </c>
      <c r="L85" s="6">
        <f t="shared" si="27"/>
        <v>-1.4490736687538473E-2</v>
      </c>
      <c r="M85" s="26">
        <f t="shared" si="18"/>
        <v>0.11294117647058823</v>
      </c>
      <c r="N85" s="6">
        <f t="shared" si="19"/>
        <v>2.5000000000000001E-2</v>
      </c>
      <c r="O85" s="5" t="str">
        <f t="shared" si="20"/>
        <v>2.35247523468077-321.590279082421i</v>
      </c>
      <c r="P85" s="1">
        <f t="shared" si="21"/>
        <v>50.146290641246352</v>
      </c>
      <c r="Q85" s="6">
        <f t="shared" si="28"/>
        <v>-89.58088130456791</v>
      </c>
      <c r="R85" s="5" t="str">
        <f t="shared" si="29"/>
        <v>17.7652405785561-0.427948256561187i</v>
      </c>
      <c r="S85" s="1">
        <f t="shared" si="30"/>
        <v>24.993941271407042</v>
      </c>
      <c r="T85" s="6">
        <f t="shared" si="31"/>
        <v>-1.3799355946343954</v>
      </c>
      <c r="U85" t="str">
        <f>IMPRODUCT(COMPLEX(-1,0),IMDIV(COMPLEX(1,C85*Calculations!$B$171*Calculations!$B$173),IMPRODUCT(COMPLEX(0,C85*Calculations!$B$160),COMPLEX((Calculations!$B$173+Calculations!$B$175),C85*Calculations!$B$171*Calculations!$B$173*Calculations!$B$175))))</f>
        <v>-0.409596754569812+36.3794256671139i</v>
      </c>
      <c r="V85">
        <f t="shared" si="32"/>
        <v>31.217667269904581</v>
      </c>
      <c r="W85">
        <f t="shared" si="33"/>
        <v>90.645067186530625</v>
      </c>
      <c r="X85" t="str">
        <f t="shared" si="34"/>
        <v>8.29192690381018+646.464535302988i</v>
      </c>
      <c r="Y85">
        <f t="shared" si="35"/>
        <v>56.211608541311627</v>
      </c>
      <c r="Z85">
        <f t="shared" si="36"/>
        <v>89.265131591896235</v>
      </c>
    </row>
    <row r="86" spans="2:26" x14ac:dyDescent="0.15">
      <c r="B86" s="1">
        <v>8</v>
      </c>
      <c r="C86" s="22">
        <f t="shared" si="12"/>
        <v>50.26548245743669</v>
      </c>
      <c r="D86" s="26" t="str">
        <f t="shared" si="13"/>
        <v>0.444200476308742-0.00930301760317409i</v>
      </c>
      <c r="E86" s="1">
        <f t="shared" si="14"/>
        <v>-7.0465151118698728</v>
      </c>
      <c r="F86" s="6">
        <f t="shared" si="23"/>
        <v>-1.1997864984322522</v>
      </c>
      <c r="G86" s="5" t="str">
        <f t="shared" si="16"/>
        <v>191.058385670626+3.94614141444347i</v>
      </c>
      <c r="H86" s="1">
        <f t="shared" si="24"/>
        <v>45.625174349979602</v>
      </c>
      <c r="I86" s="6">
        <f t="shared" si="25"/>
        <v>1.1832252501712093</v>
      </c>
      <c r="J86" s="26" t="str">
        <f t="shared" si="17"/>
        <v>84.9049369407146-0.0245416292504135i</v>
      </c>
      <c r="K86" s="1">
        <f t="shared" si="26"/>
        <v>38.578659238109736</v>
      </c>
      <c r="L86" s="6">
        <f t="shared" si="27"/>
        <v>-1.6561248261041373E-2</v>
      </c>
      <c r="M86" s="26">
        <f t="shared" si="18"/>
        <v>0.11294117647058823</v>
      </c>
      <c r="N86" s="6">
        <f t="shared" si="19"/>
        <v>2.5000000000000001E-2</v>
      </c>
      <c r="O86" s="5" t="str">
        <f t="shared" si="20"/>
        <v>2.35247523074895-281.391540757387i</v>
      </c>
      <c r="P86" s="1">
        <f t="shared" si="21"/>
        <v>48.986524276032824</v>
      </c>
      <c r="Q86" s="6">
        <f t="shared" si="28"/>
        <v>-89.521009900580793</v>
      </c>
      <c r="R86" s="5" t="str">
        <f t="shared" si="29"/>
        <v>17.7614069861491-0.488954973449719i</v>
      </c>
      <c r="S86" s="1">
        <f t="shared" si="30"/>
        <v>24.992837369128104</v>
      </c>
      <c r="T86" s="6">
        <f t="shared" si="31"/>
        <v>-1.576901116147243</v>
      </c>
      <c r="U86" t="str">
        <f>IMPRODUCT(COMPLEX(-1,0),IMDIV(COMPLEX(1,C86*Calculations!$B$171*Calculations!$B$173),IMPRODUCT(COMPLEX(0,C86*Calculations!$B$160),COMPLEX((Calculations!$B$173+Calculations!$B$175),C86*Calculations!$B$171*Calculations!$B$173*Calculations!$B$175))))</f>
        <v>-0.409595761081054+31.8323062842058i</v>
      </c>
      <c r="V86">
        <f t="shared" si="32"/>
        <v>30.058081087439746</v>
      </c>
      <c r="W86">
        <f t="shared" si="33"/>
        <v>90.737201167623653</v>
      </c>
      <c r="X86" t="str">
        <f t="shared" si="34"/>
        <v>8.28956746167508+565.586821106015i</v>
      </c>
      <c r="Y86">
        <f t="shared" si="35"/>
        <v>55.05091845656785</v>
      </c>
      <c r="Z86">
        <f t="shared" si="36"/>
        <v>89.160300051476412</v>
      </c>
    </row>
    <row r="87" spans="2:26" x14ac:dyDescent="0.15">
      <c r="B87" s="1">
        <v>9</v>
      </c>
      <c r="C87" s="22">
        <f t="shared" si="12"/>
        <v>56.548667764616276</v>
      </c>
      <c r="D87" s="26" t="str">
        <f t="shared" si="13"/>
        <v>0.444135728629685-0.010463984572114i</v>
      </c>
      <c r="E87" s="1">
        <f t="shared" si="14"/>
        <v>-7.0472757166435196</v>
      </c>
      <c r="F87" s="6">
        <f t="shared" si="23"/>
        <v>-1.3496578141413966</v>
      </c>
      <c r="G87" s="5" t="str">
        <f t="shared" si="16"/>
        <v>191.064574633964+4.43937853694788i</v>
      </c>
      <c r="H87" s="1">
        <f t="shared" si="24"/>
        <v>45.625947400784582</v>
      </c>
      <c r="I87" s="6">
        <f t="shared" si="25"/>
        <v>1.331025891779718</v>
      </c>
      <c r="J87" s="26" t="str">
        <f t="shared" si="17"/>
        <v>84.9050576588966-0.0276101400769905i</v>
      </c>
      <c r="K87" s="1">
        <f t="shared" si="26"/>
        <v>38.578671684141035</v>
      </c>
      <c r="L87" s="6">
        <f t="shared" si="27"/>
        <v>-1.8631922361677881E-2</v>
      </c>
      <c r="M87" s="26">
        <f t="shared" si="18"/>
        <v>0.11294117647058823</v>
      </c>
      <c r="N87" s="6">
        <f t="shared" si="19"/>
        <v>2.5000000000000001E-2</v>
      </c>
      <c r="O87" s="5" t="str">
        <f t="shared" si="20"/>
        <v>2.35247522629286-250.125860911725i</v>
      </c>
      <c r="P87" s="1">
        <f t="shared" si="21"/>
        <v>47.963556076537699</v>
      </c>
      <c r="Q87" s="6">
        <f t="shared" si="28"/>
        <v>-89.461139574664301</v>
      </c>
      <c r="R87" s="5" t="str">
        <f t="shared" si="29"/>
        <v>17.7570646958323-0.549910283532947i</v>
      </c>
      <c r="S87" s="1">
        <f t="shared" si="30"/>
        <v>24.991586645922045</v>
      </c>
      <c r="T87" s="6">
        <f t="shared" si="31"/>
        <v>-1.7737994568423288</v>
      </c>
      <c r="U87" t="str">
        <f>IMPRODUCT(COMPLEX(-1,0),IMDIV(COMPLEX(1,C87*Calculations!$B$171*Calculations!$B$173),IMPRODUCT(COMPLEX(0,C87*Calculations!$B$160),COMPLEX((Calculations!$B$173+Calculations!$B$175),C87*Calculations!$B$171*Calculations!$B$173*Calculations!$B$175))))</f>
        <v>-0.409594635132958+28.2956944752059i</v>
      </c>
      <c r="V87">
        <f t="shared" si="32"/>
        <v>29.035317077262043</v>
      </c>
      <c r="W87">
        <f t="shared" si="33"/>
        <v>90.829327760908313</v>
      </c>
      <c r="X87" t="str">
        <f t="shared" si="34"/>
        <v>8.28689493650036+502.673717711675i</v>
      </c>
      <c r="Y87">
        <f t="shared" si="35"/>
        <v>54.026903723184077</v>
      </c>
      <c r="Z87">
        <f t="shared" si="36"/>
        <v>89.055528304065987</v>
      </c>
    </row>
    <row r="88" spans="2:26" x14ac:dyDescent="0.15">
      <c r="B88" s="1">
        <v>10</v>
      </c>
      <c r="C88" s="22">
        <f t="shared" si="12"/>
        <v>62.831853071795862</v>
      </c>
      <c r="D88" s="26" t="str">
        <f t="shared" si="13"/>
        <v>0.444063391540892-0.0116242782584067i</v>
      </c>
      <c r="E88" s="1">
        <f t="shared" si="14"/>
        <v>-7.0481256334045828</v>
      </c>
      <c r="F88" s="6">
        <f t="shared" si="23"/>
        <v>-1.4994931606559672</v>
      </c>
      <c r="G88" s="5" t="str">
        <f t="shared" si="16"/>
        <v>191.071491642664+4.9326048759057i</v>
      </c>
      <c r="H88" s="1">
        <f t="shared" si="24"/>
        <v>45.626811227604975</v>
      </c>
      <c r="I88" s="6">
        <f t="shared" si="25"/>
        <v>1.4787903813542613</v>
      </c>
      <c r="J88" s="26" t="str">
        <f t="shared" si="17"/>
        <v>84.905192577235-0.030678935777338i</v>
      </c>
      <c r="K88" s="1">
        <f t="shared" si="26"/>
        <v>38.578685594200401</v>
      </c>
      <c r="L88" s="6">
        <f t="shared" si="27"/>
        <v>-2.0702779301710578E-2</v>
      </c>
      <c r="M88" s="26">
        <f t="shared" si="18"/>
        <v>0.11294117647058823</v>
      </c>
      <c r="N88" s="6">
        <f t="shared" si="19"/>
        <v>2.5000000000000001E-2</v>
      </c>
      <c r="O88" s="5" t="str">
        <f t="shared" si="20"/>
        <v>2.35247522131255-225.113322001624i</v>
      </c>
      <c r="P88" s="1">
        <f t="shared" si="21"/>
        <v>47.048498189339185</v>
      </c>
      <c r="Q88" s="6">
        <f t="shared" si="28"/>
        <v>-89.401270461531297</v>
      </c>
      <c r="R88" s="5" t="str">
        <f t="shared" si="29"/>
        <v>17.7522146227462-0.61080781867442i</v>
      </c>
      <c r="S88" s="1">
        <f t="shared" si="30"/>
        <v>24.990189238779202</v>
      </c>
      <c r="T88" s="6">
        <f t="shared" si="31"/>
        <v>-1.9706222647565812</v>
      </c>
      <c r="U88" t="str">
        <f>IMPRODUCT(COMPLEX(-1,0),IMDIV(COMPLEX(1,C88*Calculations!$B$171*Calculations!$B$173),IMPRODUCT(COMPLEX(0,C88*Calculations!$B$160),COMPLEX((Calculations!$B$173+Calculations!$B$175),C88*Calculations!$B$171*Calculations!$B$173*Calculations!$B$175))))</f>
        <v>-0.409593376727706+25.4664379673986i</v>
      </c>
      <c r="V88">
        <f t="shared" si="32"/>
        <v>28.120487379278821</v>
      </c>
      <c r="W88">
        <f t="shared" si="33"/>
        <v>90.921446044059351</v>
      </c>
      <c r="X88" t="str">
        <f t="shared" si="34"/>
        <v>8.28390989254859+452.335855311095i</v>
      </c>
      <c r="Y88">
        <f t="shared" si="35"/>
        <v>53.110676618058022</v>
      </c>
      <c r="Z88">
        <f t="shared" si="36"/>
        <v>88.95082377930278</v>
      </c>
    </row>
    <row r="89" spans="2:26" x14ac:dyDescent="0.15">
      <c r="B89" s="1">
        <v>20</v>
      </c>
      <c r="C89" s="22">
        <f t="shared" si="12"/>
        <v>125.66370614359172</v>
      </c>
      <c r="D89" s="26" t="str">
        <f t="shared" si="13"/>
        <v>0.442925125459872-0.0231739300177664i</v>
      </c>
      <c r="E89" s="1">
        <f t="shared" si="14"/>
        <v>-7.0615215143882839</v>
      </c>
      <c r="F89" s="6">
        <f t="shared" si="23"/>
        <v>-2.9949956522251924</v>
      </c>
      <c r="G89" s="5" t="str">
        <f t="shared" si="16"/>
        <v>191.180698060218+9.86401164495323i</v>
      </c>
      <c r="H89" s="1">
        <f t="shared" si="24"/>
        <v>45.640426711595055</v>
      </c>
      <c r="I89" s="6">
        <f t="shared" si="25"/>
        <v>2.9535697797660601</v>
      </c>
      <c r="J89" s="26" t="str">
        <f t="shared" si="17"/>
        <v>84.9073225893826-0.0613895222166722i</v>
      </c>
      <c r="K89" s="1">
        <f t="shared" si="26"/>
        <v>38.578905197206772</v>
      </c>
      <c r="L89" s="6">
        <f t="shared" si="27"/>
        <v>-4.142587245913211E-2</v>
      </c>
      <c r="M89" s="26">
        <f t="shared" si="18"/>
        <v>0.11294117647058823</v>
      </c>
      <c r="N89" s="6">
        <f t="shared" si="19"/>
        <v>2.5000000000000001E-2</v>
      </c>
      <c r="O89" s="5" t="str">
        <f t="shared" si="20"/>
        <v>2.35247514267598-112.557033482947i</v>
      </c>
      <c r="P89" s="1">
        <f t="shared" si="21"/>
        <v>41.029349449985006</v>
      </c>
      <c r="Q89" s="6">
        <f t="shared" si="28"/>
        <v>-88.802675656222604</v>
      </c>
      <c r="R89" s="5" t="str">
        <f t="shared" si="29"/>
        <v>17.6760622074145-1.21522185474008i</v>
      </c>
      <c r="S89" s="1">
        <f t="shared" si="30"/>
        <v>24.968189017470724</v>
      </c>
      <c r="T89" s="6">
        <f t="shared" si="31"/>
        <v>-3.9328723274235711</v>
      </c>
      <c r="U89" t="str">
        <f>IMPRODUCT(COMPLEX(-1,0),IMDIV(COMPLEX(1,C89*Calculations!$B$171*Calculations!$B$173),IMPRODUCT(COMPLEX(0,C89*Calculations!$B$160),COMPLEX((Calculations!$B$173+Calculations!$B$175),C89*Calculations!$B$171*Calculations!$B$173*Calculations!$B$175))))</f>
        <v>-0.409573508195949+12.7356894329502i</v>
      </c>
      <c r="V89">
        <f t="shared" si="32"/>
        <v>22.104938500028201</v>
      </c>
      <c r="W89">
        <f t="shared" si="33"/>
        <v>91.841969254559388</v>
      </c>
      <c r="X89" t="str">
        <f t="shared" si="34"/>
        <v>8.23704132472279+225.614561349422i</v>
      </c>
      <c r="Y89">
        <f t="shared" si="35"/>
        <v>47.073127517498946</v>
      </c>
      <c r="Z89">
        <f t="shared" si="36"/>
        <v>87.90909692713582</v>
      </c>
    </row>
    <row r="90" spans="2:26" x14ac:dyDescent="0.15">
      <c r="B90" s="1">
        <v>30</v>
      </c>
      <c r="C90" s="22">
        <f t="shared" si="12"/>
        <v>188.49555921538757</v>
      </c>
      <c r="D90" s="26" t="str">
        <f t="shared" si="13"/>
        <v>0.441044167875488-0.0345759172586402i</v>
      </c>
      <c r="E90" s="1">
        <f t="shared" si="14"/>
        <v>-7.0837488469273069</v>
      </c>
      <c r="F90" s="6">
        <f t="shared" si="23"/>
        <v>-4.4825682851117659</v>
      </c>
      <c r="G90" s="5" t="str">
        <f t="shared" si="16"/>
        <v>191.36266901714+14.793022769342i</v>
      </c>
      <c r="H90" s="1">
        <f t="shared" si="24"/>
        <v>45.663019925836352</v>
      </c>
      <c r="I90" s="6">
        <f t="shared" si="25"/>
        <v>4.4203787060720101</v>
      </c>
      <c r="J90" s="26" t="str">
        <f t="shared" si="17"/>
        <v>84.9108714503751-0.0921633926616196i</v>
      </c>
      <c r="K90" s="1">
        <f t="shared" si="26"/>
        <v>38.579271078909066</v>
      </c>
      <c r="L90" s="6">
        <f t="shared" si="27"/>
        <v>-6.2189579039773298E-2</v>
      </c>
      <c r="M90" s="26">
        <f t="shared" si="18"/>
        <v>0.11294117647058823</v>
      </c>
      <c r="N90" s="6">
        <f t="shared" si="19"/>
        <v>2.5000000000000001E-2</v>
      </c>
      <c r="O90" s="5" t="str">
        <f t="shared" si="20"/>
        <v>2.35247501161503-75.0384361909661i</v>
      </c>
      <c r="P90" s="1">
        <f t="shared" si="21"/>
        <v>37.509941814823136</v>
      </c>
      <c r="Q90" s="6">
        <f t="shared" si="28"/>
        <v>-88.204350137224253</v>
      </c>
      <c r="R90" s="5" t="str">
        <f t="shared" si="29"/>
        <v>17.5509037017784-1.8070703699669i</v>
      </c>
      <c r="S90" s="1">
        <f t="shared" si="30"/>
        <v>24.931787357340831</v>
      </c>
      <c r="T90" s="6">
        <f t="shared" si="31"/>
        <v>-5.8785545325274899</v>
      </c>
      <c r="U90" t="str">
        <f>IMPRODUCT(COMPLEX(-1,0),IMDIV(COMPLEX(1,C90*Calculations!$B$171*Calculations!$B$173),IMPRODUCT(COMPLEX(0,C90*Calculations!$B$160),COMPLEX((Calculations!$B$173+Calculations!$B$175),C90*Calculations!$B$171*Calculations!$B$173*Calculations!$B$175))))</f>
        <v>-0.409540398259481+8.49320421053681i</v>
      </c>
      <c r="V90">
        <f t="shared" si="32"/>
        <v>18.591517590115831</v>
      </c>
      <c r="W90">
        <f t="shared" si="33"/>
        <v>92.760651296672947</v>
      </c>
      <c r="X90" t="str">
        <f t="shared" si="34"/>
        <v>8.16001358309906+149.80347753767i</v>
      </c>
      <c r="Y90">
        <f t="shared" si="35"/>
        <v>43.523304947456687</v>
      </c>
      <c r="Z90">
        <f t="shared" si="36"/>
        <v>86.882096764145473</v>
      </c>
    </row>
    <row r="91" spans="2:26" x14ac:dyDescent="0.15">
      <c r="B91" s="1">
        <v>40</v>
      </c>
      <c r="C91" s="22">
        <f t="shared" si="12"/>
        <v>251.32741228718345</v>
      </c>
      <c r="D91" s="26" t="str">
        <f t="shared" si="13"/>
        <v>0.438444210103472-0.0457603084407866i</v>
      </c>
      <c r="E91" s="1">
        <f t="shared" si="14"/>
        <v>-7.1146611368022148</v>
      </c>
      <c r="F91" s="6">
        <f t="shared" si="23"/>
        <v>-5.9583731920438847</v>
      </c>
      <c r="G91" s="5" t="str">
        <f t="shared" si="16"/>
        <v>191.617344932885+19.7184418488685i</v>
      </c>
      <c r="H91" s="1">
        <f t="shared" si="24"/>
        <v>45.694444191279906</v>
      </c>
      <c r="I91" s="6">
        <f t="shared" si="25"/>
        <v>5.8753590219886771</v>
      </c>
      <c r="J91" s="26" t="str">
        <f t="shared" si="17"/>
        <v>84.9158374221994-0.123032145835049i</v>
      </c>
      <c r="K91" s="1">
        <f t="shared" si="26"/>
        <v>38.579783054477709</v>
      </c>
      <c r="L91" s="6">
        <f t="shared" si="27"/>
        <v>-8.3014170055227182E-2</v>
      </c>
      <c r="M91" s="26">
        <f t="shared" si="18"/>
        <v>0.11294117647058823</v>
      </c>
      <c r="N91" s="6">
        <f t="shared" si="19"/>
        <v>2.5000000000000001E-2</v>
      </c>
      <c r="O91" s="5" t="str">
        <f t="shared" si="20"/>
        <v>2.35247482812972-56.2792617056183i</v>
      </c>
      <c r="P91" s="1">
        <f t="shared" si="21"/>
        <v>35.014549387266463</v>
      </c>
      <c r="Q91" s="6">
        <f t="shared" si="28"/>
        <v>-87.606428098268054</v>
      </c>
      <c r="R91" s="5" t="str">
        <f t="shared" si="29"/>
        <v>17.3792871465737-2.3806097136606i</v>
      </c>
      <c r="S91" s="1">
        <f t="shared" si="30"/>
        <v>24.881372692902662</v>
      </c>
      <c r="T91" s="6">
        <f t="shared" si="31"/>
        <v>-7.7998171835047758</v>
      </c>
      <c r="U91" t="str">
        <f>IMPRODUCT(COMPLEX(-1,0),IMDIV(COMPLEX(1,C91*Calculations!$B$171*Calculations!$B$173),IMPRODUCT(COMPLEX(0,C91*Calculations!$B$160),COMPLEX((Calculations!$B$173+Calculations!$B$175),C91*Calculations!$B$171*Calculations!$B$173*Calculations!$B$175))))</f>
        <v>-0.409494053340811+6.37278441684528i</v>
      </c>
      <c r="V91">
        <f t="shared" si="32"/>
        <v>16.104479307463219</v>
      </c>
      <c r="W91">
        <f t="shared" si="33"/>
        <v>93.676582778753414</v>
      </c>
      <c r="X91" t="str">
        <f t="shared" si="34"/>
        <v>8.05439774798246+111.729295824634i</v>
      </c>
      <c r="Y91">
        <f t="shared" si="35"/>
        <v>40.985852000365895</v>
      </c>
      <c r="Z91">
        <f t="shared" si="36"/>
        <v>85.876765595248656</v>
      </c>
    </row>
    <row r="92" spans="2:26" x14ac:dyDescent="0.15">
      <c r="B92" s="1">
        <v>50</v>
      </c>
      <c r="C92" s="22">
        <f t="shared" si="12"/>
        <v>314.15926535897933</v>
      </c>
      <c r="D92" s="26" t="str">
        <f t="shared" si="13"/>
        <v>0.435157377364601-0.0566616608530741i</v>
      </c>
      <c r="E92" s="1">
        <f t="shared" si="14"/>
        <v>-7.1540576107104865</v>
      </c>
      <c r="F92" s="6">
        <f t="shared" si="23"/>
        <v>-7.4187204938419411</v>
      </c>
      <c r="G92" s="5" t="str">
        <f t="shared" si="16"/>
        <v>191.944642450567+24.6390741884299i</v>
      </c>
      <c r="H92" s="1">
        <f t="shared" si="24"/>
        <v>45.734498476127676</v>
      </c>
      <c r="I92" s="6">
        <f t="shared" si="25"/>
        <v>7.3148006201069524</v>
      </c>
      <c r="J92" s="26" t="str">
        <f t="shared" si="17"/>
        <v>84.9222180733733-0.154027328569589i</v>
      </c>
      <c r="K92" s="1">
        <f t="shared" si="26"/>
        <v>38.580440865417188</v>
      </c>
      <c r="L92" s="6">
        <f t="shared" si="27"/>
        <v>-0.10391987373497469</v>
      </c>
      <c r="M92" s="26">
        <f t="shared" si="18"/>
        <v>0.11294117647058823</v>
      </c>
      <c r="N92" s="6">
        <f t="shared" si="19"/>
        <v>2.5000000000000001E-2</v>
      </c>
      <c r="O92" s="5" t="str">
        <f t="shared" si="20"/>
        <v>2.35247459222009-45.0238563428768i</v>
      </c>
      <c r="P92" s="1">
        <f t="shared" si="21"/>
        <v>33.080693936677612</v>
      </c>
      <c r="Q92" s="6">
        <f t="shared" si="28"/>
        <v>-87.009043195456215</v>
      </c>
      <c r="R92" s="5" t="str">
        <f t="shared" si="29"/>
        <v>17.1645985899011-2.9307003100702i</v>
      </c>
      <c r="S92" s="1">
        <f t="shared" si="30"/>
        <v>24.817470282496608</v>
      </c>
      <c r="T92" s="6">
        <f t="shared" si="31"/>
        <v>-9.6893025556348391</v>
      </c>
      <c r="U92" t="str">
        <f>IMPRODUCT(COMPLEX(-1,0),IMDIV(COMPLEX(1,C92*Calculations!$B$171*Calculations!$B$173),IMPRODUCT(COMPLEX(0,C92*Calculations!$B$160),COMPLEX((Calculations!$B$173+Calculations!$B$175),C92*Calculations!$B$171*Calculations!$B$173*Calculations!$B$175))))</f>
        <v>-0.409434482427095+5.10119034765822i</v>
      </c>
      <c r="V92">
        <f t="shared" si="32"/>
        <v>14.181318429477505</v>
      </c>
      <c r="W92">
        <f t="shared" si="33"/>
        <v>94.58886758943342</v>
      </c>
      <c r="X92" t="str">
        <f t="shared" si="34"/>
        <v>7.92228159388406+88.7598144128339i</v>
      </c>
      <c r="Y92">
        <f t="shared" si="35"/>
        <v>38.998788711974115</v>
      </c>
      <c r="Z92">
        <f t="shared" si="36"/>
        <v>84.899565033798581</v>
      </c>
    </row>
    <row r="93" spans="2:26" x14ac:dyDescent="0.15">
      <c r="B93" s="1">
        <v>60</v>
      </c>
      <c r="C93" s="22">
        <f t="shared" si="12"/>
        <v>376.99111843077515</v>
      </c>
      <c r="D93" s="26" t="str">
        <f t="shared" si="13"/>
        <v>0.431223258689072-0.0672202121604464i</v>
      </c>
      <c r="E93" s="1">
        <f t="shared" si="14"/>
        <v>-7.2016873085763038</v>
      </c>
      <c r="F93" s="6">
        <f t="shared" si="23"/>
        <v>-8.8601104312138936</v>
      </c>
      <c r="G93" s="5" t="str">
        <f t="shared" si="16"/>
        <v>192.344454492754+29.5537273639752i</v>
      </c>
      <c r="H93" s="1">
        <f t="shared" si="24"/>
        <v>45.78293148840725</v>
      </c>
      <c r="I93" s="6">
        <f t="shared" si="25"/>
        <v>8.7351835698521754</v>
      </c>
      <c r="J93" s="26" t="str">
        <f t="shared" si="17"/>
        <v>84.9300102806755-0.185180418586457i</v>
      </c>
      <c r="K93" s="1">
        <f t="shared" si="26"/>
        <v>38.581244179830925</v>
      </c>
      <c r="L93" s="6">
        <f t="shared" si="27"/>
        <v>-0.12492686136170922</v>
      </c>
      <c r="M93" s="26">
        <f t="shared" si="18"/>
        <v>0.11294117647058823</v>
      </c>
      <c r="N93" s="6">
        <f t="shared" si="19"/>
        <v>2.5000000000000001E-2</v>
      </c>
      <c r="O93" s="5" t="str">
        <f t="shared" si="20"/>
        <v>2.35247430388616-37.5203355413888i</v>
      </c>
      <c r="P93" s="1">
        <f t="shared" si="21"/>
        <v>31.502373441233967</v>
      </c>
      <c r="Q93" s="6">
        <f t="shared" si="28"/>
        <v>-86.412328370838182</v>
      </c>
      <c r="R93" s="5" t="str">
        <f t="shared" si="29"/>
        <v>16.9109010972456-3.45294207367751i</v>
      </c>
      <c r="S93" s="1">
        <f t="shared" si="30"/>
        <v>24.740725221694355</v>
      </c>
      <c r="T93" s="6">
        <f t="shared" si="31"/>
        <v>-11.540272852479049</v>
      </c>
      <c r="U93" t="str">
        <f>IMPRODUCT(COMPLEX(-1,0),IMDIV(COMPLEX(1,C93*Calculations!$B$171*Calculations!$B$173),IMPRODUCT(COMPLEX(0,C93*Calculations!$B$160),COMPLEX((Calculations!$B$173+Calculations!$B$175),C93*Calculations!$B$171*Calculations!$B$173*Calculations!$B$175))))</f>
        <v>-0.409361697065776+4.25400866212114i</v>
      </c>
      <c r="V93">
        <f t="shared" si="32"/>
        <v>12.615998622911857</v>
      </c>
      <c r="W93">
        <f t="shared" si="33"/>
        <v>95.496627076701415</v>
      </c>
      <c r="X93" t="str">
        <f t="shared" si="34"/>
        <v>7.76617031914671+73.3526219791071i</v>
      </c>
      <c r="Y93">
        <f t="shared" si="35"/>
        <v>37.356723844606208</v>
      </c>
      <c r="Z93">
        <f t="shared" si="36"/>
        <v>83.956354224222366</v>
      </c>
    </row>
    <row r="94" spans="2:26" x14ac:dyDescent="0.15">
      <c r="B94" s="1">
        <v>70</v>
      </c>
      <c r="C94" s="22">
        <f t="shared" si="12"/>
        <v>439.82297150257102</v>
      </c>
      <c r="D94" s="26" t="str">
        <f t="shared" si="13"/>
        <v>0.426687755777279-0.0773828396046943i</v>
      </c>
      <c r="E94" s="1">
        <f t="shared" si="14"/>
        <v>-7.2572540405837209</v>
      </c>
      <c r="F94" s="6">
        <f t="shared" si="23"/>
        <v>-10.279269859642669</v>
      </c>
      <c r="G94" s="5" t="str">
        <f t="shared" si="16"/>
        <v>192.816650333098+34.4612117863926i</v>
      </c>
      <c r="H94" s="1">
        <f t="shared" si="24"/>
        <v>45.839446633345247</v>
      </c>
      <c r="I94" s="6">
        <f t="shared" si="25"/>
        <v>10.133214626453846</v>
      </c>
      <c r="J94" s="26" t="str">
        <f t="shared" si="17"/>
        <v>84.9392102313717-0.216522807339195i</v>
      </c>
      <c r="K94" s="1">
        <f t="shared" si="26"/>
        <v>38.58219259276153</v>
      </c>
      <c r="L94" s="6">
        <f t="shared" si="27"/>
        <v>-0.1460552331888379</v>
      </c>
      <c r="M94" s="26">
        <f t="shared" si="18"/>
        <v>0.11294117647058823</v>
      </c>
      <c r="N94" s="6">
        <f t="shared" si="19"/>
        <v>2.5000000000000001E-2</v>
      </c>
      <c r="O94" s="5" t="str">
        <f t="shared" si="20"/>
        <v>2.35247396312797-32.1607487748508i</v>
      </c>
      <c r="P94" s="1">
        <f t="shared" si="21"/>
        <v>30.169698172089554</v>
      </c>
      <c r="Q94" s="6">
        <f t="shared" si="28"/>
        <v>-85.816415678353238</v>
      </c>
      <c r="R94" s="5" t="str">
        <f t="shared" si="29"/>
        <v>16.6227533301218-3.94376324516479i</v>
      </c>
      <c r="S94" s="1">
        <f t="shared" si="30"/>
        <v>24.651882629831693</v>
      </c>
      <c r="T94" s="6">
        <f t="shared" si="31"/>
        <v>-13.346707562133037</v>
      </c>
      <c r="U94" t="str">
        <f>IMPRODUCT(COMPLEX(-1,0),IMDIV(COMPLEX(1,C94*Calculations!$B$171*Calculations!$B$173),IMPRODUCT(COMPLEX(0,C94*Calculations!$B$160),COMPLEX((Calculations!$B$173+Calculations!$B$175),C94*Calculations!$B$171*Calculations!$B$173*Calculations!$B$175))))</f>
        <v>-0.409275711358988+3.64934783768204i</v>
      </c>
      <c r="V94">
        <f t="shared" si="32"/>
        <v>11.298588813267465</v>
      </c>
      <c r="W94">
        <f t="shared" si="33"/>
        <v>96.399004021764767</v>
      </c>
      <c r="X94" t="str">
        <f t="shared" si="34"/>
        <v>7.58887467714144+62.2762954291982i</v>
      </c>
      <c r="Y94">
        <f t="shared" si="35"/>
        <v>35.950471443099168</v>
      </c>
      <c r="Z94">
        <f t="shared" si="36"/>
        <v>83.052296459631734</v>
      </c>
    </row>
    <row r="95" spans="2:26" x14ac:dyDescent="0.15">
      <c r="B95" s="1">
        <v>80</v>
      </c>
      <c r="C95" s="22">
        <f t="shared" si="12"/>
        <v>502.6548245743669</v>
      </c>
      <c r="D95" s="26" t="str">
        <f t="shared" si="13"/>
        <v>0.421601810895211-0.0871037610710613i</v>
      </c>
      <c r="E95" s="1">
        <f t="shared" si="14"/>
        <v>-7.320422011139053</v>
      </c>
      <c r="F95" s="6">
        <f t="shared" si="23"/>
        <v>-11.673182306521937</v>
      </c>
      <c r="G95" s="5" t="str">
        <f t="shared" si="16"/>
        <v>193.361075683698+39.3603412628193i</v>
      </c>
      <c r="H95" s="1">
        <f t="shared" si="24"/>
        <v>45.903707637743835</v>
      </c>
      <c r="I95" s="6">
        <f t="shared" si="25"/>
        <v>11.50585730206177</v>
      </c>
      <c r="J95" s="26" t="str">
        <f t="shared" si="17"/>
        <v>84.9498134259248-0.24808578293809i</v>
      </c>
      <c r="K95" s="1">
        <f t="shared" si="26"/>
        <v>38.583285626604749</v>
      </c>
      <c r="L95" s="6">
        <f t="shared" si="27"/>
        <v>-0.16732500446014656</v>
      </c>
      <c r="M95" s="26">
        <f t="shared" si="18"/>
        <v>0.11294117647058823</v>
      </c>
      <c r="N95" s="6">
        <f t="shared" si="19"/>
        <v>2.5000000000000001E-2</v>
      </c>
      <c r="O95" s="5" t="str">
        <f t="shared" si="20"/>
        <v>2.35247356994557-28.1411207801025i</v>
      </c>
      <c r="P95" s="1">
        <f t="shared" si="21"/>
        <v>29.017071714771884</v>
      </c>
      <c r="Q95" s="6">
        <f t="shared" si="28"/>
        <v>-85.221436112703373</v>
      </c>
      <c r="R95" s="5" t="str">
        <f t="shared" si="29"/>
        <v>16.3050218128732-4.40046138533418i</v>
      </c>
      <c r="S95" s="1">
        <f t="shared" si="30"/>
        <v>24.551766206786361</v>
      </c>
      <c r="T95" s="6">
        <f t="shared" si="31"/>
        <v>-15.103370001274328</v>
      </c>
      <c r="U95" t="str">
        <f>IMPRODUCT(COMPLEX(-1,0),IMDIV(COMPLEX(1,C95*Calculations!$B$171*Calculations!$B$173),IMPRODUCT(COMPLEX(0,C95*Calculations!$B$160),COMPLEX((Calculations!$B$173+Calculations!$B$175),C95*Calculations!$B$171*Calculations!$B$173*Calculations!$B$175))))</f>
        <v>-0.409176541956739+3.1962620338646i</v>
      </c>
      <c r="V95">
        <f t="shared" si="32"/>
        <v>10.163444544974467</v>
      </c>
      <c r="W95">
        <f t="shared" si="33"/>
        <v>97.295166364957879</v>
      </c>
      <c r="X95" t="str">
        <f t="shared" si="34"/>
        <v>7.3933952155102+53.915687754486i</v>
      </c>
      <c r="Y95">
        <f t="shared" si="35"/>
        <v>34.715210751760843</v>
      </c>
      <c r="Z95">
        <f t="shared" si="36"/>
        <v>82.191796363683551</v>
      </c>
    </row>
    <row r="96" spans="2:26" x14ac:dyDescent="0.15">
      <c r="B96" s="1">
        <v>90</v>
      </c>
      <c r="C96" s="22">
        <f t="shared" si="12"/>
        <v>565.48667764616278</v>
      </c>
      <c r="D96" s="26" t="str">
        <f t="shared" si="13"/>
        <v>0.416020075827931-0.0963449685619092i</v>
      </c>
      <c r="E96" s="1">
        <f t="shared" si="14"/>
        <v>-7.3908218978465543</v>
      </c>
      <c r="F96" s="6">
        <f t="shared" si="23"/>
        <v>-13.039111114810501</v>
      </c>
      <c r="G96" s="5" t="str">
        <f t="shared" si="16"/>
        <v>193.977552798104+44.2499335548704i</v>
      </c>
      <c r="H96" s="1">
        <f t="shared" si="24"/>
        <v>45.975344629443825</v>
      </c>
      <c r="I96" s="6">
        <f t="shared" si="25"/>
        <v>12.850355023258903</v>
      </c>
      <c r="J96" s="26" t="str">
        <f t="shared" si="17"/>
        <v>84.9618146811941-0.279900513171326i</v>
      </c>
      <c r="K96" s="1">
        <f t="shared" si="26"/>
        <v>38.584522731597261</v>
      </c>
      <c r="L96" s="6">
        <f t="shared" si="27"/>
        <v>-0.18875609155160164</v>
      </c>
      <c r="M96" s="26">
        <f t="shared" si="18"/>
        <v>0.11294117647058823</v>
      </c>
      <c r="N96" s="6">
        <f t="shared" si="19"/>
        <v>2.5000000000000001E-2</v>
      </c>
      <c r="O96" s="5" t="str">
        <f t="shared" si="20"/>
        <v>2.352473124339-25.0147986331585i</v>
      </c>
      <c r="P96" s="1">
        <f t="shared" si="21"/>
        <v>28.002180955484562</v>
      </c>
      <c r="Q96" s="6">
        <f t="shared" si="28"/>
        <v>-84.627519441702418</v>
      </c>
      <c r="R96" s="5" t="str">
        <f t="shared" si="29"/>
        <v>15.9626998091335-4.82119955584816i</v>
      </c>
      <c r="S96" s="1">
        <f t="shared" si="30"/>
        <v>24.441256333334849</v>
      </c>
      <c r="T96" s="6">
        <f t="shared" si="31"/>
        <v>-16.805843098289426</v>
      </c>
      <c r="U96" t="str">
        <f>IMPRODUCT(COMPLEX(-1,0),IMDIV(COMPLEX(1,C96*Calculations!$B$171*Calculations!$B$173),IMPRODUCT(COMPLEX(0,C96*Calculations!$B$160),COMPLEX((Calculations!$B$173+Calculations!$B$175),C96*Calculations!$B$171*Calculations!$B$173*Calculations!$B$175))))</f>
        <v>-0.409064208048856+2.8442257135596i</v>
      </c>
      <c r="V96">
        <f t="shared" si="32"/>
        <v>9.1681983545532191</v>
      </c>
      <c r="W96">
        <f t="shared" si="33"/>
        <v>98.184310646216701</v>
      </c>
      <c r="X96" t="str">
        <f t="shared" si="34"/>
        <v>7.18281059120064+47.3737014331289i</v>
      </c>
      <c r="Y96">
        <f t="shared" si="35"/>
        <v>33.609454687888061</v>
      </c>
      <c r="Z96">
        <f t="shared" si="36"/>
        <v>81.378467547927272</v>
      </c>
    </row>
    <row r="97" spans="2:26" x14ac:dyDescent="0.15">
      <c r="B97" s="1">
        <v>100</v>
      </c>
      <c r="C97" s="22">
        <f t="shared" si="12"/>
        <v>628.31853071795865</v>
      </c>
      <c r="D97" s="26" t="str">
        <f t="shared" si="13"/>
        <v>0.409999581339885-0.105076400040072i</v>
      </c>
      <c r="E97" s="1">
        <f t="shared" si="14"/>
        <v>-7.4680571722846043</v>
      </c>
      <c r="F97" s="6">
        <f t="shared" si="23"/>
        <v>-14.374615520683038</v>
      </c>
      <c r="G97" s="5" t="str">
        <f t="shared" si="16"/>
        <v>194.665880589841+49.1288109332835i</v>
      </c>
      <c r="H97" s="1">
        <f t="shared" si="24"/>
        <v>46.053960458661187</v>
      </c>
      <c r="I97" s="6">
        <f t="shared" si="25"/>
        <v>14.164247222428301</v>
      </c>
      <c r="J97" s="26" t="str">
        <f t="shared" si="17"/>
        <v>84.9752081341136-0.311998028638466i</v>
      </c>
      <c r="K97" s="1">
        <f t="shared" si="26"/>
        <v>38.585903286376585</v>
      </c>
      <c r="L97" s="6">
        <f t="shared" si="27"/>
        <v>-0.21036829825477082</v>
      </c>
      <c r="M97" s="26">
        <f t="shared" si="18"/>
        <v>0.11294117647058823</v>
      </c>
      <c r="N97" s="6">
        <f t="shared" si="19"/>
        <v>2.5000000000000001E-2</v>
      </c>
      <c r="O97" s="5" t="str">
        <f t="shared" si="20"/>
        <v>2.35247262630832-22.5137905796211i</v>
      </c>
      <c r="P97" s="1">
        <f t="shared" si="21"/>
        <v>27.096132688198942</v>
      </c>
      <c r="Q97" s="6">
        <f t="shared" si="28"/>
        <v>-84.034794042626046</v>
      </c>
      <c r="R97" s="5" t="str">
        <f t="shared" si="29"/>
        <v>15.6007433140819-5.20496404304987i</v>
      </c>
      <c r="S97" s="1">
        <f t="shared" si="30"/>
        <v>24.321268767987767</v>
      </c>
      <c r="T97" s="6">
        <f t="shared" si="31"/>
        <v>-18.450536423528185</v>
      </c>
      <c r="U97" t="str">
        <f>IMPRODUCT(COMPLEX(-1,0),IMDIV(COMPLEX(1,C97*Calculations!$B$171*Calculations!$B$173),IMPRODUCT(COMPLEX(0,C97*Calculations!$B$160),COMPLEX((Calculations!$B$173+Calculations!$B$175),C97*Calculations!$B$171*Calculations!$B$173*Calculations!$B$175))))</f>
        <v>-0.408938731355707+2.56292349157202i</v>
      </c>
      <c r="V97">
        <f t="shared" si="32"/>
        <v>8.2838968065490093</v>
      </c>
      <c r="W97">
        <f t="shared" si="33"/>
        <v>99.065665128540545</v>
      </c>
      <c r="X97" t="str">
        <f t="shared" si="34"/>
        <v>6.96017643965351+42.1120229181625i</v>
      </c>
      <c r="Y97">
        <f t="shared" si="35"/>
        <v>32.605165574536777</v>
      </c>
      <c r="Z97">
        <f t="shared" si="36"/>
        <v>80.615128705012367</v>
      </c>
    </row>
    <row r="98" spans="2:26" x14ac:dyDescent="0.15">
      <c r="B98" s="1">
        <v>200</v>
      </c>
      <c r="C98" s="22">
        <f t="shared" si="12"/>
        <v>1256.6370614359173</v>
      </c>
      <c r="D98" s="26" t="str">
        <f t="shared" si="13"/>
        <v>0.337729130369405-0.16277116558879i</v>
      </c>
      <c r="E98" s="1">
        <f t="shared" si="14"/>
        <v>-8.521524094247555</v>
      </c>
      <c r="F98" s="6">
        <f t="shared" si="23"/>
        <v>-25.73210145459899</v>
      </c>
      <c r="G98" s="5" t="str">
        <f t="shared" si="16"/>
        <v>205.440331707288+97.073474920541i</v>
      </c>
      <c r="H98" s="1">
        <f t="shared" si="24"/>
        <v>47.128936243426622</v>
      </c>
      <c r="I98" s="6">
        <f t="shared" si="25"/>
        <v>25.291399712015028</v>
      </c>
      <c r="J98" s="26" t="str">
        <f t="shared" si="17"/>
        <v>85.183947230875-0.655221984092443i</v>
      </c>
      <c r="K98" s="1">
        <f t="shared" si="26"/>
        <v>38.607412149179055</v>
      </c>
      <c r="L98" s="6">
        <f t="shared" si="27"/>
        <v>-0.44070174258401051</v>
      </c>
      <c r="M98" s="26">
        <f t="shared" si="18"/>
        <v>0.11294117647058823</v>
      </c>
      <c r="N98" s="6">
        <f t="shared" si="19"/>
        <v>2.5000000000000001E-2</v>
      </c>
      <c r="O98" s="5" t="str">
        <f t="shared" si="20"/>
        <v>2.35246476269414-11.2606200906125i</v>
      </c>
      <c r="P98" s="1">
        <f t="shared" si="21"/>
        <v>21.216768722087366</v>
      </c>
      <c r="Q98" s="6">
        <f t="shared" si="28"/>
        <v>-78.200006526657688</v>
      </c>
      <c r="R98" s="5" t="str">
        <f t="shared" si="29"/>
        <v>11.7697567647866-7.19498965548859i</v>
      </c>
      <c r="S98" s="1">
        <f t="shared" si="30"/>
        <v>22.79427492478014</v>
      </c>
      <c r="T98" s="6">
        <f t="shared" si="31"/>
        <v>-31.437931450691064</v>
      </c>
      <c r="U98" t="str">
        <f>IMPRODUCT(COMPLEX(-1,0),IMDIV(COMPLEX(1,C98*Calculations!$B$171*Calculations!$B$173),IMPRODUCT(COMPLEX(0,C98*Calculations!$B$160),COMPLEX((Calculations!$B$173+Calculations!$B$175),C98*Calculations!$B$171*Calculations!$B$173*Calculations!$B$175))))</f>
        <v>-0.406967674502272+1.30596982714066i</v>
      </c>
      <c r="V98">
        <f t="shared" si="32"/>
        <v>2.7211553846048471</v>
      </c>
      <c r="W98">
        <f t="shared" si="33"/>
        <v>107.30813290347639</v>
      </c>
      <c r="X98" t="str">
        <f t="shared" si="34"/>
        <v>4.60652885663468+18.2990754157581i</v>
      </c>
      <c r="Y98">
        <f t="shared" si="35"/>
        <v>25.515430309385003</v>
      </c>
      <c r="Z98">
        <f t="shared" si="36"/>
        <v>75.870201452785366</v>
      </c>
    </row>
    <row r="99" spans="2:26" x14ac:dyDescent="0.15">
      <c r="B99" s="1">
        <v>300</v>
      </c>
      <c r="C99" s="22">
        <f t="shared" si="12"/>
        <v>1884.9555921538758</v>
      </c>
      <c r="D99" s="26" t="str">
        <f t="shared" si="13"/>
        <v>0.269917285225821-0.177468993893666i</v>
      </c>
      <c r="E99" s="1">
        <f t="shared" si="14"/>
        <v>-9.8150511331888151</v>
      </c>
      <c r="F99" s="6">
        <f t="shared" si="23"/>
        <v>-33.324679502954631</v>
      </c>
      <c r="G99" s="5" t="str">
        <f t="shared" si="16"/>
        <v>223.012395192947+142.70507702236i</v>
      </c>
      <c r="H99" s="1">
        <f t="shared" si="24"/>
        <v>48.457134793342284</v>
      </c>
      <c r="I99" s="6">
        <f t="shared" si="25"/>
        <v>32.615077099676775</v>
      </c>
      <c r="J99" s="26" t="str">
        <f t="shared" si="17"/>
        <v>85.5206267248644-1.05921842289186i</v>
      </c>
      <c r="K99" s="1">
        <f t="shared" si="26"/>
        <v>38.64208366015346</v>
      </c>
      <c r="L99" s="6">
        <f t="shared" si="27"/>
        <v>-0.70960240327786561</v>
      </c>
      <c r="M99" s="26">
        <f t="shared" si="18"/>
        <v>0.11294117647058823</v>
      </c>
      <c r="N99" s="6">
        <f t="shared" si="19"/>
        <v>2.5000000000000001E-2</v>
      </c>
      <c r="O99" s="5" t="str">
        <f t="shared" si="20"/>
        <v>2.35245165678731-7.51121869107464i</v>
      </c>
      <c r="P99" s="1">
        <f t="shared" si="21"/>
        <v>17.920583808674671</v>
      </c>
      <c r="Q99" s="6">
        <f t="shared" si="28"/>
        <v>-72.609874795173965</v>
      </c>
      <c r="R99" s="5" t="str">
        <f t="shared" si="29"/>
        <v>8.86308618682071-7.1375686003734i</v>
      </c>
      <c r="S99" s="1">
        <f t="shared" si="30"/>
        <v>21.122670260822591</v>
      </c>
      <c r="T99" s="6">
        <f t="shared" si="31"/>
        <v>-38.84498465536101</v>
      </c>
      <c r="U99" t="str">
        <f>IMPRODUCT(COMPLEX(-1,0),IMDIV(COMPLEX(1,C99*Calculations!$B$171*Calculations!$B$173),IMPRODUCT(COMPLEX(0,C99*Calculations!$B$160),COMPLEX((Calculations!$B$173+Calculations!$B$175),C99*Calculations!$B$171*Calculations!$B$173*Calculations!$B$175))))</f>
        <v>-0.403724467078117+0.897530535438904i</v>
      </c>
      <c r="V99">
        <f t="shared" si="32"/>
        <v>-0.13875933457257111</v>
      </c>
      <c r="W99">
        <f t="shared" si="33"/>
        <v>114.21902391113376</v>
      </c>
      <c r="X99" t="str">
        <f t="shared" si="34"/>
        <v>2.82794102018343+10.8365015703176i</v>
      </c>
      <c r="Y99">
        <f t="shared" si="35"/>
        <v>20.983910926250022</v>
      </c>
      <c r="Z99">
        <f t="shared" si="36"/>
        <v>75.374039255772786</v>
      </c>
    </row>
    <row r="100" spans="2:26" x14ac:dyDescent="0.15">
      <c r="B100" s="1">
        <v>400</v>
      </c>
      <c r="C100" s="22">
        <f t="shared" si="12"/>
        <v>2513.2741228718346</v>
      </c>
      <c r="D100" s="26" t="str">
        <f t="shared" si="13"/>
        <v>0.219999296251717-0.171171301414106i</v>
      </c>
      <c r="E100" s="1">
        <f t="shared" si="14"/>
        <v>-11.095828670674679</v>
      </c>
      <c r="F100" s="6">
        <f t="shared" si="23"/>
        <v>-37.884838341327892</v>
      </c>
      <c r="G100" s="5" t="str">
        <f t="shared" si="16"/>
        <v>246.830294513074+185.000296067167i</v>
      </c>
      <c r="H100" s="1">
        <f t="shared" si="24"/>
        <v>49.78410179416219</v>
      </c>
      <c r="I100" s="6">
        <f t="shared" si="25"/>
        <v>36.851705790132144</v>
      </c>
      <c r="J100" s="26" t="str">
        <f t="shared" si="17"/>
        <v>85.969232526292-1.55032779909397i</v>
      </c>
      <c r="K100" s="1">
        <f t="shared" si="26"/>
        <v>38.688273123487491</v>
      </c>
      <c r="L100" s="6">
        <f t="shared" si="27"/>
        <v>-1.0331325511957861</v>
      </c>
      <c r="M100" s="26">
        <f t="shared" si="18"/>
        <v>0.11294117647058823</v>
      </c>
      <c r="N100" s="6">
        <f t="shared" si="19"/>
        <v>2.5000000000000001E-2</v>
      </c>
      <c r="O100" s="5" t="str">
        <f t="shared" si="20"/>
        <v>2.35243330876308-5.63775952240274i</v>
      </c>
      <c r="P100" s="1">
        <f t="shared" si="21"/>
        <v>15.719215595996463</v>
      </c>
      <c r="Q100" s="6">
        <f t="shared" si="28"/>
        <v>-67.350986137579341</v>
      </c>
      <c r="R100" s="5" t="str">
        <f t="shared" si="29"/>
        <v>7.04227628971822-6.4707173994054i</v>
      </c>
      <c r="S100" s="1">
        <f t="shared" si="30"/>
        <v>19.612494260314385</v>
      </c>
      <c r="T100" s="6">
        <f t="shared" si="31"/>
        <v>-42.578004934047861</v>
      </c>
      <c r="U100" t="str">
        <f>IMPRODUCT(COMPLEX(-1,0),IMDIV(COMPLEX(1,C100*Calculations!$B$171*Calculations!$B$173),IMPRODUCT(COMPLEX(0,C100*Calculations!$B$160),COMPLEX((Calculations!$B$173+Calculations!$B$175),C100*Calculations!$B$171*Calculations!$B$173*Calculations!$B$175))))</f>
        <v>-0.399269860290473+0.700842147273865i</v>
      </c>
      <c r="V100">
        <f t="shared" si="32"/>
        <v>-1.8668851990604953</v>
      </c>
      <c r="W100">
        <f t="shared" si="33"/>
        <v>119.67017038865139</v>
      </c>
      <c r="X100" t="str">
        <f t="shared" si="34"/>
        <v>1.72318280627894+7.51908646862167i</v>
      </c>
      <c r="Y100">
        <f t="shared" si="35"/>
        <v>17.745609061253891</v>
      </c>
      <c r="Z100">
        <f t="shared" si="36"/>
        <v>77.092165454603489</v>
      </c>
    </row>
    <row r="101" spans="2:26" x14ac:dyDescent="0.15">
      <c r="B101" s="1">
        <v>500</v>
      </c>
      <c r="C101" s="22">
        <f t="shared" si="12"/>
        <v>3141.5926535897929</v>
      </c>
      <c r="D101" s="26" t="str">
        <f t="shared" si="13"/>
        <v>0.185752137675792-0.157831698914281i</v>
      </c>
      <c r="E101" s="1">
        <f t="shared" si="14"/>
        <v>-12.261060779977344</v>
      </c>
      <c r="F101" s="6">
        <f t="shared" si="23"/>
        <v>-40.354217158340887</v>
      </c>
      <c r="G101" s="5" t="str">
        <f t="shared" si="16"/>
        <v>276.170981550353+223.082733006398i</v>
      </c>
      <c r="H101" s="1">
        <f t="shared" si="24"/>
        <v>51.004957032149065</v>
      </c>
      <c r="I101" s="6">
        <f t="shared" si="25"/>
        <v>38.930249928484635</v>
      </c>
      <c r="J101" s="26" t="str">
        <f t="shared" si="17"/>
        <v>86.5088769358405-2.15044067442048i</v>
      </c>
      <c r="K101" s="1">
        <f t="shared" si="26"/>
        <v>38.743896252171716</v>
      </c>
      <c r="L101" s="6">
        <f t="shared" si="27"/>
        <v>-1.4239672298563164</v>
      </c>
      <c r="M101" s="26">
        <f t="shared" si="18"/>
        <v>0.11294117647058823</v>
      </c>
      <c r="N101" s="6">
        <f t="shared" si="19"/>
        <v>2.5000000000000001E-2</v>
      </c>
      <c r="O101" s="5" t="str">
        <f t="shared" si="20"/>
        <v>2.35240971886675-4.51467719959675i</v>
      </c>
      <c r="P101" s="1">
        <f t="shared" si="21"/>
        <v>14.135703458765711</v>
      </c>
      <c r="Q101" s="6">
        <f t="shared" si="28"/>
        <v>-62.477862177788083</v>
      </c>
      <c r="R101" s="5" t="str">
        <f t="shared" si="29"/>
        <v>5.91732852684909-5.74455197801793i</v>
      </c>
      <c r="S101" s="1">
        <f t="shared" si="30"/>
        <v>18.326024951454151</v>
      </c>
      <c r="T101" s="6">
        <f t="shared" si="31"/>
        <v>-44.151196684108228</v>
      </c>
      <c r="U101" t="str">
        <f>IMPRODUCT(COMPLEX(-1,0),IMDIV(COMPLEX(1,C101*Calculations!$B$171*Calculations!$B$173),IMPRODUCT(COMPLEX(0,C101*Calculations!$B$160),COMPLEX((Calculations!$B$173+Calculations!$B$175),C101*Calculations!$B$171*Calculations!$B$173*Calculations!$B$175))))</f>
        <v>-0.393684932436704+0.588450870154682i</v>
      </c>
      <c r="V101">
        <f t="shared" si="32"/>
        <v>-2.9993499855651113</v>
      </c>
      <c r="W101">
        <f t="shared" si="33"/>
        <v>123.78328268374884</v>
      </c>
      <c r="X101" t="str">
        <f t="shared" si="34"/>
        <v>1.05082352881509+5.74360067796059i</v>
      </c>
      <c r="Y101">
        <f t="shared" si="35"/>
        <v>15.326674965889035</v>
      </c>
      <c r="Z101">
        <f t="shared" si="36"/>
        <v>79.632085999640566</v>
      </c>
    </row>
    <row r="102" spans="2:26" x14ac:dyDescent="0.15">
      <c r="B102" s="1">
        <v>600</v>
      </c>
      <c r="C102" s="22">
        <f t="shared" si="12"/>
        <v>3769.9111843077517</v>
      </c>
      <c r="D102" s="26" t="str">
        <f t="shared" si="13"/>
        <v>0.162372259540591-0.14341340076924i</v>
      </c>
      <c r="E102" s="1">
        <f t="shared" si="14"/>
        <v>-13.285295111888678</v>
      </c>
      <c r="F102" s="6">
        <f t="shared" si="23"/>
        <v>-41.452175336746087</v>
      </c>
      <c r="G102" s="5" t="str">
        <f t="shared" si="16"/>
        <v>310.182958918846+256.252304307798i</v>
      </c>
      <c r="H102" s="1">
        <f t="shared" si="24"/>
        <v>52.091897388062222</v>
      </c>
      <c r="I102" s="6">
        <f t="shared" si="25"/>
        <v>39.561227836549286</v>
      </c>
      <c r="J102" s="26" t="str">
        <f t="shared" si="17"/>
        <v>87.1151223263747-2.87612733627703i</v>
      </c>
      <c r="K102" s="1">
        <f t="shared" si="26"/>
        <v>38.806602276173535</v>
      </c>
      <c r="L102" s="6">
        <f t="shared" si="27"/>
        <v>-1.8909475001968961</v>
      </c>
      <c r="M102" s="26">
        <f t="shared" si="18"/>
        <v>0.11294117647058823</v>
      </c>
      <c r="N102" s="6">
        <f t="shared" si="19"/>
        <v>2.5000000000000001E-2</v>
      </c>
      <c r="O102" s="5" t="str">
        <f t="shared" si="20"/>
        <v>2.35238088741374-3.76678324992543i</v>
      </c>
      <c r="P102" s="1">
        <f t="shared" si="21"/>
        <v>12.949587033307363</v>
      </c>
      <c r="Q102" s="6">
        <f t="shared" si="28"/>
        <v>-58.014951335944701</v>
      </c>
      <c r="R102" s="5" t="str">
        <f t="shared" si="29"/>
        <v>5.1974720540571-5.10313806935458i</v>
      </c>
      <c r="S102" s="1">
        <f t="shared" si="30"/>
        <v>17.24732326406323</v>
      </c>
      <c r="T102" s="6">
        <f t="shared" si="31"/>
        <v>-44.475294373290176</v>
      </c>
      <c r="U102" t="str">
        <f>IMPRODUCT(COMPLEX(-1,0),IMDIV(COMPLEX(1,C102*Calculations!$B$171*Calculations!$B$173),IMPRODUCT(COMPLEX(0,C102*Calculations!$B$160),COMPLEX((Calculations!$B$173+Calculations!$B$175),C102*Calculations!$B$171*Calculations!$B$173*Calculations!$B$175))))</f>
        <v>-0.387067523869005+0.517802633566617i</v>
      </c>
      <c r="V102">
        <f t="shared" si="32"/>
        <v>-3.7888519356986841</v>
      </c>
      <c r="W102">
        <f t="shared" si="33"/>
        <v>126.77882812665139</v>
      </c>
      <c r="X102" t="str">
        <f t="shared" si="34"/>
        <v>0.63064569342363+4.66652373394639i</v>
      </c>
      <c r="Y102">
        <f t="shared" si="35"/>
        <v>13.458471328364539</v>
      </c>
      <c r="Z102">
        <f t="shared" si="36"/>
        <v>82.303533753361222</v>
      </c>
    </row>
    <row r="103" spans="2:26" x14ac:dyDescent="0.15">
      <c r="B103" s="1">
        <v>700</v>
      </c>
      <c r="C103" s="22">
        <f t="shared" si="12"/>
        <v>4398.22971502571</v>
      </c>
      <c r="D103" s="26" t="str">
        <f t="shared" si="13"/>
        <v>0.146114916632528-0.130010648002761i</v>
      </c>
      <c r="E103" s="1">
        <f t="shared" si="14"/>
        <v>-14.173420215953582</v>
      </c>
      <c r="F103" s="6">
        <f t="shared" si="23"/>
        <v>-41.662161417770108</v>
      </c>
      <c r="G103" s="5" t="str">
        <f t="shared" si="16"/>
        <v>347.933167086765+284.001355280271i</v>
      </c>
      <c r="H103" s="1">
        <f t="shared" si="24"/>
        <v>53.04736598237983</v>
      </c>
      <c r="I103" s="6">
        <f t="shared" si="25"/>
        <v>39.223132332961171</v>
      </c>
      <c r="J103" s="26" t="str">
        <f t="shared" si="17"/>
        <v>87.7614259362246-3.73818216430141i</v>
      </c>
      <c r="K103" s="1">
        <f t="shared" si="26"/>
        <v>38.87394576642626</v>
      </c>
      <c r="L103" s="6">
        <f t="shared" si="27"/>
        <v>-2.4390290848088987</v>
      </c>
      <c r="M103" s="26">
        <f t="shared" si="18"/>
        <v>0.11294117647058823</v>
      </c>
      <c r="N103" s="6">
        <f t="shared" si="19"/>
        <v>2.5000000000000001E-2</v>
      </c>
      <c r="O103" s="5" t="str">
        <f t="shared" si="20"/>
        <v>2.3523468147895-3.23328260416439i</v>
      </c>
      <c r="P103" s="1">
        <f t="shared" si="21"/>
        <v>12.037846847367925</v>
      </c>
      <c r="Q103" s="6">
        <f t="shared" si="28"/>
        <v>-53.962561110434358</v>
      </c>
      <c r="R103" s="5" t="str">
        <f t="shared" si="29"/>
        <v>4.71600470553701-4.56616381622979i</v>
      </c>
      <c r="S103" s="1">
        <f t="shared" si="30"/>
        <v>16.343820613601579</v>
      </c>
      <c r="T103" s="6">
        <f t="shared" si="31"/>
        <v>-44.075161703666311</v>
      </c>
      <c r="U103" t="str">
        <f>IMPRODUCT(COMPLEX(-1,0),IMDIV(COMPLEX(1,C103*Calculations!$B$171*Calculations!$B$173),IMPRODUCT(COMPLEX(0,C103*Calculations!$B$160),COMPLEX((Calculations!$B$173+Calculations!$B$175),C103*Calculations!$B$171*Calculations!$B$173*Calculations!$B$175))))</f>
        <v>-0.379528174907428+0.470614861247498i</v>
      </c>
      <c r="V103">
        <f t="shared" si="32"/>
        <v>-4.370888749423913</v>
      </c>
      <c r="W103">
        <f t="shared" si="33"/>
        <v>128.88450093352145</v>
      </c>
      <c r="X103" t="str">
        <f t="shared" si="34"/>
        <v>0.359047892061025+3.95240971964088i</v>
      </c>
      <c r="Y103">
        <f t="shared" si="35"/>
        <v>11.972931864177671</v>
      </c>
      <c r="Z103">
        <f t="shared" si="36"/>
        <v>84.809339229855155</v>
      </c>
    </row>
    <row r="104" spans="2:26" x14ac:dyDescent="0.15">
      <c r="B104" s="1">
        <v>800</v>
      </c>
      <c r="C104" s="22">
        <f t="shared" si="12"/>
        <v>5026.5482457436692</v>
      </c>
      <c r="D104" s="26" t="str">
        <f t="shared" si="13"/>
        <v>0.134521443891394-0.118180151743082i</v>
      </c>
      <c r="E104" s="1">
        <f t="shared" si="14"/>
        <v>-14.940017082168247</v>
      </c>
      <c r="F104" s="6">
        <f t="shared" si="23"/>
        <v>-41.300042221983226</v>
      </c>
      <c r="G104" s="5" t="str">
        <f t="shared" si="16"/>
        <v>388.45371193792+306.017705921814i</v>
      </c>
      <c r="H104" s="1">
        <f t="shared" si="24"/>
        <v>53.883554535627447</v>
      </c>
      <c r="I104" s="6">
        <f t="shared" si="25"/>
        <v>38.230482055700826</v>
      </c>
      <c r="J104" s="26" t="str">
        <f t="shared" si="17"/>
        <v>88.4205731367706-4.74157496505246i</v>
      </c>
      <c r="K104" s="1">
        <f t="shared" si="26"/>
        <v>38.943537453459214</v>
      </c>
      <c r="L104" s="6">
        <f t="shared" si="27"/>
        <v>-3.0695601662824168</v>
      </c>
      <c r="M104" s="26">
        <f t="shared" si="18"/>
        <v>0.11294117647058823</v>
      </c>
      <c r="N104" s="6">
        <f t="shared" si="19"/>
        <v>2.5000000000000001E-2</v>
      </c>
      <c r="O104" s="5" t="str">
        <f t="shared" si="20"/>
        <v>2.35230750144953-2.83377771940575i</v>
      </c>
      <c r="P104" s="1">
        <f t="shared" si="21"/>
        <v>11.323764703595192</v>
      </c>
      <c r="Q104" s="6">
        <f t="shared" si="28"/>
        <v>-50.304070790068259</v>
      </c>
      <c r="R104" s="5" t="str">
        <f t="shared" si="29"/>
        <v>4.38024541602098-4.12159860780585i</v>
      </c>
      <c r="S104" s="1">
        <f t="shared" si="30"/>
        <v>15.583980348211195</v>
      </c>
      <c r="T104" s="6">
        <f t="shared" si="31"/>
        <v>-43.257460252924353</v>
      </c>
      <c r="U104" t="str">
        <f>IMPRODUCT(COMPLEX(-1,0),IMDIV(COMPLEX(1,C104*Calculations!$B$171*Calculations!$B$173),IMPRODUCT(COMPLEX(0,C104*Calculations!$B$160),COMPLEX((Calculations!$B$173+Calculations!$B$175),C104*Calculations!$B$171*Calculations!$B$173*Calculations!$B$175))))</f>
        <v>-0.371185862594192+0.437720039557722i</v>
      </c>
      <c r="V104">
        <f t="shared" si="32"/>
        <v>-4.8230570505235626</v>
      </c>
      <c r="W104">
        <f t="shared" si="33"/>
        <v>130.29788892061472</v>
      </c>
      <c r="X104" t="str">
        <f t="shared" si="34"/>
        <v>0.178221132529826+3.44720033127867i</v>
      </c>
      <c r="Y104">
        <f t="shared" si="35"/>
        <v>10.760923297687635</v>
      </c>
      <c r="Z104">
        <f t="shared" si="36"/>
        <v>87.040428667690364</v>
      </c>
    </row>
    <row r="105" spans="2:26" x14ac:dyDescent="0.15">
      <c r="B105" s="1">
        <v>900</v>
      </c>
      <c r="C105" s="22">
        <f t="shared" si="12"/>
        <v>5654.8667764616275</v>
      </c>
      <c r="D105" s="26" t="str">
        <f t="shared" si="13"/>
        <v>0.126038086589255-0.10792447477496i</v>
      </c>
      <c r="E105" s="1">
        <f t="shared" si="14"/>
        <v>-15.601418668354949</v>
      </c>
      <c r="F105" s="6">
        <f t="shared" si="23"/>
        <v>-40.572935541654381</v>
      </c>
      <c r="G105" s="5" t="str">
        <f t="shared" si="16"/>
        <v>430.784821151774+322.176147484868i</v>
      </c>
      <c r="H105" s="1">
        <f t="shared" si="24"/>
        <v>54.614580549888593</v>
      </c>
      <c r="I105" s="6">
        <f t="shared" si="25"/>
        <v>36.792147439843276</v>
      </c>
      <c r="J105" s="26" t="str">
        <f t="shared" si="17"/>
        <v>89.0659860919886-5.88576039013989i</v>
      </c>
      <c r="K105" s="1">
        <f t="shared" si="26"/>
        <v>39.013161881533655</v>
      </c>
      <c r="L105" s="6">
        <f t="shared" si="27"/>
        <v>-3.7807881018110843</v>
      </c>
      <c r="M105" s="26">
        <f t="shared" si="18"/>
        <v>0.11294117647058823</v>
      </c>
      <c r="N105" s="6">
        <f t="shared" si="19"/>
        <v>2.5000000000000001E-2</v>
      </c>
      <c r="O105" s="5" t="str">
        <f t="shared" si="20"/>
        <v>2.35226294791941-2.52360328666175i</v>
      </c>
      <c r="P105" s="1">
        <f t="shared" si="21"/>
        <v>10.756095290344827</v>
      </c>
      <c r="Q105" s="6">
        <f t="shared" si="28"/>
        <v>-47.012573746438008</v>
      </c>
      <c r="R105" s="5" t="str">
        <f t="shared" si="29"/>
        <v>4.13740038943541-3.75233931462436i</v>
      </c>
      <c r="S105" s="1">
        <f t="shared" si="30"/>
        <v>14.94128595628947</v>
      </c>
      <c r="T105" s="6">
        <f t="shared" si="31"/>
        <v>-42.205879654702592</v>
      </c>
      <c r="U105" t="str">
        <f>IMPRODUCT(COMPLEX(-1,0),IMDIV(COMPLEX(1,C105*Calculations!$B$171*Calculations!$B$173),IMPRODUCT(COMPLEX(0,C105*Calculations!$B$160),COMPLEX((Calculations!$B$173+Calculations!$B$175),C105*Calculations!$B$171*Calculations!$B$173*Calculations!$B$175))))</f>
        <v>-0.36216381444376+0.414013360856075i</v>
      </c>
      <c r="V105">
        <f t="shared" si="32"/>
        <v>-5.1917457760498733</v>
      </c>
      <c r="W105">
        <f t="shared" si="33"/>
        <v>131.1782526417249</v>
      </c>
      <c r="X105" t="str">
        <f t="shared" si="34"/>
        <v>0.0551019038009861+3.07190055970903i</v>
      </c>
      <c r="Y105">
        <f t="shared" si="35"/>
        <v>9.7495401802395971</v>
      </c>
      <c r="Z105">
        <f t="shared" si="36"/>
        <v>88.972372987022283</v>
      </c>
    </row>
    <row r="106" spans="2:26" x14ac:dyDescent="0.15">
      <c r="B106" s="1">
        <v>1000</v>
      </c>
      <c r="C106" s="22">
        <f t="shared" si="12"/>
        <v>6283.1853071795858</v>
      </c>
      <c r="D106" s="26" t="str">
        <f t="shared" si="13"/>
        <v>0.119679393081721-0.0990717900443838i</v>
      </c>
      <c r="E106" s="1">
        <f t="shared" si="14"/>
        <v>-16.172919392575725</v>
      </c>
      <c r="F106" s="6">
        <f t="shared" si="23"/>
        <v>-39.618295223215092</v>
      </c>
      <c r="G106" s="5" t="str">
        <f t="shared" si="16"/>
        <v>474.011381712382+332.52079988711i</v>
      </c>
      <c r="H106" s="1">
        <f t="shared" si="24"/>
        <v>55.253776891135999</v>
      </c>
      <c r="I106" s="6">
        <f t="shared" si="25"/>
        <v>35.049806957123074</v>
      </c>
      <c r="J106" s="26" t="str">
        <f t="shared" si="17"/>
        <v>89.6728253489723-7.16526857011964i</v>
      </c>
      <c r="K106" s="1">
        <f t="shared" si="26"/>
        <v>39.080857498560285</v>
      </c>
      <c r="L106" s="6">
        <f t="shared" si="27"/>
        <v>-4.5684882660920119</v>
      </c>
      <c r="M106" s="26">
        <f t="shared" si="18"/>
        <v>0.11294117647058823</v>
      </c>
      <c r="N106" s="6">
        <f t="shared" si="19"/>
        <v>2.5000000000000001E-2</v>
      </c>
      <c r="O106" s="5" t="str">
        <f t="shared" si="20"/>
        <v>2.35221315479469-2.27596011390629i</v>
      </c>
      <c r="P106" s="1">
        <f t="shared" si="21"/>
        <v>10.299070982479119</v>
      </c>
      <c r="Q106" s="6">
        <f t="shared" si="28"/>
        <v>-44.056089324177847</v>
      </c>
      <c r="R106" s="5" t="str">
        <f t="shared" si="29"/>
        <v>3.95622088994158-3.44309422513297i</v>
      </c>
      <c r="S106" s="1">
        <f t="shared" si="30"/>
        <v>14.394366210635132</v>
      </c>
      <c r="T106" s="6">
        <f t="shared" si="31"/>
        <v>-41.033011447756323</v>
      </c>
      <c r="U106" t="str">
        <f>IMPRODUCT(COMPLEX(-1,0),IMDIV(COMPLEX(1,C106*Calculations!$B$171*Calculations!$B$173),IMPRODUCT(COMPLEX(0,C106*Calculations!$B$160),COMPLEX((Calculations!$B$173+Calculations!$B$175),C106*Calculations!$B$171*Calculations!$B$173*Calculations!$B$175))))</f>
        <v>-0.352585634172308+0.39643100502089i</v>
      </c>
      <c r="V106">
        <f t="shared" si="32"/>
        <v>-5.5056145102395444</v>
      </c>
      <c r="W106">
        <f t="shared" si="33"/>
        <v>131.649885912071</v>
      </c>
      <c r="X106" t="str">
        <f t="shared" si="34"/>
        <v>-0.0299573473546988+2.7823541843677i</v>
      </c>
      <c r="Y106">
        <f t="shared" si="35"/>
        <v>8.8887517003955878</v>
      </c>
      <c r="Z106">
        <f t="shared" si="36"/>
        <v>90.616874464314691</v>
      </c>
    </row>
    <row r="107" spans="2:26" x14ac:dyDescent="0.15">
      <c r="B107" s="1">
        <v>2000</v>
      </c>
      <c r="C107" s="22">
        <f t="shared" si="12"/>
        <v>12566.370614359172</v>
      </c>
      <c r="D107" s="26" t="str">
        <f t="shared" si="13"/>
        <v>0.0975278536884715-0.0529146339762747i</v>
      </c>
      <c r="E107" s="1">
        <f t="shared" si="14"/>
        <v>-19.096840661420796</v>
      </c>
      <c r="F107" s="6">
        <f t="shared" si="23"/>
        <v>-28.48245158106155</v>
      </c>
      <c r="G107" s="5" t="str">
        <f t="shared" si="16"/>
        <v>820.417261166297+195.70316047265i</v>
      </c>
      <c r="H107" s="1">
        <f t="shared" si="24"/>
        <v>58.521042209428231</v>
      </c>
      <c r="I107" s="6">
        <f t="shared" si="25"/>
        <v>13.416665848836754</v>
      </c>
      <c r="J107" s="26" t="str">
        <f t="shared" si="17"/>
        <v>90.3690957149336-24.3255698814844i</v>
      </c>
      <c r="K107" s="1">
        <f t="shared" si="26"/>
        <v>39.424201548007446</v>
      </c>
      <c r="L107" s="6">
        <f t="shared" si="27"/>
        <v>-15.065785732224844</v>
      </c>
      <c r="M107" s="26">
        <f t="shared" si="18"/>
        <v>0.11294117647058823</v>
      </c>
      <c r="N107" s="6">
        <f t="shared" si="19"/>
        <v>2.5000000000000001E-2</v>
      </c>
      <c r="O107" s="5" t="str">
        <f t="shared" si="20"/>
        <v>2.35142722688912-1.17520753049067i</v>
      </c>
      <c r="P107" s="1">
        <f t="shared" si="21"/>
        <v>8.3949833134878187</v>
      </c>
      <c r="Q107" s="6">
        <f t="shared" si="28"/>
        <v>-26.555185198416172</v>
      </c>
      <c r="R107" s="5" t="str">
        <f t="shared" si="29"/>
        <v>3.31513654481434-1.93582624304963i</v>
      </c>
      <c r="S107" s="1">
        <f t="shared" si="30"/>
        <v>11.684253962665512</v>
      </c>
      <c r="T107" s="6">
        <f t="shared" si="31"/>
        <v>-30.282176766698047</v>
      </c>
      <c r="U107" t="str">
        <f>IMPRODUCT(COMPLEX(-1,0),IMDIV(COMPLEX(1,C107*Calculations!$B$171*Calculations!$B$173),IMPRODUCT(COMPLEX(0,C107*Calculations!$B$160),COMPLEX((Calculations!$B$173+Calculations!$B$175),C107*Calculations!$B$171*Calculations!$B$173*Calculations!$B$175))))</f>
        <v>-0.248722625624919+0.327358558875389i</v>
      </c>
      <c r="V107">
        <f t="shared" si="32"/>
        <v>-7.720450199811463</v>
      </c>
      <c r="W107">
        <f t="shared" si="33"/>
        <v>127.22708054703735</v>
      </c>
      <c r="X107" t="str">
        <f t="shared" si="34"/>
        <v>-0.190840176573459+1.56672210771049i</v>
      </c>
      <c r="Y107">
        <f t="shared" si="35"/>
        <v>3.9638037628540737</v>
      </c>
      <c r="Z107">
        <f t="shared" si="36"/>
        <v>96.944903780339274</v>
      </c>
    </row>
    <row r="108" spans="2:26" x14ac:dyDescent="0.15">
      <c r="B108" s="1">
        <v>3000</v>
      </c>
      <c r="C108" s="22">
        <f t="shared" si="12"/>
        <v>18849.555921538758</v>
      </c>
      <c r="D108" s="26" t="str">
        <f t="shared" si="13"/>
        <v>0.0930898619761569-0.0357277025133188i</v>
      </c>
      <c r="E108" s="1">
        <f t="shared" si="14"/>
        <v>-20.0251789219868</v>
      </c>
      <c r="F108" s="6">
        <f t="shared" si="23"/>
        <v>-20.996702128935766</v>
      </c>
      <c r="G108" s="5" t="str">
        <f t="shared" si="16"/>
        <v>900.668106438289-82.4619588998214i</v>
      </c>
      <c r="H108" s="1">
        <f t="shared" si="24"/>
        <v>59.127549031360537</v>
      </c>
      <c r="I108" s="6">
        <f t="shared" si="25"/>
        <v>-5.231212693988752</v>
      </c>
      <c r="J108" s="26" t="str">
        <f t="shared" si="17"/>
        <v>80.8968933784286-39.8551745423293i</v>
      </c>
      <c r="K108" s="1">
        <f t="shared" si="26"/>
        <v>39.102370109373737</v>
      </c>
      <c r="L108" s="6">
        <f t="shared" si="27"/>
        <v>-26.22791482292455</v>
      </c>
      <c r="M108" s="26">
        <f t="shared" si="18"/>
        <v>0.11294117647058823</v>
      </c>
      <c r="N108" s="6">
        <f t="shared" si="19"/>
        <v>2.5000000000000001E-2</v>
      </c>
      <c r="O108" s="5" t="str">
        <f t="shared" si="20"/>
        <v>2.35011851349199-0.824798712042382i</v>
      </c>
      <c r="P108" s="1">
        <f t="shared" si="21"/>
        <v>7.9262628123906067</v>
      </c>
      <c r="Q108" s="6">
        <f t="shared" si="28"/>
        <v>-19.339057113811879</v>
      </c>
      <c r="R108" s="5" t="str">
        <f t="shared" si="29"/>
        <v>3.1758706597906-1.43197614781632i</v>
      </c>
      <c r="S108" s="1">
        <f t="shared" si="30"/>
        <v>10.841009796906906</v>
      </c>
      <c r="T108" s="6">
        <f t="shared" si="31"/>
        <v>-24.270254549830774</v>
      </c>
      <c r="U108" t="str">
        <f>IMPRODUCT(COMPLEX(-1,0),IMDIV(COMPLEX(1,C108*Calculations!$B$171*Calculations!$B$173),IMPRODUCT(COMPLEX(0,C108*Calculations!$B$160),COMPLEX((Calculations!$B$173+Calculations!$B$175),C108*Calculations!$B$171*Calculations!$B$173*Calculations!$B$175))))</f>
        <v>-0.166820591069826+0.286130256170708i</v>
      </c>
      <c r="V108">
        <f t="shared" si="32"/>
        <v>-9.5979482495391473</v>
      </c>
      <c r="W108">
        <f t="shared" si="33"/>
        <v>120.24317944501331</v>
      </c>
      <c r="X108" t="str">
        <f t="shared" si="34"/>
        <v>-0.120068918622559+1.14759579282753i</v>
      </c>
      <c r="Y108">
        <f t="shared" si="35"/>
        <v>1.2430615473677529</v>
      </c>
      <c r="Z108">
        <f t="shared" si="36"/>
        <v>95.972924895182558</v>
      </c>
    </row>
    <row r="109" spans="2:26" x14ac:dyDescent="0.15">
      <c r="B109" s="1">
        <v>4000</v>
      </c>
      <c r="C109" s="22">
        <f t="shared" si="12"/>
        <v>25132.741228718343</v>
      </c>
      <c r="D109" s="26" t="str">
        <f t="shared" si="13"/>
        <v>0.0915096186098198-0.0269162928844416i</v>
      </c>
      <c r="E109" s="1">
        <f t="shared" si="14"/>
        <v>-20.41030338015748</v>
      </c>
      <c r="F109" s="6">
        <f t="shared" si="23"/>
        <v>-16.390519508726566</v>
      </c>
      <c r="G109" s="5" t="str">
        <f t="shared" si="16"/>
        <v>823.320857049467-287.645831897568i</v>
      </c>
      <c r="H109" s="1">
        <f t="shared" si="24"/>
        <v>58.811548126680073</v>
      </c>
      <c r="I109" s="6">
        <f t="shared" si="25"/>
        <v>-19.258020746348738</v>
      </c>
      <c r="J109" s="26" t="str">
        <f t="shared" si="17"/>
        <v>67.5994181637629-48.4831056978638i</v>
      </c>
      <c r="K109" s="1">
        <f t="shared" si="26"/>
        <v>38.401244746522593</v>
      </c>
      <c r="L109" s="6">
        <f t="shared" si="27"/>
        <v>-35.648540255075353</v>
      </c>
      <c r="M109" s="26">
        <f t="shared" si="18"/>
        <v>0.11294117647058823</v>
      </c>
      <c r="N109" s="6">
        <f t="shared" si="19"/>
        <v>2.5000000000000001E-2</v>
      </c>
      <c r="O109" s="5" t="str">
        <f t="shared" si="20"/>
        <v>2.34828876018476-0.661934492883731i</v>
      </c>
      <c r="P109" s="1">
        <f t="shared" si="21"/>
        <v>7.7470796760693004</v>
      </c>
      <c r="Q109" s="6">
        <f t="shared" si="28"/>
        <v>-15.74205686700852</v>
      </c>
      <c r="R109" s="5" t="str">
        <f t="shared" si="29"/>
        <v>3.11956886440022-1.20956007400058i</v>
      </c>
      <c r="S109" s="1">
        <f t="shared" si="30"/>
        <v>10.490142237560642</v>
      </c>
      <c r="T109" s="6">
        <f t="shared" si="31"/>
        <v>-21.1929600977018</v>
      </c>
      <c r="U109" t="str">
        <f>IMPRODUCT(COMPLEX(-1,0),IMDIV(COMPLEX(1,C109*Calculations!$B$171*Calculations!$B$173),IMPRODUCT(COMPLEX(0,C109*Calculations!$B$160),COMPLEX((Calculations!$B$173+Calculations!$B$175),C109*Calculations!$B$171*Calculations!$B$173*Calculations!$B$175))))</f>
        <v>-0.114181931826351+0.247323093754315i</v>
      </c>
      <c r="V109">
        <f t="shared" si="32"/>
        <v>-11.295596537933225</v>
      </c>
      <c r="W109">
        <f t="shared" si="33"/>
        <v>114.78140666007744</v>
      </c>
      <c r="X109" t="str">
        <f t="shared" si="34"/>
        <v>-0.0570462598190315+0.909651328632508i</v>
      </c>
      <c r="Y109">
        <f t="shared" si="35"/>
        <v>-0.80545430037258237</v>
      </c>
      <c r="Z109">
        <f t="shared" si="36"/>
        <v>93.588446562375623</v>
      </c>
    </row>
    <row r="110" spans="2:26" x14ac:dyDescent="0.15">
      <c r="B110" s="1">
        <v>5000</v>
      </c>
      <c r="C110" s="22">
        <f t="shared" si="12"/>
        <v>31415.926535897932</v>
      </c>
      <c r="D110" s="26" t="str">
        <f t="shared" si="13"/>
        <v>0.09077336935783-0.0215779538769511i</v>
      </c>
      <c r="E110" s="1">
        <f t="shared" si="14"/>
        <v>-20.602106364284772</v>
      </c>
      <c r="F110" s="6">
        <f t="shared" si="23"/>
        <v>-13.371736766149228</v>
      </c>
      <c r="G110" s="5" t="str">
        <f t="shared" si="16"/>
        <v>701.415046117114-401.525298234374i</v>
      </c>
      <c r="H110" s="1">
        <f t="shared" si="24"/>
        <v>58.150499206360891</v>
      </c>
      <c r="I110" s="6">
        <f t="shared" si="25"/>
        <v>-29.788995329132952</v>
      </c>
      <c r="J110" s="26" t="str">
        <f t="shared" si="17"/>
        <v>55.0057126885978-51.5829057168562i</v>
      </c>
      <c r="K110" s="1">
        <f t="shared" si="26"/>
        <v>37.548392842076119</v>
      </c>
      <c r="L110" s="6">
        <f t="shared" si="27"/>
        <v>-43.160732095282121</v>
      </c>
      <c r="M110" s="26">
        <f t="shared" si="18"/>
        <v>0.11294117647058823</v>
      </c>
      <c r="N110" s="6">
        <f t="shared" si="19"/>
        <v>2.5000000000000001E-2</v>
      </c>
      <c r="O110" s="5" t="str">
        <f t="shared" si="20"/>
        <v>2.34594040263409-0.574041964822917i</v>
      </c>
      <c r="P110" s="1">
        <f t="shared" si="21"/>
        <v>7.6588903918730971</v>
      </c>
      <c r="Q110" s="6">
        <f t="shared" si="28"/>
        <v>-13.749861747398201</v>
      </c>
      <c r="R110" s="5" t="str">
        <f t="shared" si="29"/>
        <v>3.08695613751194-1.10376668200207i</v>
      </c>
      <c r="S110" s="1">
        <f t="shared" si="30"/>
        <v>10.313114576129621</v>
      </c>
      <c r="T110" s="6">
        <f t="shared" si="31"/>
        <v>-19.674929985073959</v>
      </c>
      <c r="U110" t="str">
        <f>IMPRODUCT(COMPLEX(-1,0),IMDIV(COMPLEX(1,C110*Calculations!$B$171*Calculations!$B$173),IMPRODUCT(COMPLEX(0,C110*Calculations!$B$160),COMPLEX((Calculations!$B$173+Calculations!$B$175),C110*Calculations!$B$171*Calculations!$B$173*Calculations!$B$175))))</f>
        <v>-0.0812280996533384+0.214248366516438i</v>
      </c>
      <c r="V110">
        <f t="shared" si="32"/>
        <v>-12.798376629273559</v>
      </c>
      <c r="W110">
        <f t="shared" si="33"/>
        <v>110.76324805444862</v>
      </c>
      <c r="X110" t="str">
        <f t="shared" si="34"/>
        <v>-0.0142673721290923+0.751032180009525i</v>
      </c>
      <c r="Y110">
        <f t="shared" si="35"/>
        <v>-2.4852620531439364</v>
      </c>
      <c r="Z110">
        <f t="shared" si="36"/>
        <v>91.088318069374679</v>
      </c>
    </row>
    <row r="111" spans="2:26" x14ac:dyDescent="0.15">
      <c r="B111" s="1">
        <v>6000</v>
      </c>
      <c r="C111" s="22">
        <f t="shared" ref="C111:C137" si="37">2*PI()*B111</f>
        <v>37699.111843077517</v>
      </c>
      <c r="D111" s="26" t="str">
        <f t="shared" ref="D111:D137" si="38">IMDIV(COMPLEX((V12_Nom/(I_Channel_Design*np)),((Zo_Buck_Cout*Zo_Buck_Resr*V12_Nom)/(I_Channel_Design*np))*C111),COMPLEX(1,((Zo_Buck_Cout*Zo_Buck_Resr)+((Zo_Buck_Cout*V12_Nom)/(I_Channel_Design*np)))*C111))</f>
        <v>0.0903721425300524-0.0180020277267128i</v>
      </c>
      <c r="E111" s="1">
        <f t="shared" si="14"/>
        <v>-20.710310755973236</v>
      </c>
      <c r="F111" s="6">
        <f t="shared" si="23"/>
        <v>-11.265789175244249</v>
      </c>
      <c r="G111" s="5" t="str">
        <f t="shared" ref="G111:G137" si="39">IMDIV(COMPLEX(V48_Max,0),IMSUM(COMPLEX(Rcs/np,(Lm*C111)/np),D111))</f>
        <v>583.357563617358-453.161173508665i</v>
      </c>
      <c r="H111" s="1">
        <f t="shared" si="24"/>
        <v>57.369229911559898</v>
      </c>
      <c r="I111" s="6">
        <f t="shared" si="25"/>
        <v>-37.840613153805364</v>
      </c>
      <c r="J111" s="26" t="str">
        <f t="shared" ref="J111:J137" si="40">IMDIV(IMPRODUCT(COMPLEX(V48_Max,0),D111),IMSUM(COMPLEX(Rcs/np,(Lm*C111)/np),D111))</f>
        <v>44.5614528750392-51.4547651962382i</v>
      </c>
      <c r="K111" s="1">
        <f t="shared" si="26"/>
        <v>36.658919155586652</v>
      </c>
      <c r="L111" s="6">
        <f t="shared" si="27"/>
        <v>-49.106402329049672</v>
      </c>
      <c r="M111" s="26">
        <f t="shared" ref="M111:M137" si="41">(Ramp_C*Ramp_R*Fsw)/(V48_Max)</f>
        <v>0.11294117647058823</v>
      </c>
      <c r="N111" s="6">
        <f t="shared" ref="N111:N137" si="42">(Rcs*Acs)/np</f>
        <v>2.5000000000000001E-2</v>
      </c>
      <c r="O111" s="5" t="str">
        <f t="shared" ref="O111:O137" si="43">IMPRODUCT(COMPLEX(gm/(IL_Comp_Ccomp+IL_Comp_Chf),0),IMDIV(COMPLEX(1,C111*IL_Comp_Rcomp*IL_Comp_Ccomp),IMPRODUCT(COMPLEX(0,C111),COMPLEX(1,C111*IL_Comp_Rcomp*IL_Comp_Chf))))</f>
        <v>2.3430765585053-0.523586056930106i</v>
      </c>
      <c r="P111" s="1">
        <f t="shared" si="21"/>
        <v>7.6073528279124343</v>
      </c>
      <c r="Q111" s="6">
        <f t="shared" si="28"/>
        <v>-12.596422545534917</v>
      </c>
      <c r="R111" s="5" t="str">
        <f t="shared" si="29"/>
        <v>3.06259372774629-1.05711986394602i</v>
      </c>
      <c r="S111" s="1">
        <f t="shared" si="30"/>
        <v>10.21064483430713</v>
      </c>
      <c r="T111" s="6">
        <f t="shared" si="31"/>
        <v>-19.043211491454855</v>
      </c>
      <c r="U111" t="str">
        <f>IMPRODUCT(COMPLEX(-1,0),IMDIV(COMPLEX(1,C111*Calculations!$B$171*Calculations!$B$173),IMPRODUCT(COMPLEX(0,C111*Calculations!$B$160),COMPLEX((Calculations!$B$173+Calculations!$B$175),C111*Calculations!$B$171*Calculations!$B$173*Calculations!$B$175))))</f>
        <v>-0.0600469449865662+0.187319173830394i</v>
      </c>
      <c r="V111">
        <f t="shared" si="32"/>
        <v>-14.123551550453175</v>
      </c>
      <c r="W111">
        <f t="shared" si="33"/>
        <v>107.7737473598449</v>
      </c>
      <c r="X111" t="str">
        <f t="shared" si="34"/>
        <v>0.0141194224678828+0.637159345174155i</v>
      </c>
      <c r="Y111">
        <f t="shared" si="35"/>
        <v>-3.9129067161460416</v>
      </c>
      <c r="Z111">
        <f t="shared" si="36"/>
        <v>88.730535868390049</v>
      </c>
    </row>
    <row r="112" spans="2:26" x14ac:dyDescent="0.15">
      <c r="B112" s="1">
        <v>7000</v>
      </c>
      <c r="C112" s="22">
        <f t="shared" si="37"/>
        <v>43982.297150257102</v>
      </c>
      <c r="D112" s="26" t="str">
        <f t="shared" si="38"/>
        <v>0.0901297751598095-0.0154408717395286i</v>
      </c>
      <c r="E112" s="1">
        <f t="shared" si="14"/>
        <v>-20.777003857493533</v>
      </c>
      <c r="F112" s="6">
        <f t="shared" si="23"/>
        <v>-9.7214357100120932</v>
      </c>
      <c r="G112" s="5" t="str">
        <f t="shared" si="39"/>
        <v>483.184547524439-468.724436502049i</v>
      </c>
      <c r="H112" s="1">
        <f t="shared" si="24"/>
        <v>56.562610600333159</v>
      </c>
      <c r="I112" s="6">
        <f t="shared" si="25"/>
        <v>-44.129707116632851</v>
      </c>
      <c r="J112" s="26" t="str">
        <f t="shared" si="40"/>
        <v>36.3118007238611-49.7068186986851i</v>
      </c>
      <c r="K112" s="1">
        <f t="shared" si="26"/>
        <v>35.785606742839626</v>
      </c>
      <c r="L112" s="6">
        <f t="shared" si="27"/>
        <v>-53.851142826644875</v>
      </c>
      <c r="M112" s="26">
        <f t="shared" si="41"/>
        <v>0.11294117647058823</v>
      </c>
      <c r="N112" s="6">
        <f t="shared" si="42"/>
        <v>2.5000000000000001E-2</v>
      </c>
      <c r="O112" s="5" t="str">
        <f t="shared" si="43"/>
        <v>2.33970101715129-0.494471219894314i</v>
      </c>
      <c r="P112" s="1">
        <f t="shared" si="21"/>
        <v>7.5729751454215375</v>
      </c>
      <c r="Q112" s="6">
        <f t="shared" si="28"/>
        <v>-11.93326481671301</v>
      </c>
      <c r="R112" s="5" t="str">
        <f t="shared" si="29"/>
        <v>3.04104485482072-1.04442407219892i</v>
      </c>
      <c r="S112" s="1">
        <f t="shared" si="30"/>
        <v>10.14469102965117</v>
      </c>
      <c r="T112" s="6">
        <f t="shared" si="31"/>
        <v>-18.954650145040954</v>
      </c>
      <c r="U112" t="str">
        <f>IMPRODUCT(COMPLEX(-1,0),IMDIV(COMPLEX(1,C112*Calculations!$B$171*Calculations!$B$173),IMPRODUCT(COMPLEX(0,C112*Calculations!$B$160),COMPLEX((Calculations!$B$173+Calculations!$B$175),C112*Calculations!$B$171*Calculations!$B$173*Calculations!$B$175))))</f>
        <v>-0.045901393694166+0.165584591879055i</v>
      </c>
      <c r="V112">
        <f t="shared" si="32"/>
        <v>-15.298072252354176</v>
      </c>
      <c r="W112">
        <f t="shared" si="33"/>
        <v>105.49380568692517</v>
      </c>
      <c r="X112" t="str">
        <f t="shared" si="34"/>
        <v>0.0333523366209751+0.551490691693056i</v>
      </c>
      <c r="Y112">
        <f t="shared" si="35"/>
        <v>-5.153381222703004</v>
      </c>
      <c r="Z112">
        <f t="shared" si="36"/>
        <v>86.539155541884227</v>
      </c>
    </row>
    <row r="113" spans="2:26" x14ac:dyDescent="0.15">
      <c r="B113" s="1">
        <v>8000</v>
      </c>
      <c r="C113" s="22">
        <f t="shared" si="37"/>
        <v>50265.482457436687</v>
      </c>
      <c r="D113" s="26" t="str">
        <f t="shared" si="38"/>
        <v>0.0899722917706953-0.0135167679445947i</v>
      </c>
      <c r="E113" s="1">
        <f t="shared" si="14"/>
        <v>-20.820894620288563</v>
      </c>
      <c r="F113" s="6">
        <f t="shared" si="23"/>
        <v>-8.5437968016955814</v>
      </c>
      <c r="G113" s="5" t="str">
        <f t="shared" si="39"/>
        <v>402.038442712266-464.850410241186i</v>
      </c>
      <c r="H113" s="1">
        <f t="shared" si="24"/>
        <v>55.771709161511708</v>
      </c>
      <c r="I113" s="6">
        <f t="shared" si="25"/>
        <v>-49.144224957988406</v>
      </c>
      <c r="J113" s="26" t="str">
        <f t="shared" si="40"/>
        <v>29.8890449465642-47.2579170748953i</v>
      </c>
      <c r="K113" s="1">
        <f t="shared" si="26"/>
        <v>34.950814541223146</v>
      </c>
      <c r="L113" s="6">
        <f t="shared" si="27"/>
        <v>-57.688021759683984</v>
      </c>
      <c r="M113" s="26">
        <f t="shared" si="41"/>
        <v>0.11294117647058823</v>
      </c>
      <c r="N113" s="6">
        <f t="shared" si="42"/>
        <v>2.5000000000000001E-2</v>
      </c>
      <c r="O113" s="5" t="str">
        <f t="shared" si="43"/>
        <v>2.3358182271408-0.478641872702017i</v>
      </c>
      <c r="P113" s="1">
        <f t="shared" si="21"/>
        <v>7.5474153308262748</v>
      </c>
      <c r="Q113" s="6">
        <f t="shared" si="28"/>
        <v>-11.580397820536183</v>
      </c>
      <c r="R113" s="5" t="str">
        <f t="shared" si="29"/>
        <v>3.01999890303001-1.05290150054017i</v>
      </c>
      <c r="S113" s="1">
        <f t="shared" si="30"/>
        <v>10.098329639510515</v>
      </c>
      <c r="T113" s="6">
        <f t="shared" si="31"/>
        <v>-19.22075195653624</v>
      </c>
      <c r="U113" t="str">
        <f>IMPRODUCT(COMPLEX(-1,0),IMDIV(COMPLEX(1,C113*Calculations!$B$171*Calculations!$B$173),IMPRODUCT(COMPLEX(0,C113*Calculations!$B$160),COMPLEX((Calculations!$B$173+Calculations!$B$175),C113*Calculations!$B$171*Calculations!$B$173*Calculations!$B$175))))</f>
        <v>-0.0360911892039297+0.147936015037461i</v>
      </c>
      <c r="V113">
        <f t="shared" si="32"/>
        <v>-16.347434793002371</v>
      </c>
      <c r="W113">
        <f t="shared" si="33"/>
        <v>103.71033660453207</v>
      </c>
      <c r="X113" t="str">
        <f t="shared" si="34"/>
        <v>0.0467667004119596+0.48476707040086i</v>
      </c>
      <c r="Y113">
        <f t="shared" si="35"/>
        <v>-6.2491051534918576</v>
      </c>
      <c r="Z113">
        <f t="shared" si="36"/>
        <v>84.489584647995841</v>
      </c>
    </row>
    <row r="114" spans="2:26" x14ac:dyDescent="0.15">
      <c r="B114" s="1">
        <v>9000</v>
      </c>
      <c r="C114" s="22">
        <f t="shared" si="37"/>
        <v>56548.667764616279</v>
      </c>
      <c r="D114" s="26" t="str">
        <f t="shared" si="38"/>
        <v>0.0898642407614475-0.0120185672503091i</v>
      </c>
      <c r="E114" s="1">
        <f t="shared" si="14"/>
        <v>-20.851267175701409</v>
      </c>
      <c r="F114" s="6">
        <f t="shared" si="23"/>
        <v>-7.6176129168234201</v>
      </c>
      <c r="G114" s="5" t="str">
        <f t="shared" si="39"/>
        <v>337.247411112353-451.100620211238i</v>
      </c>
      <c r="H114" s="1">
        <f t="shared" si="24"/>
        <v>55.013709461882321</v>
      </c>
      <c r="I114" s="6">
        <f t="shared" si="25"/>
        <v>-53.217836337910349</v>
      </c>
      <c r="J114" s="26" t="str">
        <f t="shared" si="40"/>
        <v>24.8848994077105-44.5910454327474i</v>
      </c>
      <c r="K114" s="1">
        <f t="shared" si="26"/>
        <v>34.162442286180912</v>
      </c>
      <c r="L114" s="6">
        <f t="shared" si="27"/>
        <v>-60.835449254733703</v>
      </c>
      <c r="M114" s="26">
        <f t="shared" si="41"/>
        <v>0.11294117647058823</v>
      </c>
      <c r="N114" s="6">
        <f t="shared" si="42"/>
        <v>2.5000000000000001E-2</v>
      </c>
      <c r="O114" s="5" t="str">
        <f t="shared" si="43"/>
        <v>2.33143328170177-0.471615906807136i</v>
      </c>
      <c r="P114" s="1">
        <f t="shared" si="21"/>
        <v>7.5266315117854399</v>
      </c>
      <c r="Q114" s="6">
        <f t="shared" si="28"/>
        <v>-11.43580787541042</v>
      </c>
      <c r="R114" s="5" t="str">
        <f t="shared" si="29"/>
        <v>2.99833644647514-1.07537389913161i</v>
      </c>
      <c r="S114" s="1">
        <f t="shared" si="30"/>
        <v>10.063141396630977</v>
      </c>
      <c r="T114" s="6">
        <f t="shared" si="31"/>
        <v>-19.73071960807658</v>
      </c>
      <c r="U114" t="str">
        <f>IMPRODUCT(COMPLEX(-1,0),IMDIV(COMPLEX(1,C114*Calculations!$B$171*Calculations!$B$173),IMPRODUCT(COMPLEX(0,C114*Calculations!$B$160),COMPLEX((Calculations!$B$173+Calculations!$B$175),C114*Calculations!$B$171*Calculations!$B$173*Calculations!$B$175))))</f>
        <v>-0.0290537840519432+0.133443190131353i</v>
      </c>
      <c r="V114">
        <f t="shared" si="32"/>
        <v>-17.29293049491362</v>
      </c>
      <c r="W114">
        <f t="shared" si="33"/>
        <v>102.2829738847623</v>
      </c>
      <c r="X114" t="str">
        <f t="shared" si="34"/>
        <v>0.0563883040531544+0.431351261545213i</v>
      </c>
      <c r="Y114">
        <f t="shared" si="35"/>
        <v>-7.2297890982826472</v>
      </c>
      <c r="Z114">
        <f t="shared" si="36"/>
        <v>82.552254276685716</v>
      </c>
    </row>
    <row r="115" spans="2:26" x14ac:dyDescent="0.15">
      <c r="B115" s="1">
        <v>10000</v>
      </c>
      <c r="C115" s="22">
        <f t="shared" si="37"/>
        <v>62831.853071795864</v>
      </c>
      <c r="D115" s="26" t="str">
        <f t="shared" si="38"/>
        <v>0.089786912090389-0.0108190694890371i</v>
      </c>
      <c r="E115" s="1">
        <f t="shared" si="14"/>
        <v>-20.873134996031105</v>
      </c>
      <c r="F115" s="6">
        <f t="shared" si="23"/>
        <v>-6.8708535570318894</v>
      </c>
      <c r="G115" s="5" t="str">
        <f t="shared" si="39"/>
        <v>285.55054530131-432.770732594678i</v>
      </c>
      <c r="H115" s="1">
        <f t="shared" si="24"/>
        <v>54.294771196275597</v>
      </c>
      <c r="I115" s="6">
        <f t="shared" si="25"/>
        <v>-56.582395423971171</v>
      </c>
      <c r="J115" s="26" t="str">
        <f t="shared" si="40"/>
        <v>20.9565250795681-41.946538915019i</v>
      </c>
      <c r="K115" s="1">
        <f t="shared" si="26"/>
        <v>33.421636200244514</v>
      </c>
      <c r="L115" s="6">
        <f t="shared" si="27"/>
        <v>-63.453248981003064</v>
      </c>
      <c r="M115" s="26">
        <f t="shared" si="41"/>
        <v>0.11294117647058823</v>
      </c>
      <c r="N115" s="6">
        <f t="shared" si="42"/>
        <v>2.5000000000000001E-2</v>
      </c>
      <c r="O115" s="5" t="str">
        <f t="shared" si="43"/>
        <v>2.32655190216842-0.470698106712192i</v>
      </c>
      <c r="P115" s="1">
        <f t="shared" si="21"/>
        <v>7.5084771092898706</v>
      </c>
      <c r="Q115" s="6">
        <f t="shared" si="28"/>
        <v>-11.437455317887316</v>
      </c>
      <c r="R115" s="5" t="str">
        <f t="shared" si="29"/>
        <v>2.97545941120858-1.10748740055799i</v>
      </c>
      <c r="S115" s="1">
        <f t="shared" si="30"/>
        <v>10.03455665663688</v>
      </c>
      <c r="T115" s="6">
        <f t="shared" si="31"/>
        <v>-20.415628613177674</v>
      </c>
      <c r="U115" t="str">
        <f>IMPRODUCT(COMPLEX(-1,0),IMDIV(COMPLEX(1,C115*Calculations!$B$171*Calculations!$B$173),IMPRODUCT(COMPLEX(0,C115*Calculations!$B$160),COMPLEX((Calculations!$B$173+Calculations!$B$175),C115*Calculations!$B$171*Calculations!$B$173*Calculations!$B$175))))</f>
        <v>-0.0238550620697817+0.121391687213877i</v>
      </c>
      <c r="V115">
        <f t="shared" si="32"/>
        <v>-18.151665040118438</v>
      </c>
      <c r="W115">
        <f t="shared" si="33"/>
        <v>101.11770607490681</v>
      </c>
      <c r="X115" t="str">
        <f t="shared" si="34"/>
        <v>0.0634599951813484+0.387615218844831i</v>
      </c>
      <c r="Y115">
        <f t="shared" si="35"/>
        <v>-8.117108383481547</v>
      </c>
      <c r="Z115">
        <f t="shared" si="36"/>
        <v>80.702077461729147</v>
      </c>
    </row>
    <row r="116" spans="2:26" x14ac:dyDescent="0.15">
      <c r="B116" s="1">
        <v>20000</v>
      </c>
      <c r="C116" s="22">
        <f t="shared" si="37"/>
        <v>125663.70614359173</v>
      </c>
      <c r="D116" s="26" t="str">
        <f t="shared" si="38"/>
        <v>0.0895394373545704-0.00541330943717183i</v>
      </c>
      <c r="E116" s="1">
        <f t="shared" si="14"/>
        <v>-20.943867904275173</v>
      </c>
      <c r="F116" s="6">
        <f t="shared" si="23"/>
        <v>-3.4597349872587424</v>
      </c>
      <c r="G116" s="5" t="str">
        <f t="shared" si="39"/>
        <v>83.0558809710172-267.411720905501i</v>
      </c>
      <c r="H116" s="1">
        <f t="shared" si="24"/>
        <v>48.943565423698544</v>
      </c>
      <c r="I116" s="6">
        <f t="shared" si="25"/>
        <v>-72.745635503506236</v>
      </c>
      <c r="J116" s="26" t="str">
        <f t="shared" si="40"/>
        <v>5.98919445874493-24.393502216169i</v>
      </c>
      <c r="K116" s="1">
        <f t="shared" si="26"/>
        <v>27.999697519423368</v>
      </c>
      <c r="L116" s="6">
        <f t="shared" si="27"/>
        <v>-76.205370490765006</v>
      </c>
      <c r="M116" s="26">
        <f t="shared" si="41"/>
        <v>0.11294117647058823</v>
      </c>
      <c r="N116" s="6">
        <f t="shared" si="42"/>
        <v>2.5000000000000001E-2</v>
      </c>
      <c r="O116" s="5" t="str">
        <f t="shared" si="43"/>
        <v>2.25210014761941-0.588008718782821i</v>
      </c>
      <c r="P116" s="1">
        <f t="shared" si="21"/>
        <v>7.3381570049155531</v>
      </c>
      <c r="Q116" s="6">
        <f t="shared" si="28"/>
        <v>-14.632886541382131</v>
      </c>
      <c r="R116" s="5" t="str">
        <f t="shared" si="29"/>
        <v>2.64168666989373-1.61050186553156i</v>
      </c>
      <c r="S116" s="1">
        <f t="shared" si="30"/>
        <v>9.8101288570476104</v>
      </c>
      <c r="T116" s="6">
        <f t="shared" si="31"/>
        <v>-31.368535426084055</v>
      </c>
      <c r="U116" t="str">
        <f>IMPRODUCT(COMPLEX(-1,0),IMDIV(COMPLEX(1,C116*Calculations!$B$171*Calculations!$B$173),IMPRODUCT(COMPLEX(0,C116*Calculations!$B$160),COMPLEX((Calculations!$B$173+Calculations!$B$175),C116*Calculations!$B$171*Calculations!$B$173*Calculations!$B$175))))</f>
        <v>-0.00623616053063266+0.0628865742880357i</v>
      </c>
      <c r="V116">
        <f t="shared" si="32"/>
        <v>-23.986342483928293</v>
      </c>
      <c r="W116">
        <f t="shared" si="33"/>
        <v>95.66323302093366</v>
      </c>
      <c r="X116" t="str">
        <f t="shared" si="34"/>
        <v>0.0848049630626808+0.176169973180324i</v>
      </c>
      <c r="Y116">
        <f t="shared" si="35"/>
        <v>-14.176213626880678</v>
      </c>
      <c r="Z116">
        <f t="shared" si="36"/>
        <v>64.294697594849637</v>
      </c>
    </row>
    <row r="117" spans="2:26" x14ac:dyDescent="0.15">
      <c r="B117" s="1">
        <v>30000</v>
      </c>
      <c r="C117" s="22">
        <f t="shared" si="37"/>
        <v>188495.55921538759</v>
      </c>
      <c r="D117" s="26" t="str">
        <f t="shared" si="38"/>
        <v>0.0894935707943854-0.00360933935499661i</v>
      </c>
      <c r="E117" s="1">
        <f t="shared" si="14"/>
        <v>-20.957104915721629</v>
      </c>
      <c r="F117" s="6">
        <f t="shared" si="23"/>
        <v>-2.3095278772582075</v>
      </c>
      <c r="G117" s="5" t="str">
        <f t="shared" si="39"/>
        <v>38.0320335950379-185.675182374648i</v>
      </c>
      <c r="H117" s="1">
        <f t="shared" si="24"/>
        <v>45.553569894897386</v>
      </c>
      <c r="I117" s="6">
        <f t="shared" si="25"/>
        <v>-78.424166461676435</v>
      </c>
      <c r="J117" s="26" t="str">
        <f t="shared" si="40"/>
        <v>2.73345774800098-16.7540055942111i</v>
      </c>
      <c r="K117" s="1">
        <f t="shared" si="26"/>
        <v>24.596464979175753</v>
      </c>
      <c r="L117" s="6">
        <f t="shared" si="27"/>
        <v>-80.73369433893464</v>
      </c>
      <c r="M117" s="26">
        <f t="shared" si="41"/>
        <v>0.11294117647058823</v>
      </c>
      <c r="N117" s="6">
        <f t="shared" si="42"/>
        <v>2.5000000000000001E-2</v>
      </c>
      <c r="O117" s="5" t="str">
        <f t="shared" si="43"/>
        <v>2.13806671599859-0.752104707763627i</v>
      </c>
      <c r="P117" s="1">
        <f t="shared" si="21"/>
        <v>7.1070878569297413</v>
      </c>
      <c r="Q117" s="6">
        <f t="shared" si="28"/>
        <v>-19.380270399327014</v>
      </c>
      <c r="R117" s="5" t="str">
        <f t="shared" si="29"/>
        <v>2.10259603189609-2.09656837218392i</v>
      </c>
      <c r="S117" s="1">
        <f t="shared" si="30"/>
        <v>9.4529665580175468</v>
      </c>
      <c r="T117" s="6">
        <f t="shared" si="31"/>
        <v>-44.917755250470975</v>
      </c>
      <c r="U117" t="str">
        <f>IMPRODUCT(COMPLEX(-1,0),IMDIV(COMPLEX(1,C117*Calculations!$B$171*Calculations!$B$173),IMPRODUCT(COMPLEX(0,C117*Calculations!$B$160),COMPLEX((Calculations!$B$173+Calculations!$B$175),C117*Calculations!$B$171*Calculations!$B$173*Calculations!$B$175))))</f>
        <v>-0.00279527023189329+0.0422096092647744i</v>
      </c>
      <c r="V117">
        <f t="shared" si="32"/>
        <v>-27.4727687647568</v>
      </c>
      <c r="W117">
        <f t="shared" si="33"/>
        <v>93.788797801287259</v>
      </c>
      <c r="X117" t="str">
        <f t="shared" si="34"/>
        <v>0.0826180076891113+0.0946102321078938i</v>
      </c>
      <c r="Y117">
        <f t="shared" si="35"/>
        <v>-18.019802206739254</v>
      </c>
      <c r="Z117">
        <f t="shared" si="36"/>
        <v>48.871042550816298</v>
      </c>
    </row>
    <row r="118" spans="2:26" x14ac:dyDescent="0.15">
      <c r="B118" s="1">
        <v>40000</v>
      </c>
      <c r="C118" s="22">
        <f t="shared" si="37"/>
        <v>251327.41228718346</v>
      </c>
      <c r="D118" s="26" t="str">
        <f t="shared" si="38"/>
        <v>0.0894775146973945-0.00270712696679005i</v>
      </c>
      <c r="E118" s="1">
        <f t="shared" si="14"/>
        <v>-20.961748228295384</v>
      </c>
      <c r="F118" s="6">
        <f t="shared" si="23"/>
        <v>-1.7329454259329908</v>
      </c>
      <c r="G118" s="5" t="str">
        <f t="shared" si="39"/>
        <v>21.6208446522473-141.270409337719i</v>
      </c>
      <c r="H118" s="1">
        <f t="shared" si="24"/>
        <v>43.101575888741024</v>
      </c>
      <c r="I118" s="6">
        <f t="shared" si="25"/>
        <v>-81.298639010996666</v>
      </c>
      <c r="J118" s="26" t="str">
        <f t="shared" si="40"/>
        <v>1.55214251041394-12.6990554994255i</v>
      </c>
      <c r="K118" s="1">
        <f t="shared" si="26"/>
        <v>22.139827660445594</v>
      </c>
      <c r="L118" s="6">
        <f t="shared" si="27"/>
        <v>-83.031584436929592</v>
      </c>
      <c r="M118" s="26">
        <f t="shared" si="41"/>
        <v>0.11294117647058823</v>
      </c>
      <c r="N118" s="6">
        <f t="shared" si="42"/>
        <v>2.5000000000000001E-2</v>
      </c>
      <c r="O118" s="5" t="str">
        <f t="shared" si="43"/>
        <v>1.99653631279602-0.899275900874515i</v>
      </c>
      <c r="P118" s="1">
        <f t="shared" si="21"/>
        <v>6.8077542344564925</v>
      </c>
      <c r="Q118" s="6">
        <f t="shared" si="28"/>
        <v>-24.247658928661092</v>
      </c>
      <c r="R118" s="5" t="str">
        <f t="shared" si="29"/>
        <v>1.41887081711374-2.37600209377i</v>
      </c>
      <c r="S118" s="1">
        <f t="shared" si="30"/>
        <v>8.8414827284906305</v>
      </c>
      <c r="T118" s="6">
        <f t="shared" si="31"/>
        <v>-59.155731046067586</v>
      </c>
      <c r="U118" t="str">
        <f>IMPRODUCT(COMPLEX(-1,0),IMDIV(COMPLEX(1,C118*Calculations!$B$171*Calculations!$B$173),IMPRODUCT(COMPLEX(0,C118*Calculations!$B$160),COMPLEX((Calculations!$B$173+Calculations!$B$175),C118*Calculations!$B$171*Calculations!$B$173*Calculations!$B$175))))</f>
        <v>-0.00157704805163+0.0317329436992734i</v>
      </c>
      <c r="V118">
        <f t="shared" si="32"/>
        <v>-29.959079614026507</v>
      </c>
      <c r="W118">
        <f t="shared" si="33"/>
        <v>92.845116362303187</v>
      </c>
      <c r="X118" t="str">
        <f t="shared" si="34"/>
        <v>0.0731599132133152+0.0487720172286611i</v>
      </c>
      <c r="Y118">
        <f t="shared" si="35"/>
        <v>-21.117596885535882</v>
      </c>
      <c r="Z118">
        <f t="shared" si="36"/>
        <v>33.689385316235608</v>
      </c>
    </row>
    <row r="119" spans="2:26" x14ac:dyDescent="0.15">
      <c r="B119" s="1">
        <v>50000</v>
      </c>
      <c r="C119" s="22">
        <f t="shared" si="37"/>
        <v>314159.26535897929</v>
      </c>
      <c r="D119" s="26" t="str">
        <f t="shared" si="38"/>
        <v>0.089470082526437-0.00216574691811906i</v>
      </c>
      <c r="E119" s="1">
        <f t="shared" si="14"/>
        <v>-20.963899242907363</v>
      </c>
      <c r="F119" s="6">
        <f t="shared" si="23"/>
        <v>-1.3866526829555703</v>
      </c>
      <c r="G119" s="5" t="str">
        <f t="shared" si="39"/>
        <v>13.9057218789724-113.772491446605i</v>
      </c>
      <c r="H119" s="1">
        <f t="shared" si="24"/>
        <v>41.185143459126579</v>
      </c>
      <c r="I119" s="6">
        <f t="shared" si="25"/>
        <v>-83.031646429352023</v>
      </c>
      <c r="J119" s="26" t="str">
        <f t="shared" si="40"/>
        <v>0.997743661384129-10.2093504732697i</v>
      </c>
      <c r="K119" s="1">
        <f t="shared" si="26"/>
        <v>20.221244216219215</v>
      </c>
      <c r="L119" s="6">
        <f t="shared" si="27"/>
        <v>-84.418299112307608</v>
      </c>
      <c r="M119" s="26">
        <f t="shared" si="41"/>
        <v>0.11294117647058823</v>
      </c>
      <c r="N119" s="6">
        <f t="shared" si="42"/>
        <v>2.5000000000000001E-2</v>
      </c>
      <c r="O119" s="5" t="str">
        <f t="shared" si="43"/>
        <v>1.83994163169035-1.01612092974564i</v>
      </c>
      <c r="P119" s="1">
        <f t="shared" si="21"/>
        <v>6.4521459863442923</v>
      </c>
      <c r="Q119" s="6">
        <f t="shared" si="28"/>
        <v>-28.90998924838804</v>
      </c>
      <c r="R119" s="5" t="str">
        <f t="shared" si="29"/>
        <v>0.724733456158866-2.38499060287735i</v>
      </c>
      <c r="S119" s="1">
        <f t="shared" si="30"/>
        <v>7.9333062422082197</v>
      </c>
      <c r="T119" s="6">
        <f t="shared" si="31"/>
        <v>-73.0974068544933</v>
      </c>
      <c r="U119" t="str">
        <f>IMPRODUCT(COMPLEX(-1,0),IMDIV(COMPLEX(1,C119*Calculations!$B$171*Calculations!$B$173),IMPRODUCT(COMPLEX(0,C119*Calculations!$B$160),COMPLEX((Calculations!$B$173+Calculations!$B$175),C119*Calculations!$B$171*Calculations!$B$173*Calculations!$B$175))))</f>
        <v>-0.00101071167764651+0.0254145222198475i</v>
      </c>
      <c r="V119">
        <f t="shared" si="32"/>
        <v>-31.891497727184237</v>
      </c>
      <c r="W119">
        <f t="shared" si="33"/>
        <v>92.27739921280849</v>
      </c>
      <c r="X119" t="str">
        <f t="shared" si="34"/>
        <v>0.059880900103633+0.0208292923784217i</v>
      </c>
      <c r="Y119">
        <f t="shared" si="35"/>
        <v>-23.95819148497602</v>
      </c>
      <c r="Z119">
        <f t="shared" si="36"/>
        <v>19.179992358315211</v>
      </c>
    </row>
    <row r="120" spans="2:26" x14ac:dyDescent="0.15">
      <c r="B120" s="1">
        <v>60000</v>
      </c>
      <c r="C120" s="22">
        <f t="shared" si="37"/>
        <v>376991.11843077518</v>
      </c>
      <c r="D120" s="26" t="str">
        <f t="shared" si="38"/>
        <v>0.0894660451673196-0.00180480962549733i</v>
      </c>
      <c r="E120" s="1">
        <f t="shared" si="14"/>
        <v>-20.9650681797619</v>
      </c>
      <c r="F120" s="6">
        <f t="shared" si="23"/>
        <v>-1.1556781137982064</v>
      </c>
      <c r="G120" s="5" t="str">
        <f t="shared" si="39"/>
        <v>9.68271362843277-95.1550395913975i</v>
      </c>
      <c r="H120" s="1">
        <f t="shared" si="24"/>
        <v>39.613373835861452</v>
      </c>
      <c r="I120" s="6">
        <f t="shared" si="25"/>
        <v>-84.189739065107403</v>
      </c>
      <c r="J120" s="26" t="str">
        <f t="shared" si="40"/>
        <v>0.694537363454454-8.53062052473959i</v>
      </c>
      <c r="K120" s="1">
        <f t="shared" si="26"/>
        <v>18.648305656099556</v>
      </c>
      <c r="L120" s="6">
        <f t="shared" si="27"/>
        <v>-85.345417178905606</v>
      </c>
      <c r="M120" s="26">
        <f t="shared" si="41"/>
        <v>0.11294117647058823</v>
      </c>
      <c r="N120" s="6">
        <f t="shared" si="42"/>
        <v>2.5000000000000001E-2</v>
      </c>
      <c r="O120" s="5" t="str">
        <f t="shared" si="43"/>
        <v>1.67898908871422-1.10089832258427i</v>
      </c>
      <c r="P120" s="1">
        <f t="shared" si="21"/>
        <v>6.0541080247215637</v>
      </c>
      <c r="Q120" s="6">
        <f t="shared" si="28"/>
        <v>-33.252502072606326</v>
      </c>
      <c r="R120" s="5" t="str">
        <f t="shared" si="29"/>
        <v>0.155016336159966-2.17218204405857i</v>
      </c>
      <c r="S120" s="1">
        <f t="shared" si="30"/>
        <v>6.7599863041589492</v>
      </c>
      <c r="T120" s="6">
        <f t="shared" si="31"/>
        <v>-85.918044791895781</v>
      </c>
      <c r="U120" t="str">
        <f>IMPRODUCT(COMPLEX(-1,0),IMDIV(COMPLEX(1,C120*Calculations!$B$171*Calculations!$B$173),IMPRODUCT(COMPLEX(0,C120*Calculations!$B$160),COMPLEX((Calculations!$B$173+Calculations!$B$175),C120*Calculations!$B$171*Calculations!$B$173*Calculations!$B$175))))</f>
        <v>-0.000702412711801089+0.0211915464603845i</v>
      </c>
      <c r="V120">
        <f t="shared" si="32"/>
        <v>-33.471978228967572</v>
      </c>
      <c r="W120">
        <f t="shared" si="33"/>
        <v>91.898424692588307</v>
      </c>
      <c r="X120" t="str">
        <f t="shared" si="34"/>
        <v>0.0459230112620246+0.00481080416994531i</v>
      </c>
      <c r="Y120">
        <f t="shared" si="35"/>
        <v>-26.711991924808615</v>
      </c>
      <c r="Z120">
        <f t="shared" si="36"/>
        <v>5.9803799006925349</v>
      </c>
    </row>
    <row r="121" spans="2:26" x14ac:dyDescent="0.15">
      <c r="B121" s="1">
        <v>70000</v>
      </c>
      <c r="C121" s="22">
        <f t="shared" si="37"/>
        <v>439822.97150257102</v>
      </c>
      <c r="D121" s="26" t="str">
        <f t="shared" si="38"/>
        <v>0.0894636107227262-0.00154699028819625i</v>
      </c>
      <c r="E121" s="1">
        <f t="shared" si="14"/>
        <v>-20.965773176751622</v>
      </c>
      <c r="F121" s="6">
        <f t="shared" si="23"/>
        <v>-0.99065062372540458</v>
      </c>
      <c r="G121" s="5" t="str">
        <f t="shared" si="39"/>
        <v>7.1253736941235-81.7402634284721i</v>
      </c>
      <c r="H121" s="1">
        <f t="shared" si="24"/>
        <v>38.281596941212044</v>
      </c>
      <c r="I121" s="6">
        <f t="shared" si="25"/>
        <v>-85.01806775847723</v>
      </c>
      <c r="J121" s="26" t="str">
        <f t="shared" si="40"/>
        <v>0.511010264746569-7.3238019916425i</v>
      </c>
      <c r="K121" s="1">
        <f t="shared" si="26"/>
        <v>17.315823764460422</v>
      </c>
      <c r="L121" s="6">
        <f t="shared" si="27"/>
        <v>-86.008718382202645</v>
      </c>
      <c r="M121" s="26">
        <f t="shared" si="41"/>
        <v>0.11294117647058823</v>
      </c>
      <c r="N121" s="6">
        <f t="shared" si="42"/>
        <v>2.5000000000000001E-2</v>
      </c>
      <c r="O121" s="5" t="str">
        <f t="shared" si="43"/>
        <v>1.52167541022384-1.15652891551198i</v>
      </c>
      <c r="P121" s="1">
        <f t="shared" si="21"/>
        <v>5.6265623312330684</v>
      </c>
      <c r="Q121" s="6">
        <f t="shared" si="28"/>
        <v>-37.236161070685164</v>
      </c>
      <c r="R121" s="5" t="str">
        <f t="shared" si="29"/>
        <v>-0.231091454523581-1.84884887166007i</v>
      </c>
      <c r="S121" s="1">
        <f t="shared" si="30"/>
        <v>5.4053536048854909</v>
      </c>
      <c r="T121" s="6">
        <f t="shared" si="31"/>
        <v>-97.124569194708315</v>
      </c>
      <c r="U121" t="str">
        <f>IMPRODUCT(COMPLEX(-1,0),IMDIV(COMPLEX(1,C121*Calculations!$B$171*Calculations!$B$173),IMPRODUCT(COMPLEX(0,C121*Calculations!$B$160),COMPLEX((Calculations!$B$173+Calculations!$B$175),C121*Calculations!$B$171*Calculations!$B$173*Calculations!$B$175))))</f>
        <v>-0.000516293215135689+0.018170794697718i</v>
      </c>
      <c r="V121">
        <f t="shared" si="32"/>
        <v>-34.80901684321762</v>
      </c>
      <c r="W121">
        <f t="shared" si="33"/>
        <v>91.627527360224661</v>
      </c>
      <c r="X121" t="str">
        <f t="shared" si="34"/>
        <v>0.0337143642240891-0.00324456724829566i</v>
      </c>
      <c r="Y121">
        <f t="shared" si="35"/>
        <v>-29.403663238332118</v>
      </c>
      <c r="Z121">
        <f t="shared" si="36"/>
        <v>-5.4970418344836505</v>
      </c>
    </row>
    <row r="122" spans="2:26" x14ac:dyDescent="0.15">
      <c r="B122" s="1">
        <v>80000</v>
      </c>
      <c r="C122" s="22">
        <f t="shared" si="37"/>
        <v>502654.82457436691</v>
      </c>
      <c r="D122" s="26" t="str">
        <f t="shared" si="38"/>
        <v>0.0894620306566836-0.00135362252729552i</v>
      </c>
      <c r="E122" s="1">
        <f t="shared" si="14"/>
        <v>-20.966230813340239</v>
      </c>
      <c r="F122" s="6">
        <f t="shared" si="23"/>
        <v>-0.86685870580086077</v>
      </c>
      <c r="G122" s="5" t="str">
        <f t="shared" si="39"/>
        <v>5.46111333251976-71.6245157280208i</v>
      </c>
      <c r="H122" s="1">
        <f t="shared" si="24"/>
        <v>37.126408651683533</v>
      </c>
      <c r="I122" s="6">
        <f t="shared" si="25"/>
        <v>-85.639837825846783</v>
      </c>
      <c r="J122" s="26" t="str">
        <f t="shared" si="40"/>
        <v>0.391609730377425-6.41506690786133i</v>
      </c>
      <c r="K122" s="1">
        <f t="shared" si="26"/>
        <v>16.160177838343294</v>
      </c>
      <c r="L122" s="6">
        <f t="shared" si="27"/>
        <v>-86.506696531647648</v>
      </c>
      <c r="M122" s="26">
        <f t="shared" si="41"/>
        <v>0.11294117647058823</v>
      </c>
      <c r="N122" s="6">
        <f t="shared" si="42"/>
        <v>2.5000000000000001E-2</v>
      </c>
      <c r="O122" s="5" t="str">
        <f t="shared" si="43"/>
        <v>1.3732167270007-1.18776587607207i</v>
      </c>
      <c r="P122" s="1">
        <f t="shared" si="21"/>
        <v>5.1805465516681313</v>
      </c>
      <c r="Q122" s="6">
        <f t="shared" si="28"/>
        <v>-40.858216066095871</v>
      </c>
      <c r="R122" s="5" t="str">
        <f t="shared" si="29"/>
        <v>-0.450962782250194-1.5121752200434i</v>
      </c>
      <c r="S122" s="1">
        <f t="shared" si="30"/>
        <v>3.9620655511878451</v>
      </c>
      <c r="T122" s="6">
        <f t="shared" si="31"/>
        <v>-106.60569856904613</v>
      </c>
      <c r="U122" t="str">
        <f>IMPRODUCT(COMPLEX(-1,0),IMDIV(COMPLEX(1,C122*Calculations!$B$171*Calculations!$B$173),IMPRODUCT(COMPLEX(0,C122*Calculations!$B$160),COMPLEX((Calculations!$B$173+Calculations!$B$175),C122*Calculations!$B$171*Calculations!$B$173*Calculations!$B$175))))</f>
        <v>-0.000395403805144764+0.0159032032017469i</v>
      </c>
      <c r="V122">
        <f t="shared" si="32"/>
        <v>-35.967623960354025</v>
      </c>
      <c r="W122">
        <f t="shared" si="33"/>
        <v>91.424260410010433</v>
      </c>
      <c r="X122" t="str">
        <f t="shared" si="34"/>
        <v>0.0242267422010769-0.00657383292649919i</v>
      </c>
      <c r="Y122">
        <f t="shared" si="35"/>
        <v>-32.005558409166184</v>
      </c>
      <c r="Z122">
        <f t="shared" si="36"/>
        <v>-15.1814381590357</v>
      </c>
    </row>
    <row r="123" spans="2:26" x14ac:dyDescent="0.15">
      <c r="B123" s="1">
        <v>90000</v>
      </c>
      <c r="C123" s="22">
        <f t="shared" si="37"/>
        <v>565486.6776461628</v>
      </c>
      <c r="D123" s="26" t="str">
        <f t="shared" si="38"/>
        <v>0.0894609473604793-0.00120322369611694i</v>
      </c>
      <c r="E123" s="1">
        <f t="shared" si="14"/>
        <v>-20.966544597699794</v>
      </c>
      <c r="F123" s="6">
        <f t="shared" si="23"/>
        <v>-0.77056509175154064</v>
      </c>
      <c r="G123" s="5" t="str">
        <f t="shared" si="39"/>
        <v>4.31807275521716-63.7283644601325i</v>
      </c>
      <c r="H123" s="1">
        <f t="shared" si="24"/>
        <v>36.106548609480861</v>
      </c>
      <c r="I123" s="6">
        <f t="shared" si="25"/>
        <v>-86.123707798158321</v>
      </c>
      <c r="J123" s="26" t="str">
        <f t="shared" si="40"/>
        <v>0.309619401219994-5.70639546579799i</v>
      </c>
      <c r="K123" s="1">
        <f t="shared" si="26"/>
        <v>15.140004011781071</v>
      </c>
      <c r="L123" s="6">
        <f t="shared" si="27"/>
        <v>-86.894272889909857</v>
      </c>
      <c r="M123" s="26">
        <f t="shared" si="41"/>
        <v>0.11294117647058823</v>
      </c>
      <c r="N123" s="6">
        <f t="shared" si="42"/>
        <v>2.5000000000000001E-2</v>
      </c>
      <c r="O123" s="5" t="str">
        <f t="shared" si="43"/>
        <v>1.23649611320682-1.19970565642817i</v>
      </c>
      <c r="P123" s="1">
        <f t="shared" si="21"/>
        <v>4.7249554569444658</v>
      </c>
      <c r="Q123" s="6">
        <f t="shared" si="28"/>
        <v>-44.134809889527723</v>
      </c>
      <c r="R123" s="5" t="str">
        <f t="shared" si="29"/>
        <v>-0.553236248415709-1.21376311427309i</v>
      </c>
      <c r="S123" s="1">
        <f t="shared" si="30"/>
        <v>2.5024704160077542</v>
      </c>
      <c r="T123" s="6">
        <f t="shared" si="31"/>
        <v>-114.50361660465114</v>
      </c>
      <c r="U123" t="str">
        <f>IMPRODUCT(COMPLEX(-1,0),IMDIV(COMPLEX(1,C123*Calculations!$B$171*Calculations!$B$173),IMPRODUCT(COMPLEX(0,C123*Calculations!$B$160),COMPLEX((Calculations!$B$173+Calculations!$B$175),C123*Calculations!$B$171*Calculations!$B$173*Calculations!$B$175))))</f>
        <v>-0.0003124811308071+0.0141384718657048i</v>
      </c>
      <c r="V123">
        <f t="shared" si="32"/>
        <v>-36.98982965712888</v>
      </c>
      <c r="W123">
        <f t="shared" si="33"/>
        <v>91.266115305841268</v>
      </c>
      <c r="X123" t="str">
        <f t="shared" si="34"/>
        <v>0.0173336315312887-0.00744263706283357i</v>
      </c>
      <c r="Y123">
        <f t="shared" si="35"/>
        <v>-34.487359241121148</v>
      </c>
      <c r="Z123">
        <f t="shared" si="36"/>
        <v>-23.237501298809928</v>
      </c>
    </row>
    <row r="124" spans="2:26" x14ac:dyDescent="0.15">
      <c r="B124" s="1">
        <v>100000</v>
      </c>
      <c r="C124" s="22">
        <f t="shared" si="37"/>
        <v>628318.53071795858</v>
      </c>
      <c r="D124" s="26" t="str">
        <f t="shared" si="38"/>
        <v>0.0894601724810203-0.00108290369032779i</v>
      </c>
      <c r="E124" s="1">
        <f t="shared" si="14"/>
        <v>-20.966769060890439</v>
      </c>
      <c r="F124" s="6">
        <f t="shared" si="23"/>
        <v>-0.69352404696658532</v>
      </c>
      <c r="G124" s="5" t="str">
        <f t="shared" si="39"/>
        <v>3.49944794933866-57.3955682615451i</v>
      </c>
      <c r="H124" s="1">
        <f t="shared" si="24"/>
        <v>35.193681844924157</v>
      </c>
      <c r="I124" s="6">
        <f t="shared" si="25"/>
        <v>-86.510955384885591</v>
      </c>
      <c r="J124" s="26" t="str">
        <f t="shared" si="40"/>
        <v>0.250907344457301-5.13840700142244i</v>
      </c>
      <c r="K124" s="1">
        <f t="shared" si="26"/>
        <v>14.22691278403371</v>
      </c>
      <c r="L124" s="6">
        <f t="shared" si="27"/>
        <v>-87.204479431852178</v>
      </c>
      <c r="M124" s="26">
        <f t="shared" si="41"/>
        <v>0.11294117647058823</v>
      </c>
      <c r="N124" s="6">
        <f t="shared" si="42"/>
        <v>2.5000000000000001E-2</v>
      </c>
      <c r="O124" s="5" t="str">
        <f t="shared" si="43"/>
        <v>1.11268187040715-1.19703061915885i</v>
      </c>
      <c r="P124" s="1">
        <f t="shared" si="21"/>
        <v>4.2666466025281</v>
      </c>
      <c r="Q124" s="6">
        <f t="shared" si="28"/>
        <v>-47.091464032317774</v>
      </c>
      <c r="R124" s="5" t="str">
        <f t="shared" si="29"/>
        <v>-0.583751231747302-0.969171108264717i</v>
      </c>
      <c r="S124" s="1">
        <f t="shared" si="30"/>
        <v>1.0722969487616354</v>
      </c>
      <c r="T124" s="6">
        <f t="shared" si="31"/>
        <v>-121.06140025570208</v>
      </c>
      <c r="U124" t="str">
        <f>IMPRODUCT(COMPLEX(-1,0),IMDIV(COMPLEX(1,C124*Calculations!$B$171*Calculations!$B$173),IMPRODUCT(COMPLEX(0,C124*Calculations!$B$160),COMPLEX((Calculations!$B$173+Calculations!$B$175),C124*Calculations!$B$171*Calculations!$B$173*Calculations!$B$175))))</f>
        <v>-0.00025314640946082+0.012726100212603i</v>
      </c>
      <c r="V124">
        <f t="shared" si="32"/>
        <v>-37.904375112855334</v>
      </c>
      <c r="W124">
        <f t="shared" si="33"/>
        <v>91.139572062463571</v>
      </c>
      <c r="X124" t="str">
        <f t="shared" si="34"/>
        <v>0.0124815431752715-0.00718353448823623i</v>
      </c>
      <c r="Y124">
        <f t="shared" si="35"/>
        <v>-36.832078164093673</v>
      </c>
      <c r="Z124">
        <f t="shared" si="36"/>
        <v>-29.921828193238454</v>
      </c>
    </row>
    <row r="125" spans="2:26" x14ac:dyDescent="0.15">
      <c r="B125" s="1">
        <v>200000</v>
      </c>
      <c r="C125" s="22">
        <f t="shared" si="37"/>
        <v>1256637.0614359172</v>
      </c>
      <c r="D125" s="26" t="str">
        <f t="shared" si="38"/>
        <v>0.0894576948832077-0.000541455624204301i</v>
      </c>
      <c r="E125" s="1">
        <f t="shared" si="14"/>
        <v>-20.967486836842482</v>
      </c>
      <c r="F125" s="6">
        <f t="shared" si="23"/>
        <v>-0.34678674954062483</v>
      </c>
      <c r="G125" s="5" t="str">
        <f t="shared" si="39"/>
        <v>0.876310674964421-28.7619200116496i</v>
      </c>
      <c r="H125" s="1">
        <f t="shared" si="24"/>
        <v>29.180387095427992</v>
      </c>
      <c r="I125" s="6">
        <f t="shared" si="25"/>
        <v>-88.254866997096144</v>
      </c>
      <c r="J125" s="26" t="str">
        <f t="shared" si="40"/>
        <v>0.062819429630643-2.57344954800089i</v>
      </c>
      <c r="K125" s="1">
        <f t="shared" si="26"/>
        <v>8.2129002585855311</v>
      </c>
      <c r="L125" s="6">
        <f t="shared" si="27"/>
        <v>-88.601653746636785</v>
      </c>
      <c r="M125" s="26">
        <f t="shared" si="41"/>
        <v>0.11294117647058823</v>
      </c>
      <c r="N125" s="6">
        <f t="shared" si="42"/>
        <v>2.5000000000000001E-2</v>
      </c>
      <c r="O125" s="5" t="str">
        <f t="shared" si="43"/>
        <v>0.43109665747445-0.921365475581154i</v>
      </c>
      <c r="P125" s="1">
        <f t="shared" si="21"/>
        <v>0.14839072965225752</v>
      </c>
      <c r="Q125" s="6">
        <f t="shared" si="28"/>
        <v>-64.925629143065763</v>
      </c>
      <c r="R125" s="5" t="str">
        <f t="shared" si="29"/>
        <v>-0.279632598302255-0.153590258201992i</v>
      </c>
      <c r="S125" s="1">
        <f t="shared" si="30"/>
        <v>-9.9231896066416585</v>
      </c>
      <c r="T125" s="6">
        <f t="shared" si="31"/>
        <v>-151.22188526321418</v>
      </c>
      <c r="U125" t="str">
        <f>IMPRODUCT(COMPLEX(-1,0),IMDIV(COMPLEX(1,C125*Calculations!$B$171*Calculations!$B$173),IMPRODUCT(COMPLEX(0,C125*Calculations!$B$160),COMPLEX((Calculations!$B$173+Calculations!$B$175),C125*Calculations!$B$171*Calculations!$B$173*Calculations!$B$175))))</f>
        <v>-0.0000633159508862523+0.00636541045441331i</v>
      </c>
      <c r="V125">
        <f t="shared" si="32"/>
        <v>-43.923042067366595</v>
      </c>
      <c r="W125">
        <f t="shared" si="33"/>
        <v>90.569895241090933</v>
      </c>
      <c r="X125" t="str">
        <f t="shared" si="34"/>
        <v>0.0009953702391153-0.00177025155138301i</v>
      </c>
      <c r="Y125">
        <f t="shared" si="35"/>
        <v>-53.846231674008244</v>
      </c>
      <c r="Z125">
        <f t="shared" si="36"/>
        <v>-60.6519900221233</v>
      </c>
    </row>
    <row r="126" spans="2:26" x14ac:dyDescent="0.15">
      <c r="B126" s="1">
        <v>300000</v>
      </c>
      <c r="C126" s="22">
        <f t="shared" si="37"/>
        <v>1884955.5921538759</v>
      </c>
      <c r="D126" s="26" t="str">
        <f t="shared" si="38"/>
        <v>0.0894572360650026-0.000360970882688258i</v>
      </c>
      <c r="E126" s="1">
        <f t="shared" si="14"/>
        <v>-20.96761977243407</v>
      </c>
      <c r="F126" s="6">
        <f t="shared" si="23"/>
        <v>-0.23119421933698917</v>
      </c>
      <c r="G126" s="5" t="str">
        <f t="shared" si="39"/>
        <v>0.389590842974217-19.1825452193269i</v>
      </c>
      <c r="H126" s="1">
        <f t="shared" si="24"/>
        <v>25.659915630153964</v>
      </c>
      <c r="I126" s="6">
        <f t="shared" si="25"/>
        <v>-88.836502538397994</v>
      </c>
      <c r="J126" s="26" t="str">
        <f t="shared" si="40"/>
        <v>0.02792737972868-1.71615810696339i</v>
      </c>
      <c r="K126" s="1">
        <f t="shared" si="26"/>
        <v>4.6922958577198983</v>
      </c>
      <c r="L126" s="6">
        <f t="shared" si="27"/>
        <v>-89.067696757734979</v>
      </c>
      <c r="M126" s="26">
        <f t="shared" si="41"/>
        <v>0.11294117647058823</v>
      </c>
      <c r="N126" s="6">
        <f t="shared" si="42"/>
        <v>2.5000000000000001E-2</v>
      </c>
      <c r="O126" s="5" t="str">
        <f t="shared" si="43"/>
        <v>0.213315497697528-0.683015372789783i</v>
      </c>
      <c r="P126" s="1">
        <f t="shared" si="21"/>
        <v>-2.9071858718159116</v>
      </c>
      <c r="Q126" s="6">
        <f t="shared" si="28"/>
        <v>-72.655666832027109</v>
      </c>
      <c r="R126" s="5" t="str">
        <f t="shared" si="29"/>
        <v>-0.136139855614161-0.0468993782973958i</v>
      </c>
      <c r="S126" s="1">
        <f t="shared" si="30"/>
        <v>-16.83325033527402</v>
      </c>
      <c r="T126" s="6">
        <f t="shared" si="31"/>
        <v>-160.99147205712549</v>
      </c>
      <c r="U126" t="str">
        <f>IMPRODUCT(COMPLEX(-1,0),IMDIV(COMPLEX(1,C126*Calculations!$B$171*Calculations!$B$173),IMPRODUCT(COMPLEX(0,C126*Calculations!$B$160),COMPLEX((Calculations!$B$173+Calculations!$B$175),C126*Calculations!$B$171*Calculations!$B$173*Calculations!$B$175))))</f>
        <v>-0.0000281428394599719+0.00424389853078321i</v>
      </c>
      <c r="V126">
        <f t="shared" si="32"/>
        <v>-47.44450919084926</v>
      </c>
      <c r="W126">
        <f t="shared" si="33"/>
        <v>90.379943647906657</v>
      </c>
      <c r="X126" t="str">
        <f t="shared" si="34"/>
        <v>0.000202867564751617-0.00057644385154778i</v>
      </c>
      <c r="Y126">
        <f t="shared" si="35"/>
        <v>-64.277759526123276</v>
      </c>
      <c r="Z126">
        <f t="shared" si="36"/>
        <v>-70.611528409218849</v>
      </c>
    </row>
    <row r="127" spans="2:26" x14ac:dyDescent="0.15">
      <c r="B127" s="1">
        <v>400000</v>
      </c>
      <c r="C127" s="22">
        <f t="shared" si="37"/>
        <v>2513274.1228718343</v>
      </c>
      <c r="D127" s="26" t="str">
        <f t="shared" si="38"/>
        <v>0.0894570754783508-0.000270728284486323i</v>
      </c>
      <c r="E127" s="1">
        <f t="shared" si="14"/>
        <v>-20.967666300933629</v>
      </c>
      <c r="F127" s="6">
        <f t="shared" si="23"/>
        <v>-0.17339646592996502</v>
      </c>
      <c r="G127" s="5" t="str">
        <f t="shared" si="39"/>
        <v>0.219168370574353-14.3889918017435i</v>
      </c>
      <c r="H127" s="1">
        <f t="shared" si="24"/>
        <v>23.161614765618786</v>
      </c>
      <c r="I127" s="6">
        <f t="shared" si="25"/>
        <v>-89.127357092022933</v>
      </c>
      <c r="J127" s="26" t="str">
        <f t="shared" si="40"/>
        <v>0.0157106544029633-1.28725646074292i</v>
      </c>
      <c r="K127" s="1">
        <f t="shared" si="26"/>
        <v>2.1939484646851621</v>
      </c>
      <c r="L127" s="6">
        <f t="shared" si="27"/>
        <v>-89.300753557952888</v>
      </c>
      <c r="M127" s="26">
        <f t="shared" si="41"/>
        <v>0.11294117647058823</v>
      </c>
      <c r="N127" s="6">
        <f t="shared" si="42"/>
        <v>2.5000000000000001E-2</v>
      </c>
      <c r="O127" s="5" t="str">
        <f t="shared" si="43"/>
        <v>0.124946755954028-0.533190580281755i</v>
      </c>
      <c r="P127" s="1">
        <f t="shared" si="21"/>
        <v>-5.2301790579058487</v>
      </c>
      <c r="Q127" s="6">
        <f t="shared" si="28"/>
        <v>-76.811404793373825</v>
      </c>
      <c r="R127" s="5" t="str">
        <f t="shared" si="29"/>
        <v>-0.0788907141473354-0.0199689067030258i</v>
      </c>
      <c r="S127" s="1">
        <f t="shared" si="30"/>
        <v>-21.789779009822283</v>
      </c>
      <c r="T127" s="6">
        <f t="shared" si="31"/>
        <v>-165.7955722259199</v>
      </c>
      <c r="U127" t="str">
        <f>IMPRODUCT(COMPLEX(-1,0),IMDIV(COMPLEX(1,C127*Calculations!$B$171*Calculations!$B$173),IMPRODUCT(COMPLEX(0,C127*Calculations!$B$160),COMPLEX((Calculations!$B$173+Calculations!$B$175),C127*Calculations!$B$171*Calculations!$B$173*Calculations!$B$175))))</f>
        <v>-0.0000158308230675393+0.00318300044176976i</v>
      </c>
      <c r="V127">
        <f t="shared" si="32"/>
        <v>-49.943158595288622</v>
      </c>
      <c r="W127">
        <f t="shared" si="33"/>
        <v>90.284961276562782</v>
      </c>
      <c r="X127" t="str">
        <f t="shared" si="34"/>
        <v>0.0000648099437947285-0.000250793053753633i</v>
      </c>
      <c r="Y127">
        <f t="shared" si="35"/>
        <v>-71.732937605110891</v>
      </c>
      <c r="Z127">
        <f t="shared" si="36"/>
        <v>-75.510610949357158</v>
      </c>
    </row>
    <row r="128" spans="2:26" x14ac:dyDescent="0.15">
      <c r="B128" s="1">
        <v>500000</v>
      </c>
      <c r="C128" s="22">
        <f t="shared" si="37"/>
        <v>3141592.653589793</v>
      </c>
      <c r="D128" s="26" t="str">
        <f t="shared" si="38"/>
        <v>0.0894570011496226-0.000216582672938027i</v>
      </c>
      <c r="E128" s="1">
        <f t="shared" si="14"/>
        <v>-20.967687837165037</v>
      </c>
      <c r="F128" s="6">
        <f t="shared" si="23"/>
        <v>-0.13871746950395489</v>
      </c>
      <c r="G128" s="5" t="str">
        <f t="shared" si="39"/>
        <v>0.140274725805947-11.5119648128527i</v>
      </c>
      <c r="H128" s="1">
        <f t="shared" si="24"/>
        <v>21.223633850254771</v>
      </c>
      <c r="I128" s="6">
        <f t="shared" si="25"/>
        <v>-89.301878337093328</v>
      </c>
      <c r="J128" s="26" t="str">
        <f t="shared" si="40"/>
        <v>0.0100552641977494-1.02985623057284i</v>
      </c>
      <c r="K128" s="1">
        <f t="shared" si="26"/>
        <v>0.25594601308974468</v>
      </c>
      <c r="L128" s="6">
        <f t="shared" si="27"/>
        <v>-89.440595806597287</v>
      </c>
      <c r="M128" s="26">
        <f t="shared" si="41"/>
        <v>0.11294117647058823</v>
      </c>
      <c r="N128" s="6">
        <f t="shared" si="42"/>
        <v>2.5000000000000001E-2</v>
      </c>
      <c r="O128" s="5" t="str">
        <f t="shared" si="43"/>
        <v>0.0815247287949559-0.434779643108068i</v>
      </c>
      <c r="P128" s="1">
        <f t="shared" si="21"/>
        <v>-7.0845440486962419</v>
      </c>
      <c r="Q128" s="6">
        <f t="shared" si="28"/>
        <v>-79.379893335478954</v>
      </c>
      <c r="R128" s="5" t="str">
        <f t="shared" si="29"/>
        <v>-0.0511705488579887-0.0102653083616154i</v>
      </c>
      <c r="S128" s="1">
        <f t="shared" si="30"/>
        <v>-25.64824525169518</v>
      </c>
      <c r="T128" s="6">
        <f t="shared" si="31"/>
        <v>-168.65648191778405</v>
      </c>
      <c r="U128" t="str">
        <f>IMPRODUCT(COMPLEX(-1,0),IMDIV(COMPLEX(1,C128*Calculations!$B$171*Calculations!$B$173),IMPRODUCT(COMPLEX(0,C128*Calculations!$B$160),COMPLEX((Calculations!$B$173+Calculations!$B$175),C128*Calculations!$B$171*Calculations!$B$173*Calculations!$B$175))))</f>
        <v>-0.000010131867736101+0.00254642869769429i</v>
      </c>
      <c r="V128">
        <f t="shared" si="32"/>
        <v>-51.8813008452898</v>
      </c>
      <c r="W128">
        <f t="shared" si="33"/>
        <v>90.227970332330827</v>
      </c>
      <c r="X128" t="str">
        <f t="shared" si="34"/>
        <v>0.0000266583290357114-0.00013019814734216i</v>
      </c>
      <c r="Y128">
        <f t="shared" si="35"/>
        <v>-77.529546096984973</v>
      </c>
      <c r="Z128">
        <f t="shared" si="36"/>
        <v>-78.428511585453251</v>
      </c>
    </row>
    <row r="129" spans="1:26" x14ac:dyDescent="0.15">
      <c r="B129" s="1">
        <v>600000</v>
      </c>
      <c r="C129" s="22">
        <f t="shared" si="37"/>
        <v>3769911.1843077517</v>
      </c>
      <c r="D129" s="26" t="str">
        <f t="shared" si="38"/>
        <v>0.0894569607735102-0.000180485581310036i</v>
      </c>
      <c r="E129" s="1">
        <f t="shared" si="14"/>
        <v>-20.967699535907187</v>
      </c>
      <c r="F129" s="6">
        <f t="shared" si="23"/>
        <v>-0.11559802558973881</v>
      </c>
      <c r="G129" s="5" t="str">
        <f t="shared" si="39"/>
        <v>0.0974156329757685-9.59365321509555i</v>
      </c>
      <c r="H129" s="1">
        <f t="shared" si="24"/>
        <v>19.640128082687106</v>
      </c>
      <c r="I129" s="6">
        <f t="shared" si="25"/>
        <v>-89.418228626404883</v>
      </c>
      <c r="J129" s="26" t="str">
        <f t="shared" si="40"/>
        <v>0.00698299038042658-0.85823664145461i</v>
      </c>
      <c r="K129" s="1">
        <f t="shared" si="26"/>
        <v>-1.327571453220068</v>
      </c>
      <c r="L129" s="6">
        <f t="shared" si="27"/>
        <v>-89.533826651994616</v>
      </c>
      <c r="M129" s="26">
        <f t="shared" si="41"/>
        <v>0.11294117647058823</v>
      </c>
      <c r="N129" s="6">
        <f t="shared" si="42"/>
        <v>2.5000000000000001E-2</v>
      </c>
      <c r="O129" s="5" t="str">
        <f t="shared" si="43"/>
        <v>0.0572203001073894-0.36615383945975i</v>
      </c>
      <c r="P129" s="1">
        <f t="shared" si="21"/>
        <v>-8.6219411273100608</v>
      </c>
      <c r="Q129" s="6">
        <f t="shared" si="28"/>
        <v>-81.118002346136663</v>
      </c>
      <c r="R129" s="5" t="str">
        <f t="shared" si="29"/>
        <v>-0.0357908540464175-0.00595318372352885i</v>
      </c>
      <c r="S129" s="1">
        <f t="shared" si="30"/>
        <v>-28.806036709080537</v>
      </c>
      <c r="T129" s="6">
        <f t="shared" si="31"/>
        <v>-170.55630534637544</v>
      </c>
      <c r="U129" t="str">
        <f>IMPRODUCT(COMPLEX(-1,0),IMDIV(COMPLEX(1,C129*Calculations!$B$171*Calculations!$B$173),IMPRODUCT(COMPLEX(0,C129*Calculations!$B$160),COMPLEX((Calculations!$B$173+Calculations!$B$175),C129*Calculations!$B$171*Calculations!$B$173*Calculations!$B$175))))</f>
        <v>-7.03607244139158E-06+0.0021220367457641i</v>
      </c>
      <c r="V129">
        <f t="shared" si="32"/>
        <v>-53.464894254198605</v>
      </c>
      <c r="W129">
        <f t="shared" si="33"/>
        <v>90.189975870443334</v>
      </c>
      <c r="X129" t="str">
        <f t="shared" si="34"/>
        <v>0.0000128847016574228-0.000075907620416842i</v>
      </c>
      <c r="Y129">
        <f t="shared" si="35"/>
        <v>-82.270930963279142</v>
      </c>
      <c r="Z129">
        <f t="shared" si="36"/>
        <v>-80.366329475932119</v>
      </c>
    </row>
    <row r="130" spans="1:26" x14ac:dyDescent="0.15">
      <c r="B130" s="1">
        <v>700000</v>
      </c>
      <c r="C130" s="22">
        <f t="shared" si="37"/>
        <v>4398229.7150257099</v>
      </c>
      <c r="D130" s="26" t="str">
        <f t="shared" si="38"/>
        <v>0.0894569364279835-0.000154701937446843i</v>
      </c>
      <c r="E130" s="1">
        <f t="shared" si="14"/>
        <v>-20.967706589896235</v>
      </c>
      <c r="F130" s="6">
        <f t="shared" si="23"/>
        <v>-9.9084091363368973E-2</v>
      </c>
      <c r="G130" s="5" t="str">
        <f t="shared" si="39"/>
        <v>0.0715718337826189-8.22331181353216i</v>
      </c>
      <c r="H130" s="1">
        <f t="shared" si="24"/>
        <v>18.301264136870916</v>
      </c>
      <c r="I130" s="6">
        <f t="shared" si="25"/>
        <v>-89.501337106117887</v>
      </c>
      <c r="J130" s="26" t="str">
        <f t="shared" si="40"/>
        <v>0.005130434714943-0.735643354431985i</v>
      </c>
      <c r="K130" s="1">
        <f t="shared" si="26"/>
        <v>-2.6664424530253177</v>
      </c>
      <c r="L130" s="6">
        <f t="shared" si="27"/>
        <v>-89.600421197481253</v>
      </c>
      <c r="M130" s="26">
        <f t="shared" si="41"/>
        <v>0.11294117647058823</v>
      </c>
      <c r="N130" s="6">
        <f t="shared" si="42"/>
        <v>2.5000000000000001E-2</v>
      </c>
      <c r="O130" s="5" t="str">
        <f t="shared" si="43"/>
        <v>0.0423124531326463-0.315863714041085i</v>
      </c>
      <c r="P130" s="1">
        <f t="shared" si="21"/>
        <v>-9.9327632624116671</v>
      </c>
      <c r="Q130" s="6">
        <f t="shared" si="28"/>
        <v>-82.370197172062973</v>
      </c>
      <c r="R130" s="5" t="str">
        <f t="shared" si="29"/>
        <v>-0.0264083627669886-0.00375365658182055i</v>
      </c>
      <c r="S130" s="1">
        <f t="shared" si="30"/>
        <v>-31.478302462468939</v>
      </c>
      <c r="T130" s="6">
        <f t="shared" si="31"/>
        <v>-171.91022891893789</v>
      </c>
      <c r="U130" t="str">
        <f>IMPRODUCT(COMPLEX(-1,0),IMDIV(COMPLEX(1,C130*Calculations!$B$171*Calculations!$B$173),IMPRODUCT(COMPLEX(0,C130*Calculations!$B$160),COMPLEX((Calculations!$B$173+Calculations!$B$175),C130*Calculations!$B$171*Calculations!$B$173*Calculations!$B$175))))</f>
        <v>-5.16938290366748E-06+0.00181889527076358i</v>
      </c>
      <c r="V130">
        <f t="shared" si="32"/>
        <v>-54.803811045922728</v>
      </c>
      <c r="W130">
        <f t="shared" si="33"/>
        <v>90.162836767121419</v>
      </c>
      <c r="X130" t="str">
        <f t="shared" si="34"/>
        <v>0.0000069640231437455-0.0000480146420573243i</v>
      </c>
      <c r="Y130">
        <f t="shared" si="35"/>
        <v>-86.28211350839166</v>
      </c>
      <c r="Z130">
        <f t="shared" si="36"/>
        <v>-81.74739215181647</v>
      </c>
    </row>
    <row r="131" spans="1:26" x14ac:dyDescent="0.15">
      <c r="B131" s="1">
        <v>800000</v>
      </c>
      <c r="C131" s="22">
        <f t="shared" si="37"/>
        <v>5026548.2457436686</v>
      </c>
      <c r="D131" s="26" t="str">
        <f t="shared" si="38"/>
        <v>0.0894569206267984-0.000135364201291312i</v>
      </c>
      <c r="E131" s="1">
        <f t="shared" si="14"/>
        <v>-20.9677111682131</v>
      </c>
      <c r="F131" s="6">
        <f t="shared" si="23"/>
        <v>-8.6698619372519312E-2</v>
      </c>
      <c r="G131" s="5" t="str">
        <f t="shared" si="39"/>
        <v>0.0547977639947017-7.19550033903103i</v>
      </c>
      <c r="H131" s="1">
        <f t="shared" si="24"/>
        <v>17.141471829079265</v>
      </c>
      <c r="I131" s="6">
        <f t="shared" si="25"/>
        <v>-89.563668993017956</v>
      </c>
      <c r="J131" s="26" t="str">
        <f t="shared" si="40"/>
        <v>0.00392802606791577-0.643694720354355i</v>
      </c>
      <c r="K131" s="1">
        <f t="shared" si="26"/>
        <v>-3.8262393391338421</v>
      </c>
      <c r="L131" s="6">
        <f t="shared" si="27"/>
        <v>-89.650367612390482</v>
      </c>
      <c r="M131" s="26">
        <f t="shared" si="41"/>
        <v>0.11294117647058823</v>
      </c>
      <c r="N131" s="6">
        <f t="shared" si="42"/>
        <v>2.5000000000000001E-2</v>
      </c>
      <c r="O131" s="5" t="str">
        <f t="shared" si="43"/>
        <v>0.0325326148519337-0.277538867051585i</v>
      </c>
      <c r="P131" s="1">
        <f t="shared" si="21"/>
        <v>-11.074257459787635</v>
      </c>
      <c r="Q131" s="6">
        <f t="shared" si="28"/>
        <v>-83.314399030447802</v>
      </c>
      <c r="R131" s="5" t="str">
        <f t="shared" si="29"/>
        <v>-0.0202749933805696-0.0025166851730669i</v>
      </c>
      <c r="S131" s="1">
        <f t="shared" si="30"/>
        <v>-33.794381277881058</v>
      </c>
      <c r="T131" s="6">
        <f t="shared" si="31"/>
        <v>-172.92420781273415</v>
      </c>
      <c r="U131" t="str">
        <f>IMPRODUCT(COMPLEX(-1,0),IMDIV(COMPLEX(1,C131*Calculations!$B$171*Calculations!$B$173),IMPRODUCT(COMPLEX(0,C131*Calculations!$B$160),COMPLEX((Calculations!$B$173+Calculations!$B$175),C131*Calculations!$B$171*Calculations!$B$173*Calculations!$B$175))))</f>
        <v>-3.95782049263426E-06+0.00159153712805381i</v>
      </c>
      <c r="V131">
        <f t="shared" si="32"/>
        <v>-55.96363765312104</v>
      </c>
      <c r="W131">
        <f t="shared" si="33"/>
        <v>90.142482345433137</v>
      </c>
      <c r="X131" t="str">
        <f t="shared" si="34"/>
        <v>4.08564267684814E-06-0.0000322584441480703i</v>
      </c>
      <c r="Y131">
        <f t="shared" si="35"/>
        <v>-89.758018931002098</v>
      </c>
      <c r="Z131">
        <f t="shared" si="36"/>
        <v>-82.78172546730103</v>
      </c>
    </row>
    <row r="132" spans="1:26" x14ac:dyDescent="0.15">
      <c r="B132" s="1">
        <v>900000</v>
      </c>
      <c r="C132" s="22">
        <f t="shared" si="37"/>
        <v>5654866.7764616273</v>
      </c>
      <c r="D132" s="26" t="str">
        <f t="shared" si="38"/>
        <v>0.0894569097935575-0.000120323738153115i</v>
      </c>
      <c r="E132" s="1">
        <f t="shared" si="14"/>
        <v>-20.967714307095054</v>
      </c>
      <c r="F132" s="6">
        <f t="shared" si="23"/>
        <v>-7.7065463471407358E-2</v>
      </c>
      <c r="G132" s="5" t="str">
        <f t="shared" si="39"/>
        <v>0.0432973122316106-6.39606276916597i</v>
      </c>
      <c r="H132" s="1">
        <f t="shared" si="24"/>
        <v>16.118453350908869</v>
      </c>
      <c r="I132" s="6">
        <f t="shared" si="25"/>
        <v>-89.612149621927941</v>
      </c>
      <c r="J132" s="26" t="str">
        <f t="shared" si="40"/>
        <v>0.00310364557275867-0.572177219869672i</v>
      </c>
      <c r="K132" s="1">
        <f t="shared" si="26"/>
        <v>-4.8492609561861775</v>
      </c>
      <c r="L132" s="6">
        <f t="shared" si="27"/>
        <v>-89.689215085399354</v>
      </c>
      <c r="M132" s="26">
        <f t="shared" si="41"/>
        <v>0.11294117647058823</v>
      </c>
      <c r="N132" s="6">
        <f t="shared" si="42"/>
        <v>2.5000000000000001E-2</v>
      </c>
      <c r="O132" s="5" t="str">
        <f t="shared" si="43"/>
        <v>0.0257796049246797-0.24741204512434i</v>
      </c>
      <c r="P132" s="1">
        <f t="shared" si="21"/>
        <v>-12.084685880169612</v>
      </c>
      <c r="Q132" s="6">
        <f t="shared" si="28"/>
        <v>-84.051414872595771</v>
      </c>
      <c r="R132" s="5" t="str">
        <f t="shared" si="29"/>
        <v>-0.016050102326895-0.0017685185562954i</v>
      </c>
      <c r="S132" s="1">
        <f t="shared" si="30"/>
        <v>-35.838032611222715</v>
      </c>
      <c r="T132" s="6">
        <f t="shared" si="31"/>
        <v>-173.71209458887202</v>
      </c>
      <c r="U132" t="str">
        <f>IMPRODUCT(COMPLEX(-1,0),IMDIV(COMPLEX(1,C132*Calculations!$B$171*Calculations!$B$173),IMPRODUCT(COMPLEX(0,C132*Calculations!$B$160),COMPLEX((Calculations!$B$173+Calculations!$B$175),C132*Calculations!$B$171*Calculations!$B$173*Calculations!$B$175))))</f>
        <v>-3.12717315078672E-06+0.00141470196454836i</v>
      </c>
      <c r="V132">
        <f t="shared" si="32"/>
        <v>-56.986679647024474</v>
      </c>
      <c r="W132">
        <f t="shared" si="33"/>
        <v>90.126651079880673</v>
      </c>
      <c r="X132" t="str">
        <f t="shared" si="34"/>
        <v>2.55211812499538E-06-0.0000227005808293146i</v>
      </c>
      <c r="Y132">
        <f t="shared" si="35"/>
        <v>-92.824712258247217</v>
      </c>
      <c r="Z132">
        <f t="shared" si="36"/>
        <v>-83.585443508991347</v>
      </c>
    </row>
    <row r="133" spans="1:26" ht="14.25" thickBot="1" x14ac:dyDescent="0.2">
      <c r="B133" s="98">
        <v>1000000</v>
      </c>
      <c r="C133" s="99">
        <f t="shared" si="37"/>
        <v>6283185.307179586</v>
      </c>
      <c r="D133" s="100" t="str">
        <f t="shared" si="38"/>
        <v>0.0894569020446034-0.000108291366701674i</v>
      </c>
      <c r="E133" s="98">
        <f t="shared" si="14"/>
        <v>-20.967716552320379</v>
      </c>
      <c r="F133" s="101">
        <f t="shared" si="23"/>
        <v>-6.9358932593408709E-2</v>
      </c>
      <c r="G133" s="102" t="str">
        <f t="shared" si="39"/>
        <v>0.0350710045591696-5.75649670726322i</v>
      </c>
      <c r="H133" s="98">
        <f t="shared" si="24"/>
        <v>15.203326408301374</v>
      </c>
      <c r="I133" s="101">
        <f t="shared" si="25"/>
        <v>-89.650934277280143</v>
      </c>
      <c r="J133" s="100" t="str">
        <f t="shared" si="40"/>
        <v>0.00251396452361225-0.514962159948743i</v>
      </c>
      <c r="K133" s="98">
        <f t="shared" si="26"/>
        <v>-5.7643901440190106</v>
      </c>
      <c r="L133" s="101">
        <f t="shared" si="27"/>
        <v>-89.72029320987356</v>
      </c>
      <c r="M133" s="100">
        <f t="shared" si="41"/>
        <v>0.11294117647058823</v>
      </c>
      <c r="N133" s="101">
        <f t="shared" si="42"/>
        <v>2.5000000000000001E-2</v>
      </c>
      <c r="O133" s="102" t="str">
        <f t="shared" si="43"/>
        <v>0.0209250483543678-0.223130737442074i</v>
      </c>
      <c r="P133" s="98">
        <f t="shared" si="21"/>
        <v>-12.990784666508723</v>
      </c>
      <c r="Q133" s="101">
        <f t="shared" si="28"/>
        <v>-84.642509806308212</v>
      </c>
      <c r="R133" s="102" t="str">
        <f t="shared" si="29"/>
        <v>-0.0130181575156092-0.00128975347102717i</v>
      </c>
      <c r="S133" s="98">
        <f t="shared" si="30"/>
        <v>-37.666589044791408</v>
      </c>
      <c r="T133" s="101">
        <f t="shared" si="31"/>
        <v>-174.3419747934083</v>
      </c>
      <c r="U133" t="str">
        <f>IMPRODUCT(COMPLEX(-1,0),IMDIV(COMPLEX(1,C133*Calculations!$B$171*Calculations!$B$173),IMPRODUCT(COMPLEX(0,C133*Calculations!$B$160),COMPLEX((Calculations!$B$173+Calculations!$B$175),C133*Calculations!$B$171*Calculations!$B$173*Calculations!$B$175))))</f>
        <v>-2.53301392650958E-06+0.00127323324564631i</v>
      </c>
      <c r="V133">
        <f t="shared" si="32"/>
        <v>-57.901823410383571</v>
      </c>
      <c r="W133">
        <f t="shared" si="33"/>
        <v>90.113986040236313</v>
      </c>
      <c r="X133" t="str">
        <f t="shared" si="34"/>
        <v>1.67513217228405E-06-0.0000165718839824301i</v>
      </c>
      <c r="Y133">
        <f t="shared" si="35"/>
        <v>-95.568412455175007</v>
      </c>
      <c r="Z133">
        <f t="shared" si="36"/>
        <v>-84.227988753171985</v>
      </c>
    </row>
    <row r="134" spans="1:26" x14ac:dyDescent="0.15">
      <c r="A134" s="82" t="s">
        <v>443</v>
      </c>
      <c r="B134" s="106">
        <f>Calculations!B165</f>
        <v>4000</v>
      </c>
      <c r="C134" s="107">
        <f t="shared" si="37"/>
        <v>25132.741228718343</v>
      </c>
      <c r="D134" s="108" t="str">
        <f t="shared" si="38"/>
        <v>0.0915096186098198-0.0269162928844416i</v>
      </c>
      <c r="E134" s="107">
        <f t="shared" si="14"/>
        <v>-20.41030338015748</v>
      </c>
      <c r="F134" s="107">
        <f t="shared" ref="F134" si="44">IMARGUMENT(D134)*(180/PI())</f>
        <v>-16.390519508726566</v>
      </c>
      <c r="G134" s="107" t="str">
        <f t="shared" si="39"/>
        <v>823.320857049467-287.645831897568i</v>
      </c>
      <c r="H134" s="107">
        <f t="shared" si="24"/>
        <v>58.811548126680073</v>
      </c>
      <c r="I134" s="107">
        <f t="shared" ref="I134" si="45">IMARGUMENT(G134)*(180/PI())</f>
        <v>-19.258020746348738</v>
      </c>
      <c r="J134" s="108" t="str">
        <f t="shared" si="40"/>
        <v>67.5994181637629-48.4831056978638i</v>
      </c>
      <c r="K134" s="107">
        <f t="shared" si="26"/>
        <v>38.401244746522593</v>
      </c>
      <c r="L134" s="107">
        <f t="shared" ref="L134" si="46">IMARGUMENT(J134)*(180/PI())</f>
        <v>-35.648540255075353</v>
      </c>
      <c r="M134" s="108">
        <f t="shared" si="41"/>
        <v>0.11294117647058823</v>
      </c>
      <c r="N134" s="107">
        <f t="shared" si="42"/>
        <v>2.5000000000000001E-2</v>
      </c>
      <c r="O134" s="107" t="str">
        <f t="shared" si="43"/>
        <v>2.34828876018476-0.661934492883731i</v>
      </c>
      <c r="P134" s="107">
        <f t="shared" si="21"/>
        <v>7.7470796760693004</v>
      </c>
      <c r="Q134" s="107">
        <f t="shared" ref="Q134" si="47">IMARGUMENT(O134)*(180/PI())</f>
        <v>-15.74205686700852</v>
      </c>
      <c r="R134" s="107" t="str">
        <f t="shared" ref="R134" si="48">IMDIV(IMPRODUCT(J134,O134,COMPLEX(M134,0)),IMSUM(COMPLEX(1,0),IMPRODUCT(G134,O134,COMPLEX(N134,0),COMPLEX(M134,0))))</f>
        <v>3.11956886440022-1.20956007400058i</v>
      </c>
      <c r="S134" s="107">
        <f t="shared" si="30"/>
        <v>10.490142237560642</v>
      </c>
      <c r="T134" s="107">
        <f t="shared" ref="T134" si="49">IMARGUMENT(R134)*(180/PI())</f>
        <v>-21.1929600977018</v>
      </c>
      <c r="U134" s="92" t="str">
        <f>IMPRODUCT(COMPLEX(-1,0),IMDIV(COMPLEX(1,C134*Calculations!$B$171*Calculations!$B$173),IMPRODUCT(COMPLEX(0,C134*Calculations!$B$160),COMPLEX((Calculations!$B$173+Calculations!$B$175),C134*Calculations!$B$171*Calculations!$B$173*Calculations!$B$175))))</f>
        <v>-0.114181931826351+0.247323093754315i</v>
      </c>
      <c r="V134" s="107">
        <f t="shared" si="32"/>
        <v>-11.295596537933225</v>
      </c>
      <c r="W134" s="107">
        <f t="shared" si="33"/>
        <v>114.78140666007744</v>
      </c>
      <c r="X134" s="107" t="str">
        <f t="shared" si="34"/>
        <v>-0.0570462598190315+0.909651328632508i</v>
      </c>
      <c r="Y134" s="107">
        <f t="shared" si="35"/>
        <v>-0.80545430037258237</v>
      </c>
      <c r="Z134" s="110">
        <f t="shared" si="36"/>
        <v>93.588446562375623</v>
      </c>
    </row>
    <row r="135" spans="1:26" x14ac:dyDescent="0.15">
      <c r="A135" t="s">
        <v>446</v>
      </c>
      <c r="B135" s="96">
        <f>Calculations!B176*1000</f>
        <v>497.35919716217302</v>
      </c>
      <c r="C135" s="92">
        <f t="shared" si="37"/>
        <v>3125.0000000000005</v>
      </c>
      <c r="D135" s="93" t="str">
        <f t="shared" si="38"/>
        <v>0.186497161262811-0.158212767328909i</v>
      </c>
      <c r="E135" s="92">
        <f t="shared" si="14"/>
        <v>-12.232082561362445</v>
      </c>
      <c r="F135" s="92">
        <f t="shared" ref="F135:F136" si="50">IMARGUMENT(D135)*(180/PI())</f>
        <v>-40.309232603636858</v>
      </c>
      <c r="G135" s="92" t="str">
        <f t="shared" si="39"/>
        <v>275.33213687443+222.137537536914i</v>
      </c>
      <c r="H135" s="92">
        <f t="shared" si="24"/>
        <v>50.974408173705925</v>
      </c>
      <c r="I135" s="92">
        <f t="shared" ref="I135:I136" si="51">IMARGUMENT(G135)*(180/PI())</f>
        <v>38.896535084585352</v>
      </c>
      <c r="J135" s="93" t="str">
        <f t="shared" si="40"/>
        <v>86.4936564728495-2.13303914894026i</v>
      </c>
      <c r="K135" s="92">
        <f t="shared" si="26"/>
        <v>38.742325612343478</v>
      </c>
      <c r="L135" s="92">
        <f t="shared" ref="L135:L136" si="52">IMARGUMENT(J135)*(180/PI())</f>
        <v>-1.4126975190517219</v>
      </c>
      <c r="M135" s="93">
        <f t="shared" si="41"/>
        <v>0.11294117647058823</v>
      </c>
      <c r="N135" s="92">
        <f t="shared" si="42"/>
        <v>2.5000000000000001E-2</v>
      </c>
      <c r="O135" s="92" t="str">
        <f t="shared" si="43"/>
        <v>2.35241040921284-4.53851705705289i</v>
      </c>
      <c r="P135" s="92">
        <f t="shared" si="21"/>
        <v>14.171721810294621</v>
      </c>
      <c r="Q135" s="92">
        <f t="shared" ref="Q135:Q136" si="53">IMARGUMENT(O135)*(180/PI())</f>
        <v>-62.601327270808348</v>
      </c>
      <c r="R135" s="92" t="str">
        <f t="shared" ref="R135:R136" si="54">IMDIV(IMPRODUCT(J135,O135,COMPLEX(M135,0)),IMSUM(COMPLEX(1,0),IMPRODUCT(G135,O135,COMPLEX(N135,0),COMPLEX(M135,0))))</f>
        <v>5.940865438923-5.7628705010247i</v>
      </c>
      <c r="S135" s="92">
        <f t="shared" si="30"/>
        <v>18.357194721943632</v>
      </c>
      <c r="T135" s="92">
        <f t="shared" ref="T135:T136" si="55">IMARGUMENT(R135)*(180/PI())</f>
        <v>-44.128690821360202</v>
      </c>
      <c r="U135" s="92" t="str">
        <f>IMPRODUCT(COMPLEX(-1,0),IMDIV(COMPLEX(1,C135*Calculations!$B$171*Calculations!$B$173),IMPRODUCT(COMPLEX(0,C135*Calculations!$B$160),COMPLEX((Calculations!$B$173+Calculations!$B$175),C135*Calculations!$B$171*Calculations!$B$173*Calculations!$B$175))))</f>
        <v>-0.393846153846154+0.590769230769231i</v>
      </c>
      <c r="V135" s="92">
        <f t="shared" si="32"/>
        <v>-2.9746342168313729</v>
      </c>
      <c r="W135" s="92">
        <f t="shared" ref="W135:W136" si="56">IMARGUMENT(U135)*(180/PI())</f>
        <v>123.69006752597979</v>
      </c>
      <c r="X135" s="92" t="str">
        <f t="shared" ref="X135:X136" si="57">IMPRODUCT(U135,R135)</f>
        <v>1.06473956927569+5.77936488739809i</v>
      </c>
      <c r="Y135" s="92">
        <f t="shared" si="35"/>
        <v>15.382560505112263</v>
      </c>
      <c r="Z135" s="111">
        <f t="shared" ref="Z135:Z136" si="58">IMARGUMENT(X135)*(180/PI())</f>
        <v>79.561376704619576</v>
      </c>
    </row>
    <row r="136" spans="1:26" ht="14.25" thickBot="1" x14ac:dyDescent="0.2">
      <c r="A136" t="s">
        <v>447</v>
      </c>
      <c r="B136" s="97">
        <f>Calculations!B177*1000</f>
        <v>1989.4367886486921</v>
      </c>
      <c r="C136" s="94">
        <f t="shared" si="37"/>
        <v>12500.000000000002</v>
      </c>
      <c r="D136" s="109" t="str">
        <f t="shared" si="38"/>
        <v>0.0976118152653083-0.0531827175940376i</v>
      </c>
      <c r="E136" s="94">
        <f t="shared" si="14"/>
        <v>-19.081056536562848</v>
      </c>
      <c r="F136" s="94">
        <f t="shared" si="50"/>
        <v>-28.583268625104434</v>
      </c>
      <c r="G136" s="94" t="str">
        <f t="shared" si="39"/>
        <v>818.181156996497+198.539043170911i</v>
      </c>
      <c r="H136" s="94">
        <f t="shared" si="24"/>
        <v>58.505470879290428</v>
      </c>
      <c r="I136" s="94">
        <f t="shared" si="51"/>
        <v>13.639699628090836</v>
      </c>
      <c r="J136" s="109" t="str">
        <f t="shared" si="40"/>
        <v>90.4229938146472-24.1333410083576i</v>
      </c>
      <c r="K136" s="94">
        <f t="shared" si="26"/>
        <v>39.424414342727573</v>
      </c>
      <c r="L136" s="94">
        <f t="shared" si="52"/>
        <v>-14.943568997013609</v>
      </c>
      <c r="M136" s="109">
        <f t="shared" si="41"/>
        <v>0.11294117647058823</v>
      </c>
      <c r="N136" s="94">
        <f t="shared" si="42"/>
        <v>2.5000000000000001E-2</v>
      </c>
      <c r="O136" s="94" t="str">
        <f t="shared" si="43"/>
        <v>2.35143826325066-1.18092192912939i</v>
      </c>
      <c r="P136" s="94">
        <f t="shared" si="21"/>
        <v>8.4034692984873871</v>
      </c>
      <c r="Q136" s="94">
        <f t="shared" si="53"/>
        <v>-26.666379606360486</v>
      </c>
      <c r="R136" s="94" t="str">
        <f t="shared" si="54"/>
        <v>3.31767825694422-1.94406591363753i</v>
      </c>
      <c r="S136" s="94">
        <f t="shared" si="30"/>
        <v>11.698619010623418</v>
      </c>
      <c r="T136" s="94">
        <f t="shared" si="55"/>
        <v>-30.369100110271305</v>
      </c>
      <c r="U136" s="92" t="str">
        <f>IMPRODUCT(COMPLEX(-1,0),IMDIV(COMPLEX(1,C136*Calculations!$B$171*Calculations!$B$173),IMPRODUCT(COMPLEX(0,C136*Calculations!$B$160),COMPLEX((Calculations!$B$173+Calculations!$B$175),C136*Calculations!$B$171*Calculations!$B$173*Calculations!$B$175))))</f>
        <v>-0.249756097560976+0.327804878048781i</v>
      </c>
      <c r="V136" s="94">
        <f t="shared" si="32"/>
        <v>-7.6997498737368586</v>
      </c>
      <c r="W136" s="94">
        <f t="shared" si="56"/>
        <v>127.30394827798344</v>
      </c>
      <c r="X136" s="94" t="str">
        <f t="shared" si="57"/>
        <v>-0.191336084678547+1.57309343241412i</v>
      </c>
      <c r="Y136" s="94">
        <f t="shared" si="35"/>
        <v>3.9988691368865843</v>
      </c>
      <c r="Z136" s="95">
        <f t="shared" si="58"/>
        <v>96.934848167712104</v>
      </c>
    </row>
    <row r="137" spans="1:26" ht="14.25" thickBot="1" x14ac:dyDescent="0.2">
      <c r="A137" t="s">
        <v>448</v>
      </c>
      <c r="B137" s="112">
        <f>Calculations!B162</f>
        <v>381.93112410064475</v>
      </c>
      <c r="C137" s="94">
        <f t="shared" si="37"/>
        <v>2399.7440273037541</v>
      </c>
      <c r="D137" s="109" t="str">
        <f t="shared" si="38"/>
        <v>0.227718610932814-0.173103700887883i</v>
      </c>
      <c r="E137" s="94">
        <f t="shared" si="14"/>
        <v>-10.871370374051097</v>
      </c>
      <c r="F137" s="94">
        <f t="shared" ref="F137" si="59">IMARGUMENT(D137)*(180/PI())</f>
        <v>-37.240823318274465</v>
      </c>
      <c r="G137" s="94" t="str">
        <f t="shared" si="39"/>
        <v>242.094840777749+177.646527009852i</v>
      </c>
      <c r="H137" s="94">
        <f t="shared" si="24"/>
        <v>49.55053402434045</v>
      </c>
      <c r="I137" s="94">
        <f t="shared" ref="I137" si="60">IMARGUMENT(G137)*(180/PI())</f>
        <v>36.270811016917186</v>
      </c>
      <c r="J137" s="109" t="str">
        <f t="shared" si="40"/>
        <v>85.8807721311947-1.4540925367691i</v>
      </c>
      <c r="K137" s="94">
        <f t="shared" si="26"/>
        <v>38.679163650289375</v>
      </c>
      <c r="L137" s="94">
        <f t="shared" ref="L137" si="61">IMARGUMENT(J137)*(180/PI())</f>
        <v>-0.97001230135734717</v>
      </c>
      <c r="M137" s="109">
        <f t="shared" si="41"/>
        <v>0.11294117647058823</v>
      </c>
      <c r="N137" s="94">
        <f t="shared" si="42"/>
        <v>2.5000000000000001E-2</v>
      </c>
      <c r="O137" s="94" t="str">
        <f t="shared" si="43"/>
        <v>2.35243701205712-5.9035591362023i</v>
      </c>
      <c r="P137" s="94">
        <f t="shared" si="21"/>
        <v>16.062305223149941</v>
      </c>
      <c r="Q137" s="94">
        <f t="shared" ref="Q137" si="62">IMARGUMENT(O137)*(180/PI())</f>
        <v>-68.273817898221097</v>
      </c>
      <c r="R137" s="94" t="str">
        <f t="shared" ref="R137" si="63">IMDIV(IMPRODUCT(J137,O137,COMPLEX(M137,0)),IMSUM(COMPLEX(1,0),IMPRODUCT(G137,O137,COMPLEX(N137,0),COMPLEX(M137,0))))</f>
        <v>7.30888338431758-6.60369558191863i</v>
      </c>
      <c r="S137" s="94">
        <f t="shared" si="30"/>
        <v>19.868996382763232</v>
      </c>
      <c r="T137" s="94">
        <f t="shared" ref="T137" si="64">IMARGUMENT(R137)*(180/PI())</f>
        <v>-42.098328337295186</v>
      </c>
      <c r="U137" s="92" t="str">
        <f>IMPRODUCT(COMPLEX(-1,0),IMDIV(COMPLEX(1,C137*Calculations!$B$171*Calculations!$B$173),IMPRODUCT(COMPLEX(0,C137*Calculations!$B$160),COMPLEX((Calculations!$B$173+Calculations!$B$175),C137*Calculations!$B$171*Calculations!$B$173*Calculations!$B$175))))</f>
        <v>-0.400161030566492+0.728195956533722i</v>
      </c>
      <c r="V137" s="94">
        <f t="shared" si="32"/>
        <v>-1.609003486389319</v>
      </c>
      <c r="W137" s="94">
        <f t="shared" ref="W137" si="65">IMARGUMENT(U137)*(180/PI())</f>
        <v>118.78984322243751</v>
      </c>
      <c r="X137" s="94" t="str">
        <f t="shared" ref="X137" si="66">IMPRODUCT(U137,R137)</f>
        <v>1.88405411357392+7.96484095684452i</v>
      </c>
      <c r="Y137" s="94">
        <f t="shared" si="35"/>
        <v>18.259992896373916</v>
      </c>
      <c r="Z137" s="95">
        <f t="shared" ref="Z137" si="67">IMARGUMENT(X137)*(180/PI())</f>
        <v>76.691514885142354</v>
      </c>
    </row>
    <row r="165" spans="2:93" ht="29.25" thickBot="1" x14ac:dyDescent="0.2">
      <c r="B165" s="30" t="s">
        <v>392</v>
      </c>
    </row>
    <row r="166" spans="2:93" x14ac:dyDescent="0.15">
      <c r="B166" s="207" t="s">
        <v>33</v>
      </c>
      <c r="C166" s="209"/>
      <c r="D166" s="219" t="s">
        <v>31</v>
      </c>
      <c r="E166" s="212"/>
      <c r="F166" s="212"/>
      <c r="G166" s="212" t="s">
        <v>386</v>
      </c>
      <c r="H166" s="212"/>
      <c r="I166" s="212"/>
      <c r="J166" s="212" t="s">
        <v>387</v>
      </c>
      <c r="K166" s="212"/>
      <c r="L166" s="212"/>
      <c r="M166" s="212"/>
      <c r="N166" s="212"/>
      <c r="O166" s="212"/>
      <c r="P166" s="212"/>
      <c r="Q166" s="212"/>
      <c r="R166" s="212"/>
      <c r="S166" s="212"/>
      <c r="T166" s="212"/>
      <c r="U166" s="81"/>
      <c r="V166" s="81"/>
      <c r="W166" s="81"/>
      <c r="X166" s="81"/>
      <c r="Y166" s="81"/>
      <c r="Z166" s="81"/>
      <c r="AA166" s="81"/>
      <c r="AB166" s="213"/>
      <c r="AC166" s="213"/>
      <c r="AD166" s="213"/>
      <c r="BC166" s="202"/>
      <c r="BD166" s="202"/>
      <c r="BE166" s="202"/>
      <c r="BF166" s="202"/>
      <c r="BG166" s="202"/>
      <c r="BH166" s="202"/>
      <c r="BI166" s="202"/>
      <c r="BJ166" s="202"/>
      <c r="BK166" s="202"/>
      <c r="BL166" s="202"/>
      <c r="BM166" s="202"/>
      <c r="BN166" s="202"/>
      <c r="BO166" s="202"/>
      <c r="BP166" s="202"/>
      <c r="BQ166" s="202"/>
      <c r="BR166" s="202"/>
      <c r="BS166" s="202"/>
      <c r="BT166" s="202"/>
      <c r="BU166" s="202"/>
      <c r="BV166" s="202"/>
      <c r="BW166" s="202"/>
      <c r="BX166" s="202"/>
      <c r="BY166" s="202"/>
      <c r="BZ166" s="202"/>
      <c r="CA166" s="202"/>
      <c r="CB166" s="202"/>
      <c r="CC166" s="202"/>
      <c r="CD166" s="202"/>
      <c r="CE166" s="202"/>
      <c r="CF166" s="202"/>
      <c r="CG166" s="202"/>
      <c r="CH166" s="202"/>
      <c r="CI166" s="202"/>
      <c r="CJ166" s="202"/>
      <c r="CK166" s="202"/>
      <c r="CL166" s="202"/>
      <c r="CM166" s="202"/>
      <c r="CN166" s="202"/>
      <c r="CO166" s="202"/>
    </row>
    <row r="167" spans="2:93" ht="14.25" thickBot="1" x14ac:dyDescent="0.2">
      <c r="B167" s="214"/>
      <c r="C167" s="215"/>
      <c r="D167" s="216" t="s">
        <v>385</v>
      </c>
      <c r="E167" s="217"/>
      <c r="F167" s="218"/>
      <c r="G167" s="216" t="s">
        <v>385</v>
      </c>
      <c r="H167" s="217"/>
      <c r="I167" s="218"/>
      <c r="J167" s="216" t="s">
        <v>385</v>
      </c>
      <c r="K167" s="217"/>
      <c r="L167" s="218"/>
      <c r="M167" s="206" t="s">
        <v>390</v>
      </c>
      <c r="N167" s="202"/>
      <c r="O167" s="202" t="s">
        <v>394</v>
      </c>
      <c r="P167" s="202"/>
      <c r="Q167" s="202"/>
      <c r="R167" s="202" t="s">
        <v>391</v>
      </c>
      <c r="S167" s="202"/>
      <c r="T167" s="202"/>
      <c r="U167" s="202" t="s">
        <v>393</v>
      </c>
      <c r="V167" s="202"/>
      <c r="W167" s="202"/>
      <c r="X167" s="202" t="s">
        <v>395</v>
      </c>
      <c r="Y167" s="202"/>
      <c r="Z167" s="202"/>
      <c r="AB167" s="213"/>
      <c r="AC167" s="213"/>
      <c r="AD167" s="213"/>
      <c r="BC167" s="202"/>
      <c r="BD167" s="202"/>
      <c r="BE167" s="202"/>
      <c r="BF167" s="202"/>
      <c r="BG167" s="202"/>
      <c r="BH167" s="202"/>
      <c r="BI167" s="202"/>
      <c r="BJ167" s="202"/>
      <c r="BK167" s="202"/>
      <c r="BL167" s="202"/>
      <c r="BM167" s="202"/>
      <c r="BN167" s="202"/>
      <c r="BO167" s="202"/>
      <c r="BP167" s="202"/>
      <c r="BQ167" s="202"/>
      <c r="BR167" s="202"/>
      <c r="BS167" s="202"/>
      <c r="BT167" s="202"/>
      <c r="BU167" s="202"/>
      <c r="BV167" s="202"/>
      <c r="BW167" s="202"/>
      <c r="BX167" s="202"/>
      <c r="BY167" s="202"/>
      <c r="BZ167" s="202"/>
      <c r="CA167" s="202"/>
      <c r="CB167" s="202"/>
      <c r="CC167" s="202"/>
      <c r="CD167" s="202"/>
      <c r="CE167" s="202"/>
      <c r="CF167" s="202"/>
      <c r="CG167" s="202"/>
      <c r="CH167" s="202"/>
      <c r="CI167" s="202"/>
      <c r="CJ167" s="202"/>
      <c r="CK167" s="202"/>
      <c r="CL167" s="202"/>
      <c r="CM167" s="202"/>
      <c r="CN167" s="202"/>
      <c r="CO167" s="202"/>
    </row>
    <row r="168" spans="2:93" ht="40.5" x14ac:dyDescent="0.15">
      <c r="B168" s="23" t="s">
        <v>35</v>
      </c>
      <c r="C168" s="24" t="s">
        <v>34</v>
      </c>
      <c r="D168" s="23" t="s">
        <v>38</v>
      </c>
      <c r="E168" s="24" t="s">
        <v>36</v>
      </c>
      <c r="F168" s="25" t="s">
        <v>37</v>
      </c>
      <c r="G168" s="23" t="s">
        <v>38</v>
      </c>
      <c r="H168" s="24" t="s">
        <v>36</v>
      </c>
      <c r="I168" s="25" t="s">
        <v>37</v>
      </c>
      <c r="J168" s="23" t="s">
        <v>38</v>
      </c>
      <c r="K168" s="24" t="s">
        <v>36</v>
      </c>
      <c r="L168" s="25" t="s">
        <v>37</v>
      </c>
      <c r="M168" s="21" t="s">
        <v>388</v>
      </c>
      <c r="N168" s="21" t="s">
        <v>389</v>
      </c>
      <c r="O168" s="23" t="s">
        <v>38</v>
      </c>
      <c r="P168" s="24" t="s">
        <v>36</v>
      </c>
      <c r="Q168" s="25" t="s">
        <v>37</v>
      </c>
      <c r="R168" s="23" t="s">
        <v>38</v>
      </c>
      <c r="S168" s="24" t="s">
        <v>36</v>
      </c>
      <c r="T168" s="25" t="s">
        <v>37</v>
      </c>
      <c r="U168" s="23" t="s">
        <v>38</v>
      </c>
      <c r="V168" s="24" t="s">
        <v>36</v>
      </c>
      <c r="W168" s="25" t="s">
        <v>37</v>
      </c>
      <c r="X168" s="23" t="s">
        <v>38</v>
      </c>
      <c r="Y168" s="24" t="s">
        <v>36</v>
      </c>
      <c r="Z168" s="25" t="s">
        <v>37</v>
      </c>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row>
    <row r="169" spans="2:93" x14ac:dyDescent="0.15">
      <c r="B169" s="1">
        <v>1</v>
      </c>
      <c r="C169" s="1">
        <f t="shared" ref="C169:C200" si="68">2*PI()*B169</f>
        <v>6.2831853071795862</v>
      </c>
      <c r="D169" s="83" t="str">
        <f t="shared" ref="D169:D200" si="69">IMDIV(COMPLEX((POWER(V48_Nom,2)/(V12_Min*I_Channel_Design*np)),((Zo_Boost_Cout*Zo_Boost_Resr*POWER(V48_Nom,2))/(V12_Min*I_Channel_Design*np))*C169),COMPLEX(1,((Zo_Boost_Cout*Zo_Boost_Resr)+((Zo_Boost_Cout*POWER(V48_Nom,2))/(V12_Min*I_Channel_Design*np)))*C169))</f>
        <v>3.00246641129184-0.0399394549770924i</v>
      </c>
      <c r="E169" s="1">
        <f t="shared" ref="E169:E200" si="70">20*LOG(IMABS(D169))</f>
        <v>9.5503315641356075</v>
      </c>
      <c r="F169" s="1">
        <f t="shared" ref="F169:F200" si="71">IMARGUMENT(D169)*(180/PI())</f>
        <v>-0.7621158516692933</v>
      </c>
      <c r="G169" s="1" t="str">
        <f t="shared" ref="G169:G200" si="72">IMDIV(IMSUM(COMPLEX(V48_Nom,0),IMPRODUCT(COMPLEX(np*(I_Channel_Design*(V12_Min/V48_Nom)),0),D169)),IMSUM(IMPRODUCT(COMPLEX(((V12_Min/V48_Nom)^2),0),D169),COMPLEX(Rcs/np,(Lm*C169)/np)))</f>
        <v>242.948179790241+1.60323448659659i</v>
      </c>
      <c r="H169" s="1">
        <f>20*LOG10(IMABS(G169))</f>
        <v>47.710462113861951</v>
      </c>
      <c r="I169" s="1">
        <f>IMARGUMENT(G169)*(180/PI())</f>
        <v>0.37809394724143086</v>
      </c>
      <c r="J169" s="83" t="str">
        <f t="shared" ref="J169:J200" si="73">IMPRODUCT(COMPLEX(-1,0),IMDIV(IMSUM(IMSUB(IMPRODUCT(COMPLEX((1-(V12_Min/V48_Nom))*V48_Nom,0),D169),IMPRODUCT(COMPLEX(V48_Nom,0),D169)),IMPRODUCT(COMPLEX(0,I_Channel_Design*Lm*C169),D169)),IMSUM(IMPRODUCT(COMPLEX(((V12_Min/V48_Nom)^2),0),D169),COMPLEX(Rcs/np,(Lm*C169)/np))))</f>
        <v>134.971044737529-0.0118703386026464i</v>
      </c>
      <c r="K169" s="1">
        <f>20*LOG10(IMABS(J169))</f>
        <v>42.604812224309029</v>
      </c>
      <c r="L169" s="1">
        <f>IMARGUMENT(J169)*(180/PI())</f>
        <v>-5.0390089436733376E-3</v>
      </c>
      <c r="M169" s="1">
        <f t="shared" ref="M169:M200" si="74">(Ramp_R*Ramp_C*Fsw)/V48_Nom</f>
        <v>0.192</v>
      </c>
      <c r="N169" s="1">
        <f t="shared" ref="N169:N200" si="75">Rcs*Acs/np</f>
        <v>2.5000000000000001E-2</v>
      </c>
      <c r="O169" s="1" t="str">
        <f t="shared" ref="O169:O200" si="76">IMPRODUCT(COMPLEX(gm/(IL_Comp_Ccomp+IL_Comp_Chf),0),IMDIV(COMPLEX(1,C169*IL_Comp_Rcomp*IL_Comp_Ccomp),IMPRODUCT(COMPLEX(0,C169),COMPLEX(1,C169*IL_Comp_Rcomp*IL_Comp_Chf))))</f>
        <v>2.35247524726262-2251.13076163405i</v>
      </c>
      <c r="P169" s="1">
        <f>20*LOG(IMABS(O169))</f>
        <v>67.048019195490951</v>
      </c>
      <c r="Q169" s="1">
        <f>IMARGUMENT(O169)*(180/PI())</f>
        <v>-89.940124822463019</v>
      </c>
      <c r="R169" s="1" t="str">
        <f>IMDIV(IMPRODUCT(O169,J169,COMPLEX(M169,0)),IMSUM(COMPLEX(1,0),IMPRODUCT(G169,O169,COMPLEX(M169,0),COMPLEX(N169,0))))</f>
        <v>22.2210897389181-0.157057724600799i</v>
      </c>
      <c r="S169" s="1">
        <f>20*LOG10(IMABS(R169))</f>
        <v>26.935524015940683</v>
      </c>
      <c r="T169" s="1">
        <f>IMARGUMENT(R169)*(180/PI())</f>
        <v>-0.40495740859660428</v>
      </c>
      <c r="U169" s="1" t="str">
        <f>IMPRODUCT(COMPLEX(-1,0),IMDIV(COMPLEX(1,C169*Calculations!$B$195*Calculations!$B$197),IMPRODUCT(COMPLEX(0,C169*Calculations!$B$184),COMPLEX((Calculations!$B$197+Calculations!$B$199),C169*Calculations!$B$195*Calculations!$B$197*Calculations!$B$199))))</f>
        <v>-1.42674946496323+241.722527613214i</v>
      </c>
      <c r="V169" s="1">
        <f>20*LOG10(IMABS(U169))</f>
        <v>47.666493837155272</v>
      </c>
      <c r="W169" s="1">
        <f>IMARGUMENT(U169)*(180/PI())</f>
        <v>90.338180203049703</v>
      </c>
      <c r="X169" s="1" t="str">
        <f>IMPRODUCT(U169,R169)</f>
        <v>6.26046227578388+5371.56206003588i</v>
      </c>
      <c r="Y169" s="1">
        <f>20*LOG10(IMABS(X169))</f>
        <v>74.602017853095944</v>
      </c>
      <c r="Z169" s="1">
        <f>IMARGUMENT(X169)*(180/PI())</f>
        <v>89.933222794453101</v>
      </c>
    </row>
    <row r="170" spans="2:93" x14ac:dyDescent="0.15">
      <c r="B170" s="1">
        <v>2</v>
      </c>
      <c r="C170" s="1">
        <f t="shared" si="68"/>
        <v>12.566370614359172</v>
      </c>
      <c r="D170" s="83" t="str">
        <f t="shared" si="69"/>
        <v>3.00085779759469-0.0798356860906222i</v>
      </c>
      <c r="E170" s="1">
        <f t="shared" si="70"/>
        <v>9.5479811154016936</v>
      </c>
      <c r="F170" s="1">
        <f t="shared" si="71"/>
        <v>-1.5239539606889907</v>
      </c>
      <c r="G170" s="1" t="str">
        <f t="shared" si="72"/>
        <v>242.94942047412+3.20647315042374i</v>
      </c>
      <c r="H170" s="1">
        <f t="shared" ref="H170:H228" si="77">20*LOG10(IMABS(G170))</f>
        <v>47.711073781020318</v>
      </c>
      <c r="I170" s="1">
        <f t="shared" ref="I170:I223" si="78">IMARGUMENT(G170)*(180/PI())</f>
        <v>0.75615209185399812</v>
      </c>
      <c r="J170" s="83" t="str">
        <f t="shared" si="73"/>
        <v>134.971235233346-0.0237407819841097i</v>
      </c>
      <c r="K170" s="1">
        <f t="shared" ref="K170:K228" si="79">20*LOG10(IMABS(J170))</f>
        <v>42.604824584191277</v>
      </c>
      <c r="L170" s="1">
        <f t="shared" ref="L170:L223" si="80">IMARGUMENT(J170)*(180/PI())</f>
        <v>-1.0078048064461798E-2</v>
      </c>
      <c r="M170" s="1">
        <f t="shared" si="74"/>
        <v>0.192</v>
      </c>
      <c r="N170" s="1">
        <f t="shared" si="75"/>
        <v>2.5000000000000001E-2</v>
      </c>
      <c r="O170" s="1" t="str">
        <f t="shared" si="76"/>
        <v>2.35247524647624-1125.56541806524i</v>
      </c>
      <c r="P170" s="1">
        <f t="shared" ref="P170:P228" si="81">20*LOG(IMABS(O170))</f>
        <v>61.027433797952796</v>
      </c>
      <c r="Q170" s="1">
        <f t="shared" ref="Q170:Q223" si="82">IMARGUMENT(O170)*(180/PI())</f>
        <v>-89.880249779703774</v>
      </c>
      <c r="R170" s="1" t="str">
        <f t="shared" ref="R170:R223" si="83">IMDIV(IMPRODUCT(O170,J170,COMPLEX(M170,0)),IMSUM(COMPLEX(1,0),IMPRODUCT(G170,O170,COMPLEX(M170,0),COMPLEX(N170,0))))</f>
        <v>22.2176929975467-0.314066394959597i</v>
      </c>
      <c r="S170" s="1">
        <f t="shared" ref="S170:S228" si="84">20*LOG10(IMABS(R170))</f>
        <v>26.934846961156889</v>
      </c>
      <c r="T170" s="1">
        <f t="shared" ref="T170:T223" si="85">IMARGUMENT(R170)*(180/PI())</f>
        <v>-0.80987168566212253</v>
      </c>
      <c r="U170" s="1" t="str">
        <f>IMPRODUCT(COMPLEX(-1,0),IMDIV(COMPLEX(1,C170*Calculations!$B$195*Calculations!$B$197),IMPRODUCT(COMPLEX(0,C170*Calculations!$B$184),COMPLEX((Calculations!$B$197+Calculations!$B$199),C170*Calculations!$B$195*Calculations!$B$197*Calculations!$B$199))))</f>
        <v>-1.42674946490248+120.861271869539i</v>
      </c>
      <c r="V170" s="1">
        <f t="shared" ref="V170:V228" si="86">20*LOG10(IMABS(U170))</f>
        <v>41.646348370583283</v>
      </c>
      <c r="W170" s="1">
        <f t="shared" ref="W170:W224" si="87">IMARGUMENT(U170)*(180/PI())</f>
        <v>90.676336799667567</v>
      </c>
      <c r="X170" s="1" t="str">
        <f t="shared" ref="X170:X224" si="88">IMPRODUCT(U170,R170)</f>
        <v>6.25938235068054+2685.7067277514i</v>
      </c>
      <c r="Y170" s="1">
        <f t="shared" ref="Y170:Y228" si="89">20*LOG10(IMABS(X170))</f>
        <v>68.581195331740176</v>
      </c>
      <c r="Z170" s="1">
        <f t="shared" ref="Z170:Z224" si="90">IMARGUMENT(X170)*(180/PI())</f>
        <v>89.86646511400545</v>
      </c>
    </row>
    <row r="171" spans="2:93" x14ac:dyDescent="0.15">
      <c r="B171" s="1">
        <v>3</v>
      </c>
      <c r="C171" s="1">
        <f t="shared" si="68"/>
        <v>18.849555921538759</v>
      </c>
      <c r="D171" s="83" t="str">
        <f t="shared" si="69"/>
        <v>2.99818063994145-0.11964562526441i</v>
      </c>
      <c r="E171" s="1">
        <f t="shared" si="70"/>
        <v>9.544066526052827</v>
      </c>
      <c r="F171" s="1">
        <f t="shared" si="71"/>
        <v>-2.2852371852504758</v>
      </c>
      <c r="G171" s="1" t="str">
        <f t="shared" si="72"/>
        <v>242.951488293707+4.8097201687448i</v>
      </c>
      <c r="H171" s="1">
        <f t="shared" si="77"/>
        <v>47.712093042422495</v>
      </c>
      <c r="I171" s="1">
        <f t="shared" si="78"/>
        <v>1.1341386509584734</v>
      </c>
      <c r="J171" s="83" t="str">
        <f t="shared" si="73"/>
        <v>134.971552727466-0.0356114349250227i</v>
      </c>
      <c r="K171" s="1">
        <f t="shared" si="79"/>
        <v>42.604845184029529</v>
      </c>
      <c r="L171" s="1">
        <f t="shared" si="80"/>
        <v>-1.5117147539839738E-2</v>
      </c>
      <c r="M171" s="1">
        <f t="shared" si="74"/>
        <v>0.192</v>
      </c>
      <c r="N171" s="1">
        <f t="shared" si="75"/>
        <v>2.5000000000000001E-2</v>
      </c>
      <c r="O171" s="1" t="str">
        <f t="shared" si="76"/>
        <v>2.35247524516564-750.376986763732i</v>
      </c>
      <c r="P171" s="1">
        <f t="shared" si="81"/>
        <v>57.505632809633774</v>
      </c>
      <c r="Q171" s="1">
        <f t="shared" si="82"/>
        <v>-89.820375006498253</v>
      </c>
      <c r="R171" s="1" t="str">
        <f t="shared" si="83"/>
        <v>22.212034122621-0.470977007982445i</v>
      </c>
      <c r="S171" s="1">
        <f t="shared" si="84"/>
        <v>26.933718772687758</v>
      </c>
      <c r="T171" s="1">
        <f t="shared" si="85"/>
        <v>-1.2146997266706268</v>
      </c>
      <c r="U171" s="1" t="str">
        <f>IMPRODUCT(COMPLEX(-1,0),IMDIV(COMPLEX(1,C171*Calculations!$B$195*Calculations!$B$197),IMPRODUCT(COMPLEX(0,C171*Calculations!$B$184),COMPLEX((Calculations!$B$197+Calculations!$B$199),C171*Calculations!$B$195*Calculations!$B$197*Calculations!$B$199))))</f>
        <v>-1.42674946480121+80.5741902051716i</v>
      </c>
      <c r="V171" s="1">
        <f t="shared" si="86"/>
        <v>38.125280494990584</v>
      </c>
      <c r="W171" s="1">
        <f t="shared" si="87"/>
        <v>91.014446193300927</v>
      </c>
      <c r="X171" s="1" t="str">
        <f t="shared" si="88"/>
        <v>6.25758322684443+1790.3886284339i</v>
      </c>
      <c r="Y171" s="1">
        <f t="shared" si="89"/>
        <v>65.058999267678345</v>
      </c>
      <c r="Z171" s="1">
        <f t="shared" si="90"/>
        <v>89.79974646663031</v>
      </c>
    </row>
    <row r="172" spans="2:93" x14ac:dyDescent="0.15">
      <c r="B172" s="1">
        <v>4</v>
      </c>
      <c r="C172" s="1">
        <f t="shared" si="68"/>
        <v>25.132741228718345</v>
      </c>
      <c r="D172" s="83" t="str">
        <f t="shared" si="69"/>
        <v>2.99444071418168-0.159326514819399i</v>
      </c>
      <c r="E172" s="1">
        <f t="shared" si="70"/>
        <v>9.538592023216788</v>
      </c>
      <c r="F172" s="1">
        <f t="shared" si="71"/>
        <v>-3.0456895819812315</v>
      </c>
      <c r="G172" s="1" t="str">
        <f t="shared" si="72"/>
        <v>242.954383268687+6.41297971888943i</v>
      </c>
      <c r="H172" s="1">
        <f t="shared" si="77"/>
        <v>47.713519622453504</v>
      </c>
      <c r="I172" s="1">
        <f t="shared" si="78"/>
        <v>1.5120178811478089</v>
      </c>
      <c r="J172" s="83" t="str">
        <f t="shared" si="73"/>
        <v>134.971997221532-0.0474824022090173i</v>
      </c>
      <c r="K172" s="1">
        <f t="shared" si="79"/>
        <v>42.604874023875837</v>
      </c>
      <c r="L172" s="1">
        <f t="shared" si="80"/>
        <v>-2.0156337547730573E-2</v>
      </c>
      <c r="M172" s="1">
        <f t="shared" si="74"/>
        <v>0.192</v>
      </c>
      <c r="N172" s="1">
        <f t="shared" si="75"/>
        <v>2.5000000000000001E-2</v>
      </c>
      <c r="O172" s="1" t="str">
        <f t="shared" si="76"/>
        <v>2.3524752433308-562.782783529052i</v>
      </c>
      <c r="P172" s="1">
        <f t="shared" si="81"/>
        <v>55.006891947153811</v>
      </c>
      <c r="Q172" s="1">
        <f t="shared" si="82"/>
        <v>-89.760500637618733</v>
      </c>
      <c r="R172" s="1" t="str">
        <f t="shared" si="83"/>
        <v>22.2041166513062-0.627740662759511i</v>
      </c>
      <c r="S172" s="1">
        <f t="shared" si="84"/>
        <v>26.932139804530809</v>
      </c>
      <c r="T172" s="1">
        <f t="shared" si="85"/>
        <v>-1.6193984810641469</v>
      </c>
      <c r="U172" s="1" t="str">
        <f>IMPRODUCT(COMPLEX(-1,0),IMDIV(COMPLEX(1,C172*Calculations!$B$195*Calculations!$B$197),IMPRODUCT(COMPLEX(0,C172*Calculations!$B$184),COMPLEX((Calculations!$B$197+Calculations!$B$199),C172*Calculations!$B$195*Calculations!$B$197*Calculations!$B$199))))</f>
        <v>-1.42674946465946+60.4306520606326i</v>
      </c>
      <c r="V172" s="1">
        <f t="shared" si="86"/>
        <v>35.627565768748859</v>
      </c>
      <c r="W172" s="1">
        <f t="shared" si="87"/>
        <v>91.352484807145174</v>
      </c>
      <c r="X172" s="1" t="str">
        <f t="shared" si="88"/>
        <v>6.2550660300436+1342.70487632332i</v>
      </c>
      <c r="Y172" s="1">
        <f t="shared" si="89"/>
        <v>62.559705573279665</v>
      </c>
      <c r="Z172" s="1">
        <f t="shared" si="90"/>
        <v>89.733086326081036</v>
      </c>
    </row>
    <row r="173" spans="2:93" x14ac:dyDescent="0.15">
      <c r="B173" s="1">
        <v>5</v>
      </c>
      <c r="C173" s="1">
        <f t="shared" si="68"/>
        <v>31.415926535897931</v>
      </c>
      <c r="D173" s="83" t="str">
        <f t="shared" si="69"/>
        <v>2.98964606290467-0.198836059743359i</v>
      </c>
      <c r="E173" s="1">
        <f t="shared" si="70"/>
        <v>9.5315635035880675</v>
      </c>
      <c r="F173" s="1">
        <f t="shared" si="71"/>
        <v>-3.8050369970812299</v>
      </c>
      <c r="G173" s="1" t="str">
        <f t="shared" si="72"/>
        <v>242.958105426616+8.0162559782859i</v>
      </c>
      <c r="H173" s="1">
        <f t="shared" si="77"/>
        <v>47.715353135607131</v>
      </c>
      <c r="I173" s="1">
        <f t="shared" si="78"/>
        <v>1.8897540981549941</v>
      </c>
      <c r="J173" s="83" t="str">
        <f t="shared" si="73"/>
        <v>134.972568717846-0.0593537886247659i</v>
      </c>
      <c r="K173" s="1">
        <f t="shared" si="79"/>
        <v>42.604911103803261</v>
      </c>
      <c r="L173" s="1">
        <f t="shared" si="80"/>
        <v>-2.5195648266960958E-2</v>
      </c>
      <c r="M173" s="1">
        <f t="shared" si="74"/>
        <v>0.192</v>
      </c>
      <c r="N173" s="1">
        <f t="shared" si="75"/>
        <v>2.5000000000000001E-2</v>
      </c>
      <c r="O173" s="1" t="str">
        <f t="shared" si="76"/>
        <v>2.3524752409717-450.2262715211i</v>
      </c>
      <c r="P173" s="1">
        <f t="shared" si="81"/>
        <v>53.068735233343631</v>
      </c>
      <c r="Q173" s="1">
        <f t="shared" si="82"/>
        <v>-89.700626807832194</v>
      </c>
      <c r="R173" s="1" t="str">
        <f t="shared" si="83"/>
        <v>22.1939455278947-0.784308611377698i</v>
      </c>
      <c r="S173" s="1">
        <f t="shared" si="84"/>
        <v>26.930110551766241</v>
      </c>
      <c r="T173" s="1">
        <f t="shared" si="85"/>
        <v>-2.0239249791312486</v>
      </c>
      <c r="U173" s="1" t="str">
        <f>IMPRODUCT(COMPLEX(-1,0),IMDIV(COMPLEX(1,C173*Calculations!$B$195*Calculations!$B$197),IMPRODUCT(COMPLEX(0,C173*Calculations!$B$184),COMPLEX((Calculations!$B$197+Calculations!$B$199),C173*Calculations!$B$195*Calculations!$B$197*Calculations!$B$199))))</f>
        <v>-1.4267494644772+48.3445313240239i</v>
      </c>
      <c r="V173" s="1">
        <f t="shared" si="86"/>
        <v>33.69072799329556</v>
      </c>
      <c r="W173" s="1">
        <f t="shared" si="87"/>
        <v>91.690429093991909</v>
      </c>
      <c r="X173" s="1" t="str">
        <f t="shared" si="88"/>
        <v>6.25183233389089+1074.07490666825i</v>
      </c>
      <c r="Y173" s="1">
        <f t="shared" si="89"/>
        <v>60.620838545061773</v>
      </c>
      <c r="Z173" s="1">
        <f t="shared" si="90"/>
        <v>89.666504114860658</v>
      </c>
    </row>
    <row r="174" spans="2:93" x14ac:dyDescent="0.15">
      <c r="B174" s="1">
        <v>6</v>
      </c>
      <c r="C174" s="1">
        <f t="shared" si="68"/>
        <v>37.699111843077517</v>
      </c>
      <c r="D174" s="83" t="str">
        <f t="shared" si="69"/>
        <v>2.98380695236478-0.238132576488296i</v>
      </c>
      <c r="E174" s="1">
        <f t="shared" si="70"/>
        <v>9.5229885123358144</v>
      </c>
      <c r="F174" s="1">
        <f t="shared" si="71"/>
        <v>-4.5630076478518946</v>
      </c>
      <c r="G174" s="1" t="str">
        <f t="shared" si="72"/>
        <v>242.962654802929+9.61955312449476i</v>
      </c>
      <c r="H174" s="1">
        <f t="shared" si="77"/>
        <v>47.717593086840317</v>
      </c>
      <c r="I174" s="1">
        <f t="shared" si="78"/>
        <v>2.2673116964396907</v>
      </c>
      <c r="J174" s="83" t="str">
        <f t="shared" si="73"/>
        <v>134.973267219365-0.0712256989670072i</v>
      </c>
      <c r="K174" s="1">
        <f t="shared" si="79"/>
        <v>42.60495642390552</v>
      </c>
      <c r="L174" s="1">
        <f t="shared" si="80"/>
        <v>-3.0235109877284703E-2</v>
      </c>
      <c r="M174" s="1">
        <f t="shared" si="74"/>
        <v>0.192</v>
      </c>
      <c r="N174" s="1">
        <f t="shared" si="75"/>
        <v>2.5000000000000001E-2</v>
      </c>
      <c r="O174" s="1" t="str">
        <f t="shared" si="76"/>
        <v>2.35247523808835-375.188605126512i</v>
      </c>
      <c r="P174" s="1">
        <f t="shared" si="81"/>
        <v>51.485163535115852</v>
      </c>
      <c r="Q174" s="1">
        <f t="shared" si="82"/>
        <v>-89.640753651898336</v>
      </c>
      <c r="R174" s="1" t="str">
        <f t="shared" si="83"/>
        <v>22.1815270960924-0.940632309398958i</v>
      </c>
      <c r="S174" s="1">
        <f t="shared" si="84"/>
        <v>26.927631650041203</v>
      </c>
      <c r="T174" s="1">
        <f t="shared" si="85"/>
        <v>-2.4282363587592957</v>
      </c>
      <c r="U174" s="1" t="str">
        <f>IMPRODUCT(COMPLEX(-1,0),IMDIV(COMPLEX(1,C174*Calculations!$B$195*Calculations!$B$197),IMPRODUCT(COMPLEX(0,C174*Calculations!$B$184),COMPLEX((Calculations!$B$197+Calculations!$B$199),C174*Calculations!$B$195*Calculations!$B$197*Calculations!$B$199))))</f>
        <v>-1.42674946425443+40.2871192913807i</v>
      </c>
      <c r="V174" s="1">
        <f t="shared" si="86"/>
        <v>32.108767751159803</v>
      </c>
      <c r="W174" s="1">
        <f t="shared" si="87"/>
        <v>92.028255546046211</v>
      </c>
      <c r="X174" s="1" t="str">
        <f t="shared" si="88"/>
        <v>6.24788415738778+894.971874828763i</v>
      </c>
      <c r="Y174" s="1">
        <f t="shared" si="89"/>
        <v>59.036399401201002</v>
      </c>
      <c r="Z174" s="1">
        <f t="shared" si="90"/>
        <v>89.600019187286932</v>
      </c>
    </row>
    <row r="175" spans="2:93" x14ac:dyDescent="0.15">
      <c r="B175" s="1">
        <v>7</v>
      </c>
      <c r="C175" s="1">
        <f t="shared" si="68"/>
        <v>43.982297150257104</v>
      </c>
      <c r="D175" s="83" t="str">
        <f t="shared" si="69"/>
        <v>2.97693581784104-0.277175137207883i</v>
      </c>
      <c r="E175" s="1">
        <f t="shared" si="70"/>
        <v>9.5128762162580802</v>
      </c>
      <c r="F175" s="1">
        <f t="shared" si="71"/>
        <v>-5.3193326915658146</v>
      </c>
      <c r="G175" s="1" t="str">
        <f t="shared" si="72"/>
        <v>242.968031440932+11.2228753352412i</v>
      </c>
      <c r="H175" s="1">
        <f t="shared" si="77"/>
        <v>47.720238872026847</v>
      </c>
      <c r="I175" s="1">
        <f t="shared" si="78"/>
        <v>2.6446551686663557</v>
      </c>
      <c r="J175" s="83" t="str">
        <f t="shared" si="73"/>
        <v>134.9740927297-0.0830982380393396i</v>
      </c>
      <c r="K175" s="1">
        <f t="shared" si="79"/>
        <v>42.605009984296949</v>
      </c>
      <c r="L175" s="1">
        <f t="shared" si="80"/>
        <v>-3.5274752560157129E-2</v>
      </c>
      <c r="M175" s="1">
        <f t="shared" si="74"/>
        <v>0.192</v>
      </c>
      <c r="N175" s="1">
        <f t="shared" si="75"/>
        <v>2.5000000000000001E-2</v>
      </c>
      <c r="O175" s="1" t="str">
        <f t="shared" si="76"/>
        <v>2.35247523468077-321.590279082421i</v>
      </c>
      <c r="P175" s="1">
        <f t="shared" si="81"/>
        <v>50.146290641246352</v>
      </c>
      <c r="Q175" s="1">
        <f t="shared" si="82"/>
        <v>-89.58088130456791</v>
      </c>
      <c r="R175" s="1" t="str">
        <f t="shared" si="83"/>
        <v>22.1668690891432-1.09666346589522i</v>
      </c>
      <c r="S175" s="1">
        <f t="shared" si="84"/>
        <v>26.924703874910044</v>
      </c>
      <c r="T175" s="1">
        <f t="shared" si="85"/>
        <v>-2.8322898920194524</v>
      </c>
      <c r="U175" s="1" t="str">
        <f>IMPRODUCT(COMPLEX(-1,0),IMDIV(COMPLEX(1,C175*Calculations!$B$195*Calculations!$B$197),IMPRODUCT(COMPLEX(0,C175*Calculations!$B$184),COMPLEX((Calculations!$B$197+Calculations!$B$199),C175*Calculations!$B$195*Calculations!$B$197*Calculations!$B$199))))</f>
        <v>-1.42674946399116+34.5318265181464i</v>
      </c>
      <c r="V175" s="1">
        <f t="shared" si="86"/>
        <v>30.771798483941414</v>
      </c>
      <c r="W175" s="1">
        <f t="shared" si="87"/>
        <v>92.365940704702908</v>
      </c>
      <c r="X175" s="1" t="str">
        <f t="shared" si="88"/>
        <v>6.24322396178562+767.0271418489i</v>
      </c>
      <c r="Y175" s="1">
        <f t="shared" si="89"/>
        <v>57.696502358851461</v>
      </c>
      <c r="Z175" s="1">
        <f t="shared" si="90"/>
        <v>89.533650812683476</v>
      </c>
    </row>
    <row r="176" spans="2:93" x14ac:dyDescent="0.15">
      <c r="B176" s="1">
        <v>8</v>
      </c>
      <c r="C176" s="1">
        <f t="shared" si="68"/>
        <v>50.26548245743669</v>
      </c>
      <c r="D176" s="83" t="str">
        <f t="shared" si="69"/>
        <v>2.9690471979704-0.315923708405151i</v>
      </c>
      <c r="E176" s="1">
        <f t="shared" si="70"/>
        <v>9.5012373713812881</v>
      </c>
      <c r="F176" s="1">
        <f t="shared" si="71"/>
        <v>-6.0737467787499133</v>
      </c>
      <c r="G176" s="1" t="str">
        <f t="shared" si="72"/>
        <v>242.974235391809+12.8262267884483i</v>
      </c>
      <c r="H176" s="1">
        <f t="shared" si="77"/>
        <v>47.723289778510811</v>
      </c>
      <c r="I176" s="1">
        <f t="shared" si="78"/>
        <v>3.0217491250476134</v>
      </c>
      <c r="J176" s="83" t="str">
        <f t="shared" si="73"/>
        <v>134.975045253123-0.0949715106540164i</v>
      </c>
      <c r="K176" s="1">
        <f t="shared" si="79"/>
        <v>42.605071785112962</v>
      </c>
      <c r="L176" s="1">
        <f t="shared" si="80"/>
        <v>-4.0314606498234401E-2</v>
      </c>
      <c r="M176" s="1">
        <f t="shared" si="74"/>
        <v>0.192</v>
      </c>
      <c r="N176" s="1">
        <f t="shared" si="75"/>
        <v>2.5000000000000001E-2</v>
      </c>
      <c r="O176" s="1" t="str">
        <f t="shared" si="76"/>
        <v>2.35247523074895-281.391540757387i</v>
      </c>
      <c r="P176" s="1">
        <f t="shared" si="81"/>
        <v>48.986524276032824</v>
      </c>
      <c r="Q176" s="1">
        <f t="shared" si="82"/>
        <v>-89.521009900580793</v>
      </c>
      <c r="R176" s="1" t="str">
        <f t="shared" si="83"/>
        <v>22.1499806178144-1.25235409293137i</v>
      </c>
      <c r="S176" s="1">
        <f t="shared" si="84"/>
        <v>26.921328141029669</v>
      </c>
      <c r="T176" s="1">
        <f t="shared" si="85"/>
        <v>-3.2360430115419097</v>
      </c>
      <c r="U176" s="1" t="str">
        <f>IMPRODUCT(COMPLEX(-1,0),IMDIV(COMPLEX(1,C176*Calculations!$B$195*Calculations!$B$197),IMPRODUCT(COMPLEX(0,C176*Calculations!$B$184),COMPLEX((Calculations!$B$197+Calculations!$B$199),C176*Calculations!$B$195*Calculations!$B$197*Calculations!$B$199))))</f>
        <v>-1.42674946368739+30.2153582820426i</v>
      </c>
      <c r="V176" s="1">
        <f t="shared" si="86"/>
        <v>29.6142275062113</v>
      </c>
      <c r="W176" s="1">
        <f t="shared" si="87"/>
        <v>92.703461170271325</v>
      </c>
      <c r="X176" s="1" t="str">
        <f t="shared" si="88"/>
        <v>6.23785464675104+671.056395837998i</v>
      </c>
      <c r="Y176" s="1">
        <f t="shared" si="89"/>
        <v>56.535555647240976</v>
      </c>
      <c r="Z176" s="1">
        <f t="shared" si="90"/>
        <v>89.467418158729416</v>
      </c>
    </row>
    <row r="177" spans="2:26" x14ac:dyDescent="0.15">
      <c r="B177" s="1">
        <v>9</v>
      </c>
      <c r="C177" s="1">
        <f t="shared" si="68"/>
        <v>56.548667764616276</v>
      </c>
      <c r="D177" s="83" t="str">
        <f t="shared" si="69"/>
        <v>2.96015765869637-0.354339283031078i</v>
      </c>
      <c r="E177" s="1">
        <f t="shared" si="70"/>
        <v>9.4880842852435805</v>
      </c>
      <c r="F177" s="1">
        <f t="shared" si="71"/>
        <v>-6.8259885881088325</v>
      </c>
      <c r="G177" s="1" t="str">
        <f t="shared" si="72"/>
        <v>242.981266714623+14.4296116622706i</v>
      </c>
      <c r="H177" s="1">
        <f t="shared" si="77"/>
        <v>47.726744985757833</v>
      </c>
      <c r="I177" s="1">
        <f t="shared" si="78"/>
        <v>3.3985583125266539</v>
      </c>
      <c r="J177" s="83" t="str">
        <f t="shared" si="73"/>
        <v>134.97612479456-0.106845621635934i</v>
      </c>
      <c r="K177" s="1">
        <f t="shared" si="79"/>
        <v>42.605141826509616</v>
      </c>
      <c r="L177" s="1">
        <f t="shared" si="80"/>
        <v>-4.5354701876655981E-2</v>
      </c>
      <c r="M177" s="1">
        <f t="shared" si="74"/>
        <v>0.192</v>
      </c>
      <c r="N177" s="1">
        <f t="shared" si="75"/>
        <v>2.5000000000000001E-2</v>
      </c>
      <c r="O177" s="1" t="str">
        <f t="shared" si="76"/>
        <v>2.35247522629286-250.125860911725i</v>
      </c>
      <c r="P177" s="1">
        <f t="shared" si="81"/>
        <v>47.963556076537699</v>
      </c>
      <c r="Q177" s="1">
        <f t="shared" si="82"/>
        <v>-89.461139574664301</v>
      </c>
      <c r="R177" s="1" t="str">
        <f t="shared" si="83"/>
        <v>22.1308721562815-1.40765655439181i</v>
      </c>
      <c r="S177" s="1">
        <f t="shared" si="84"/>
        <v>26.917505501213178</v>
      </c>
      <c r="T177" s="1">
        <f t="shared" si="85"/>
        <v>-3.6394533366439417</v>
      </c>
      <c r="U177" s="1" t="str">
        <f>IMPRODUCT(COMPLEX(-1,0),IMDIV(COMPLEX(1,C177*Calculations!$B$195*Calculations!$B$197),IMPRODUCT(COMPLEX(0,C177*Calculations!$B$184),COMPLEX((Calculations!$B$197+Calculations!$B$199),C177*Calculations!$B$195*Calculations!$B$197*Calculations!$B$199))))</f>
        <v>-1.42674946334312+26.8581064040257i</v>
      </c>
      <c r="V177" s="1">
        <f t="shared" si="86"/>
        <v>28.593745983038591</v>
      </c>
      <c r="W177" s="1">
        <f t="shared" si="87"/>
        <v>93.04079361163889</v>
      </c>
      <c r="X177" s="1" t="str">
        <f t="shared" si="88"/>
        <v>6.2317795458896+596.401692420848i</v>
      </c>
      <c r="Y177" s="1">
        <f t="shared" si="89"/>
        <v>55.511251484251773</v>
      </c>
      <c r="Z177" s="1">
        <f t="shared" si="90"/>
        <v>89.401340274994951</v>
      </c>
    </row>
    <row r="178" spans="2:26" x14ac:dyDescent="0.15">
      <c r="B178" s="1">
        <v>10</v>
      </c>
      <c r="C178" s="1">
        <f t="shared" si="68"/>
        <v>62.831853071795862</v>
      </c>
      <c r="D178" s="83" t="str">
        <f t="shared" si="69"/>
        <v>2.95028570756698-0.392384005156015i</v>
      </c>
      <c r="E178" s="1">
        <f t="shared" si="70"/>
        <v>9.4734307741366734</v>
      </c>
      <c r="F178" s="1">
        <f t="shared" si="71"/>
        <v>-7.5758013404924576</v>
      </c>
      <c r="G178" s="1" t="str">
        <f t="shared" si="72"/>
        <v>242.989125476311+16.0330341351256i</v>
      </c>
      <c r="H178" s="1">
        <f t="shared" si="77"/>
        <v>47.7306035661029</v>
      </c>
      <c r="I178" s="1">
        <f t="shared" si="78"/>
        <v>3.7750476337723726</v>
      </c>
      <c r="J178" s="83" t="str">
        <f t="shared" si="73"/>
        <v>134.9773313596-0.118720675821464i</v>
      </c>
      <c r="K178" s="1">
        <f t="shared" si="79"/>
        <v>42.605220108664135</v>
      </c>
      <c r="L178" s="1">
        <f t="shared" si="80"/>
        <v>-5.0395068882133708E-2</v>
      </c>
      <c r="M178" s="1">
        <f t="shared" si="74"/>
        <v>0.192</v>
      </c>
      <c r="N178" s="1">
        <f t="shared" si="75"/>
        <v>2.5000000000000001E-2</v>
      </c>
      <c r="O178" s="1" t="str">
        <f t="shared" si="76"/>
        <v>2.35247522131255-225.113322001624i</v>
      </c>
      <c r="P178" s="1">
        <f t="shared" si="81"/>
        <v>47.048498189339185</v>
      </c>
      <c r="Q178" s="1">
        <f t="shared" si="82"/>
        <v>-89.401270461531297</v>
      </c>
      <c r="R178" s="1" t="str">
        <f t="shared" si="83"/>
        <v>22.1095555259541-1.56252361404563i</v>
      </c>
      <c r="S178" s="1">
        <f t="shared" si="84"/>
        <v>26.913237145344247</v>
      </c>
      <c r="T178" s="1">
        <f t="shared" si="85"/>
        <v>-4.0424786991665345</v>
      </c>
      <c r="U178" s="1" t="str">
        <f>IMPRODUCT(COMPLEX(-1,0),IMDIV(COMPLEX(1,C178*Calculations!$B$195*Calculations!$B$197),IMPRODUCT(COMPLEX(0,C178*Calculations!$B$184),COMPLEX((Calculations!$B$197+Calculations!$B$199),C178*Calculations!$B$195*Calculations!$B$197*Calculations!$B$199))))</f>
        <v>-1.42674946295834+24.1723059766699i</v>
      </c>
      <c r="V178" s="1">
        <f t="shared" si="86"/>
        <v>27.681465527069125</v>
      </c>
      <c r="W178" s="1">
        <f t="shared" si="87"/>
        <v>93.377914775863502</v>
      </c>
      <c r="X178" s="1" t="str">
        <f t="shared" si="88"/>
        <v>6.22500242158042+536.668270908735i</v>
      </c>
      <c r="Y178" s="1">
        <f t="shared" si="89"/>
        <v>54.594702672413376</v>
      </c>
      <c r="Z178" s="1">
        <f t="shared" si="90"/>
        <v>89.335436076696993</v>
      </c>
    </row>
    <row r="179" spans="2:26" x14ac:dyDescent="0.15">
      <c r="B179" s="1">
        <v>20</v>
      </c>
      <c r="C179" s="1">
        <f t="shared" si="68"/>
        <v>125.66370614359172</v>
      </c>
      <c r="D179" s="83" t="str">
        <f t="shared" si="69"/>
        <v>2.80278362935165-0.745133822717596i</v>
      </c>
      <c r="E179" s="1">
        <f t="shared" si="70"/>
        <v>9.2483836386851266</v>
      </c>
      <c r="F179" s="1">
        <f t="shared" si="71"/>
        <v>-14.887986627947804</v>
      </c>
      <c r="G179" s="1" t="str">
        <f t="shared" si="72"/>
        <v>243.113242593921+32.0702463172522i</v>
      </c>
      <c r="H179" s="1">
        <f t="shared" si="77"/>
        <v>47.791096169011247</v>
      </c>
      <c r="I179" s="1">
        <f t="shared" si="78"/>
        <v>7.5147749460014275</v>
      </c>
      <c r="J179" s="83" t="str">
        <f t="shared" si="73"/>
        <v>134.996385006806-0.237546170557533i</v>
      </c>
      <c r="K179" s="1">
        <f t="shared" si="79"/>
        <v>42.606456225711696</v>
      </c>
      <c r="L179" s="1">
        <f t="shared" si="80"/>
        <v>-0.10082032170129228</v>
      </c>
      <c r="M179" s="1">
        <f t="shared" si="74"/>
        <v>0.192</v>
      </c>
      <c r="N179" s="1">
        <f t="shared" si="75"/>
        <v>2.5000000000000001E-2</v>
      </c>
      <c r="O179" s="1" t="str">
        <f t="shared" si="76"/>
        <v>2.35247514267598-112.557033482947i</v>
      </c>
      <c r="P179" s="1">
        <f t="shared" si="81"/>
        <v>41.029349449985006</v>
      </c>
      <c r="Q179" s="1">
        <f t="shared" si="82"/>
        <v>-88.802675656222604</v>
      </c>
      <c r="R179" s="1" t="str">
        <f t="shared" si="83"/>
        <v>21.7784618209017-3.0772323739514i</v>
      </c>
      <c r="S179" s="1">
        <f t="shared" si="84"/>
        <v>26.846396137916237</v>
      </c>
      <c r="T179" s="1">
        <f t="shared" si="85"/>
        <v>-8.0424841939122516</v>
      </c>
      <c r="U179" s="1" t="str">
        <f>IMPRODUCT(COMPLEX(-1,0),IMDIV(COMPLEX(1,C179*Calculations!$B$195*Calculations!$B$197),IMPRODUCT(COMPLEX(0,C179*Calculations!$B$184),COMPLEX((Calculations!$B$197+Calculations!$B$199),C179*Calculations!$B$195*Calculations!$B$197*Calculations!$B$199))))</f>
        <v>-1.42674945688291+12.0862336176503i</v>
      </c>
      <c r="V179" s="1">
        <f t="shared" si="86"/>
        <v>21.705921730528942</v>
      </c>
      <c r="W179" s="1">
        <f t="shared" si="87"/>
        <v>96.732465157752742</v>
      </c>
      <c r="X179" s="1" t="str">
        <f t="shared" si="88"/>
        <v>6.11974079265656+267.610017018733i</v>
      </c>
      <c r="Y179" s="1">
        <f t="shared" si="89"/>
        <v>48.552317868445165</v>
      </c>
      <c r="Z179" s="1">
        <f t="shared" si="90"/>
        <v>88.689980963840497</v>
      </c>
    </row>
    <row r="180" spans="2:26" x14ac:dyDescent="0.15">
      <c r="B180" s="1">
        <v>30</v>
      </c>
      <c r="C180" s="1">
        <f t="shared" si="68"/>
        <v>188.49555921538757</v>
      </c>
      <c r="D180" s="83" t="str">
        <f t="shared" si="69"/>
        <v>2.58748516660826-1.03092385847834i</v>
      </c>
      <c r="E180" s="1">
        <f t="shared" si="70"/>
        <v>8.8974325292688281</v>
      </c>
      <c r="F180" s="1">
        <f t="shared" si="71"/>
        <v>-21.72367051929076</v>
      </c>
      <c r="G180" s="1" t="str">
        <f t="shared" si="72"/>
        <v>243.320235796742+48.115817893411i</v>
      </c>
      <c r="H180" s="1">
        <f t="shared" si="77"/>
        <v>47.890154025734532</v>
      </c>
      <c r="I180" s="1">
        <f t="shared" si="78"/>
        <v>11.185749854368982</v>
      </c>
      <c r="J180" s="83" t="str">
        <f t="shared" si="73"/>
        <v>135.028152041008-0.356581465006372i</v>
      </c>
      <c r="K180" s="1">
        <f t="shared" si="79"/>
        <v>42.608516767906195</v>
      </c>
      <c r="L180" s="1">
        <f t="shared" si="80"/>
        <v>-0.15130596987296605</v>
      </c>
      <c r="M180" s="1">
        <f t="shared" si="74"/>
        <v>0.192</v>
      </c>
      <c r="N180" s="1">
        <f t="shared" si="75"/>
        <v>2.5000000000000001E-2</v>
      </c>
      <c r="O180" s="1" t="str">
        <f t="shared" si="76"/>
        <v>2.35247501161503-75.0384361909661i</v>
      </c>
      <c r="P180" s="1">
        <f t="shared" si="81"/>
        <v>37.509941814823136</v>
      </c>
      <c r="Q180" s="1">
        <f t="shared" si="82"/>
        <v>-88.204350137224253</v>
      </c>
      <c r="R180" s="1" t="str">
        <f t="shared" si="83"/>
        <v>21.2486280057857-4.50107568347833i</v>
      </c>
      <c r="S180" s="1">
        <f t="shared" si="84"/>
        <v>26.737246814976466</v>
      </c>
      <c r="T180" s="1">
        <f t="shared" si="85"/>
        <v>-11.960110031461685</v>
      </c>
      <c r="U180" s="1" t="str">
        <f>IMPRODUCT(COMPLEX(-1,0),IMDIV(COMPLEX(1,C180*Calculations!$B$195*Calculations!$B$197),IMPRODUCT(COMPLEX(0,C180*Calculations!$B$184),COMPLEX((Calculations!$B$197+Calculations!$B$199),C180*Calculations!$B$195*Calculations!$B$197*Calculations!$B$199))))</f>
        <v>-1.42674944675719+8.05757866656069i</v>
      </c>
      <c r="V180" s="1">
        <f t="shared" si="86"/>
        <v>18.258166640151284</v>
      </c>
      <c r="W180" s="1">
        <f t="shared" si="87"/>
        <v>100.04124149682123</v>
      </c>
      <c r="X180" s="1" t="str">
        <f t="shared" si="88"/>
        <v>5.95130315216599+177.634398954318i</v>
      </c>
      <c r="Y180" s="1">
        <f t="shared" si="89"/>
        <v>44.99541345512776</v>
      </c>
      <c r="Z180" s="1">
        <f t="shared" si="90"/>
        <v>88.081131465359547</v>
      </c>
    </row>
    <row r="181" spans="2:26" x14ac:dyDescent="0.15">
      <c r="B181" s="1">
        <v>40</v>
      </c>
      <c r="C181" s="1">
        <f t="shared" si="68"/>
        <v>251.32741228718345</v>
      </c>
      <c r="D181" s="83" t="str">
        <f t="shared" si="69"/>
        <v>2.33672518470216-1.23980544112318i</v>
      </c>
      <c r="E181" s="1">
        <f t="shared" si="70"/>
        <v>8.4493683228938803</v>
      </c>
      <c r="F181" s="1">
        <f t="shared" si="71"/>
        <v>-27.949255561395866</v>
      </c>
      <c r="G181" s="1" t="str">
        <f t="shared" si="72"/>
        <v>243.610302358686+64.1739368154277i</v>
      </c>
      <c r="H181" s="1">
        <f t="shared" si="77"/>
        <v>48.025293134380583</v>
      </c>
      <c r="I181" s="1">
        <f t="shared" si="78"/>
        <v>14.758071088968942</v>
      </c>
      <c r="J181" s="83" t="str">
        <f t="shared" si="73"/>
        <v>135.072648909003-0.47593186415686i</v>
      </c>
      <c r="K181" s="1">
        <f t="shared" si="79"/>
        <v>42.611402256205579</v>
      </c>
      <c r="L181" s="1">
        <f t="shared" si="80"/>
        <v>-0.20188227981941639</v>
      </c>
      <c r="M181" s="1">
        <f t="shared" si="74"/>
        <v>0.192</v>
      </c>
      <c r="N181" s="1">
        <f t="shared" si="75"/>
        <v>2.5000000000000001E-2</v>
      </c>
      <c r="O181" s="1" t="str">
        <f t="shared" si="76"/>
        <v>2.35247482812972-56.2792617056183i</v>
      </c>
      <c r="P181" s="1">
        <f t="shared" si="81"/>
        <v>35.014549387266463</v>
      </c>
      <c r="Q181" s="1">
        <f t="shared" si="82"/>
        <v>-87.606428098268054</v>
      </c>
      <c r="R181" s="1" t="str">
        <f t="shared" si="83"/>
        <v>20.5497030294328-5.79956813856112i</v>
      </c>
      <c r="S181" s="1">
        <f t="shared" si="84"/>
        <v>26.588936784373569</v>
      </c>
      <c r="T181" s="1">
        <f t="shared" si="85"/>
        <v>-15.760207666916218</v>
      </c>
      <c r="U181" s="1" t="str">
        <f>IMPRODUCT(COMPLEX(-1,0),IMDIV(COMPLEX(1,C181*Calculations!$B$195*Calculations!$B$197),IMPRODUCT(COMPLEX(0,C181*Calculations!$B$184),COMPLEX((Calculations!$B$197+Calculations!$B$199),C181*Calculations!$B$195*Calculations!$B$197*Calculations!$B$199))))</f>
        <v>-1.42674943258119+6.0432780674525i</v>
      </c>
      <c r="V181" s="1">
        <f t="shared" si="86"/>
        <v>15.861012501451221</v>
      </c>
      <c r="W181" s="1">
        <f t="shared" si="87"/>
        <v>103.28364815480812</v>
      </c>
      <c r="X181" s="1" t="str">
        <f t="shared" si="88"/>
        <v>5.72912579550753+132.462100161341i</v>
      </c>
      <c r="Y181" s="1">
        <f t="shared" si="89"/>
        <v>42.449949285824758</v>
      </c>
      <c r="Z181" s="1">
        <f t="shared" si="90"/>
        <v>87.523440487891904</v>
      </c>
    </row>
    <row r="182" spans="2:26" x14ac:dyDescent="0.15">
      <c r="B182" s="1">
        <v>50</v>
      </c>
      <c r="C182" s="1">
        <f t="shared" si="68"/>
        <v>314.15926535897933</v>
      </c>
      <c r="D182" s="83" t="str">
        <f t="shared" si="69"/>
        <v>2.07847915997544-1.37627837463575i</v>
      </c>
      <c r="E182" s="1">
        <f t="shared" si="70"/>
        <v>7.9338646943274549</v>
      </c>
      <c r="F182" s="1">
        <f t="shared" si="71"/>
        <v>-33.510791133487331</v>
      </c>
      <c r="G182" s="1" t="str">
        <f t="shared" si="72"/>
        <v>243.983718991504+80.2488009541616i</v>
      </c>
      <c r="H182" s="1">
        <f t="shared" si="77"/>
        <v>48.193328249355787</v>
      </c>
      <c r="I182" s="1">
        <f t="shared" si="78"/>
        <v>18.206577019807124</v>
      </c>
      <c r="J182" s="83" t="str">
        <f t="shared" si="73"/>
        <v>135.129898663313-0.595703160358767i</v>
      </c>
      <c r="K182" s="1">
        <f t="shared" si="79"/>
        <v>42.615113420519258</v>
      </c>
      <c r="L182" s="1">
        <f t="shared" si="80"/>
        <v>-0.2525796006038819</v>
      </c>
      <c r="M182" s="1">
        <f t="shared" si="74"/>
        <v>0.192</v>
      </c>
      <c r="N182" s="1">
        <f t="shared" si="75"/>
        <v>2.5000000000000001E-2</v>
      </c>
      <c r="O182" s="1" t="str">
        <f t="shared" si="76"/>
        <v>2.35247459222009-45.0238563428768i</v>
      </c>
      <c r="P182" s="1">
        <f t="shared" si="81"/>
        <v>33.080693936677612</v>
      </c>
      <c r="Q182" s="1">
        <f t="shared" si="82"/>
        <v>-87.009043195456215</v>
      </c>
      <c r="R182" s="1" t="str">
        <f t="shared" si="83"/>
        <v>19.7174125201066-6.94898385979229i</v>
      </c>
      <c r="S182" s="1">
        <f t="shared" si="84"/>
        <v>26.405457646071614</v>
      </c>
      <c r="T182" s="1">
        <f t="shared" si="85"/>
        <v>-19.413925026285781</v>
      </c>
      <c r="U182" s="1" t="str">
        <f>IMPRODUCT(COMPLEX(-1,0),IMDIV(COMPLEX(1,C182*Calculations!$B$195*Calculations!$B$197),IMPRODUCT(COMPLEX(0,C182*Calculations!$B$184),COMPLEX((Calculations!$B$197+Calculations!$B$199),C182*Calculations!$B$195*Calculations!$B$197*Calculations!$B$199))))</f>
        <v>-1.42674941435491+4.83471920913552i</v>
      </c>
      <c r="V182" s="1">
        <f t="shared" si="86"/>
        <v>14.050067796465219</v>
      </c>
      <c r="W182" s="1">
        <f t="shared" si="87"/>
        <v>106.44158915330388</v>
      </c>
      <c r="X182" s="1" t="str">
        <f t="shared" si="88"/>
        <v>5.46457898525421+105.242611717729i</v>
      </c>
      <c r="Y182" s="1">
        <f t="shared" si="89"/>
        <v>40.455525442536839</v>
      </c>
      <c r="Z182" s="1">
        <f t="shared" si="90"/>
        <v>87.027664127018113</v>
      </c>
    </row>
    <row r="183" spans="2:26" x14ac:dyDescent="0.15">
      <c r="B183" s="1">
        <v>60</v>
      </c>
      <c r="C183" s="1">
        <f t="shared" si="68"/>
        <v>376.99111843077515</v>
      </c>
      <c r="D183" s="83" t="str">
        <f t="shared" si="69"/>
        <v>1.83191102250668-1.45277357241937i</v>
      </c>
      <c r="E183" s="1">
        <f t="shared" si="70"/>
        <v>7.3770530439069217</v>
      </c>
      <c r="F183" s="1">
        <f t="shared" si="71"/>
        <v>-38.415724881992809</v>
      </c>
      <c r="G183" s="1" t="str">
        <f t="shared" si="72"/>
        <v>244.440842375069+96.3446214279748i</v>
      </c>
      <c r="H183" s="1">
        <f t="shared" si="77"/>
        <v>48.390605941346088</v>
      </c>
      <c r="I183" s="1">
        <f t="shared" si="78"/>
        <v>21.511527033831715</v>
      </c>
      <c r="J183" s="83" t="str">
        <f t="shared" si="73"/>
        <v>135.199930989279-0.716001797779061i</v>
      </c>
      <c r="K183" s="1">
        <f t="shared" si="79"/>
        <v>42.619651200279023</v>
      </c>
      <c r="L183" s="1">
        <f t="shared" si="80"/>
        <v>-0.30342839171855468</v>
      </c>
      <c r="M183" s="1">
        <f t="shared" si="74"/>
        <v>0.192</v>
      </c>
      <c r="N183" s="1">
        <f t="shared" si="75"/>
        <v>2.5000000000000001E-2</v>
      </c>
      <c r="O183" s="1" t="str">
        <f t="shared" si="76"/>
        <v>2.35247430388616-37.5203355413888i</v>
      </c>
      <c r="P183" s="1">
        <f t="shared" si="81"/>
        <v>31.502373441233967</v>
      </c>
      <c r="Q183" s="1">
        <f t="shared" si="82"/>
        <v>-86.412328370838182</v>
      </c>
      <c r="R183" s="1" t="str">
        <f t="shared" si="83"/>
        <v>18.7894871074568-7.93678643610941i</v>
      </c>
      <c r="S183" s="1">
        <f t="shared" si="84"/>
        <v>26.191323785156683</v>
      </c>
      <c r="T183" s="1">
        <f t="shared" si="85"/>
        <v>-22.899472991267832</v>
      </c>
      <c r="U183" s="1" t="str">
        <f>IMPRODUCT(COMPLEX(-1,0),IMDIV(COMPLEX(1,C183*Calculations!$B$195*Calculations!$B$197),IMPRODUCT(COMPLEX(0,C183*Calculations!$B$184),COMPLEX((Calculations!$B$197+Calculations!$B$199),C183*Calculations!$B$195*Calculations!$B$197*Calculations!$B$199))))</f>
        <v>-1.42674939207834+4.02903122121279i</v>
      </c>
      <c r="V183" s="1">
        <f t="shared" si="86"/>
        <v>12.617077964389535</v>
      </c>
      <c r="W183" s="1">
        <f t="shared" si="87"/>
        <v>109.49993185746958</v>
      </c>
      <c r="X183" s="1" t="str">
        <f t="shared" si="88"/>
        <v>5.1696710391552+87.0272354092934i</v>
      </c>
      <c r="Y183" s="1">
        <f t="shared" si="89"/>
        <v>38.808401749546221</v>
      </c>
      <c r="Z183" s="1">
        <f t="shared" si="90"/>
        <v>86.600458866201762</v>
      </c>
    </row>
    <row r="184" spans="2:26" x14ac:dyDescent="0.15">
      <c r="B184" s="1">
        <v>70</v>
      </c>
      <c r="C184" s="1">
        <f t="shared" si="68"/>
        <v>439.82297150257102</v>
      </c>
      <c r="D184" s="83" t="str">
        <f t="shared" si="69"/>
        <v>1.60749998440368-1.48385312127479i</v>
      </c>
      <c r="E184" s="1">
        <f t="shared" si="70"/>
        <v>6.7996146793527421</v>
      </c>
      <c r="F184" s="1">
        <f t="shared" si="71"/>
        <v>-42.7095243210928</v>
      </c>
      <c r="G184" s="1" t="str">
        <f t="shared" si="72"/>
        <v>244.982109842045+112.465625950218i</v>
      </c>
      <c r="H184" s="1">
        <f t="shared" si="77"/>
        <v>48.613237906699567</v>
      </c>
      <c r="I184" s="1">
        <f t="shared" si="78"/>
        <v>24.658761823248138</v>
      </c>
      <c r="J184" s="83" t="str">
        <f t="shared" si="73"/>
        <v>135.282782239957-0.836935038593097i</v>
      </c>
      <c r="K184" s="1">
        <f t="shared" si="79"/>
        <v>42.625016745172779</v>
      </c>
      <c r="L184" s="1">
        <f t="shared" si="80"/>
        <v>-0.35445925108347182</v>
      </c>
      <c r="M184" s="1">
        <f t="shared" si="74"/>
        <v>0.192</v>
      </c>
      <c r="N184" s="1">
        <f t="shared" si="75"/>
        <v>2.5000000000000001E-2</v>
      </c>
      <c r="O184" s="1" t="str">
        <f t="shared" si="76"/>
        <v>2.35247396312797-32.1607487748508i</v>
      </c>
      <c r="P184" s="1">
        <f t="shared" si="81"/>
        <v>30.169698172089554</v>
      </c>
      <c r="Q184" s="1">
        <f t="shared" si="82"/>
        <v>-85.816415678353238</v>
      </c>
      <c r="R184" s="1" t="str">
        <f t="shared" si="83"/>
        <v>17.8021527826173-8.76057862049082i</v>
      </c>
      <c r="S184" s="1">
        <f t="shared" si="84"/>
        <v>25.951261218399246</v>
      </c>
      <c r="T184" s="1">
        <f t="shared" si="85"/>
        <v>-26.202159588159709</v>
      </c>
      <c r="U184" s="1" t="str">
        <f>IMPRODUCT(COMPLEX(-1,0),IMDIV(COMPLEX(1,C184*Calculations!$B$195*Calculations!$B$197),IMPRODUCT(COMPLEX(0,C184*Calculations!$B$184),COMPLEX((Calculations!$B$197+Calculations!$B$199),C184*Calculations!$B$195*Calculations!$B$197*Calculations!$B$199))))</f>
        <v>-1.42674936575148+3.4535551592282i</v>
      </c>
      <c r="V184" s="1">
        <f t="shared" si="86"/>
        <v>11.449680691837399</v>
      </c>
      <c r="W184" s="1">
        <f t="shared" si="87"/>
        <v>112.44673473210779</v>
      </c>
      <c r="X184" s="1" t="str">
        <f t="shared" si="88"/>
        <v>4.85593130101016+73.9798665781779i</v>
      </c>
      <c r="Y184" s="1">
        <f t="shared" si="89"/>
        <v>37.400941910236646</v>
      </c>
      <c r="Z184" s="1">
        <f t="shared" si="90"/>
        <v>86.244575143948097</v>
      </c>
    </row>
    <row r="185" spans="2:26" x14ac:dyDescent="0.15">
      <c r="B185" s="1">
        <v>80</v>
      </c>
      <c r="C185" s="1">
        <f t="shared" si="68"/>
        <v>502.6548245743669</v>
      </c>
      <c r="D185" s="83" t="str">
        <f t="shared" si="69"/>
        <v>1.40928571032752-1.48278939865516i</v>
      </c>
      <c r="E185" s="1">
        <f t="shared" si="70"/>
        <v>6.21669581768111</v>
      </c>
      <c r="F185" s="1">
        <f t="shared" si="71"/>
        <v>-46.455890499502232</v>
      </c>
      <c r="G185" s="1" t="str">
        <f t="shared" si="72"/>
        <v>245.608040219135+128.61606220056i</v>
      </c>
      <c r="H185" s="1">
        <f t="shared" si="77"/>
        <v>48.85730896500327</v>
      </c>
      <c r="I185" s="1">
        <f t="shared" si="78"/>
        <v>27.639427378083742</v>
      </c>
      <c r="J185" s="83" t="str">
        <f t="shared" si="73"/>
        <v>135.378495478916-0.958611131338389i</v>
      </c>
      <c r="K185" s="1">
        <f t="shared" si="79"/>
        <v>42.631211416044358</v>
      </c>
      <c r="L185" s="1">
        <f t="shared" si="80"/>
        <v>-0.4057029433021212</v>
      </c>
      <c r="M185" s="1">
        <f t="shared" si="74"/>
        <v>0.192</v>
      </c>
      <c r="N185" s="1">
        <f t="shared" si="75"/>
        <v>2.5000000000000001E-2</v>
      </c>
      <c r="O185" s="1" t="str">
        <f t="shared" si="76"/>
        <v>2.35247356994557-28.1411207801025i</v>
      </c>
      <c r="P185" s="1">
        <f t="shared" si="81"/>
        <v>29.017071714771884</v>
      </c>
      <c r="Q185" s="1">
        <f t="shared" si="82"/>
        <v>-85.221436112703373</v>
      </c>
      <c r="R185" s="1" t="str">
        <f t="shared" si="83"/>
        <v>16.7876212666446-9.42610896721191i</v>
      </c>
      <c r="S185" s="1">
        <f t="shared" si="84"/>
        <v>25.689941843904602</v>
      </c>
      <c r="T185" s="1">
        <f t="shared" si="85"/>
        <v>-29.31384630220585</v>
      </c>
      <c r="U185" s="1" t="str">
        <f>IMPRODUCT(COMPLEX(-1,0),IMDIV(COMPLEX(1,C185*Calculations!$B$195*Calculations!$B$197),IMPRODUCT(COMPLEX(0,C185*Calculations!$B$184),COMPLEX((Calculations!$B$197+Calculations!$B$199),C185*Calculations!$B$195*Calculations!$B$197*Calculations!$B$199))))</f>
        <v>-1.42674933537434+3.02196155095345i</v>
      </c>
      <c r="V185" s="1">
        <f t="shared" si="86"/>
        <v>10.479701663926662</v>
      </c>
      <c r="W185" s="1">
        <f t="shared" si="87"/>
        <v>115.27325628477435</v>
      </c>
      <c r="X185" s="1" t="str">
        <f t="shared" si="88"/>
        <v>4.53361138931061+64.1802407039041i</v>
      </c>
      <c r="Y185" s="1">
        <f t="shared" si="89"/>
        <v>36.16964350783126</v>
      </c>
      <c r="Z185" s="1">
        <f t="shared" si="90"/>
        <v>85.959409982568488</v>
      </c>
    </row>
    <row r="186" spans="2:26" x14ac:dyDescent="0.15">
      <c r="B186" s="1">
        <v>90</v>
      </c>
      <c r="C186" s="1">
        <f t="shared" si="68"/>
        <v>565.48667764616278</v>
      </c>
      <c r="D186" s="83" t="str">
        <f t="shared" si="69"/>
        <v>1.23734467534432-1.46023358202692i</v>
      </c>
      <c r="E186" s="1">
        <f t="shared" si="70"/>
        <v>5.6387295539287727</v>
      </c>
      <c r="F186" s="1">
        <f t="shared" si="71"/>
        <v>-49.723366427592609</v>
      </c>
      <c r="G186" s="1" t="str">
        <f t="shared" si="72"/>
        <v>246.31923482756+144.800201224995i</v>
      </c>
      <c r="H186" s="1">
        <f t="shared" si="77"/>
        <v>49.119043989386661</v>
      </c>
      <c r="I186" s="1">
        <f t="shared" si="78"/>
        <v>30.449390189377308</v>
      </c>
      <c r="J186" s="83" t="str">
        <f t="shared" si="73"/>
        <v>135.487120530995-1.08113948190714i</v>
      </c>
      <c r="K186" s="1">
        <f t="shared" si="79"/>
        <v>42.638236785959045</v>
      </c>
      <c r="L186" s="1">
        <f t="shared" si="80"/>
        <v>-0.45719042823728229</v>
      </c>
      <c r="M186" s="1">
        <f t="shared" si="74"/>
        <v>0.192</v>
      </c>
      <c r="N186" s="1">
        <f t="shared" si="75"/>
        <v>2.5000000000000001E-2</v>
      </c>
      <c r="O186" s="1" t="str">
        <f t="shared" si="76"/>
        <v>2.352473124339-25.0147986331585i</v>
      </c>
      <c r="P186" s="1">
        <f t="shared" si="81"/>
        <v>28.002180955484562</v>
      </c>
      <c r="Q186" s="1">
        <f t="shared" si="82"/>
        <v>-84.627519441702418</v>
      </c>
      <c r="R186" s="1" t="str">
        <f t="shared" si="83"/>
        <v>15.7726845386086-9.9449086672921i</v>
      </c>
      <c r="S186" s="1">
        <f t="shared" si="84"/>
        <v>25.411781924846792</v>
      </c>
      <c r="T186" s="1">
        <f t="shared" si="85"/>
        <v>-32.232031892907571</v>
      </c>
      <c r="U186" s="1" t="str">
        <f>IMPRODUCT(COMPLEX(-1,0),IMDIV(COMPLEX(1,C186*Calculations!$B$195*Calculations!$B$197),IMPRODUCT(COMPLEX(0,C186*Calculations!$B$184),COMPLEX((Calculations!$B$197+Calculations!$B$199),C186*Calculations!$B$195*Calculations!$B$197*Calculations!$B$199))))</f>
        <v>-1.42674930094691+2.68628957848375i</v>
      </c>
      <c r="V186" s="1">
        <f t="shared" si="86"/>
        <v>9.6622460546012103</v>
      </c>
      <c r="W186" s="1">
        <f t="shared" si="87"/>
        <v>117.97378452528164</v>
      </c>
      <c r="X186" s="1" t="str">
        <f t="shared" si="88"/>
        <v>4.21123787240353+56.5588895898159i</v>
      </c>
      <c r="Y186" s="1">
        <f t="shared" si="89"/>
        <v>35.074027979447997</v>
      </c>
      <c r="Z186" s="1">
        <f t="shared" si="90"/>
        <v>85.741752632374087</v>
      </c>
    </row>
    <row r="187" spans="2:26" x14ac:dyDescent="0.15">
      <c r="B187" s="1">
        <v>100</v>
      </c>
      <c r="C187" s="1">
        <f t="shared" si="68"/>
        <v>628.31853071795865</v>
      </c>
      <c r="D187" s="83" t="str">
        <f t="shared" si="69"/>
        <v>1.08969304858107-1.42410989943919i</v>
      </c>
      <c r="E187" s="1">
        <f t="shared" si="70"/>
        <v>5.072512078472208</v>
      </c>
      <c r="F187" s="1">
        <f t="shared" si="71"/>
        <v>-52.57769296560231</v>
      </c>
      <c r="G187" s="1" t="str">
        <f t="shared" si="72"/>
        <v>247.116378646025+161.022340869473i</v>
      </c>
      <c r="H187" s="1">
        <f t="shared" si="77"/>
        <v>49.394927890725441</v>
      </c>
      <c r="I187" s="1">
        <f t="shared" si="78"/>
        <v>33.088478582877791</v>
      </c>
      <c r="J187" s="83" t="str">
        <f t="shared" si="73"/>
        <v>135.608714041139-1.20463082762879i</v>
      </c>
      <c r="K187" s="1">
        <f t="shared" si="79"/>
        <v>42.646094641438033</v>
      </c>
      <c r="L187" s="1">
        <f t="shared" si="80"/>
        <v>-0.50895288995639998</v>
      </c>
      <c r="M187" s="1">
        <f t="shared" si="74"/>
        <v>0.192</v>
      </c>
      <c r="N187" s="1">
        <f t="shared" si="75"/>
        <v>2.5000000000000001E-2</v>
      </c>
      <c r="O187" s="1" t="str">
        <f t="shared" si="76"/>
        <v>2.35247262630832-22.5137905796211i</v>
      </c>
      <c r="P187" s="1">
        <f t="shared" si="81"/>
        <v>27.096132688198942</v>
      </c>
      <c r="Q187" s="1">
        <f t="shared" si="82"/>
        <v>-84.034794042626046</v>
      </c>
      <c r="R187" s="1" t="str">
        <f t="shared" si="83"/>
        <v>14.7782714378187-10.3320141776775i</v>
      </c>
      <c r="S187" s="1">
        <f t="shared" si="84"/>
        <v>25.120808514496584</v>
      </c>
      <c r="T187" s="1">
        <f t="shared" si="85"/>
        <v>-34.958763573035895</v>
      </c>
      <c r="U187" s="1" t="str">
        <f>IMPRODUCT(COMPLEX(-1,0),IMDIV(COMPLEX(1,C187*Calculations!$B$195*Calculations!$B$197),IMPRODUCT(COMPLEX(0,C187*Calculations!$B$184),COMPLEX((Calculations!$B$197+Calculations!$B$199),C187*Calculations!$B$195*Calculations!$B$197*Calculations!$B$199))))</f>
        <v>-1.4267492624692+2.41776275107602i</v>
      </c>
      <c r="V187" s="1">
        <f t="shared" si="86"/>
        <v>8.9659180745163063</v>
      </c>
      <c r="W187" s="1">
        <f t="shared" si="87"/>
        <v>120.54533749745077</v>
      </c>
      <c r="X187" s="1" t="str">
        <f t="shared" si="88"/>
        <v>3.89547114790052+50.4715478154714i</v>
      </c>
      <c r="Y187" s="1">
        <f t="shared" si="89"/>
        <v>34.086726589012891</v>
      </c>
      <c r="Z187" s="1">
        <f t="shared" si="90"/>
        <v>85.586573924414878</v>
      </c>
    </row>
    <row r="188" spans="2:26" x14ac:dyDescent="0.15">
      <c r="B188" s="1">
        <v>200</v>
      </c>
      <c r="C188" s="1">
        <f t="shared" si="68"/>
        <v>1256.6370614359173</v>
      </c>
      <c r="D188" s="83" t="str">
        <f t="shared" si="69"/>
        <v>0.391413846145119-0.971925631535496i</v>
      </c>
      <c r="E188" s="1">
        <f t="shared" si="70"/>
        <v>0.40540724540841483</v>
      </c>
      <c r="F188" s="1">
        <f t="shared" si="71"/>
        <v>-68.064370167908237</v>
      </c>
      <c r="G188" s="1" t="str">
        <f t="shared" si="72"/>
        <v>260.028725147571+326.305559633854i</v>
      </c>
      <c r="H188" s="1">
        <f t="shared" si="77"/>
        <v>52.407744642891757</v>
      </c>
      <c r="I188" s="1">
        <f t="shared" si="78"/>
        <v>51.449107031896233</v>
      </c>
      <c r="J188" s="83" t="str">
        <f t="shared" si="73"/>
        <v>137.555412212632-2.51819287456381i</v>
      </c>
      <c r="K188" s="1">
        <f t="shared" si="79"/>
        <v>42.771008892018159</v>
      </c>
      <c r="L188" s="1">
        <f t="shared" si="80"/>
        <v>-1.0487824983699658</v>
      </c>
      <c r="M188" s="1">
        <f t="shared" si="74"/>
        <v>0.192</v>
      </c>
      <c r="N188" s="1">
        <f t="shared" si="75"/>
        <v>2.5000000000000001E-2</v>
      </c>
      <c r="O188" s="1" t="str">
        <f t="shared" si="76"/>
        <v>2.35246476269414-11.2606200906125i</v>
      </c>
      <c r="P188" s="1">
        <f t="shared" si="81"/>
        <v>21.216768722087366</v>
      </c>
      <c r="Q188" s="1">
        <f t="shared" si="82"/>
        <v>-78.200006526657688</v>
      </c>
      <c r="R188" s="1" t="str">
        <f t="shared" si="83"/>
        <v>7.53782595295732-10.2148634405138i</v>
      </c>
      <c r="S188" s="1">
        <f t="shared" si="84"/>
        <v>22.072633360085824</v>
      </c>
      <c r="T188" s="1">
        <f t="shared" si="85"/>
        <v>-53.575373517522571</v>
      </c>
      <c r="U188" s="1" t="str">
        <f>IMPRODUCT(COMPLEX(-1,0),IMDIV(COMPLEX(1,C188*Calculations!$B$195*Calculations!$B$197),IMPRODUCT(COMPLEX(0,C188*Calculations!$B$184),COMPLEX((Calculations!$B$197+Calculations!$B$199),C188*Calculations!$B$195*Calculations!$B$197*Calculations!$B$199))))</f>
        <v>-1.42674865492671+1.20968766812536i</v>
      </c>
      <c r="V188" s="1">
        <f t="shared" si="86"/>
        <v>5.4393847854854354</v>
      </c>
      <c r="W188" s="1">
        <f t="shared" si="87"/>
        <v>139.70661540049329</v>
      </c>
      <c r="X188" s="1" t="str">
        <f t="shared" si="88"/>
        <v>1.60221129612063+23.6924577737809i</v>
      </c>
      <c r="Y188" s="1">
        <f t="shared" si="89"/>
        <v>27.512018145571279</v>
      </c>
      <c r="Z188" s="1">
        <f t="shared" si="90"/>
        <v>86.131241882970755</v>
      </c>
    </row>
    <row r="189" spans="2:26" x14ac:dyDescent="0.15">
      <c r="B189" s="1">
        <v>300</v>
      </c>
      <c r="C189" s="1">
        <f t="shared" si="68"/>
        <v>1884.9555921538758</v>
      </c>
      <c r="D189" s="83" t="str">
        <f t="shared" si="69"/>
        <v>0.202116031730866-0.694916306996381i</v>
      </c>
      <c r="E189" s="1">
        <f t="shared" si="70"/>
        <v>-2.8086803360127459</v>
      </c>
      <c r="F189" s="1">
        <f t="shared" si="71"/>
        <v>-73.782956442789441</v>
      </c>
      <c r="G189" s="1" t="str">
        <f t="shared" si="72"/>
        <v>282.985840054691+500.456555969949i</v>
      </c>
      <c r="H189" s="1">
        <f t="shared" si="77"/>
        <v>55.192210665970507</v>
      </c>
      <c r="I189" s="1">
        <f t="shared" si="78"/>
        <v>60.5137788332298</v>
      </c>
      <c r="J189" s="83" t="str">
        <f t="shared" si="73"/>
        <v>140.915612608727-4.06730316625954i</v>
      </c>
      <c r="K189" s="1">
        <f t="shared" si="79"/>
        <v>42.982798842366023</v>
      </c>
      <c r="L189" s="1">
        <f t="shared" si="80"/>
        <v>-1.6532917734665873</v>
      </c>
      <c r="M189" s="1">
        <f t="shared" si="74"/>
        <v>0.192</v>
      </c>
      <c r="N189" s="1">
        <f t="shared" si="75"/>
        <v>2.5000000000000001E-2</v>
      </c>
      <c r="O189" s="1" t="str">
        <f t="shared" si="76"/>
        <v>2.35245165678731-7.51121869107464i</v>
      </c>
      <c r="P189" s="1">
        <f t="shared" si="81"/>
        <v>17.920583808674671</v>
      </c>
      <c r="Q189" s="1">
        <f t="shared" si="82"/>
        <v>-72.609874795173965</v>
      </c>
      <c r="R189" s="1" t="str">
        <f t="shared" si="83"/>
        <v>4.3051433446295-8.33963398824739i</v>
      </c>
      <c r="S189" s="1">
        <f t="shared" si="84"/>
        <v>19.448958167094936</v>
      </c>
      <c r="T189" s="1">
        <f t="shared" si="85"/>
        <v>-62.696000398953657</v>
      </c>
      <c r="U189" s="1" t="str">
        <f>IMPRODUCT(COMPLEX(-1,0),IMDIV(COMPLEX(1,C189*Calculations!$B$195*Calculations!$B$197),IMPRODUCT(COMPLEX(0,C189*Calculations!$B$184),COMPLEX((Calculations!$B$197+Calculations!$B$199),C189*Calculations!$B$195*Calculations!$B$197*Calculations!$B$199))))</f>
        <v>-1.42674764235702+0.807354325052214i</v>
      </c>
      <c r="V189" s="1">
        <f t="shared" si="86"/>
        <v>4.2933713524986183</v>
      </c>
      <c r="W189" s="1">
        <f t="shared" si="87"/>
        <v>150.49576112577279</v>
      </c>
      <c r="X189" s="1" t="str">
        <f t="shared" si="88"/>
        <v>0.590686452804821+15.3743292301088i</v>
      </c>
      <c r="Y189" s="1">
        <f t="shared" si="89"/>
        <v>23.742329519593547</v>
      </c>
      <c r="Z189" s="1">
        <f t="shared" si="90"/>
        <v>87.79976072681913</v>
      </c>
    </row>
    <row r="190" spans="2:26" x14ac:dyDescent="0.15">
      <c r="B190" s="1">
        <v>400</v>
      </c>
      <c r="C190" s="1">
        <f t="shared" si="68"/>
        <v>2513.2741228718346</v>
      </c>
      <c r="D190" s="83" t="str">
        <f t="shared" si="69"/>
        <v>0.12920986046876-0.534753563290269i</v>
      </c>
      <c r="E190" s="1">
        <f t="shared" si="70"/>
        <v>-5.1904990628886196</v>
      </c>
      <c r="F190" s="1">
        <f t="shared" si="71"/>
        <v>-76.416261293110324</v>
      </c>
      <c r="G190" s="1" t="str">
        <f t="shared" si="72"/>
        <v>318.455709439735+688.825065958539i</v>
      </c>
      <c r="H190" s="1">
        <f t="shared" si="77"/>
        <v>57.603425616383468</v>
      </c>
      <c r="I190" s="1">
        <f t="shared" si="78"/>
        <v>65.188085029246437</v>
      </c>
      <c r="J190" s="83" t="str">
        <f t="shared" si="73"/>
        <v>145.877775957951-6.01902407149263i</v>
      </c>
      <c r="K190" s="1">
        <f t="shared" si="79"/>
        <v>43.287170021253623</v>
      </c>
      <c r="L190" s="1">
        <f t="shared" si="80"/>
        <v>-2.3627257047296606</v>
      </c>
      <c r="M190" s="1">
        <f t="shared" si="74"/>
        <v>0.192</v>
      </c>
      <c r="N190" s="1">
        <f t="shared" si="75"/>
        <v>2.5000000000000001E-2</v>
      </c>
      <c r="O190" s="1" t="str">
        <f t="shared" si="76"/>
        <v>2.35243330876308-5.63775952240274i</v>
      </c>
      <c r="P190" s="1">
        <f t="shared" si="81"/>
        <v>15.719215595996463</v>
      </c>
      <c r="Q190" s="1">
        <f t="shared" si="82"/>
        <v>-67.350986137579341</v>
      </c>
      <c r="R190" s="1" t="str">
        <f t="shared" si="83"/>
        <v>2.8013508032468-6.81136463125262i</v>
      </c>
      <c r="S190" s="1">
        <f t="shared" si="84"/>
        <v>17.343377317508985</v>
      </c>
      <c r="T190" s="1">
        <f t="shared" si="85"/>
        <v>-67.643810543104863</v>
      </c>
      <c r="U190" s="1" t="str">
        <f>IMPRODUCT(COMPLEX(-1,0),IMDIV(COMPLEX(1,C190*Calculations!$B$195*Calculations!$B$197),IMPRODUCT(COMPLEX(0,C190*Calculations!$B$184),COMPLEX((Calculations!$B$197+Calculations!$B$199),C190*Calculations!$B$195*Calculations!$B$197*Calculations!$B$199))))</f>
        <v>-1.4267462247619+0.606456415804004i</v>
      </c>
      <c r="V190" s="1">
        <f t="shared" si="86"/>
        <v>3.8082500410230886</v>
      </c>
      <c r="W190" s="1">
        <f t="shared" si="87"/>
        <v>156.97147157708267</v>
      </c>
      <c r="X190" s="1" t="str">
        <f t="shared" si="88"/>
        <v>0.133979098237537+11.4169859406631i</v>
      </c>
      <c r="Y190" s="1">
        <f t="shared" si="89"/>
        <v>21.151627358532046</v>
      </c>
      <c r="Z190" s="1">
        <f t="shared" si="90"/>
        <v>89.327661033977805</v>
      </c>
    </row>
    <row r="191" spans="2:26" x14ac:dyDescent="0.15">
      <c r="B191" s="1">
        <v>500</v>
      </c>
      <c r="C191" s="1">
        <f t="shared" si="68"/>
        <v>3141.5926535897929</v>
      </c>
      <c r="D191" s="83" t="str">
        <f t="shared" si="69"/>
        <v>0.0941641114518162-0.433019882822211i</v>
      </c>
      <c r="E191" s="1">
        <f t="shared" si="70"/>
        <v>-7.0691800657348667</v>
      </c>
      <c r="F191" s="1">
        <f t="shared" si="71"/>
        <v>-77.731517530616387</v>
      </c>
      <c r="G191" s="1" t="str">
        <f t="shared" si="72"/>
        <v>370.634937187837+898.010006039605i</v>
      </c>
      <c r="H191" s="1">
        <f t="shared" si="77"/>
        <v>59.74876396487177</v>
      </c>
      <c r="I191" s="1">
        <f t="shared" si="78"/>
        <v>67.572631603891139</v>
      </c>
      <c r="J191" s="83" t="str">
        <f t="shared" si="73"/>
        <v>152.738484175231-8.61607967701973i</v>
      </c>
      <c r="K191" s="1">
        <f t="shared" si="79"/>
        <v>43.692767541656195</v>
      </c>
      <c r="L191" s="1">
        <f t="shared" si="80"/>
        <v>-3.2286712857176942</v>
      </c>
      <c r="M191" s="1">
        <f t="shared" si="74"/>
        <v>0.192</v>
      </c>
      <c r="N191" s="1">
        <f t="shared" si="75"/>
        <v>2.5000000000000001E-2</v>
      </c>
      <c r="O191" s="1" t="str">
        <f t="shared" si="76"/>
        <v>2.35240971886675-4.51467719959675i</v>
      </c>
      <c r="P191" s="1">
        <f t="shared" si="81"/>
        <v>14.135703458765711</v>
      </c>
      <c r="Q191" s="1">
        <f t="shared" si="82"/>
        <v>-62.477862177788083</v>
      </c>
      <c r="R191" s="1" t="str">
        <f t="shared" si="83"/>
        <v>2.00840159079599-5.70176858185102i</v>
      </c>
      <c r="S191" s="1">
        <f t="shared" si="84"/>
        <v>15.62814203470586</v>
      </c>
      <c r="T191" s="1">
        <f t="shared" si="85"/>
        <v>-70.595602401761113</v>
      </c>
      <c r="U191" s="1" t="str">
        <f>IMPRODUCT(COMPLEX(-1,0),IMDIV(COMPLEX(1,C191*Calculations!$B$195*Calculations!$B$197),IMPRODUCT(COMPLEX(0,C191*Calculations!$B$184),COMPLEX((Calculations!$B$197+Calculations!$B$199),C191*Calculations!$B$195*Calculations!$B$197*Calculations!$B$199))))</f>
        <v>-1.42674440214373+0.486132678803974i</v>
      </c>
      <c r="V191" s="1">
        <f t="shared" si="86"/>
        <v>3.5639390838523495</v>
      </c>
      <c r="W191" s="1">
        <f t="shared" si="87"/>
        <v>161.18455311379319</v>
      </c>
      <c r="X191" s="1" t="str">
        <f t="shared" si="88"/>
        <v>-0.0936596923091688+9.11131605192275i</v>
      </c>
      <c r="Y191" s="1">
        <f t="shared" si="89"/>
        <v>19.192081118558207</v>
      </c>
      <c r="Z191" s="1">
        <f t="shared" si="90"/>
        <v>90.588950712032059</v>
      </c>
    </row>
    <row r="192" spans="2:26" x14ac:dyDescent="0.15">
      <c r="B192" s="1">
        <v>600</v>
      </c>
      <c r="C192" s="1">
        <f t="shared" si="68"/>
        <v>3769.9111843077517</v>
      </c>
      <c r="D192" s="83" t="str">
        <f t="shared" si="69"/>
        <v>0.0747662574611278-0.363256262407983i</v>
      </c>
      <c r="E192" s="1">
        <f t="shared" si="70"/>
        <v>-8.6155485944444354</v>
      </c>
      <c r="F192" s="1">
        <f t="shared" si="71"/>
        <v>-78.369664174528936</v>
      </c>
      <c r="G192" s="1" t="str">
        <f t="shared" si="72"/>
        <v>446.52293850377+1136.54643507247i</v>
      </c>
      <c r="H192" s="1">
        <f t="shared" si="77"/>
        <v>61.73512750762805</v>
      </c>
      <c r="I192" s="1">
        <f t="shared" si="78"/>
        <v>68.55127873231082</v>
      </c>
      <c r="J192" s="83" t="str">
        <f t="shared" si="73"/>
        <v>161.942414426574-12.2380672645427i</v>
      </c>
      <c r="K192" s="1">
        <f t="shared" si="79"/>
        <v>44.211943764092261</v>
      </c>
      <c r="L192" s="1">
        <f t="shared" si="80"/>
        <v>-4.3216556560889208</v>
      </c>
      <c r="M192" s="1">
        <f t="shared" si="74"/>
        <v>0.192</v>
      </c>
      <c r="N192" s="1">
        <f t="shared" si="75"/>
        <v>2.5000000000000001E-2</v>
      </c>
      <c r="O192" s="1" t="str">
        <f t="shared" si="76"/>
        <v>2.35238088741374-3.76678324992543i</v>
      </c>
      <c r="P192" s="1">
        <f t="shared" si="81"/>
        <v>12.949587033307363</v>
      </c>
      <c r="Q192" s="1">
        <f t="shared" si="82"/>
        <v>-58.014951335944701</v>
      </c>
      <c r="R192" s="1" t="str">
        <f t="shared" si="83"/>
        <v>1.542730559988-4.88848094259207i</v>
      </c>
      <c r="S192" s="1">
        <f t="shared" si="84"/>
        <v>14.195801361627336</v>
      </c>
      <c r="T192" s="1">
        <f t="shared" si="85"/>
        <v>-72.485092812956623</v>
      </c>
      <c r="U192" s="1" t="str">
        <f>IMPRODUCT(COMPLEX(-1,0),IMDIV(COMPLEX(1,C192*Calculations!$B$195*Calculations!$B$197),IMPRODUCT(COMPLEX(0,C192*Calculations!$B$184),COMPLEX((Calculations!$B$197+Calculations!$B$199),C192*Calculations!$B$195*Calculations!$B$197*Calculations!$B$199))))</f>
        <v>-1.42674217450562+0.406096026554705i</v>
      </c>
      <c r="V192" s="1">
        <f t="shared" si="86"/>
        <v>3.4252279692002139</v>
      </c>
      <c r="W192" s="1">
        <f t="shared" si="87"/>
        <v>164.11196764127803</v>
      </c>
      <c r="X192" s="1" t="str">
        <f t="shared" si="88"/>
        <v>-0.215886067158513+7.60109868051873i</v>
      </c>
      <c r="Y192" s="1">
        <f t="shared" si="89"/>
        <v>17.621029330827547</v>
      </c>
      <c r="Z192" s="1">
        <f t="shared" si="90"/>
        <v>91.626874828321405</v>
      </c>
    </row>
    <row r="193" spans="2:26" x14ac:dyDescent="0.15">
      <c r="B193" s="1">
        <v>700</v>
      </c>
      <c r="C193" s="1">
        <f t="shared" si="68"/>
        <v>4398.22971502571</v>
      </c>
      <c r="D193" s="83" t="str">
        <f t="shared" si="69"/>
        <v>0.0629444305520574-0.312619537995756i</v>
      </c>
      <c r="E193" s="1">
        <f t="shared" si="70"/>
        <v>-9.9270903931029668</v>
      </c>
      <c r="F193" s="1">
        <f t="shared" si="71"/>
        <v>-78.615979110136806</v>
      </c>
      <c r="G193" s="1" t="str">
        <f t="shared" si="72"/>
        <v>557.994043142077+1415.84191100374i</v>
      </c>
      <c r="H193" s="1">
        <f t="shared" si="77"/>
        <v>63.647321173114562</v>
      </c>
      <c r="I193" s="1">
        <f t="shared" si="78"/>
        <v>68.490223864512444</v>
      </c>
      <c r="J193" s="83" t="str">
        <f t="shared" si="73"/>
        <v>174.144410078224-17.5166664449395i</v>
      </c>
      <c r="K193" s="1">
        <f t="shared" si="79"/>
        <v>44.861910785762092</v>
      </c>
      <c r="L193" s="1">
        <f t="shared" si="80"/>
        <v>-5.7438916939847715</v>
      </c>
      <c r="M193" s="1">
        <f t="shared" si="74"/>
        <v>0.192</v>
      </c>
      <c r="N193" s="1">
        <f t="shared" si="75"/>
        <v>2.5000000000000001E-2</v>
      </c>
      <c r="O193" s="1" t="str">
        <f t="shared" si="76"/>
        <v>2.3523468147895-3.23328260416439i</v>
      </c>
      <c r="P193" s="1">
        <f t="shared" si="81"/>
        <v>12.037846847367925</v>
      </c>
      <c r="Q193" s="1">
        <f t="shared" si="82"/>
        <v>-53.962561110434358</v>
      </c>
      <c r="R193" s="1" t="str">
        <f t="shared" si="83"/>
        <v>1.24538343496315-4.27489306496228i</v>
      </c>
      <c r="S193" s="1">
        <f t="shared" si="84"/>
        <v>12.972283246606889</v>
      </c>
      <c r="T193" s="1">
        <f t="shared" si="85"/>
        <v>-73.757835614044964</v>
      </c>
      <c r="U193" s="1" t="str">
        <f>IMPRODUCT(COMPLEX(-1,0),IMDIV(COMPLEX(1,C193*Calculations!$B$195*Calculations!$B$197),IMPRODUCT(COMPLEX(0,C193*Calculations!$B$184),COMPLEX((Calculations!$B$197+Calculations!$B$199),C193*Calculations!$B$195*Calculations!$B$197*Calculations!$B$199))))</f>
        <v>-1.42673954185136+0.349080564152866i</v>
      </c>
      <c r="V193" s="1">
        <f t="shared" si="86"/>
        <v>3.3393932246595326</v>
      </c>
      <c r="W193" s="1">
        <f t="shared" si="87"/>
        <v>166.25153002411622</v>
      </c>
      <c r="X193" s="1" t="str">
        <f t="shared" si="88"/>
        <v>-0.284555708618391+6.53389812503141i</v>
      </c>
      <c r="Y193" s="1">
        <f t="shared" si="89"/>
        <v>16.31167647126642</v>
      </c>
      <c r="Z193" s="1">
        <f t="shared" si="90"/>
        <v>92.493694410071242</v>
      </c>
    </row>
    <row r="194" spans="2:26" x14ac:dyDescent="0.15">
      <c r="B194" s="1">
        <v>800</v>
      </c>
      <c r="C194" s="1">
        <f t="shared" si="68"/>
        <v>5026.5482457436692</v>
      </c>
      <c r="D194" s="83" t="str">
        <f t="shared" si="69"/>
        <v>0.0552203944338133-0.274260737560842i</v>
      </c>
      <c r="E194" s="1">
        <f t="shared" si="70"/>
        <v>-11.064144090408305</v>
      </c>
      <c r="F194" s="1">
        <f t="shared" si="71"/>
        <v>-78.616115102129797</v>
      </c>
      <c r="G194" s="1" t="str">
        <f t="shared" si="72"/>
        <v>725.951335691423+1751.32717411189i</v>
      </c>
      <c r="H194" s="1">
        <f t="shared" si="77"/>
        <v>65.555964655613678</v>
      </c>
      <c r="I194" s="1">
        <f t="shared" si="78"/>
        <v>67.485261098938437</v>
      </c>
      <c r="J194" s="83" t="str">
        <f t="shared" si="73"/>
        <v>190.298040203298-25.5673514687524i</v>
      </c>
      <c r="K194" s="1">
        <f t="shared" si="79"/>
        <v>45.666381943569334</v>
      </c>
      <c r="L194" s="1">
        <f t="shared" si="80"/>
        <v>-7.6521084428934207</v>
      </c>
      <c r="M194" s="1">
        <f t="shared" si="74"/>
        <v>0.192</v>
      </c>
      <c r="N194" s="1">
        <f t="shared" si="75"/>
        <v>2.5000000000000001E-2</v>
      </c>
      <c r="O194" s="1" t="str">
        <f t="shared" si="76"/>
        <v>2.35230750144953-2.83377771940575i</v>
      </c>
      <c r="P194" s="1">
        <f t="shared" si="81"/>
        <v>11.323764703595192</v>
      </c>
      <c r="Q194" s="1">
        <f t="shared" si="82"/>
        <v>-50.304070790068259</v>
      </c>
      <c r="R194" s="1" t="str">
        <f t="shared" si="83"/>
        <v>1.04288400198942-3.798170682025i</v>
      </c>
      <c r="S194" s="1">
        <f t="shared" si="84"/>
        <v>11.907156008683572</v>
      </c>
      <c r="T194" s="1">
        <f t="shared" si="85"/>
        <v>-74.646371814867393</v>
      </c>
      <c r="U194" s="1" t="str">
        <f>IMPRODUCT(COMPLEX(-1,0),IMDIV(COMPLEX(1,C194*Calculations!$B$195*Calculations!$B$197),IMPRODUCT(COMPLEX(0,C194*Calculations!$B$184),COMPLEX((Calculations!$B$197+Calculations!$B$199),C194*Calculations!$B$195*Calculations!$B$197*Calculations!$B$199))))</f>
        <v>-1.42673650418545+0.306453343917916i</v>
      </c>
      <c r="V194" s="1">
        <f t="shared" si="86"/>
        <v>3.2827574863706053</v>
      </c>
      <c r="W194" s="1">
        <f t="shared" si="87"/>
        <v>167.87744385459854</v>
      </c>
      <c r="X194" s="1" t="str">
        <f t="shared" si="88"/>
        <v>-0.323958568991764+5.73858405090017i</v>
      </c>
      <c r="Y194" s="1">
        <f t="shared" si="89"/>
        <v>15.189913495054178</v>
      </c>
      <c r="Z194" s="1">
        <f t="shared" si="90"/>
        <v>93.231072039731131</v>
      </c>
    </row>
    <row r="195" spans="2:26" x14ac:dyDescent="0.15">
      <c r="B195" s="1">
        <v>900</v>
      </c>
      <c r="C195" s="1">
        <f t="shared" si="68"/>
        <v>5654.8667764616275</v>
      </c>
      <c r="D195" s="83" t="str">
        <f t="shared" si="69"/>
        <v>0.0499013277284108-0.244227219379078i</v>
      </c>
      <c r="E195" s="1">
        <f t="shared" si="70"/>
        <v>-12.066491789547074</v>
      </c>
      <c r="F195" s="1">
        <f t="shared" si="71"/>
        <v>-78.452083422104067</v>
      </c>
      <c r="G195" s="1" t="str">
        <f t="shared" si="72"/>
        <v>989.085427805189+2163.20283199787i</v>
      </c>
      <c r="H195" s="1">
        <f t="shared" si="77"/>
        <v>67.526427151702705</v>
      </c>
      <c r="I195" s="1">
        <f t="shared" si="78"/>
        <v>65.428607013252133</v>
      </c>
      <c r="J195" s="83" t="str">
        <f t="shared" si="73"/>
        <v>211.751002693187-38.4857266612459i</v>
      </c>
      <c r="K195" s="1">
        <f t="shared" si="79"/>
        <v>46.65765159404549</v>
      </c>
      <c r="L195" s="1">
        <f t="shared" si="80"/>
        <v>-10.301060166736322</v>
      </c>
      <c r="M195" s="1">
        <f t="shared" si="74"/>
        <v>0.192</v>
      </c>
      <c r="N195" s="1">
        <f t="shared" si="75"/>
        <v>2.5000000000000001E-2</v>
      </c>
      <c r="O195" s="1" t="str">
        <f t="shared" si="76"/>
        <v>2.35226294791941-2.52360328666175i</v>
      </c>
      <c r="P195" s="1">
        <f t="shared" si="81"/>
        <v>10.756095290344827</v>
      </c>
      <c r="Q195" s="1">
        <f t="shared" si="82"/>
        <v>-47.012573746438008</v>
      </c>
      <c r="R195" s="1" t="str">
        <f t="shared" si="83"/>
        <v>0.897925814915109-3.41805766396306i</v>
      </c>
      <c r="S195" s="1">
        <f t="shared" si="84"/>
        <v>10.965411912666443</v>
      </c>
      <c r="T195" s="1">
        <f t="shared" si="85"/>
        <v>-75.280943771787022</v>
      </c>
      <c r="U195" s="1" t="str">
        <f>IMPRODUCT(COMPLEX(-1,0),IMDIV(COMPLEX(1,C195*Calculations!$B$195*Calculations!$B$197),IMPRODUCT(COMPLEX(0,C195*Calculations!$B$184),COMPLEX((Calculations!$B$197+Calculations!$B$199),C195*Calculations!$B$195*Calculations!$B$197*Calculations!$B$199))))</f>
        <v>-1.42673306151306+0.273418283601673i</v>
      </c>
      <c r="V195" s="1">
        <f t="shared" si="86"/>
        <v>3.2434929993415555</v>
      </c>
      <c r="W195" s="1">
        <f t="shared" si="87"/>
        <v>169.1514016753753</v>
      </c>
      <c r="X195" s="1" t="str">
        <f t="shared" si="88"/>
        <v>-0.346540987193119+5.12216521044992i</v>
      </c>
      <c r="Y195" s="1">
        <f t="shared" si="89"/>
        <v>14.208904912008</v>
      </c>
      <c r="Z195" s="1">
        <f t="shared" si="90"/>
        <v>93.87045790358826</v>
      </c>
    </row>
    <row r="196" spans="2:26" x14ac:dyDescent="0.15">
      <c r="B196" s="1">
        <v>1000</v>
      </c>
      <c r="C196" s="1">
        <f t="shared" si="68"/>
        <v>6283.1853071795858</v>
      </c>
      <c r="D196" s="83" t="str">
        <f t="shared" si="69"/>
        <v>0.0460848393599757-0.220088565312872i</v>
      </c>
      <c r="E196" s="1">
        <f t="shared" si="70"/>
        <v>-12.96168978751785</v>
      </c>
      <c r="F196" s="1">
        <f t="shared" si="71"/>
        <v>-78.173575826956736</v>
      </c>
      <c r="G196" s="1" t="str">
        <f t="shared" si="72"/>
        <v>1423.26185779003+2673.43096164237i</v>
      </c>
      <c r="H196" s="1">
        <f t="shared" si="77"/>
        <v>69.625070104162617</v>
      </c>
      <c r="I196" s="1">
        <f t="shared" si="78"/>
        <v>61.970378235709028</v>
      </c>
      <c r="J196" s="83" t="str">
        <f t="shared" si="73"/>
        <v>240.194052150097-60.4734288678957i</v>
      </c>
      <c r="K196" s="1">
        <f t="shared" si="79"/>
        <v>47.878161123085263</v>
      </c>
      <c r="L196" s="1">
        <f t="shared" si="80"/>
        <v>-14.131600608264966</v>
      </c>
      <c r="M196" s="1">
        <f t="shared" si="74"/>
        <v>0.192</v>
      </c>
      <c r="N196" s="1">
        <f t="shared" si="75"/>
        <v>2.5000000000000001E-2</v>
      </c>
      <c r="O196" s="1" t="str">
        <f t="shared" si="76"/>
        <v>2.35221315479469-2.27596011390629i</v>
      </c>
      <c r="P196" s="1">
        <f t="shared" si="81"/>
        <v>10.299070982479119</v>
      </c>
      <c r="Q196" s="1">
        <f t="shared" si="82"/>
        <v>-44.056089324177847</v>
      </c>
      <c r="R196" s="1" t="str">
        <f t="shared" si="83"/>
        <v>0.790032236910919-3.10822648758212i</v>
      </c>
      <c r="S196" s="1">
        <f t="shared" si="84"/>
        <v>10.122137052962874</v>
      </c>
      <c r="T196" s="1">
        <f t="shared" si="85"/>
        <v>-75.73886123320456</v>
      </c>
      <c r="U196" s="1" t="str">
        <f>IMPRODUCT(COMPLEX(-1,0),IMDIV(COMPLEX(1,C196*Calculations!$B$195*Calculations!$B$197),IMPRODUCT(COMPLEX(0,C196*Calculations!$B$184),COMPLEX((Calculations!$B$197+Calculations!$B$199),C196*Calculations!$B$195*Calculations!$B$197*Calculations!$B$199))))</f>
        <v>-1.42672921384004+0.247097733672139i</v>
      </c>
      <c r="V196" s="1">
        <f t="shared" si="86"/>
        <v>3.2151838607712699</v>
      </c>
      <c r="W196" s="1">
        <f t="shared" si="87"/>
        <v>170.17431156580398</v>
      </c>
      <c r="X196" s="1" t="str">
        <f t="shared" si="88"/>
        <v>-0.359126351454949+4.62981270833345i</v>
      </c>
      <c r="Y196" s="1">
        <f t="shared" si="89"/>
        <v>13.337320913734153</v>
      </c>
      <c r="Z196" s="1">
        <f t="shared" si="90"/>
        <v>94.435450332599402</v>
      </c>
    </row>
    <row r="197" spans="2:26" x14ac:dyDescent="0.15">
      <c r="B197" s="1">
        <v>2000</v>
      </c>
      <c r="C197" s="1">
        <f t="shared" si="68"/>
        <v>12566.370614359172</v>
      </c>
      <c r="D197" s="83" t="str">
        <f t="shared" si="69"/>
        <v>0.0338156512147574-0.110500891170266i</v>
      </c>
      <c r="E197" s="1">
        <f t="shared" si="70"/>
        <v>-18.74390409757477</v>
      </c>
      <c r="F197" s="1">
        <f t="shared" si="71"/>
        <v>-72.984761607362472</v>
      </c>
      <c r="G197" s="1" t="str">
        <f t="shared" si="72"/>
        <v>996.098320553229-3155.76075144511i</v>
      </c>
      <c r="H197" s="1">
        <f t="shared" si="77"/>
        <v>70.394552774186906</v>
      </c>
      <c r="I197" s="1">
        <f t="shared" si="78"/>
        <v>-72.481988465037475</v>
      </c>
      <c r="J197" s="83" t="str">
        <f t="shared" si="73"/>
        <v>-118.219543608896-75.3389200809691i</v>
      </c>
      <c r="K197" s="1">
        <f t="shared" si="79"/>
        <v>42.934026310613511</v>
      </c>
      <c r="L197" s="1">
        <f t="shared" si="80"/>
        <v>-147.49146346049753</v>
      </c>
      <c r="M197" s="1">
        <f t="shared" si="74"/>
        <v>0.192</v>
      </c>
      <c r="N197" s="1">
        <f t="shared" si="75"/>
        <v>2.5000000000000001E-2</v>
      </c>
      <c r="O197" s="1" t="str">
        <f t="shared" si="76"/>
        <v>2.35142722688912-1.17520753049067i</v>
      </c>
      <c r="P197" s="1">
        <f t="shared" si="81"/>
        <v>8.3949833134878187</v>
      </c>
      <c r="Q197" s="1">
        <f t="shared" si="82"/>
        <v>-26.555185198416172</v>
      </c>
      <c r="R197" s="1" t="str">
        <f t="shared" si="83"/>
        <v>0.40071368785088-1.65249774972994i</v>
      </c>
      <c r="S197" s="1">
        <f t="shared" si="84"/>
        <v>4.6109620127726885</v>
      </c>
      <c r="T197" s="1">
        <f t="shared" si="85"/>
        <v>-76.369462787830841</v>
      </c>
      <c r="U197" s="1" t="str">
        <f>IMPRODUCT(COMPLEX(-1,0),IMDIV(COMPLEX(1,C197*Calculations!$B$195*Calculations!$B$197),IMPRODUCT(COMPLEX(0,C197*Calculations!$B$184),COMPLEX((Calculations!$B$197+Calculations!$B$199),C197*Calculations!$B$195*Calculations!$B$197*Calculations!$B$199))))</f>
        <v>-1.42666846385888+0.131611226235503i</v>
      </c>
      <c r="V197" s="1">
        <f t="shared" si="86"/>
        <v>3.1232641759928441</v>
      </c>
      <c r="W197" s="1">
        <f t="shared" si="87"/>
        <v>174.72933942957258</v>
      </c>
      <c r="X197" s="1" t="str">
        <f t="shared" si="88"/>
        <v>-0.354198326300075+2.41030484596487i</v>
      </c>
      <c r="Y197" s="1">
        <f t="shared" si="89"/>
        <v>7.7342261887655184</v>
      </c>
      <c r="Z197" s="1">
        <f t="shared" si="90"/>
        <v>98.359876641741749</v>
      </c>
    </row>
    <row r="198" spans="2:26" x14ac:dyDescent="0.15">
      <c r="B198" s="1">
        <v>3000</v>
      </c>
      <c r="C198" s="1">
        <f t="shared" si="68"/>
        <v>18849.555921538758</v>
      </c>
      <c r="D198" s="83" t="str">
        <f t="shared" si="69"/>
        <v>0.0315323973578826-0.0737239096330023i</v>
      </c>
      <c r="E198" s="1">
        <f t="shared" si="70"/>
        <v>-21.918223309241519</v>
      </c>
      <c r="F198" s="1">
        <f t="shared" si="71"/>
        <v>-66.843156797315615</v>
      </c>
      <c r="G198" s="1" t="str">
        <f t="shared" si="72"/>
        <v>168.790979843642-1453.41154791597i</v>
      </c>
      <c r="H198" s="1">
        <f t="shared" si="77"/>
        <v>63.305954738743999</v>
      </c>
      <c r="I198" s="1">
        <f t="shared" si="78"/>
        <v>-83.375667729830312</v>
      </c>
      <c r="J198" s="83" t="str">
        <f t="shared" si="73"/>
        <v>-39.1403028665456-18.2706485026034i</v>
      </c>
      <c r="K198" s="1">
        <f t="shared" si="79"/>
        <v>32.708604113296424</v>
      </c>
      <c r="L198" s="1">
        <f t="shared" si="80"/>
        <v>-154.97688751999337</v>
      </c>
      <c r="M198" s="1">
        <f t="shared" si="74"/>
        <v>0.192</v>
      </c>
      <c r="N198" s="1">
        <f t="shared" si="75"/>
        <v>2.5000000000000001E-2</v>
      </c>
      <c r="O198" s="1" t="str">
        <f t="shared" si="76"/>
        <v>2.35011851349199-0.824798712042382i</v>
      </c>
      <c r="P198" s="1">
        <f t="shared" si="81"/>
        <v>7.9262628123906067</v>
      </c>
      <c r="Q198" s="1">
        <f t="shared" si="82"/>
        <v>-19.339057113811879</v>
      </c>
      <c r="R198" s="1" t="str">
        <f t="shared" si="83"/>
        <v>0.312374529137831-1.15240194597664i</v>
      </c>
      <c r="S198" s="1">
        <f t="shared" si="84"/>
        <v>1.5400015169230585</v>
      </c>
      <c r="T198" s="1">
        <f t="shared" si="85"/>
        <v>-74.833626648649798</v>
      </c>
      <c r="U198" s="1" t="str">
        <f>IMPRODUCT(COMPLEX(-1,0),IMDIV(COMPLEX(1,C198*Calculations!$B$195*Calculations!$B$197),IMPRODUCT(COMPLEX(0,C198*Calculations!$B$184),COMPLEX((Calculations!$B$197+Calculations!$B$199),C198*Calculations!$B$195*Calculations!$B$197*Calculations!$B$199))))</f>
        <v>-1.42656722538602+0.0966979775043371i</v>
      </c>
      <c r="V198" s="1">
        <f t="shared" si="86"/>
        <v>3.1057533544050169</v>
      </c>
      <c r="W198" s="1">
        <f t="shared" si="87"/>
        <v>176.1222129043276</v>
      </c>
      <c r="X198" s="1" t="str">
        <f t="shared" si="88"/>
        <v>-0.334188327865417+1.67418483179284i</v>
      </c>
      <c r="Y198" s="1">
        <f t="shared" si="89"/>
        <v>4.6457548713280588</v>
      </c>
      <c r="Z198" s="1">
        <f t="shared" si="90"/>
        <v>101.28858625567783</v>
      </c>
    </row>
    <row r="199" spans="2:26" x14ac:dyDescent="0.15">
      <c r="B199" s="1">
        <v>4000</v>
      </c>
      <c r="C199" s="1">
        <f t="shared" si="68"/>
        <v>25132.741228718343</v>
      </c>
      <c r="D199" s="83" t="str">
        <f t="shared" si="69"/>
        <v>0.0307324286772447-0.0553078179900548i</v>
      </c>
      <c r="E199" s="1">
        <f t="shared" si="70"/>
        <v>-23.975670118671978</v>
      </c>
      <c r="F199" s="1">
        <f t="shared" si="71"/>
        <v>-60.940754757034689</v>
      </c>
      <c r="G199" s="1" t="str">
        <f t="shared" si="72"/>
        <v>71.2034638959442-974.484892899837i</v>
      </c>
      <c r="H199" s="1">
        <f t="shared" si="77"/>
        <v>59.798627100475727</v>
      </c>
      <c r="I199" s="1">
        <f t="shared" si="78"/>
        <v>-85.820950260723066</v>
      </c>
      <c r="J199" s="83" t="str">
        <f t="shared" si="73"/>
        <v>-20.537809350546-10.0646237582582i</v>
      </c>
      <c r="K199" s="1">
        <f t="shared" si="79"/>
        <v>27.185832790031348</v>
      </c>
      <c r="L199" s="1">
        <f t="shared" si="80"/>
        <v>-153.89267779780775</v>
      </c>
      <c r="M199" s="1">
        <f t="shared" si="74"/>
        <v>0.192</v>
      </c>
      <c r="N199" s="1">
        <f t="shared" si="75"/>
        <v>2.5000000000000001E-2</v>
      </c>
      <c r="O199" s="1" t="str">
        <f t="shared" si="76"/>
        <v>2.34828876018476-0.661934492883731i</v>
      </c>
      <c r="P199" s="1">
        <f t="shared" si="81"/>
        <v>7.7470796760693004</v>
      </c>
      <c r="Q199" s="1">
        <f t="shared" si="82"/>
        <v>-15.74205686700852</v>
      </c>
      <c r="R199" s="1" t="str">
        <f t="shared" si="83"/>
        <v>0.276752512384993-0.908175216414723i</v>
      </c>
      <c r="S199" s="1">
        <f t="shared" si="84"/>
        <v>-0.45094888049646897</v>
      </c>
      <c r="T199" s="1">
        <f t="shared" si="85"/>
        <v>-73.05220143286256</v>
      </c>
      <c r="U199" s="1" t="str">
        <f>IMPRODUCT(COMPLEX(-1,0),IMDIV(COMPLEX(1,C199*Calculations!$B$195*Calculations!$B$197),IMPRODUCT(COMPLEX(0,C199*Calculations!$B$184),COMPLEX((Calculations!$B$197+Calculations!$B$199),C199*Calculations!$B$195*Calculations!$B$197*Calculations!$B$199))))</f>
        <v>-1.42642551565999+0.0819268995569915i</v>
      </c>
      <c r="V199" s="1">
        <f t="shared" si="86"/>
        <v>3.0992848669216451</v>
      </c>
      <c r="W199" s="1">
        <f t="shared" si="87"/>
        <v>176.71282227287702</v>
      </c>
      <c r="X199" s="1" t="str">
        <f t="shared" si="88"/>
        <v>-0.320362865453603+1.3181177766683i</v>
      </c>
      <c r="Y199" s="1">
        <f t="shared" si="89"/>
        <v>2.6483359864251459</v>
      </c>
      <c r="Z199" s="1">
        <f t="shared" si="90"/>
        <v>103.6606208400145</v>
      </c>
    </row>
    <row r="200" spans="2:26" x14ac:dyDescent="0.15">
      <c r="B200" s="1">
        <v>5000</v>
      </c>
      <c r="C200" s="1">
        <f t="shared" si="68"/>
        <v>31415.926535897932</v>
      </c>
      <c r="D200" s="83" t="str">
        <f t="shared" si="69"/>
        <v>0.0303620116190534-0.0442517685493112i</v>
      </c>
      <c r="E200" s="1">
        <f t="shared" si="70"/>
        <v>-25.405968405957303</v>
      </c>
      <c r="F200" s="1">
        <f t="shared" si="71"/>
        <v>-55.545212869474973</v>
      </c>
      <c r="G200" s="1" t="str">
        <f t="shared" si="72"/>
        <v>40.1463428801833-742.497545817705i</v>
      </c>
      <c r="H200" s="1">
        <f t="shared" si="77"/>
        <v>57.426578492381317</v>
      </c>
      <c r="I200" s="1">
        <f t="shared" si="78"/>
        <v>-86.905069394398552</v>
      </c>
      <c r="J200" s="83" t="str">
        <f t="shared" si="73"/>
        <v>-13.0862492052223-7.01820659947015i</v>
      </c>
      <c r="K200" s="1">
        <f t="shared" si="79"/>
        <v>23.434187215788885</v>
      </c>
      <c r="L200" s="1">
        <f t="shared" si="80"/>
        <v>-151.79516677679743</v>
      </c>
      <c r="M200" s="1">
        <f t="shared" si="74"/>
        <v>0.192</v>
      </c>
      <c r="N200" s="1">
        <f t="shared" si="75"/>
        <v>2.5000000000000001E-2</v>
      </c>
      <c r="O200" s="1" t="str">
        <f t="shared" si="76"/>
        <v>2.34594040263409-0.574041964822917i</v>
      </c>
      <c r="P200" s="1">
        <f t="shared" si="81"/>
        <v>7.6588903918730971</v>
      </c>
      <c r="Q200" s="1">
        <f t="shared" si="82"/>
        <v>-13.749861747398201</v>
      </c>
      <c r="R200" s="1" t="str">
        <f t="shared" si="83"/>
        <v>0.256804086858004-0.76908740069314i</v>
      </c>
      <c r="S200" s="1">
        <f t="shared" si="84"/>
        <v>-1.8214138639244248</v>
      </c>
      <c r="T200" s="1">
        <f t="shared" si="85"/>
        <v>-71.535446297831214</v>
      </c>
      <c r="U200" s="1" t="str">
        <f>IMPRODUCT(COMPLEX(-1,0),IMDIV(COMPLEX(1,C200*Calculations!$B$195*Calculations!$B$197),IMPRODUCT(COMPLEX(0,C200*Calculations!$B$184),COMPLEX((Calculations!$B$197+Calculations!$B$199),C200*Calculations!$B$195*Calculations!$B$197*Calculations!$B$199))))</f>
        <v>-1.42624335880436+0.0752114093088821i</v>
      </c>
      <c r="V200" s="1">
        <f t="shared" si="86"/>
        <v>3.0959330929542928</v>
      </c>
      <c r="W200" s="1">
        <f t="shared" si="87"/>
        <v>176.98136476957416</v>
      </c>
      <c r="X200" s="1" t="str">
        <f t="shared" si="88"/>
        <v>-0.30842097610721+1.11622039486757i</v>
      </c>
      <c r="Y200" s="1">
        <f t="shared" si="89"/>
        <v>1.2745192290298692</v>
      </c>
      <c r="Z200" s="1">
        <f t="shared" si="90"/>
        <v>105.44591847174294</v>
      </c>
    </row>
    <row r="201" spans="2:26" x14ac:dyDescent="0.15">
      <c r="B201" s="1">
        <v>6000</v>
      </c>
      <c r="C201" s="1">
        <f t="shared" ref="C201:C228" si="91">2*PI()*B201</f>
        <v>37699.111843077517</v>
      </c>
      <c r="D201" s="83" t="str">
        <f t="shared" ref="D201:D228" si="92">IMDIV(COMPLEX((POWER(V48_Nom,2)/(V12_Min*I_Channel_Design*np)),((Zo_Boost_Cout*Zo_Boost_Resr*POWER(V48_Nom,2))/(V12_Min*I_Channel_Design*np))*C201),COMPLEX(1,((Zo_Boost_Cout*Zo_Boost_Resr)+((Zo_Boost_Cout*POWER(V48_Nom,2))/(V12_Min*I_Channel_Design*np)))*C201))</f>
        <v>0.0301607587141847-0.0368789703917563i</v>
      </c>
      <c r="E201" s="1">
        <f t="shared" ref="E201:E228" si="93">20*LOG(IMABS(D201))</f>
        <v>-26.440258358475141</v>
      </c>
      <c r="F201" s="1">
        <f t="shared" ref="F201:F223" si="94">IMARGUMENT(D201)*(180/PI())</f>
        <v>-50.722641617234018</v>
      </c>
      <c r="G201" s="1" t="str">
        <f t="shared" ref="G201:G228" si="95">IMDIV(IMSUM(COMPLEX(V48_Nom,0),IMPRODUCT(COMPLEX(np*(I_Channel_Design*(V12_Min/V48_Nom)),0),D201)),IMSUM(IMPRODUCT(COMPLEX(((V12_Min/V48_Nom)^2),0),D201),COMPLEX(Rcs/np,(Lm*C201)/np)))</f>
        <v>26.0640509822724-603.052479051385i</v>
      </c>
      <c r="H201" s="1">
        <f t="shared" si="77"/>
        <v>55.615207134830165</v>
      </c>
      <c r="I201" s="1">
        <f t="shared" si="78"/>
        <v>-87.525204932689746</v>
      </c>
      <c r="J201" s="83" t="str">
        <f t="shared" ref="J201:J228" si="96">IMPRODUCT(COMPLEX(-1,0),IMDIV(IMSUM(IMSUB(IMPRODUCT(COMPLEX((1-(V12_Min/V48_Nom))*V48_Nom,0),D201),IMPRODUCT(COMPLEX(V48_Nom,0),D201)),IMPRODUCT(COMPLEX(0,I_Channel_Design*Lm*C201),D201)),IMSUM(IMPRODUCT(COMPLEX(((V12_Min/V48_Nom)^2),0),D201),COMPLEX(Rcs/np,(Lm*C201)/np))))</f>
        <v>-9.30460914004447-5.43449516192122i</v>
      </c>
      <c r="K201" s="1">
        <f t="shared" si="79"/>
        <v>20.648677134041151</v>
      </c>
      <c r="L201" s="1">
        <f t="shared" si="80"/>
        <v>-149.71230096022407</v>
      </c>
      <c r="M201" s="1">
        <f t="shared" ref="M201:M228" si="97">(Ramp_R*Ramp_C*Fsw)/V48_Nom</f>
        <v>0.192</v>
      </c>
      <c r="N201" s="1">
        <f t="shared" ref="N201:N228" si="98">Rcs*Acs/np</f>
        <v>2.5000000000000001E-2</v>
      </c>
      <c r="O201" s="1" t="str">
        <f t="shared" ref="O201:O228" si="99">IMPRODUCT(COMPLEX(gm/(IL_Comp_Ccomp+IL_Comp_Chf),0),IMDIV(COMPLEX(1,C201*IL_Comp_Rcomp*IL_Comp_Ccomp),IMPRODUCT(COMPLEX(0,C201),COMPLEX(1,C201*IL_Comp_Rcomp*IL_Comp_Chf))))</f>
        <v>2.3430765585053-0.523586056930106i</v>
      </c>
      <c r="P201" s="1">
        <f t="shared" si="81"/>
        <v>7.6073528279124343</v>
      </c>
      <c r="Q201" s="1">
        <f t="shared" si="82"/>
        <v>-12.596422545534917</v>
      </c>
      <c r="R201" s="1" t="str">
        <f t="shared" si="83"/>
        <v>0.24261756584653-0.683161612259336i</v>
      </c>
      <c r="S201" s="1">
        <f t="shared" si="84"/>
        <v>-2.7936689440357307</v>
      </c>
      <c r="T201" s="1">
        <f t="shared" si="85"/>
        <v>-70.448047786034905</v>
      </c>
      <c r="U201" s="1" t="str">
        <f>IMPRODUCT(COMPLEX(-1,0),IMDIV(COMPLEX(1,C201*Calculations!$B$195*Calculations!$B$197),IMPRODUCT(COMPLEX(0,C201*Calculations!$B$184),COMPLEX((Calculations!$B$197+Calculations!$B$199),C201*Calculations!$B$195*Calculations!$B$197*Calculations!$B$199))))</f>
        <v>-1.42602078581762+0.0725223416023077i</v>
      </c>
      <c r="V201" s="1">
        <f t="shared" si="86"/>
        <v>3.0937351119217587</v>
      </c>
      <c r="W201" s="1">
        <f t="shared" si="87"/>
        <v>177.08864880632774</v>
      </c>
      <c r="X201" s="1" t="str">
        <f t="shared" si="88"/>
        <v>-0.296433212087772+0.991797853143533i</v>
      </c>
      <c r="Y201" s="1">
        <f t="shared" si="89"/>
        <v>0.30006616788602813</v>
      </c>
      <c r="Z201" s="1">
        <f t="shared" si="90"/>
        <v>106.64060102029283</v>
      </c>
    </row>
    <row r="202" spans="2:26" x14ac:dyDescent="0.15">
      <c r="B202" s="1">
        <v>7000</v>
      </c>
      <c r="C202" s="1">
        <f t="shared" si="91"/>
        <v>43982.297150257102</v>
      </c>
      <c r="D202" s="83" t="str">
        <f t="shared" si="92"/>
        <v>0.0300393963902439-0.0316118365085049i</v>
      </c>
      <c r="E202" s="1">
        <f t="shared" si="93"/>
        <v>-27.208640355965766</v>
      </c>
      <c r="F202" s="1">
        <f t="shared" si="94"/>
        <v>-46.461035724599284</v>
      </c>
      <c r="G202" s="1" t="str">
        <f t="shared" si="95"/>
        <v>18.3960510869645-509.08745307347i</v>
      </c>
      <c r="H202" s="1">
        <f t="shared" si="77"/>
        <v>54.141515030050456</v>
      </c>
      <c r="I202" s="1">
        <f t="shared" si="78"/>
        <v>-87.930497649124376</v>
      </c>
      <c r="J202" s="83" t="str">
        <f t="shared" si="96"/>
        <v>-7.1086381135843-4.45807011460106i</v>
      </c>
      <c r="K202" s="1">
        <f t="shared" si="79"/>
        <v>18.476166105831389</v>
      </c>
      <c r="L202" s="1">
        <f t="shared" si="80"/>
        <v>-147.90676874827173</v>
      </c>
      <c r="M202" s="1">
        <f t="shared" si="97"/>
        <v>0.192</v>
      </c>
      <c r="N202" s="1">
        <f t="shared" si="98"/>
        <v>2.5000000000000001E-2</v>
      </c>
      <c r="O202" s="1" t="str">
        <f t="shared" si="99"/>
        <v>2.33970101715129-0.494471219894314i</v>
      </c>
      <c r="P202" s="1">
        <f t="shared" si="81"/>
        <v>7.5729751454215375</v>
      </c>
      <c r="Q202" s="1">
        <f t="shared" si="82"/>
        <v>-11.93326481671301</v>
      </c>
      <c r="R202" s="1" t="str">
        <f t="shared" si="83"/>
        <v>0.230663116887951-0.627705170137853i</v>
      </c>
      <c r="S202" s="1">
        <f t="shared" si="84"/>
        <v>-3.4947950705850261</v>
      </c>
      <c r="T202" s="1">
        <f t="shared" si="85"/>
        <v>-69.823110324820917</v>
      </c>
      <c r="U202" s="1" t="str">
        <f>IMPRODUCT(COMPLEX(-1,0),IMDIV(COMPLEX(1,C202*Calculations!$B$195*Calculations!$B$197),IMPRODUCT(COMPLEX(0,C202*Calculations!$B$184),COMPLEX((Calculations!$B$197+Calculations!$B$199),C202*Calculations!$B$195*Calculations!$B$197*Calculations!$B$199))))</f>
        <v>-1.42575783455991+0.0721326511870832i</v>
      </c>
      <c r="V202" s="1">
        <f t="shared" si="86"/>
        <v>3.0920173375796418</v>
      </c>
      <c r="W202" s="1">
        <f t="shared" si="87"/>
        <v>177.10373276934874</v>
      </c>
      <c r="X202" s="1" t="str">
        <f t="shared" si="88"/>
        <v>-0.283591707961122+0.911593906270009i</v>
      </c>
      <c r="Y202" s="1">
        <f t="shared" si="89"/>
        <v>-0.40277773300538544</v>
      </c>
      <c r="Z202" s="1">
        <f t="shared" si="90"/>
        <v>107.28062244452782</v>
      </c>
    </row>
    <row r="203" spans="2:26" x14ac:dyDescent="0.15">
      <c r="B203" s="1">
        <v>8000</v>
      </c>
      <c r="C203" s="1">
        <f t="shared" si="91"/>
        <v>50265.482457436687</v>
      </c>
      <c r="D203" s="83" t="str">
        <f t="shared" si="92"/>
        <v>0.0299606222713833-0.0276610898567881i</v>
      </c>
      <c r="E203" s="1">
        <f t="shared" si="93"/>
        <v>-27.79166571515027</v>
      </c>
      <c r="F203" s="1">
        <f t="shared" si="94"/>
        <v>-42.71468738855387</v>
      </c>
      <c r="G203" s="1" t="str">
        <f t="shared" si="95"/>
        <v>13.7250058630303-441.114002515244i</v>
      </c>
      <c r="H203" s="1">
        <f t="shared" si="77"/>
        <v>52.895219282436301</v>
      </c>
      <c r="I203" s="1">
        <f t="shared" si="78"/>
        <v>-88.21785006981797</v>
      </c>
      <c r="J203" s="83" t="str">
        <f t="shared" si="96"/>
        <v>-5.71590483710925-3.79176448023134i</v>
      </c>
      <c r="K203" s="1">
        <f t="shared" si="79"/>
        <v>16.725508216073941</v>
      </c>
      <c r="L203" s="1">
        <f t="shared" si="80"/>
        <v>-146.44086547873894</v>
      </c>
      <c r="M203" s="1">
        <f t="shared" si="97"/>
        <v>0.192</v>
      </c>
      <c r="N203" s="1">
        <f t="shared" si="98"/>
        <v>2.5000000000000001E-2</v>
      </c>
      <c r="O203" s="1" t="str">
        <f t="shared" si="99"/>
        <v>2.3358182271408-0.478641872702017i</v>
      </c>
      <c r="P203" s="1">
        <f t="shared" si="81"/>
        <v>7.5474153308262748</v>
      </c>
      <c r="Q203" s="1">
        <f t="shared" si="82"/>
        <v>-11.580397820536183</v>
      </c>
      <c r="R203" s="1" t="str">
        <f t="shared" si="83"/>
        <v>0.21943825637163-0.591233412970673i</v>
      </c>
      <c r="S203" s="1">
        <f t="shared" si="84"/>
        <v>-4.0043338310574459</v>
      </c>
      <c r="T203" s="1">
        <f t="shared" si="85"/>
        <v>-69.637423784339305</v>
      </c>
      <c r="U203" s="1" t="str">
        <f>IMPRODUCT(COMPLEX(-1,0),IMDIV(COMPLEX(1,C203*Calculations!$B$195*Calculations!$B$197),IMPRODUCT(COMPLEX(0,C203*Calculations!$B$184),COMPLEX((Calculations!$B$197+Calculations!$B$199),C203*Calculations!$B$195*Calculations!$B$197*Calculations!$B$199))))</f>
        <v>-1.42545454973697+0.0731785883121814i</v>
      </c>
      <c r="V203" s="1">
        <f t="shared" si="86"/>
        <v>3.090498219592714</v>
      </c>
      <c r="W203" s="1">
        <f t="shared" si="87"/>
        <v>177.06118536449665</v>
      </c>
      <c r="X203" s="1" t="str">
        <f t="shared" si="88"/>
        <v>-0.269533634407101+0.858834540298525i</v>
      </c>
      <c r="Y203" s="1">
        <f t="shared" si="89"/>
        <v>-0.91383561146473224</v>
      </c>
      <c r="Z203" s="1">
        <f t="shared" si="90"/>
        <v>107.42376158015736</v>
      </c>
    </row>
    <row r="204" spans="2:26" x14ac:dyDescent="0.15">
      <c r="B204" s="1">
        <v>9000</v>
      </c>
      <c r="C204" s="1">
        <f t="shared" si="91"/>
        <v>56548.667764616279</v>
      </c>
      <c r="D204" s="83" t="str">
        <f t="shared" si="92"/>
        <v>0.0299066125826616-0.0245880820988263i</v>
      </c>
      <c r="E204" s="1">
        <f t="shared" si="93"/>
        <v>-28.24204376777805</v>
      </c>
      <c r="F204" s="1">
        <f t="shared" si="94"/>
        <v>-39.425745363177406</v>
      </c>
      <c r="G204" s="1" t="str">
        <f t="shared" si="95"/>
        <v>10.6547973028403-389.497564781695i</v>
      </c>
      <c r="H204" s="1">
        <f t="shared" si="77"/>
        <v>51.813343583153433</v>
      </c>
      <c r="I204" s="1">
        <f t="shared" si="78"/>
        <v>-88.433051279544927</v>
      </c>
      <c r="J204" s="83" t="str">
        <f t="shared" si="96"/>
        <v>-4.77546865529147-3.30577379416012i</v>
      </c>
      <c r="K204" s="1">
        <f t="shared" si="79"/>
        <v>15.280580723451623</v>
      </c>
      <c r="L204" s="1">
        <f t="shared" si="80"/>
        <v>-145.3074410542151</v>
      </c>
      <c r="M204" s="1">
        <f t="shared" si="97"/>
        <v>0.192</v>
      </c>
      <c r="N204" s="1">
        <f t="shared" si="98"/>
        <v>2.5000000000000001E-2</v>
      </c>
      <c r="O204" s="1" t="str">
        <f t="shared" si="99"/>
        <v>2.33143328170177-0.471615906807136i</v>
      </c>
      <c r="P204" s="1">
        <f t="shared" si="81"/>
        <v>7.5266315117854399</v>
      </c>
      <c r="Q204" s="1">
        <f t="shared" si="82"/>
        <v>-11.43580787541042</v>
      </c>
      <c r="R204" s="1" t="str">
        <f t="shared" si="83"/>
        <v>0.208221162839875-0.567304301052328i</v>
      </c>
      <c r="S204" s="1">
        <f t="shared" si="84"/>
        <v>-4.374808584853807</v>
      </c>
      <c r="T204" s="1">
        <f t="shared" si="85"/>
        <v>-69.845039938193111</v>
      </c>
      <c r="U204" s="1" t="str">
        <f>IMPRODUCT(COMPLEX(-1,0),IMDIV(COMPLEX(1,C204*Calculations!$B$195*Calculations!$B$197),IMPRODUCT(COMPLEX(0,C204*Calculations!$B$184),COMPLEX((Calculations!$B$197+Calculations!$B$199),C204*Calculations!$B$195*Calculations!$B$197*Calculations!$B$199))))</f>
        <v>-1.42511098288115+0.0751800906750007i</v>
      </c>
      <c r="V204" s="1">
        <f t="shared" si="86"/>
        <v>3.0890432339006697</v>
      </c>
      <c r="W204" s="1">
        <f t="shared" si="87"/>
        <v>176.98022629194458</v>
      </c>
      <c r="X204" s="1" t="str">
        <f t="shared" si="88"/>
        <v>-0.254088277237958+0.824125675968143i</v>
      </c>
      <c r="Y204" s="1">
        <f t="shared" si="89"/>
        <v>-1.2857653509531353</v>
      </c>
      <c r="Z204" s="1">
        <f t="shared" si="90"/>
        <v>107.13518635375145</v>
      </c>
    </row>
    <row r="205" spans="2:26" x14ac:dyDescent="0.15">
      <c r="B205" s="1">
        <v>10000</v>
      </c>
      <c r="C205" s="1">
        <f t="shared" si="91"/>
        <v>62831.853071795864</v>
      </c>
      <c r="D205" s="83" t="str">
        <f t="shared" si="92"/>
        <v>0.0298679785661767-0.0221295614486526i</v>
      </c>
      <c r="E205" s="1">
        <f t="shared" si="93"/>
        <v>-28.595505267037463</v>
      </c>
      <c r="F205" s="1">
        <f t="shared" si="94"/>
        <v>-36.535212713667683</v>
      </c>
      <c r="G205" s="1" t="str">
        <f t="shared" si="95"/>
        <v>8.52249828616863-348.889070804889i</v>
      </c>
      <c r="H205" s="1">
        <f t="shared" si="77"/>
        <v>50.856337982308837</v>
      </c>
      <c r="I205" s="1">
        <f t="shared" si="78"/>
        <v>-88.600683901776335</v>
      </c>
      <c r="J205" s="83" t="str">
        <f t="shared" si="96"/>
        <v>-4.10984964031631-2.93432874609543i</v>
      </c>
      <c r="K205" s="1">
        <f t="shared" si="79"/>
        <v>14.06559753154191</v>
      </c>
      <c r="L205" s="1">
        <f t="shared" si="80"/>
        <v>-144.47412278692153</v>
      </c>
      <c r="M205" s="1">
        <f t="shared" si="97"/>
        <v>0.192</v>
      </c>
      <c r="N205" s="1">
        <f t="shared" si="98"/>
        <v>2.5000000000000001E-2</v>
      </c>
      <c r="O205" s="1" t="str">
        <f t="shared" si="99"/>
        <v>2.32655190216842-0.470698106712192i</v>
      </c>
      <c r="P205" s="1">
        <f t="shared" si="81"/>
        <v>7.5084771092898706</v>
      </c>
      <c r="Q205" s="1">
        <f t="shared" si="82"/>
        <v>-11.437455317887316</v>
      </c>
      <c r="R205" s="1" t="str">
        <f t="shared" si="83"/>
        <v>0.196634686270124-0.552016916969101i</v>
      </c>
      <c r="S205" s="1">
        <f t="shared" si="84"/>
        <v>-4.6421504195745644</v>
      </c>
      <c r="T205" s="1">
        <f t="shared" si="85"/>
        <v>-70.393524292665916</v>
      </c>
      <c r="U205" s="1" t="str">
        <f>IMPRODUCT(COMPLEX(-1,0),IMDIV(COMPLEX(1,C205*Calculations!$B$195*Calculations!$B$197),IMPRODUCT(COMPLEX(0,C205*Calculations!$B$184),COMPLEX((Calculations!$B$197+Calculations!$B$199),C205*Calculations!$B$195*Calculations!$B$197*Calculations!$B$199))))</f>
        <v>-1.42472719232951+0.0778489402775178i</v>
      </c>
      <c r="V205" s="1">
        <f t="shared" si="86"/>
        <v>3.087581553262011</v>
      </c>
      <c r="W205" s="1">
        <f t="shared" si="87"/>
        <v>176.87239454321846</v>
      </c>
      <c r="X205" s="1" t="str">
        <f t="shared" si="88"/>
        <v>-0.237176852482921+0.801781314179711i</v>
      </c>
      <c r="Y205" s="1">
        <f t="shared" si="89"/>
        <v>-1.5545688663125508</v>
      </c>
      <c r="Z205" s="1">
        <f t="shared" si="90"/>
        <v>106.47887025055255</v>
      </c>
    </row>
    <row r="206" spans="2:26" x14ac:dyDescent="0.15">
      <c r="B206" s="1">
        <v>20000</v>
      </c>
      <c r="C206" s="1">
        <f t="shared" si="91"/>
        <v>125663.70614359173</v>
      </c>
      <c r="D206" s="83" t="str">
        <f t="shared" si="92"/>
        <v>0.0297444446440822-0.0110652404665676i</v>
      </c>
      <c r="E206" s="1">
        <f t="shared" si="93"/>
        <v>-29.96896557425864</v>
      </c>
      <c r="F206" s="1">
        <f t="shared" si="94"/>
        <v>-20.405720616150216</v>
      </c>
      <c r="G206" s="1" t="str">
        <f t="shared" si="95"/>
        <v>2.04707931996616-171.840591870459i</v>
      </c>
      <c r="H206" s="1">
        <f t="shared" si="77"/>
        <v>44.703131467661343</v>
      </c>
      <c r="I206" s="1">
        <f t="shared" si="78"/>
        <v>-89.317486885166048</v>
      </c>
      <c r="J206" s="83" t="str">
        <f t="shared" si="96"/>
        <v>-2.02032203034746-1.40391788870657i</v>
      </c>
      <c r="K206" s="1">
        <f t="shared" si="79"/>
        <v>7.8194818332894496</v>
      </c>
      <c r="L206" s="1">
        <f t="shared" si="80"/>
        <v>-145.20463750961176</v>
      </c>
      <c r="M206" s="1">
        <f t="shared" si="97"/>
        <v>0.192</v>
      </c>
      <c r="N206" s="1">
        <f t="shared" si="98"/>
        <v>2.5000000000000001E-2</v>
      </c>
      <c r="O206" s="1" t="str">
        <f t="shared" si="99"/>
        <v>2.25210014761941-0.588008718782821i</v>
      </c>
      <c r="P206" s="1">
        <f t="shared" si="81"/>
        <v>7.3381570049155531</v>
      </c>
      <c r="Q206" s="1">
        <f t="shared" si="82"/>
        <v>-14.632886541382131</v>
      </c>
      <c r="R206" s="1" t="str">
        <f t="shared" si="83"/>
        <v>0.0403672645520202-0.565515402498717i</v>
      </c>
      <c r="S206" s="1">
        <f t="shared" si="84"/>
        <v>-4.9290388189070509</v>
      </c>
      <c r="T206" s="1">
        <f t="shared" si="85"/>
        <v>-85.917073906708467</v>
      </c>
      <c r="U206" s="1" t="str">
        <f>IMPRODUCT(COMPLEX(-1,0),IMDIV(COMPLEX(1,C206*Calculations!$B$195*Calculations!$B$197),IMPRODUCT(COMPLEX(0,C206*Calculations!$B$184),COMPLEX((Calculations!$B$197+Calculations!$B$199),C206*Calculations!$B$195*Calculations!$B$197*Calculations!$B$199))))</f>
        <v>-1.41869462512314+0.118984947509023i</v>
      </c>
      <c r="V206" s="1">
        <f t="shared" si="86"/>
        <v>3.0682200720272212</v>
      </c>
      <c r="W206" s="1">
        <f t="shared" si="87"/>
        <v>175.20586192270937</v>
      </c>
      <c r="X206" s="1" t="str">
        <f t="shared" si="88"/>
        <v>0.0100189992309789+0.807096758803084i</v>
      </c>
      <c r="Y206" s="1">
        <f t="shared" si="89"/>
        <v>-1.8608187468798305</v>
      </c>
      <c r="Z206" s="1">
        <f t="shared" si="90"/>
        <v>89.288788016000936</v>
      </c>
    </row>
    <row r="207" spans="2:26" x14ac:dyDescent="0.15">
      <c r="B207" s="1">
        <v>30000</v>
      </c>
      <c r="C207" s="1">
        <f t="shared" si="91"/>
        <v>188495.55921538759</v>
      </c>
      <c r="D207" s="83" t="str">
        <f t="shared" si="92"/>
        <v>0.0297215668652842-0.0073768837388082i</v>
      </c>
      <c r="E207" s="1">
        <f t="shared" si="93"/>
        <v>-30.278944254809026</v>
      </c>
      <c r="F207" s="1">
        <f t="shared" si="94"/>
        <v>-13.939120013738014</v>
      </c>
      <c r="G207" s="1" t="str">
        <f t="shared" si="95"/>
        <v>0.903131103701349-114.244155240319i</v>
      </c>
      <c r="H207" s="1">
        <f t="shared" si="77"/>
        <v>41.156951210481481</v>
      </c>
      <c r="I207" s="1">
        <f t="shared" si="78"/>
        <v>-89.547070722327362</v>
      </c>
      <c r="J207" s="83" t="str">
        <f t="shared" si="96"/>
        <v>-1.63972203693737-0.928362792081396i</v>
      </c>
      <c r="K207" s="1">
        <f t="shared" si="79"/>
        <v>5.5029512310127711</v>
      </c>
      <c r="L207" s="1">
        <f t="shared" si="80"/>
        <v>-150.48272630191164</v>
      </c>
      <c r="M207" s="1">
        <f t="shared" si="97"/>
        <v>0.192</v>
      </c>
      <c r="N207" s="1">
        <f t="shared" si="98"/>
        <v>2.5000000000000001E-2</v>
      </c>
      <c r="O207" s="1" t="str">
        <f t="shared" si="99"/>
        <v>2.13806671599859-0.752104707763627i</v>
      </c>
      <c r="P207" s="1">
        <f t="shared" si="81"/>
        <v>7.1070878569297413</v>
      </c>
      <c r="Q207" s="1">
        <f t="shared" si="82"/>
        <v>-19.380270399327014</v>
      </c>
      <c r="R207" s="1" t="str">
        <f t="shared" si="83"/>
        <v>-0.179506517323287-0.59541910157545i</v>
      </c>
      <c r="S207" s="1">
        <f t="shared" si="84"/>
        <v>-4.1257361208778063</v>
      </c>
      <c r="T207" s="1">
        <f t="shared" si="85"/>
        <v>-106.77697038197051</v>
      </c>
      <c r="U207" s="1" t="str">
        <f>IMPRODUCT(COMPLEX(-1,0),IMDIV(COMPLEX(1,C207*Calculations!$B$195*Calculations!$B$197),IMPRODUCT(COMPLEX(0,C207*Calculations!$B$184),COMPLEX((Calculations!$B$197+Calculations!$B$199),C207*Calculations!$B$195*Calculations!$B$197*Calculations!$B$199))))</f>
        <v>-1.40875307555117+0.167282003956561i</v>
      </c>
      <c r="V207" s="1">
        <f t="shared" si="86"/>
        <v>3.0375067027837801</v>
      </c>
      <c r="W207" s="1">
        <f t="shared" si="87"/>
        <v>173.22813776950659</v>
      </c>
      <c r="X207" s="1" t="str">
        <f t="shared" si="88"/>
        <v>0.352483258866216+0.808770280645227i</v>
      </c>
      <c r="Y207" s="1">
        <f t="shared" si="89"/>
        <v>-1.0882294180940275</v>
      </c>
      <c r="Z207" s="1">
        <f t="shared" si="90"/>
        <v>66.451167387536088</v>
      </c>
    </row>
    <row r="208" spans="2:26" x14ac:dyDescent="0.15">
      <c r="B208" s="1">
        <v>40000</v>
      </c>
      <c r="C208" s="1">
        <f t="shared" si="91"/>
        <v>251327.41228718346</v>
      </c>
      <c r="D208" s="83" t="str">
        <f t="shared" si="92"/>
        <v>0.029713559559529-0.00553267770404875i</v>
      </c>
      <c r="E208" s="1">
        <f t="shared" si="93"/>
        <v>-30.39288527221612</v>
      </c>
      <c r="F208" s="1">
        <f t="shared" si="94"/>
        <v>-10.547707583420026</v>
      </c>
      <c r="G208" s="1" t="str">
        <f t="shared" si="95"/>
        <v>0.506703607062673-85.6003889984973i</v>
      </c>
      <c r="H208" s="1">
        <f t="shared" si="77"/>
        <v>38.649666936856512</v>
      </c>
      <c r="I208" s="1">
        <f t="shared" si="78"/>
        <v>-89.660846879226227</v>
      </c>
      <c r="J208" s="83" t="str">
        <f t="shared" si="96"/>
        <v>-1.50697348890957-0.694293882148139i</v>
      </c>
      <c r="K208" s="1">
        <f t="shared" si="79"/>
        <v>4.3980827654538537</v>
      </c>
      <c r="L208" s="1">
        <f t="shared" si="80"/>
        <v>-155.26349761713479</v>
      </c>
      <c r="M208" s="1">
        <f t="shared" si="97"/>
        <v>0.192</v>
      </c>
      <c r="N208" s="1">
        <f t="shared" si="98"/>
        <v>2.5000000000000001E-2</v>
      </c>
      <c r="O208" s="1" t="str">
        <f t="shared" si="99"/>
        <v>1.99653631279602-0.899275900874515i</v>
      </c>
      <c r="P208" s="1">
        <f t="shared" si="81"/>
        <v>6.8077542344564925</v>
      </c>
      <c r="Q208" s="1">
        <f t="shared" si="82"/>
        <v>-24.247658928661092</v>
      </c>
      <c r="R208" s="1" t="str">
        <f t="shared" si="83"/>
        <v>-0.405747106334841-0.53464178059351i</v>
      </c>
      <c r="S208" s="1">
        <f t="shared" si="84"/>
        <v>-3.4633167011939476</v>
      </c>
      <c r="T208" s="1">
        <f t="shared" si="85"/>
        <v>-127.19536988394194</v>
      </c>
      <c r="U208" s="1" t="str">
        <f>IMPRODUCT(COMPLEX(-1,0),IMDIV(COMPLEX(1,C208*Calculations!$B$195*Calculations!$B$197),IMPRODUCT(COMPLEX(0,C208*Calculations!$B$184),COMPLEX((Calculations!$B$197+Calculations!$B$199),C208*Calculations!$B$195*Calculations!$B$197*Calculations!$B$199))))</f>
        <v>-1.39506670891791+0.21627997283595i</v>
      </c>
      <c r="V208" s="1">
        <f t="shared" si="86"/>
        <v>2.9950471623813293</v>
      </c>
      <c r="W208" s="1">
        <f t="shared" si="87"/>
        <v>171.1874769415069</v>
      </c>
      <c r="X208" s="1" t="str">
        <f t="shared" si="88"/>
        <v>0.68167659007124+0.658105976166235i</v>
      </c>
      <c r="Y208" s="1">
        <f t="shared" si="89"/>
        <v>-0.46826953881261701</v>
      </c>
      <c r="Z208" s="1">
        <f t="shared" si="90"/>
        <v>43.992107057565015</v>
      </c>
    </row>
    <row r="209" spans="1:26" x14ac:dyDescent="0.15">
      <c r="B209" s="1">
        <v>50000</v>
      </c>
      <c r="C209" s="1">
        <f t="shared" si="91"/>
        <v>314159.26535897929</v>
      </c>
      <c r="D209" s="83" t="str">
        <f t="shared" si="92"/>
        <v>0.029709853306264-0.00442614768049662i</v>
      </c>
      <c r="E209" s="1">
        <f t="shared" si="93"/>
        <v>-30.446653275274844</v>
      </c>
      <c r="F209" s="1">
        <f t="shared" si="94"/>
        <v>-8.4735518305496083</v>
      </c>
      <c r="G209" s="1" t="str">
        <f t="shared" si="95"/>
        <v>0.323903827323067-68.4497183527748i</v>
      </c>
      <c r="H209" s="1">
        <f t="shared" si="77"/>
        <v>36.707530555226057</v>
      </c>
      <c r="I209" s="1">
        <f t="shared" si="78"/>
        <v>-89.728878595789993</v>
      </c>
      <c r="J209" s="83" t="str">
        <f t="shared" si="96"/>
        <v>-1.44561059526664-0.554704303750593i</v>
      </c>
      <c r="K209" s="1">
        <f t="shared" si="79"/>
        <v>3.7975623518627764</v>
      </c>
      <c r="L209" s="1">
        <f t="shared" si="80"/>
        <v>-159.00737942955502</v>
      </c>
      <c r="M209" s="1">
        <f t="shared" si="97"/>
        <v>0.192</v>
      </c>
      <c r="N209" s="1">
        <f t="shared" si="98"/>
        <v>2.5000000000000001E-2</v>
      </c>
      <c r="O209" s="1" t="str">
        <f t="shared" si="99"/>
        <v>1.83994163169035-1.01612092974564i</v>
      </c>
      <c r="P209" s="1">
        <f t="shared" si="81"/>
        <v>6.4521459863442923</v>
      </c>
      <c r="Q209" s="1">
        <f t="shared" si="82"/>
        <v>-28.90998924838804</v>
      </c>
      <c r="R209" s="1" t="str">
        <f t="shared" si="83"/>
        <v>-0.572097379564649-0.389654771791667i</v>
      </c>
      <c r="S209" s="1">
        <f t="shared" si="84"/>
        <v>-3.1955003208358934</v>
      </c>
      <c r="T209" s="1">
        <f t="shared" si="85"/>
        <v>-145.74127424461605</v>
      </c>
      <c r="U209" s="1" t="str">
        <f>IMPRODUCT(COMPLEX(-1,0),IMDIV(COMPLEX(1,C209*Calculations!$B$195*Calculations!$B$197),IMPRODUCT(COMPLEX(0,C209*Calculations!$B$184),COMPLEX((Calculations!$B$197+Calculations!$B$199),C209*Calculations!$B$195*Calculations!$B$197*Calculations!$B$199))))</f>
        <v>-1.3778558890664+0.2643884939788i</v>
      </c>
      <c r="V209" s="1">
        <f t="shared" si="86"/>
        <v>2.941107367278069</v>
      </c>
      <c r="W209" s="1">
        <f t="shared" si="87"/>
        <v>169.13788502737827</v>
      </c>
      <c r="X209" s="1" t="str">
        <f t="shared" si="88"/>
        <v>0.891287981838259+0.385632157423657i</v>
      </c>
      <c r="Y209" s="1">
        <f t="shared" si="89"/>
        <v>-0.25439295355782554</v>
      </c>
      <c r="Z209" s="1">
        <f t="shared" si="90"/>
        <v>23.396610782762245</v>
      </c>
    </row>
    <row r="210" spans="1:26" x14ac:dyDescent="0.15">
      <c r="B210" s="1">
        <v>60000</v>
      </c>
      <c r="C210" s="1">
        <f t="shared" si="91"/>
        <v>376991.11843077518</v>
      </c>
      <c r="D210" s="83" t="str">
        <f t="shared" si="92"/>
        <v>0.0297078400290127-0.00368845889794268i</v>
      </c>
      <c r="E210" s="1">
        <f t="shared" si="93"/>
        <v>-30.476142080701884</v>
      </c>
      <c r="F210" s="1">
        <f t="shared" si="94"/>
        <v>-7.0774970972982372</v>
      </c>
      <c r="G210" s="1" t="str">
        <f t="shared" si="95"/>
        <v>0.224787582977778-57.0275921631291i</v>
      </c>
      <c r="H210" s="1">
        <f t="shared" si="77"/>
        <v>35.121768178048484</v>
      </c>
      <c r="I210" s="1">
        <f t="shared" si="78"/>
        <v>-89.774156463560502</v>
      </c>
      <c r="J210" s="83" t="str">
        <f t="shared" si="96"/>
        <v>-1.4122990456827-0.461923146030429i</v>
      </c>
      <c r="K210" s="1">
        <f t="shared" si="79"/>
        <v>3.4399151354101365</v>
      </c>
      <c r="L210" s="1">
        <f t="shared" si="80"/>
        <v>-161.88854054339518</v>
      </c>
      <c r="M210" s="1">
        <f t="shared" si="97"/>
        <v>0.192</v>
      </c>
      <c r="N210" s="1">
        <f t="shared" si="98"/>
        <v>2.5000000000000001E-2</v>
      </c>
      <c r="O210" s="1" t="str">
        <f t="shared" si="99"/>
        <v>1.67898908871422-1.10089832258427i</v>
      </c>
      <c r="P210" s="1">
        <f t="shared" si="81"/>
        <v>6.0541080247215637</v>
      </c>
      <c r="Q210" s="1">
        <f t="shared" si="82"/>
        <v>-33.252502072606326</v>
      </c>
      <c r="R210" s="1" t="str">
        <f t="shared" si="83"/>
        <v>-0.649014290921007-0.21334692353398i</v>
      </c>
      <c r="S210" s="1">
        <f t="shared" si="84"/>
        <v>-3.3092827242723661</v>
      </c>
      <c r="T210" s="1">
        <f t="shared" si="85"/>
        <v>-161.80303688028016</v>
      </c>
      <c r="U210" s="1" t="str">
        <f>IMPRODUCT(COMPLEX(-1,0),IMDIV(COMPLEX(1,C210*Calculations!$B$195*Calculations!$B$197),IMPRODUCT(COMPLEX(0,C210*Calculations!$B$184),COMPLEX((Calculations!$B$197+Calculations!$B$199),C210*Calculations!$B$195*Calculations!$B$197*Calculations!$B$199))))</f>
        <v>-1.35738857058364+0.310866915750943i</v>
      </c>
      <c r="V210" s="1">
        <f t="shared" si="86"/>
        <v>2.8760960634729775</v>
      </c>
      <c r="W210" s="1">
        <f t="shared" si="87"/>
        <v>167.10066448562614</v>
      </c>
      <c r="X210" s="1" t="str">
        <f t="shared" si="88"/>
        <v>0.947287080745581+0.0878376046773075i</v>
      </c>
      <c r="Y210" s="1">
        <f t="shared" si="89"/>
        <v>-0.43318666079938906</v>
      </c>
      <c r="Z210" s="1">
        <f t="shared" si="90"/>
        <v>5.2976276053459666</v>
      </c>
    </row>
    <row r="211" spans="1:26" x14ac:dyDescent="0.15">
      <c r="B211" s="1">
        <v>70000</v>
      </c>
      <c r="C211" s="1">
        <f t="shared" si="91"/>
        <v>439822.97150257102</v>
      </c>
      <c r="D211" s="83" t="str">
        <f t="shared" si="92"/>
        <v>0.0297066260850111-0.00316153748903608i</v>
      </c>
      <c r="E211" s="1">
        <f t="shared" si="93"/>
        <v>-30.494020170713156</v>
      </c>
      <c r="F211" s="1">
        <f t="shared" si="94"/>
        <v>-6.0748558002252482</v>
      </c>
      <c r="G211" s="1" t="str">
        <f t="shared" si="95"/>
        <v>0.165085587405135-48.8736430277229i</v>
      </c>
      <c r="H211" s="1">
        <f t="shared" si="77"/>
        <v>33.781543799292855</v>
      </c>
      <c r="I211" s="1">
        <f t="shared" si="78"/>
        <v>-89.80646682224193</v>
      </c>
      <c r="J211" s="83" t="str">
        <f t="shared" si="96"/>
        <v>-1.39222050085349-0.395763452920629i</v>
      </c>
      <c r="K211" s="1">
        <f t="shared" si="79"/>
        <v>3.2116467198588445</v>
      </c>
      <c r="L211" s="1">
        <f t="shared" si="80"/>
        <v>-164.131256187601</v>
      </c>
      <c r="M211" s="1">
        <f t="shared" si="97"/>
        <v>0.192</v>
      </c>
      <c r="N211" s="1">
        <f t="shared" si="98"/>
        <v>2.5000000000000001E-2</v>
      </c>
      <c r="O211" s="1" t="str">
        <f t="shared" si="99"/>
        <v>1.52167541022384-1.15652891551198i</v>
      </c>
      <c r="P211" s="1">
        <f t="shared" si="81"/>
        <v>5.6265623312330684</v>
      </c>
      <c r="Q211" s="1">
        <f t="shared" si="82"/>
        <v>-37.236161070685164</v>
      </c>
      <c r="R211" s="1" t="str">
        <f t="shared" si="83"/>
        <v>-0.651135549145186-0.0541386416647161i</v>
      </c>
      <c r="S211" s="1">
        <f t="shared" si="84"/>
        <v>-3.6966520224005683</v>
      </c>
      <c r="T211" s="1">
        <f t="shared" si="85"/>
        <v>-175.24707682234279</v>
      </c>
      <c r="U211" s="1" t="str">
        <f>IMPRODUCT(COMPLEX(-1,0),IMDIV(COMPLEX(1,C211*Calculations!$B$195*Calculations!$B$197),IMPRODUCT(COMPLEX(0,C211*Calculations!$B$184),COMPLEX((Calculations!$B$197+Calculations!$B$199),C211*Calculations!$B$195*Calculations!$B$197*Calculations!$B$199))))</f>
        <v>-1.33397034459029+0.35525510498061i</v>
      </c>
      <c r="V211" s="1">
        <f t="shared" si="86"/>
        <v>2.8005067570670281</v>
      </c>
      <c r="W211" s="1">
        <f t="shared" si="87"/>
        <v>165.08744421260195</v>
      </c>
      <c r="X211" s="1" t="str">
        <f t="shared" si="88"/>
        <v>0.887828541696298-0.159099885391049i</v>
      </c>
      <c r="Y211" s="1">
        <f t="shared" si="89"/>
        <v>-0.89614526533353733</v>
      </c>
      <c r="Z211" s="1">
        <f t="shared" si="90"/>
        <v>-10.159632609740862</v>
      </c>
    </row>
    <row r="212" spans="1:26" x14ac:dyDescent="0.15">
      <c r="B212" s="1">
        <v>80000</v>
      </c>
      <c r="C212" s="1">
        <f t="shared" si="91"/>
        <v>502654.82457436691</v>
      </c>
      <c r="D212" s="83" t="str">
        <f t="shared" si="92"/>
        <v>0.0297058381881334-0.00276634603596328i</v>
      </c>
      <c r="E212" s="1">
        <f t="shared" si="93"/>
        <v>-30.505663256055449</v>
      </c>
      <c r="F212" s="1">
        <f t="shared" si="94"/>
        <v>-5.3203057165007417</v>
      </c>
      <c r="G212" s="1" t="str">
        <f t="shared" si="95"/>
        <v>0.126361627073492-42.7603778622459i</v>
      </c>
      <c r="H212" s="1">
        <f t="shared" si="77"/>
        <v>32.620868611367577</v>
      </c>
      <c r="I212" s="1">
        <f t="shared" si="78"/>
        <v>-89.830685152682037</v>
      </c>
      <c r="J212" s="83" t="str">
        <f t="shared" si="96"/>
        <v>-1.37919167826575-0.346196133541963i</v>
      </c>
      <c r="K212" s="1">
        <f t="shared" si="79"/>
        <v>3.0578575799034384</v>
      </c>
      <c r="L212" s="1">
        <f t="shared" si="80"/>
        <v>-165.90910038810691</v>
      </c>
      <c r="M212" s="1">
        <f t="shared" si="97"/>
        <v>0.192</v>
      </c>
      <c r="N212" s="1">
        <f t="shared" si="98"/>
        <v>2.5000000000000001E-2</v>
      </c>
      <c r="O212" s="1" t="str">
        <f t="shared" si="99"/>
        <v>1.3732167270007-1.18776587607207i</v>
      </c>
      <c r="P212" s="1">
        <f t="shared" si="81"/>
        <v>5.1805465516681313</v>
      </c>
      <c r="Q212" s="1">
        <f t="shared" si="82"/>
        <v>-40.858216066095871</v>
      </c>
      <c r="R212" s="1" t="str">
        <f t="shared" si="83"/>
        <v>-0.60974374118737+0.0673036083388118i</v>
      </c>
      <c r="S212" s="1">
        <f t="shared" si="84"/>
        <v>-4.2444592483244943</v>
      </c>
      <c r="T212" s="1">
        <f t="shared" si="85"/>
        <v>173.70118155613221</v>
      </c>
      <c r="U212" s="1" t="str">
        <f>IMPRODUCT(COMPLEX(-1,0),IMDIV(COMPLEX(1,C212*Calculations!$B$195*Calculations!$B$197),IMPRODUCT(COMPLEX(0,C212*Calculations!$B$184),COMPLEX((Calculations!$B$197+Calculations!$B$199),C212*Calculations!$B$195*Calculations!$B$197*Calculations!$B$199))))</f>
        <v>-1.30793379249252+0.397233445514156i</v>
      </c>
      <c r="V212" s="1">
        <f t="shared" si="86"/>
        <v>2.7148966588325427</v>
      </c>
      <c r="W212" s="1">
        <f t="shared" si="87"/>
        <v>163.10590450530381</v>
      </c>
      <c r="X212" s="1" t="str">
        <f t="shared" si="88"/>
        <v>0.770769199623813-0.330239270895564i</v>
      </c>
      <c r="Y212" s="1">
        <f t="shared" si="89"/>
        <v>-1.5295625894919516</v>
      </c>
      <c r="Z212" s="1">
        <f t="shared" si="90"/>
        <v>-23.19291393856394</v>
      </c>
    </row>
    <row r="213" spans="1:26" x14ac:dyDescent="0.15">
      <c r="B213" s="1">
        <v>90000</v>
      </c>
      <c r="C213" s="1">
        <f t="shared" si="91"/>
        <v>565486.6776461628</v>
      </c>
      <c r="D213" s="83" t="str">
        <f t="shared" si="92"/>
        <v>0.0297052980083866-0.00245897470092866i</v>
      </c>
      <c r="E213" s="1">
        <f t="shared" si="93"/>
        <v>-30.513663795083499</v>
      </c>
      <c r="F213" s="1">
        <f t="shared" si="94"/>
        <v>-4.7320980154182051</v>
      </c>
      <c r="G213" s="1" t="str">
        <f t="shared" si="95"/>
        <v>0.099823941490794-38.0067510195635i</v>
      </c>
      <c r="H213" s="1">
        <f t="shared" si="77"/>
        <v>31.597244875853999</v>
      </c>
      <c r="I213" s="1">
        <f t="shared" si="78"/>
        <v>-89.849514172176171</v>
      </c>
      <c r="J213" s="83" t="str">
        <f t="shared" si="96"/>
        <v>-1.37026049058449-0.307670866761602i</v>
      </c>
      <c r="K213" s="1">
        <f t="shared" si="79"/>
        <v>2.9496750814446298</v>
      </c>
      <c r="L213" s="1">
        <f t="shared" si="80"/>
        <v>-167.34500057192514</v>
      </c>
      <c r="M213" s="1">
        <f t="shared" si="97"/>
        <v>0.192</v>
      </c>
      <c r="N213" s="1">
        <f t="shared" si="98"/>
        <v>2.5000000000000001E-2</v>
      </c>
      <c r="O213" s="1" t="str">
        <f t="shared" si="99"/>
        <v>1.23649611320682-1.19970565642817i</v>
      </c>
      <c r="P213" s="1">
        <f t="shared" si="81"/>
        <v>4.7249554569444658</v>
      </c>
      <c r="Q213" s="1">
        <f t="shared" si="82"/>
        <v>-44.134809889527723</v>
      </c>
      <c r="R213" s="1" t="str">
        <f t="shared" si="83"/>
        <v>-0.550502651547025+0.151063058554351i</v>
      </c>
      <c r="S213" s="1">
        <f t="shared" si="84"/>
        <v>-4.8695133201218388</v>
      </c>
      <c r="T213" s="1">
        <f t="shared" si="85"/>
        <v>164.65521747832719</v>
      </c>
      <c r="U213" s="1" t="str">
        <f>IMPRODUCT(COMPLEX(-1,0),IMDIV(COMPLEX(1,C213*Calculations!$B$195*Calculations!$B$197),IMPRODUCT(COMPLEX(0,C213*Calculations!$B$184),COMPLEX((Calculations!$B$197+Calculations!$B$199),C213*Calculations!$B$195*Calculations!$B$197*Calculations!$B$199))))</f>
        <v>-1.27962778476547+0.436576333180636i</v>
      </c>
      <c r="V213" s="1">
        <f t="shared" si="86"/>
        <v>2.619871584392635</v>
      </c>
      <c r="W213" s="1">
        <f t="shared" si="87"/>
        <v>161.16166903911767</v>
      </c>
      <c r="X213" s="1" t="str">
        <f t="shared" si="88"/>
        <v>0.638487932323927-0.433640915996418i</v>
      </c>
      <c r="Y213" s="1">
        <f t="shared" si="89"/>
        <v>-2.2496417357292047</v>
      </c>
      <c r="Z213" s="1">
        <f t="shared" si="90"/>
        <v>-34.183113482555115</v>
      </c>
    </row>
    <row r="214" spans="1:26" x14ac:dyDescent="0.15">
      <c r="B214" s="1">
        <v>100000</v>
      </c>
      <c r="C214" s="1">
        <f t="shared" si="91"/>
        <v>628318.53071795858</v>
      </c>
      <c r="D214" s="83" t="str">
        <f t="shared" si="92"/>
        <v>0.029704911620871-0.00221307751843076i</v>
      </c>
      <c r="E214" s="1">
        <f t="shared" si="93"/>
        <v>-30.519395590536782</v>
      </c>
      <c r="F214" s="1">
        <f t="shared" si="94"/>
        <v>-4.2607827874098803</v>
      </c>
      <c r="G214" s="1" t="str">
        <f t="shared" si="95"/>
        <v>0.0808473454443949-34.2044835708819i</v>
      </c>
      <c r="H214" s="1">
        <f t="shared" si="77"/>
        <v>30.681685017371105</v>
      </c>
      <c r="I214" s="1">
        <f t="shared" si="78"/>
        <v>-89.864573220561269</v>
      </c>
      <c r="J214" s="83" t="str">
        <f t="shared" si="96"/>
        <v>-1.36387272828033-0.276865785818305i</v>
      </c>
      <c r="K214" s="1">
        <f t="shared" si="79"/>
        <v>2.8708555728037526</v>
      </c>
      <c r="L214" s="1">
        <f t="shared" si="80"/>
        <v>-168.52490224534046</v>
      </c>
      <c r="M214" s="1">
        <f t="shared" si="97"/>
        <v>0.192</v>
      </c>
      <c r="N214" s="1">
        <f t="shared" si="98"/>
        <v>2.5000000000000001E-2</v>
      </c>
      <c r="O214" s="1" t="str">
        <f t="shared" si="99"/>
        <v>1.11268187040715-1.19703061915885i</v>
      </c>
      <c r="P214" s="1">
        <f t="shared" si="81"/>
        <v>4.2666466025281</v>
      </c>
      <c r="Q214" s="1">
        <f t="shared" si="82"/>
        <v>-47.091464032317774</v>
      </c>
      <c r="R214" s="1" t="str">
        <f t="shared" si="83"/>
        <v>-0.488324923545562+0.205094267085178i</v>
      </c>
      <c r="S214" s="1">
        <f t="shared" si="84"/>
        <v>-5.5202860026694207</v>
      </c>
      <c r="T214" s="1">
        <f t="shared" si="85"/>
        <v>157.2178137726815</v>
      </c>
      <c r="U214" s="1" t="str">
        <f>IMPRODUCT(COMPLEX(-1,0),IMDIV(COMPLEX(1,C214*Calculations!$B$195*Calculations!$B$197),IMPRODUCT(COMPLEX(0,C214*Calculations!$B$184),COMPLEX((Calculations!$B$197+Calculations!$B$199),C214*Calculations!$B$195*Calculations!$B$197*Calculations!$B$199))))</f>
        <v>-1.24940728964469+0.47313222034123i</v>
      </c>
      <c r="V214" s="1">
        <f t="shared" si="86"/>
        <v>2.5160724048342544</v>
      </c>
      <c r="W214" s="1">
        <f t="shared" si="87"/>
        <v>159.25905791522086</v>
      </c>
      <c r="X214" s="1" t="str">
        <f t="shared" si="88"/>
        <v>0.513080013227744-0.48728852768563i</v>
      </c>
      <c r="Y214" s="1">
        <f t="shared" si="89"/>
        <v>-3.0042135978351587</v>
      </c>
      <c r="Z214" s="1">
        <f t="shared" si="90"/>
        <v>-43.52312831209764</v>
      </c>
    </row>
    <row r="215" spans="1:26" x14ac:dyDescent="0.15">
      <c r="B215" s="1">
        <v>200000</v>
      </c>
      <c r="C215" s="1">
        <f t="shared" si="91"/>
        <v>1256637.0614359172</v>
      </c>
      <c r="D215" s="83" t="str">
        <f t="shared" si="92"/>
        <v>0.0297036761969561-0.00110653921898914i</v>
      </c>
      <c r="E215" s="1">
        <f t="shared" si="93"/>
        <v>-30.537773189879548</v>
      </c>
      <c r="F215" s="1">
        <f t="shared" si="94"/>
        <v>-2.133430325582129</v>
      </c>
      <c r="G215" s="1" t="str">
        <f t="shared" si="95"/>
        <v>0.0202038077626687-17.0996965852625i</v>
      </c>
      <c r="H215" s="1">
        <f t="shared" si="77"/>
        <v>24.659774150747921</v>
      </c>
      <c r="I215" s="1">
        <f t="shared" si="78"/>
        <v>-89.932303338222923</v>
      </c>
      <c r="J215" s="83" t="str">
        <f t="shared" si="96"/>
        <v>-1.34345241242825-0.138372171608268i</v>
      </c>
      <c r="K215" s="1">
        <f t="shared" si="79"/>
        <v>2.6102751078458626</v>
      </c>
      <c r="L215" s="1">
        <f t="shared" si="80"/>
        <v>-174.11941702958461</v>
      </c>
      <c r="M215" s="1">
        <f t="shared" si="97"/>
        <v>0.192</v>
      </c>
      <c r="N215" s="1">
        <f t="shared" si="98"/>
        <v>2.5000000000000001E-2</v>
      </c>
      <c r="O215" s="1" t="str">
        <f t="shared" si="99"/>
        <v>0.43109665747445-0.921365475581154i</v>
      </c>
      <c r="P215" s="1">
        <f t="shared" si="81"/>
        <v>0.14839072965225752</v>
      </c>
      <c r="Q215" s="1">
        <f t="shared" si="82"/>
        <v>-64.925629143065763</v>
      </c>
      <c r="R215" s="1" t="str">
        <f t="shared" si="83"/>
        <v>-0.155930332307336+0.238718085387566i</v>
      </c>
      <c r="S215" s="1">
        <f t="shared" si="84"/>
        <v>-10.899062876223427</v>
      </c>
      <c r="T215" s="1">
        <f t="shared" si="85"/>
        <v>123.15251546466952</v>
      </c>
      <c r="U215" s="1" t="str">
        <f>IMPRODUCT(COMPLEX(-1,0),IMDIV(COMPLEX(1,C215*Calculations!$B$195*Calculations!$B$197),IMPRODUCT(COMPLEX(0,C215*Calculations!$B$184),COMPLEX((Calculations!$B$197+Calculations!$B$199),C215*Calculations!$B$195*Calculations!$B$197*Calculations!$B$199))))</f>
        <v>-0.910053620341282+0.686935179131645i</v>
      </c>
      <c r="V215" s="1">
        <f t="shared" si="86"/>
        <v>1.1396925293251907</v>
      </c>
      <c r="W215" s="1">
        <f t="shared" si="87"/>
        <v>142.95342373719313</v>
      </c>
      <c r="X215" s="1" t="str">
        <f t="shared" si="88"/>
        <v>-0.0220788873103607-0.324360288603491i</v>
      </c>
      <c r="Y215" s="1">
        <f t="shared" si="89"/>
        <v>-9.7593703468982245</v>
      </c>
      <c r="Z215" s="1">
        <f t="shared" si="90"/>
        <v>-93.894060798137332</v>
      </c>
    </row>
    <row r="216" spans="1:26" x14ac:dyDescent="0.15">
      <c r="B216" s="1">
        <v>300000</v>
      </c>
      <c r="C216" s="1">
        <f t="shared" si="91"/>
        <v>1884955.5921538759</v>
      </c>
      <c r="D216" s="83" t="str">
        <f t="shared" si="92"/>
        <v>0.0297034474146369-0.000737692869421646i</v>
      </c>
      <c r="E216" s="1">
        <f t="shared" si="93"/>
        <v>-30.541185001283687</v>
      </c>
      <c r="F216" s="1">
        <f t="shared" si="94"/>
        <v>-1.4226631921380701</v>
      </c>
      <c r="G216" s="1" t="str">
        <f t="shared" si="95"/>
        <v>0.0089788095141003-11.3994835524578i</v>
      </c>
      <c r="H216" s="1">
        <f t="shared" si="77"/>
        <v>21.137706220363988</v>
      </c>
      <c r="I216" s="1">
        <f t="shared" si="78"/>
        <v>-89.954870956964342</v>
      </c>
      <c r="J216" s="83" t="str">
        <f t="shared" si="96"/>
        <v>-1.33967149321604-0.0922406201252128i</v>
      </c>
      <c r="K216" s="1">
        <f t="shared" si="79"/>
        <v>2.5605065240481144</v>
      </c>
      <c r="L216" s="1">
        <f t="shared" si="80"/>
        <v>-176.06122075260075</v>
      </c>
      <c r="M216" s="1">
        <f t="shared" si="97"/>
        <v>0.192</v>
      </c>
      <c r="N216" s="1">
        <f t="shared" si="98"/>
        <v>2.5000000000000001E-2</v>
      </c>
      <c r="O216" s="1" t="str">
        <f t="shared" si="99"/>
        <v>0.213315497697528-0.683015372789783i</v>
      </c>
      <c r="P216" s="1">
        <f t="shared" si="81"/>
        <v>-2.9071858718159116</v>
      </c>
      <c r="Q216" s="1">
        <f t="shared" si="82"/>
        <v>-72.655666832027109</v>
      </c>
      <c r="R216" s="1" t="str">
        <f t="shared" si="83"/>
        <v>-0.0717239991556346+0.177705720273769i</v>
      </c>
      <c r="S216" s="1">
        <f t="shared" si="84"/>
        <v>-14.350541003740599</v>
      </c>
      <c r="T216" s="1">
        <f t="shared" si="85"/>
        <v>111.97954926272297</v>
      </c>
      <c r="U216" s="1" t="str">
        <f>IMPRODUCT(COMPLEX(-1,0),IMDIV(COMPLEX(1,C216*Calculations!$B$195*Calculations!$B$197),IMPRODUCT(COMPLEX(0,C216*Calculations!$B$184),COMPLEX((Calculations!$B$197+Calculations!$B$199),C216*Calculations!$B$195*Calculations!$B$197*Calculations!$B$199))))</f>
        <v>-0.626462628341604+0.708866328915262i</v>
      </c>
      <c r="V216" s="1">
        <f t="shared" si="86"/>
        <v>-0.48202733436522044</v>
      </c>
      <c r="W216" s="1">
        <f t="shared" si="87"/>
        <v>131.46873183972235</v>
      </c>
      <c r="X216" s="1" t="str">
        <f t="shared" si="88"/>
        <v>-0.0810371965314992-0.162168720570619i</v>
      </c>
      <c r="Y216" s="1">
        <f t="shared" si="89"/>
        <v>-14.83256833810583</v>
      </c>
      <c r="Z216" s="1">
        <f t="shared" si="90"/>
        <v>-116.55171889755469</v>
      </c>
    </row>
    <row r="217" spans="1:26" x14ac:dyDescent="0.15">
      <c r="B217" s="1">
        <v>400000</v>
      </c>
      <c r="C217" s="1">
        <f t="shared" si="91"/>
        <v>2513274.1228718343</v>
      </c>
      <c r="D217" s="83" t="str">
        <f t="shared" si="92"/>
        <v>0.0297033673408169-0.00055326966696632i</v>
      </c>
      <c r="E217" s="1">
        <f t="shared" si="93"/>
        <v>-30.542379768905519</v>
      </c>
      <c r="F217" s="1">
        <f t="shared" si="94"/>
        <v>-1.0670962379605857</v>
      </c>
      <c r="G217" s="1" t="str">
        <f t="shared" si="95"/>
        <v>0.00505045030331495-8.54953019727679i</v>
      </c>
      <c r="H217" s="1">
        <f t="shared" si="77"/>
        <v>18.638846527419993</v>
      </c>
      <c r="I217" s="1">
        <f t="shared" si="78"/>
        <v>-89.966153759717329</v>
      </c>
      <c r="J217" s="83" t="str">
        <f t="shared" si="96"/>
        <v>-1.33834821731417-0.0691784979658234i</v>
      </c>
      <c r="K217" s="1">
        <f t="shared" si="79"/>
        <v>2.5429705036488666</v>
      </c>
      <c r="L217" s="1">
        <f t="shared" si="80"/>
        <v>-177.04104541053388</v>
      </c>
      <c r="M217" s="1">
        <f t="shared" si="97"/>
        <v>0.192</v>
      </c>
      <c r="N217" s="1">
        <f t="shared" si="98"/>
        <v>2.5000000000000001E-2</v>
      </c>
      <c r="O217" s="1" t="str">
        <f t="shared" si="99"/>
        <v>0.124946755954028-0.533190580281755i</v>
      </c>
      <c r="P217" s="1">
        <f t="shared" si="81"/>
        <v>-5.2301790579058487</v>
      </c>
      <c r="Q217" s="1">
        <f t="shared" si="82"/>
        <v>-76.811404793373825</v>
      </c>
      <c r="R217" s="1" t="str">
        <f t="shared" si="83"/>
        <v>-0.0407913107276208+0.138163644201315i</v>
      </c>
      <c r="S217" s="1">
        <f t="shared" si="84"/>
        <v>-16.829165271720075</v>
      </c>
      <c r="T217" s="1">
        <f t="shared" si="85"/>
        <v>106.44866137021408</v>
      </c>
      <c r="U217" s="1" t="str">
        <f>IMPRODUCT(COMPLEX(-1,0),IMDIV(COMPLEX(1,C217*Calculations!$B$195*Calculations!$B$197),IMPRODUCT(COMPLEX(0,C217*Calculations!$B$184),COMPLEX((Calculations!$B$197+Calculations!$B$199),C217*Calculations!$B$195*Calculations!$B$197*Calculations!$B$199))))</f>
        <v>-0.436173870589352+0.657919444666363i</v>
      </c>
      <c r="V217" s="1">
        <f t="shared" si="86"/>
        <v>-2.054383170039999</v>
      </c>
      <c r="W217" s="1">
        <f t="shared" si="87"/>
        <v>123.54276163253273</v>
      </c>
      <c r="X217" s="1" t="str">
        <f t="shared" si="88"/>
        <v>-0.0731084441795308-0.087100767967147i</v>
      </c>
      <c r="Y217" s="1">
        <f t="shared" si="89"/>
        <v>-18.883548441760077</v>
      </c>
      <c r="Z217" s="1">
        <f t="shared" si="90"/>
        <v>-130.00857699725319</v>
      </c>
    </row>
    <row r="218" spans="1:26" x14ac:dyDescent="0.15">
      <c r="B218" s="1">
        <v>500000</v>
      </c>
      <c r="C218" s="1">
        <f t="shared" si="91"/>
        <v>3141592.653589793</v>
      </c>
      <c r="D218" s="83" t="str">
        <f t="shared" si="92"/>
        <v>0.0297033302780759-0.000442615739090344i</v>
      </c>
      <c r="E218" s="1">
        <f t="shared" si="93"/>
        <v>-30.54293288695078</v>
      </c>
      <c r="F218" s="1">
        <f t="shared" si="94"/>
        <v>-0.85371359967715954</v>
      </c>
      <c r="G218" s="1" t="str">
        <f t="shared" si="95"/>
        <v>0.0032322496709536-6.83959362184279i</v>
      </c>
      <c r="H218" s="1">
        <f t="shared" si="77"/>
        <v>16.700606942813355</v>
      </c>
      <c r="I218" s="1">
        <f t="shared" si="78"/>
        <v>-89.972923208463698</v>
      </c>
      <c r="J218" s="83" t="str">
        <f t="shared" si="96"/>
        <v>-1.33773573765453-0.0553420699901495i</v>
      </c>
      <c r="K218" s="1">
        <f t="shared" si="79"/>
        <v>2.534833069310074</v>
      </c>
      <c r="L218" s="1">
        <f t="shared" si="80"/>
        <v>-177.63102692512956</v>
      </c>
      <c r="M218" s="1">
        <f t="shared" si="97"/>
        <v>0.192</v>
      </c>
      <c r="N218" s="1">
        <f t="shared" si="98"/>
        <v>2.5000000000000001E-2</v>
      </c>
      <c r="O218" s="1" t="str">
        <f t="shared" si="99"/>
        <v>0.0815247287949559-0.434779643108068i</v>
      </c>
      <c r="P218" s="1">
        <f t="shared" si="81"/>
        <v>-7.0845440486962419</v>
      </c>
      <c r="Q218" s="1">
        <f t="shared" si="82"/>
        <v>-79.379893335478954</v>
      </c>
      <c r="R218" s="1" t="str">
        <f t="shared" si="83"/>
        <v>-0.0262349340131806+0.112337791220233i</v>
      </c>
      <c r="S218" s="1">
        <f t="shared" si="84"/>
        <v>-18.758855402397266</v>
      </c>
      <c r="T218" s="1">
        <f t="shared" si="85"/>
        <v>103.14504174038625</v>
      </c>
      <c r="U218" s="1" t="str">
        <f>IMPRODUCT(COMPLEX(-1,0),IMDIV(COMPLEX(1,C218*Calculations!$B$195*Calculations!$B$197),IMPRODUCT(COMPLEX(0,C218*Calculations!$B$184),COMPLEX((Calculations!$B$197+Calculations!$B$199),C218*Calculations!$B$195*Calculations!$B$197*Calculations!$B$199))))</f>
        <v>-0.313672919963588+0.591365810680288i</v>
      </c>
      <c r="V218" s="1">
        <f t="shared" si="86"/>
        <v>-3.486209634452659</v>
      </c>
      <c r="W218" s="1">
        <f t="shared" si="87"/>
        <v>117.94242382698944</v>
      </c>
      <c r="X218" s="1" t="str">
        <f t="shared" si="88"/>
        <v>-0.0582035406180196-0.0507517660151588i</v>
      </c>
      <c r="Y218" s="1">
        <f t="shared" si="89"/>
        <v>-22.245065036849926</v>
      </c>
      <c r="Z218" s="1">
        <f t="shared" si="90"/>
        <v>-138.91253443262428</v>
      </c>
    </row>
    <row r="219" spans="1:26" x14ac:dyDescent="0.15">
      <c r="B219" s="1">
        <v>600000</v>
      </c>
      <c r="C219" s="1">
        <f t="shared" si="91"/>
        <v>3769911.1843077517</v>
      </c>
      <c r="D219" s="83" t="str">
        <f t="shared" si="92"/>
        <v>0.0297033101452286-0.000368846451739492i</v>
      </c>
      <c r="E219" s="1">
        <f t="shared" si="93"/>
        <v>-30.543233375670876</v>
      </c>
      <c r="F219" s="1">
        <f t="shared" si="94"/>
        <v>-0.71144457380070703</v>
      </c>
      <c r="G219" s="1" t="str">
        <f t="shared" si="95"/>
        <v>0.00224460329515282-5.69964752875263i</v>
      </c>
      <c r="H219" s="1">
        <f t="shared" si="77"/>
        <v>15.116960660501935</v>
      </c>
      <c r="I219" s="1">
        <f t="shared" si="78"/>
        <v>-89.977436097899712</v>
      </c>
      <c r="J219" s="83" t="str">
        <f t="shared" si="96"/>
        <v>-1.33740303478766-0.0461180619417198i</v>
      </c>
      <c r="K219" s="1">
        <f t="shared" si="79"/>
        <v>2.5304072041718673</v>
      </c>
      <c r="L219" s="1">
        <f t="shared" si="80"/>
        <v>-178.02503535499733</v>
      </c>
      <c r="M219" s="1">
        <f t="shared" si="97"/>
        <v>0.192</v>
      </c>
      <c r="N219" s="1">
        <f t="shared" si="98"/>
        <v>2.5000000000000001E-2</v>
      </c>
      <c r="O219" s="1" t="str">
        <f t="shared" si="99"/>
        <v>0.0572203001073894-0.36615383945975i</v>
      </c>
      <c r="P219" s="1">
        <f t="shared" si="81"/>
        <v>-8.6219411273100608</v>
      </c>
      <c r="Q219" s="1">
        <f t="shared" si="82"/>
        <v>-81.118002346136663</v>
      </c>
      <c r="R219" s="1" t="str">
        <f t="shared" si="83"/>
        <v>-0.018266449827927+0.0944320558263648i</v>
      </c>
      <c r="S219" s="1">
        <f t="shared" si="84"/>
        <v>-20.338077344316318</v>
      </c>
      <c r="T219" s="1">
        <f t="shared" si="85"/>
        <v>100.94779178126279</v>
      </c>
      <c r="U219" s="1" t="str">
        <f>IMPRODUCT(COMPLEX(-1,0),IMDIV(COMPLEX(1,C219*Calculations!$B$195*Calculations!$B$197),IMPRODUCT(COMPLEX(0,C219*Calculations!$B$184),COMPLEX((Calculations!$B$197+Calculations!$B$199),C219*Calculations!$B$195*Calculations!$B$197*Calculations!$B$199))))</f>
        <v>-0.233515229001291+0.528264941744562i</v>
      </c>
      <c r="V219" s="1">
        <f t="shared" si="86"/>
        <v>-4.767827965221735</v>
      </c>
      <c r="W219" s="1">
        <f t="shared" si="87"/>
        <v>113.84743610551307</v>
      </c>
      <c r="X219" s="1" t="str">
        <f t="shared" si="88"/>
        <v>-0.0456196502553249-0.0317008481955861i</v>
      </c>
      <c r="Y219" s="1">
        <f t="shared" si="89"/>
        <v>-25.105905309538045</v>
      </c>
      <c r="Z219" s="1">
        <f t="shared" si="90"/>
        <v>-145.20477211322415</v>
      </c>
    </row>
    <row r="220" spans="1:26" x14ac:dyDescent="0.15">
      <c r="B220" s="1">
        <v>700000</v>
      </c>
      <c r="C220" s="1">
        <f t="shared" si="91"/>
        <v>4398229.7150257099</v>
      </c>
      <c r="D220" s="83" t="str">
        <f t="shared" si="92"/>
        <v>0.0297032980057565-0.000316154102781796i</v>
      </c>
      <c r="E220" s="1">
        <f t="shared" si="93"/>
        <v>-30.543414570941785</v>
      </c>
      <c r="F220" s="1">
        <f t="shared" si="94"/>
        <v>-0.60981820123470842</v>
      </c>
      <c r="G220" s="1" t="str">
        <f t="shared" si="95"/>
        <v>0.00164908986092909-4.88540502349748i</v>
      </c>
      <c r="H220" s="1">
        <f t="shared" si="77"/>
        <v>13.778011987687256</v>
      </c>
      <c r="I220" s="1">
        <f t="shared" si="78"/>
        <v>-89.980659559437569</v>
      </c>
      <c r="J220" s="83" t="str">
        <f t="shared" si="96"/>
        <v>-1.33720242617819-0.03952959697217i</v>
      </c>
      <c r="K220" s="1">
        <f t="shared" si="79"/>
        <v>2.527736661445033</v>
      </c>
      <c r="L220" s="1">
        <f t="shared" si="80"/>
        <v>-178.30674875277228</v>
      </c>
      <c r="M220" s="1">
        <f t="shared" si="97"/>
        <v>0.192</v>
      </c>
      <c r="N220" s="1">
        <f t="shared" si="98"/>
        <v>2.5000000000000001E-2</v>
      </c>
      <c r="O220" s="1" t="str">
        <f t="shared" si="99"/>
        <v>0.0423124531326463-0.315863714041085i</v>
      </c>
      <c r="P220" s="1">
        <f t="shared" si="81"/>
        <v>-9.9327632624116671</v>
      </c>
      <c r="Q220" s="1">
        <f t="shared" si="82"/>
        <v>-82.370197172062973</v>
      </c>
      <c r="R220" s="1" t="str">
        <f t="shared" si="83"/>
        <v>-0.0134412148921761+0.0813638806615947i</v>
      </c>
      <c r="S220" s="1">
        <f t="shared" si="84"/>
        <v>-21.674433600528118</v>
      </c>
      <c r="T220" s="1">
        <f t="shared" si="85"/>
        <v>99.38047287694431</v>
      </c>
      <c r="U220" s="1" t="str">
        <f>IMPRODUCT(COMPLEX(-1,0),IMDIV(COMPLEX(1,C220*Calculations!$B$195*Calculations!$B$197),IMPRODUCT(COMPLEX(0,C220*Calculations!$B$184),COMPLEX((Calculations!$B$197+Calculations!$B$199),C220*Calculations!$B$195*Calculations!$B$197*Calculations!$B$199))))</f>
        <v>-0.179350034856579+0.473336999922894i</v>
      </c>
      <c r="V220" s="1">
        <f t="shared" si="86"/>
        <v>-5.9139654918924069</v>
      </c>
      <c r="W220" s="1">
        <f t="shared" si="87"/>
        <v>110.75197810214145</v>
      </c>
      <c r="X220" s="1" t="str">
        <f t="shared" si="88"/>
        <v>-0.0361018528150171-0.0209548391651051i</v>
      </c>
      <c r="Y220" s="1">
        <f t="shared" si="89"/>
        <v>-27.58839909242052</v>
      </c>
      <c r="Z220" s="1">
        <f t="shared" si="90"/>
        <v>-149.86754902091425</v>
      </c>
    </row>
    <row r="221" spans="1:26" x14ac:dyDescent="0.15">
      <c r="B221" s="1">
        <v>800000</v>
      </c>
      <c r="C221" s="1">
        <f t="shared" si="91"/>
        <v>5026548.2457436686</v>
      </c>
      <c r="D221" s="83" t="str">
        <f t="shared" si="92"/>
        <v>0.0297032901267722-0.00027663484066713i</v>
      </c>
      <c r="E221" s="1">
        <f t="shared" si="93"/>
        <v>-30.543532177688139</v>
      </c>
      <c r="F221" s="1">
        <f t="shared" si="94"/>
        <v>-0.53359579129819124</v>
      </c>
      <c r="G221" s="1" t="str">
        <f t="shared" si="95"/>
        <v>0.00126258122583815-4.27472533842719i</v>
      </c>
      <c r="H221" s="1">
        <f t="shared" si="77"/>
        <v>12.618164688396099</v>
      </c>
      <c r="I221" s="1">
        <f t="shared" si="78"/>
        <v>-89.983077141172302</v>
      </c>
      <c r="J221" s="83" t="str">
        <f t="shared" si="96"/>
        <v>-1.33707222376713-0.0345883005757376i</v>
      </c>
      <c r="K221" s="1">
        <f t="shared" si="79"/>
        <v>2.5260026163983533</v>
      </c>
      <c r="L221" s="1">
        <f t="shared" si="80"/>
        <v>-178.51816399470096</v>
      </c>
      <c r="M221" s="1">
        <f t="shared" si="97"/>
        <v>0.192</v>
      </c>
      <c r="N221" s="1">
        <f t="shared" si="98"/>
        <v>2.5000000000000001E-2</v>
      </c>
      <c r="O221" s="1" t="str">
        <f t="shared" si="99"/>
        <v>0.0325326148519337-0.277538867051585i</v>
      </c>
      <c r="P221" s="1">
        <f t="shared" si="81"/>
        <v>-11.074257459787635</v>
      </c>
      <c r="Q221" s="1">
        <f t="shared" si="82"/>
        <v>-83.314399030447802</v>
      </c>
      <c r="R221" s="1" t="str">
        <f t="shared" si="83"/>
        <v>-0.010301290892615+0.0714330224597906i</v>
      </c>
      <c r="S221" s="1">
        <f t="shared" si="84"/>
        <v>-22.83262876971979</v>
      </c>
      <c r="T221" s="1">
        <f t="shared" si="85"/>
        <v>98.205999378660351</v>
      </c>
      <c r="U221" s="1" t="str">
        <f>IMPRODUCT(COMPLEX(-1,0),IMDIV(COMPLEX(1,C221*Calculations!$B$195*Calculations!$B$197),IMPRODUCT(COMPLEX(0,C221*Calculations!$B$184),COMPLEX((Calculations!$B$197+Calculations!$B$199),C221*Calculations!$B$195*Calculations!$B$197*Calculations!$B$199))))</f>
        <v>-0.141483277706146+0.426733475760411i</v>
      </c>
      <c r="V221" s="1">
        <f t="shared" si="86"/>
        <v>-6.9439290811505083</v>
      </c>
      <c r="W221" s="1">
        <f t="shared" si="87"/>
        <v>108.34291500955737</v>
      </c>
      <c r="X221" s="1" t="str">
        <f t="shared" si="88"/>
        <v>-0.0290254015582463-0.0145024838214926i</v>
      </c>
      <c r="Y221" s="1">
        <f t="shared" si="89"/>
        <v>-29.776557850870301</v>
      </c>
      <c r="Z221" s="1">
        <f t="shared" si="90"/>
        <v>-153.45108561178222</v>
      </c>
    </row>
    <row r="222" spans="1:26" x14ac:dyDescent="0.15">
      <c r="B222" s="1">
        <v>900000</v>
      </c>
      <c r="C222" s="1">
        <f t="shared" si="91"/>
        <v>5654866.7764616273</v>
      </c>
      <c r="D222" s="83" t="str">
        <f t="shared" si="92"/>
        <v>0.0297032847249663-0.000245897636595299i</v>
      </c>
      <c r="E222" s="1">
        <f t="shared" si="93"/>
        <v>-30.543612810326941</v>
      </c>
      <c r="F222" s="1">
        <f t="shared" si="94"/>
        <v>-0.47431033508166975</v>
      </c>
      <c r="G222" s="1" t="str">
        <f t="shared" si="95"/>
        <v>0.000997593309759227-3.79975338388818i</v>
      </c>
      <c r="H222" s="1">
        <f t="shared" si="77"/>
        <v>11.595108508044273</v>
      </c>
      <c r="I222" s="1">
        <f t="shared" si="78"/>
        <v>-89.984957475069621</v>
      </c>
      <c r="J222" s="83" t="str">
        <f t="shared" si="96"/>
        <v>-1.33698295755567-0.0307450970909787i</v>
      </c>
      <c r="K222" s="1">
        <f t="shared" si="79"/>
        <v>2.5248134148208123</v>
      </c>
      <c r="L222" s="1">
        <f t="shared" si="80"/>
        <v>-178.68266541365881</v>
      </c>
      <c r="M222" s="1">
        <f t="shared" si="97"/>
        <v>0.192</v>
      </c>
      <c r="N222" s="1">
        <f t="shared" si="98"/>
        <v>2.5000000000000001E-2</v>
      </c>
      <c r="O222" s="1" t="str">
        <f t="shared" si="99"/>
        <v>0.0257796049246797-0.24741204512434i</v>
      </c>
      <c r="P222" s="1">
        <f t="shared" si="81"/>
        <v>-12.084685880169612</v>
      </c>
      <c r="Q222" s="1">
        <f t="shared" si="82"/>
        <v>-84.051414872595771</v>
      </c>
      <c r="R222" s="1" t="str">
        <f t="shared" si="83"/>
        <v>-0.00814488316359193+0.0636420111540838i</v>
      </c>
      <c r="S222" s="1">
        <f t="shared" si="84"/>
        <v>-23.854566139609208</v>
      </c>
      <c r="T222" s="1">
        <f t="shared" si="85"/>
        <v>97.293049885397252</v>
      </c>
      <c r="U222" s="1" t="str">
        <f>IMPRODUCT(COMPLEX(-1,0),IMDIV(COMPLEX(1,C222*Calculations!$B$195*Calculations!$B$197),IMPRODUCT(COMPLEX(0,C222*Calculations!$B$184),COMPLEX((Calculations!$B$197+Calculations!$B$199),C222*Calculations!$B$195*Calculations!$B$197*Calculations!$B$199))))</f>
        <v>-0.114165305721475+0.387375247827565i</v>
      </c>
      <c r="V222" s="1">
        <f t="shared" si="86"/>
        <v>-7.8756388065491603</v>
      </c>
      <c r="W222" s="1">
        <f t="shared" si="87"/>
        <v>106.4210373567454</v>
      </c>
      <c r="X222" s="1" t="str">
        <f t="shared" si="88"/>
        <v>-0.0237234767666207-0.0104208357941585i</v>
      </c>
      <c r="Y222" s="1">
        <f t="shared" si="89"/>
        <v>-31.730204946158366</v>
      </c>
      <c r="Z222" s="1">
        <f t="shared" si="90"/>
        <v>-156.28591275785729</v>
      </c>
    </row>
    <row r="223" spans="1:26" ht="14.25" thickBot="1" x14ac:dyDescent="0.2">
      <c r="B223" s="98">
        <v>1000000</v>
      </c>
      <c r="C223" s="98">
        <f t="shared" si="91"/>
        <v>6283185.307179586</v>
      </c>
      <c r="D223" s="113" t="str">
        <f t="shared" si="92"/>
        <v>0.0297032808610865-0.000221307873223365i</v>
      </c>
      <c r="E223" s="98">
        <f t="shared" si="93"/>
        <v>-30.543670487297696</v>
      </c>
      <c r="F223" s="98">
        <f t="shared" si="94"/>
        <v>-0.4268812103973319</v>
      </c>
      <c r="G223" s="98" t="str">
        <f t="shared" si="95"/>
        <v>0.000808049576897448-3.41977645379818i</v>
      </c>
      <c r="H223" s="98">
        <f t="shared" si="77"/>
        <v>10.679954597193106</v>
      </c>
      <c r="I223" s="98">
        <f t="shared" si="78"/>
        <v>-89.986461738023692</v>
      </c>
      <c r="J223" s="113" t="str">
        <f t="shared" si="96"/>
        <v>-1.33691910602604-0.0276705494150623i</v>
      </c>
      <c r="K223" s="98">
        <f t="shared" si="79"/>
        <v>2.523962613165204</v>
      </c>
      <c r="L223" s="98">
        <f t="shared" si="80"/>
        <v>-178.81430419688544</v>
      </c>
      <c r="M223" s="98">
        <f t="shared" si="97"/>
        <v>0.192</v>
      </c>
      <c r="N223" s="98">
        <f t="shared" si="98"/>
        <v>2.5000000000000001E-2</v>
      </c>
      <c r="O223" s="98" t="str">
        <f t="shared" si="99"/>
        <v>0.0209250483543678-0.223130737442074i</v>
      </c>
      <c r="P223" s="98">
        <f t="shared" si="81"/>
        <v>-12.990784666508723</v>
      </c>
      <c r="Q223" s="98">
        <f t="shared" si="82"/>
        <v>-84.642509806308212</v>
      </c>
      <c r="R223" s="98" t="str">
        <f t="shared" si="83"/>
        <v>-0.00660058658635634+0.0573717743721991i</v>
      </c>
      <c r="S223" s="98">
        <f t="shared" si="84"/>
        <v>-24.768926712750272</v>
      </c>
      <c r="T223" s="98">
        <f t="shared" si="85"/>
        <v>96.562988244155619</v>
      </c>
      <c r="U223" s="98" t="str">
        <f>IMPRODUCT(COMPLEX(-1,0),IMDIV(COMPLEX(1,C223*Calculations!$B$195*Calculations!$B$197),IMPRODUCT(COMPLEX(0,C223*Calculations!$B$184),COMPLEX((Calculations!$B$197+Calculations!$B$199),C223*Calculations!$B$195*Calculations!$B$197*Calculations!$B$199))))</f>
        <v>-0.0939015176826526+0.354016290703384i</v>
      </c>
      <c r="V223" s="98">
        <f t="shared" si="86"/>
        <v>-8.7242541595977006</v>
      </c>
      <c r="W223" s="98">
        <f t="shared" si="87"/>
        <v>104.85541319243102</v>
      </c>
      <c r="X223" s="98" t="str">
        <f t="shared" si="88"/>
        <v>-0.0196907376562628-0.00772401186546459i</v>
      </c>
      <c r="Y223" s="98">
        <f t="shared" si="89"/>
        <v>-33.493180872347956</v>
      </c>
      <c r="Z223" s="98">
        <f t="shared" si="90"/>
        <v>-158.58159856341337</v>
      </c>
    </row>
    <row r="224" spans="1:26" x14ac:dyDescent="0.15">
      <c r="A224" s="82" t="s">
        <v>407</v>
      </c>
      <c r="B224" s="106">
        <f>Calculations!B189</f>
        <v>5500</v>
      </c>
      <c r="C224" s="107">
        <f t="shared" si="91"/>
        <v>34557.519189487721</v>
      </c>
      <c r="D224" s="108" t="str">
        <f t="shared" si="92"/>
        <v>0.0302477045219248-0.0402304274223167i</v>
      </c>
      <c r="E224" s="107">
        <f t="shared" si="93"/>
        <v>-25.962943619006591</v>
      </c>
      <c r="F224" s="107">
        <f t="shared" ref="F224" si="100">IMARGUMENT(D224)*(180/PI())</f>
        <v>-53.061907959659834</v>
      </c>
      <c r="G224" s="107" t="str">
        <f t="shared" si="95"/>
        <v>31.9299094604883-665.174301404294i</v>
      </c>
      <c r="H224" s="107">
        <f t="shared" si="77"/>
        <v>56.468704843871748</v>
      </c>
      <c r="I224" s="107">
        <f t="shared" ref="I224" si="101">IMARGUMENT(G224)*(180/PI())</f>
        <v>-87.25177921746905</v>
      </c>
      <c r="J224" s="108" t="str">
        <f t="shared" si="96"/>
        <v>-10.9164527708028-6.11900083775324i</v>
      </c>
      <c r="K224" s="107">
        <f t="shared" si="79"/>
        <v>21.948225742027002</v>
      </c>
      <c r="L224" s="107">
        <f t="shared" ref="L224" si="102">IMARGUMENT(J224)*(180/PI())</f>
        <v>-150.72805542493688</v>
      </c>
      <c r="M224" s="107">
        <f t="shared" si="97"/>
        <v>0.192</v>
      </c>
      <c r="N224" s="107">
        <f t="shared" si="98"/>
        <v>2.5000000000000001E-2</v>
      </c>
      <c r="O224" s="107" t="str">
        <f t="shared" si="99"/>
        <v>2.34457269516432-0.545414492319554i</v>
      </c>
      <c r="P224" s="107">
        <f t="shared" si="81"/>
        <v>7.6301582414766678</v>
      </c>
      <c r="Q224" s="107">
        <f t="shared" ref="Q224" si="103">IMARGUMENT(O224)*(180/PI())</f>
        <v>-13.09571898321216</v>
      </c>
      <c r="R224" s="107" t="str">
        <f t="shared" ref="R224" si="104">IMDIV(IMPRODUCT(O224,J224,COMPLEX(M224,0)),IMSUM(COMPLEX(1,0),IMPRODUCT(G224,O224,COMPLEX(M224,0),COMPLEX(N224,0))))</f>
        <v>0.249283982679366-0.721277635262294i</v>
      </c>
      <c r="S224" s="107">
        <f t="shared" si="84"/>
        <v>-2.3479061636867415</v>
      </c>
      <c r="T224" s="107">
        <f t="shared" ref="T224" si="105">IMARGUMENT(R224)*(180/PI())</f>
        <v>-70.934110161794905</v>
      </c>
      <c r="U224" s="8" t="str">
        <f>IMPRODUCT(COMPLEX(-1,0),IMDIV(COMPLEX(1,C224*Calculations!$B$195*Calculations!$B$197),IMPRODUCT(COMPLEX(0,C224*Calculations!$B$184),COMPLEX((Calculations!$B$197+Calculations!$B$199),C224*Calculations!$B$195*Calculations!$B$197*Calculations!$B$199))))</f>
        <v>-1.42613712212177+0.0735009434846365i</v>
      </c>
      <c r="V224" s="8">
        <f t="shared" si="86"/>
        <v>3.0947461952574966</v>
      </c>
      <c r="W224" s="8">
        <f t="shared" si="87"/>
        <v>177.04967284211367</v>
      </c>
      <c r="X224" s="8" t="str">
        <f t="shared" si="88"/>
        <v>-0.302498554943258+1.0469634189263i</v>
      </c>
      <c r="Y224" s="8">
        <f t="shared" si="89"/>
        <v>0.74684003157071677</v>
      </c>
      <c r="Z224" s="9">
        <f t="shared" si="90"/>
        <v>106.11556268031883</v>
      </c>
    </row>
    <row r="225" spans="1:26" x14ac:dyDescent="0.15">
      <c r="A225" t="s">
        <v>449</v>
      </c>
      <c r="B225" s="114">
        <f>Calculations!B200</f>
        <v>169.31376924669715</v>
      </c>
      <c r="C225" s="92">
        <f t="shared" si="91"/>
        <v>1063.8297872340424</v>
      </c>
      <c r="D225" s="93" t="str">
        <f t="shared" si="92"/>
        <v>0.511248457298102-1.09539601213178i</v>
      </c>
      <c r="E225" s="92">
        <f t="shared" si="93"/>
        <v>1.6472969807132305</v>
      </c>
      <c r="F225" s="92">
        <f t="shared" ref="F225:F228" si="106">IMARGUMENT(D225)*(180/PI())</f>
        <v>-64.98037261742509</v>
      </c>
      <c r="G225" s="92" t="str">
        <f t="shared" si="95"/>
        <v>255.077946708676+274.86737374566i</v>
      </c>
      <c r="H225" s="92">
        <f t="shared" si="77"/>
        <v>51.480373095001596</v>
      </c>
      <c r="I225" s="92">
        <f t="shared" ref="I225:I228" si="107">IMARGUMENT(G225)*(180/PI())</f>
        <v>47.138567906220743</v>
      </c>
      <c r="J225" s="93" t="str">
        <f t="shared" si="96"/>
        <v>136.814052012382-2.09647988850857i</v>
      </c>
      <c r="K225" s="92">
        <f t="shared" si="79"/>
        <v>42.723633766287136</v>
      </c>
      <c r="L225" s="92">
        <f t="shared" ref="L225:L228" si="108">IMARGUMENT(J225)*(180/PI())</f>
        <v>-0.87790725572659944</v>
      </c>
      <c r="M225" s="92">
        <f t="shared" si="97"/>
        <v>0.192</v>
      </c>
      <c r="N225" s="92">
        <f t="shared" si="98"/>
        <v>2.5000000000000001E-2</v>
      </c>
      <c r="O225" s="92" t="str">
        <f t="shared" si="99"/>
        <v>2.35246773325933-13.2998196862302i</v>
      </c>
      <c r="P225" s="92">
        <f t="shared" si="81"/>
        <v>22.610708042071078</v>
      </c>
      <c r="Q225" s="92">
        <f t="shared" ref="Q225:Q228" si="109">IMARGUMENT(O225)*(180/PI())</f>
        <v>-79.969290944140894</v>
      </c>
      <c r="R225" s="92" t="str">
        <f t="shared" ref="R225:R228" si="110">IMDIV(IMPRODUCT(O225,J225,COMPLEX(M225,0)),IMSUM(COMPLEX(1,0),IMPRODUCT(G225,O225,COMPLEX(M225,0),COMPLEX(N225,0))))</f>
        <v>9.20674322945931-10.68546731607i</v>
      </c>
      <c r="S225" s="92">
        <f t="shared" si="84"/>
        <v>22.987293888745619</v>
      </c>
      <c r="T225" s="92">
        <f t="shared" ref="T225:T228" si="111">IMARGUMENT(R225)*(180/PI())</f>
        <v>-49.251367770058735</v>
      </c>
      <c r="U225" s="1" t="str">
        <f>IMPRODUCT(COMPLEX(-1,0),IMDIV(COMPLEX(1,C225*Calculations!$B$195*Calculations!$B$197),IMPRODUCT(COMPLEX(0,C225*Calculations!$B$184),COMPLEX((Calculations!$B$197+Calculations!$B$199),C225*Calculations!$B$195*Calculations!$B$197*Calculations!$B$199))))</f>
        <v>-1.42674888443286+1.42857026598746i</v>
      </c>
      <c r="V225" s="1">
        <f t="shared" si="86"/>
        <v>6.1027949729837649</v>
      </c>
      <c r="W225" s="1">
        <f t="shared" ref="W225:W228" si="112">IMARGUMENT(U225)*(180/PI())</f>
        <v>134.96345155959477</v>
      </c>
      <c r="X225" s="1" t="str">
        <f t="shared" ref="X225:X228" si="113">IMPRODUCT(U225,R225)</f>
        <v>2.12923025402757+28.3979581970336i</v>
      </c>
      <c r="Y225" s="1">
        <f t="shared" si="89"/>
        <v>29.090088861729381</v>
      </c>
      <c r="Z225" s="6">
        <f t="shared" ref="Z225:Z228" si="114">IMARGUMENT(X225)*(180/PI())</f>
        <v>85.712083789536052</v>
      </c>
    </row>
    <row r="226" spans="1:26" x14ac:dyDescent="0.15">
      <c r="A226" t="s">
        <v>450</v>
      </c>
      <c r="B226" s="27">
        <f>Calculations!B201</f>
        <v>265258.23848649225</v>
      </c>
      <c r="C226" s="92">
        <f t="shared" si="91"/>
        <v>1666666.6666666667</v>
      </c>
      <c r="D226" s="93" t="str">
        <f t="shared" si="92"/>
        <v>0.02970349849729-0.000834310965371177i</v>
      </c>
      <c r="E226" s="92">
        <f t="shared" si="93"/>
        <v>-30.54042297754199</v>
      </c>
      <c r="F226" s="92">
        <f t="shared" si="106"/>
        <v>-1.608899102007713</v>
      </c>
      <c r="G226" s="92" t="str">
        <f t="shared" si="95"/>
        <v>0.0114849904679769-12.8925914962076i</v>
      </c>
      <c r="H226" s="92">
        <f t="shared" si="77"/>
        <v>22.206807890253039</v>
      </c>
      <c r="I226" s="92">
        <f t="shared" si="107"/>
        <v>-89.948959733371595</v>
      </c>
      <c r="J226" s="93" t="str">
        <f t="shared" si="96"/>
        <v>-1.34051568224809-0.104323576059141i</v>
      </c>
      <c r="K226" s="92">
        <f t="shared" si="79"/>
        <v>2.571661658148654</v>
      </c>
      <c r="L226" s="92">
        <f t="shared" si="108"/>
        <v>-175.55001318112338</v>
      </c>
      <c r="M226" s="92">
        <f t="shared" si="97"/>
        <v>0.192</v>
      </c>
      <c r="N226" s="92">
        <f t="shared" si="98"/>
        <v>2.5000000000000001E-2</v>
      </c>
      <c r="O226" s="92" t="str">
        <f t="shared" si="99"/>
        <v>0.2661171094485-0.753614469397808i</v>
      </c>
      <c r="P226" s="92">
        <f t="shared" si="81"/>
        <v>-1.9466698972004679</v>
      </c>
      <c r="Q226" s="92">
        <f t="shared" si="109"/>
        <v>-70.550802855912551</v>
      </c>
      <c r="R226" s="92" t="str">
        <f t="shared" si="110"/>
        <v>-0.0910746870246675+0.196281648910872i</v>
      </c>
      <c r="S226" s="92">
        <f t="shared" si="84"/>
        <v>-13.295585328239124</v>
      </c>
      <c r="T226" s="92">
        <f t="shared" si="111"/>
        <v>114.89130058844438</v>
      </c>
      <c r="U226" s="1" t="str">
        <f>IMPRODUCT(COMPLEX(-1,0),IMDIV(COMPLEX(1,C226*Calculations!$B$195*Calculations!$B$197),IMPRODUCT(COMPLEX(0,C226*Calculations!$B$184),COMPLEX((Calculations!$B$197+Calculations!$B$199),C226*Calculations!$B$195*Calculations!$B$197*Calculations!$B$199))))</f>
        <v>-0.713829932742646+0.714285859701499i</v>
      </c>
      <c r="V226" s="1">
        <f t="shared" si="86"/>
        <v>8.4968920245855617E-2</v>
      </c>
      <c r="W226" s="1">
        <f t="shared" si="112"/>
        <v>134.98170828320838</v>
      </c>
      <c r="X226" s="1" t="str">
        <f t="shared" si="113"/>
        <v>-0.0751893686225541-0.205165077359123i</v>
      </c>
      <c r="Y226" s="1">
        <f t="shared" si="89"/>
        <v>-13.210616407993268</v>
      </c>
      <c r="Z226" s="6">
        <f t="shared" si="114"/>
        <v>-110.12699112834726</v>
      </c>
    </row>
    <row r="227" spans="1:26" x14ac:dyDescent="0.15">
      <c r="A227" t="s">
        <v>451</v>
      </c>
      <c r="B227" s="27">
        <f>Calculations!B186</f>
        <v>150.35062709106711</v>
      </c>
      <c r="C227" s="92">
        <f t="shared" si="91"/>
        <v>944.68085106382989</v>
      </c>
      <c r="D227" s="93" t="str">
        <f t="shared" si="92"/>
        <v>0.614961713972031-1.18221036298922i</v>
      </c>
      <c r="E227" s="92">
        <f t="shared" si="93"/>
        <v>2.4939386872196905</v>
      </c>
      <c r="F227" s="92">
        <f t="shared" si="106"/>
        <v>-62.517468895634124</v>
      </c>
      <c r="G227" s="92" t="str">
        <f t="shared" si="95"/>
        <v>252.466493001451+243.434691130369i</v>
      </c>
      <c r="H227" s="92">
        <f t="shared" si="77"/>
        <v>50.899043308886036</v>
      </c>
      <c r="I227" s="92">
        <f t="shared" si="107"/>
        <v>43.956592687535014</v>
      </c>
      <c r="J227" s="93" t="str">
        <f t="shared" si="96"/>
        <v>136.420496444986-1.84511282283166i</v>
      </c>
      <c r="K227" s="92">
        <f t="shared" si="79"/>
        <v>42.698386897891432</v>
      </c>
      <c r="L227" s="92">
        <f t="shared" si="108"/>
        <v>-0.77488892527187481</v>
      </c>
      <c r="M227" s="92">
        <f t="shared" si="97"/>
        <v>0.192</v>
      </c>
      <c r="N227" s="92">
        <f t="shared" si="98"/>
        <v>2.5000000000000001E-2</v>
      </c>
      <c r="O227" s="92" t="str">
        <f t="shared" si="99"/>
        <v>2.35246932219182-14.9762732439868i</v>
      </c>
      <c r="P227" s="92">
        <f t="shared" si="81"/>
        <v>23.61393247902236</v>
      </c>
      <c r="Q227" s="92">
        <f t="shared" si="109"/>
        <v>-81.072938327893709</v>
      </c>
      <c r="R227" s="92" t="str">
        <f t="shared" si="110"/>
        <v>10.4705347519695-10.859599215533i</v>
      </c>
      <c r="S227" s="92">
        <f t="shared" si="84"/>
        <v>23.571016373669359</v>
      </c>
      <c r="T227" s="92">
        <f t="shared" si="111"/>
        <v>-46.044966715857512</v>
      </c>
      <c r="U227" s="1" t="str">
        <f>IMPRODUCT(COMPLEX(-1,0),IMDIV(COMPLEX(1,C227*Calculations!$B$195*Calculations!$B$197),IMPRODUCT(COMPLEX(0,C227*Calculations!$B$184),COMPLEX((Calculations!$B$197+Calculations!$B$199),C227*Calculations!$B$195*Calculations!$B$197*Calculations!$B$199))))</f>
        <v>-1.42674900719374+1.60853357867058i</v>
      </c>
      <c r="V227" s="1">
        <f t="shared" si="86"/>
        <v>6.6492323614694024</v>
      </c>
      <c r="W227" s="1">
        <f t="shared" si="112"/>
        <v>131.57262144187118</v>
      </c>
      <c r="X227" s="1" t="str">
        <f t="shared" si="113"/>
        <v>2.52920492692948+32.3361291344638i</v>
      </c>
      <c r="Y227" s="1">
        <f t="shared" si="89"/>
        <v>30.22024873513876</v>
      </c>
      <c r="Z227" s="6">
        <f t="shared" si="114"/>
        <v>85.527654726013679</v>
      </c>
    </row>
    <row r="228" spans="1:26" ht="14.25" thickBot="1" x14ac:dyDescent="0.2">
      <c r="A228" t="s">
        <v>452</v>
      </c>
      <c r="B228" s="28">
        <f>Calculations!B187</f>
        <v>27842.708720567978</v>
      </c>
      <c r="C228" s="94">
        <f t="shared" si="91"/>
        <v>174940.89834515366</v>
      </c>
      <c r="D228" s="109" t="str">
        <f t="shared" si="92"/>
        <v>0.0297245129226363-0.00794844693830334i</v>
      </c>
      <c r="E228" s="94">
        <f t="shared" si="93"/>
        <v>-30.237763942106891</v>
      </c>
      <c r="F228" s="94">
        <f t="shared" si="106"/>
        <v>-14.970839221330435</v>
      </c>
      <c r="G228" s="94" t="str">
        <f t="shared" si="95"/>
        <v>1.04949969515854-123.13973003283i</v>
      </c>
      <c r="H228" s="94">
        <f t="shared" si="77"/>
        <v>41.808279397031065</v>
      </c>
      <c r="I228" s="94">
        <f t="shared" si="107"/>
        <v>-89.511689304403035</v>
      </c>
      <c r="J228" s="109" t="str">
        <f t="shared" si="96"/>
        <v>-1.68862330802314-1.00134152123666i</v>
      </c>
      <c r="K228" s="94">
        <f t="shared" si="79"/>
        <v>5.8592675582170548</v>
      </c>
      <c r="L228" s="94">
        <f t="shared" si="108"/>
        <v>-149.3323629015199</v>
      </c>
      <c r="M228" s="94">
        <f t="shared" si="97"/>
        <v>0.192</v>
      </c>
      <c r="N228" s="94">
        <f t="shared" si="98"/>
        <v>2.5000000000000001E-2</v>
      </c>
      <c r="O228" s="94" t="str">
        <f t="shared" si="99"/>
        <v>2.16543049978029-0.717273274166817i</v>
      </c>
      <c r="P228" s="94">
        <f t="shared" si="81"/>
        <v>7.1630141782443761</v>
      </c>
      <c r="Q228" s="94">
        <f t="shared" si="109"/>
        <v>-18.326842295357249</v>
      </c>
      <c r="R228" s="94" t="str">
        <f t="shared" si="110"/>
        <v>-0.12909014328907-0.595385274932676i</v>
      </c>
      <c r="S228" s="94">
        <f t="shared" si="84"/>
        <v>-4.3045300327645162</v>
      </c>
      <c r="T228" s="94">
        <f t="shared" si="111"/>
        <v>-102.23339507893822</v>
      </c>
      <c r="U228" s="87" t="str">
        <f>IMPRODUCT(COMPLEX(-1,0),IMDIV(COMPLEX(1,C228*Calculations!$B$195*Calculations!$B$197),IMPRODUCT(COMPLEX(0,C228*Calculations!$B$184),COMPLEX((Calculations!$B$197+Calculations!$B$199),C228*Calculations!$B$195*Calculations!$B$197*Calculations!$B$199))))</f>
        <v>-1.41122108957416+0.156715398685953i</v>
      </c>
      <c r="V228" s="87">
        <f t="shared" si="86"/>
        <v>3.045130777231106</v>
      </c>
      <c r="W228" s="87">
        <f t="shared" si="112"/>
        <v>173.66329519261814</v>
      </c>
      <c r="X228" s="87" t="str">
        <f t="shared" si="113"/>
        <v>0.275480773398506+0.819989843134928i</v>
      </c>
      <c r="Y228" s="87">
        <f t="shared" si="89"/>
        <v>-1.2593992555334133</v>
      </c>
      <c r="Z228" s="88">
        <f t="shared" si="114"/>
        <v>71.429900113679906</v>
      </c>
    </row>
  </sheetData>
  <mergeCells count="47">
    <mergeCell ref="B76:C77"/>
    <mergeCell ref="D77:F77"/>
    <mergeCell ref="J77:L77"/>
    <mergeCell ref="BC166:BN166"/>
    <mergeCell ref="BO166:BZ166"/>
    <mergeCell ref="BC167:BE167"/>
    <mergeCell ref="BF167:BH167"/>
    <mergeCell ref="BI167:BK167"/>
    <mergeCell ref="BL167:BN167"/>
    <mergeCell ref="BO167:BQ167"/>
    <mergeCell ref="BR167:BT167"/>
    <mergeCell ref="BU167:BW167"/>
    <mergeCell ref="BX167:BZ167"/>
    <mergeCell ref="CD166:CO166"/>
    <mergeCell ref="CA167:CC167"/>
    <mergeCell ref="CD167:CF167"/>
    <mergeCell ref="CG167:CI167"/>
    <mergeCell ref="CJ167:CL167"/>
    <mergeCell ref="CM167:CO167"/>
    <mergeCell ref="D5:F6"/>
    <mergeCell ref="G5:I6"/>
    <mergeCell ref="J5:L6"/>
    <mergeCell ref="B5:C6"/>
    <mergeCell ref="CA166:CC166"/>
    <mergeCell ref="AB166:AD166"/>
    <mergeCell ref="B166:C167"/>
    <mergeCell ref="D167:F167"/>
    <mergeCell ref="J167:L167"/>
    <mergeCell ref="D166:F166"/>
    <mergeCell ref="G166:I166"/>
    <mergeCell ref="G167:I167"/>
    <mergeCell ref="J166:L166"/>
    <mergeCell ref="M167:N167"/>
    <mergeCell ref="O167:Q167"/>
    <mergeCell ref="AB167:AD167"/>
    <mergeCell ref="X167:Z167"/>
    <mergeCell ref="G77:I77"/>
    <mergeCell ref="M77:N77"/>
    <mergeCell ref="D76:T76"/>
    <mergeCell ref="O77:Q77"/>
    <mergeCell ref="R77:T77"/>
    <mergeCell ref="U77:W77"/>
    <mergeCell ref="R167:T167"/>
    <mergeCell ref="M166:N166"/>
    <mergeCell ref="O166:Q166"/>
    <mergeCell ref="R166:T166"/>
    <mergeCell ref="U167:W167"/>
  </mergeCells>
  <phoneticPr fontId="30"/>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zoomScale="118" zoomScaleNormal="118" workbookViewId="0">
      <selection activeCell="K19" sqref="K19"/>
    </sheetView>
  </sheetViews>
  <sheetFormatPr defaultColWidth="8.875" defaultRowHeight="13.5" x14ac:dyDescent="0.15"/>
  <sheetData/>
  <phoneticPr fontId="30"/>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I48"/>
  <sheetViews>
    <sheetView workbookViewId="0">
      <pane ySplit="1" topLeftCell="A2" activePane="bottomLeft" state="frozen"/>
      <selection pane="bottomLeft" activeCell="C10" sqref="C10"/>
    </sheetView>
  </sheetViews>
  <sheetFormatPr defaultColWidth="8.875" defaultRowHeight="13.5" x14ac:dyDescent="0.15"/>
  <cols>
    <col min="1" max="1" width="34.625" style="12" customWidth="1"/>
    <col min="2" max="2" width="9.125" style="5"/>
    <col min="3" max="3" width="12" style="1" bestFit="1" customWidth="1"/>
    <col min="4" max="4" width="9.125" style="6"/>
    <col min="5" max="5" width="9.125" style="13"/>
  </cols>
  <sheetData>
    <row r="1" spans="1:9" x14ac:dyDescent="0.15">
      <c r="A1" s="10" t="s">
        <v>17</v>
      </c>
      <c r="B1" s="7" t="s">
        <v>18</v>
      </c>
      <c r="C1" s="8" t="s">
        <v>19</v>
      </c>
      <c r="D1" s="9" t="s">
        <v>20</v>
      </c>
      <c r="E1" s="11" t="s">
        <v>21</v>
      </c>
    </row>
    <row r="2" spans="1:9" x14ac:dyDescent="0.15">
      <c r="A2" s="220" t="s">
        <v>91</v>
      </c>
      <c r="B2" s="197"/>
      <c r="C2" s="197"/>
      <c r="D2" s="197"/>
      <c r="E2" s="221"/>
    </row>
    <row r="3" spans="1:9" x14ac:dyDescent="0.15">
      <c r="A3" s="12" t="s">
        <v>22</v>
      </c>
      <c r="C3" s="1">
        <f>200*(10^-9)</f>
        <v>2.0000000000000002E-7</v>
      </c>
      <c r="E3" s="13" t="s">
        <v>23</v>
      </c>
    </row>
    <row r="4" spans="1:9" x14ac:dyDescent="0.15">
      <c r="A4" s="12" t="s">
        <v>41</v>
      </c>
      <c r="C4" s="1">
        <f>1*10^-3</f>
        <v>1E-3</v>
      </c>
      <c r="E4" s="13" t="s">
        <v>42</v>
      </c>
    </row>
    <row r="5" spans="1:9" x14ac:dyDescent="0.15">
      <c r="A5" s="12" t="s">
        <v>43</v>
      </c>
      <c r="C5" s="1">
        <v>50</v>
      </c>
      <c r="E5" s="13" t="s">
        <v>42</v>
      </c>
    </row>
    <row r="6" spans="1:9" x14ac:dyDescent="0.15">
      <c r="A6" s="12" t="s">
        <v>185</v>
      </c>
      <c r="C6" s="1">
        <v>0.05</v>
      </c>
      <c r="E6" s="13" t="s">
        <v>1</v>
      </c>
    </row>
    <row r="7" spans="1:9" x14ac:dyDescent="0.15">
      <c r="A7" s="12" t="s">
        <v>46</v>
      </c>
      <c r="C7" s="1">
        <v>0.02</v>
      </c>
      <c r="E7" s="13" t="s">
        <v>42</v>
      </c>
    </row>
    <row r="8" spans="1:9" x14ac:dyDescent="0.15">
      <c r="A8" s="12" t="s">
        <v>47</v>
      </c>
      <c r="C8" s="1">
        <v>6.25E-2</v>
      </c>
      <c r="E8" s="13" t="s">
        <v>42</v>
      </c>
    </row>
    <row r="9" spans="1:9" x14ac:dyDescent="0.15">
      <c r="A9" s="12" t="s">
        <v>64</v>
      </c>
      <c r="C9" s="1">
        <f>100*10^3</f>
        <v>100000</v>
      </c>
      <c r="E9" s="13" t="s">
        <v>56</v>
      </c>
    </row>
    <row r="10" spans="1:9" x14ac:dyDescent="0.15">
      <c r="A10" s="12" t="s">
        <v>45</v>
      </c>
      <c r="C10" s="1">
        <v>1.23</v>
      </c>
      <c r="E10" s="13" t="s">
        <v>1</v>
      </c>
      <c r="I10" t="s">
        <v>70</v>
      </c>
    </row>
    <row r="11" spans="1:9" x14ac:dyDescent="0.15">
      <c r="A11" s="12" t="s">
        <v>69</v>
      </c>
      <c r="C11" s="1">
        <v>2.5</v>
      </c>
      <c r="E11" s="13" t="s">
        <v>1</v>
      </c>
    </row>
    <row r="12" spans="1:9" x14ac:dyDescent="0.15">
      <c r="A12" s="12" t="s">
        <v>66</v>
      </c>
      <c r="C12" s="1">
        <v>1.25</v>
      </c>
      <c r="E12" s="13" t="s">
        <v>1</v>
      </c>
    </row>
    <row r="13" spans="1:9" x14ac:dyDescent="0.15">
      <c r="A13" s="12" t="s">
        <v>180</v>
      </c>
      <c r="C13" s="1">
        <f>25*(10^-6)</f>
        <v>2.4999999999999998E-5</v>
      </c>
      <c r="E13" s="13" t="s">
        <v>4</v>
      </c>
    </row>
    <row r="14" spans="1:9" x14ac:dyDescent="0.15">
      <c r="A14" s="12" t="s">
        <v>65</v>
      </c>
      <c r="C14" s="1">
        <v>8</v>
      </c>
      <c r="E14" s="13" t="s">
        <v>1</v>
      </c>
    </row>
    <row r="15" spans="1:9" x14ac:dyDescent="0.15">
      <c r="A15" s="12" t="s">
        <v>48</v>
      </c>
      <c r="C15" s="1">
        <f>25*(10^-6)</f>
        <v>2.4999999999999998E-5</v>
      </c>
      <c r="E15" s="13" t="s">
        <v>4</v>
      </c>
    </row>
    <row r="16" spans="1:9" x14ac:dyDescent="0.15">
      <c r="A16" s="12" t="s">
        <v>49</v>
      </c>
      <c r="C16" s="1">
        <v>200</v>
      </c>
      <c r="E16" s="13" t="s">
        <v>50</v>
      </c>
    </row>
    <row r="17" spans="1:5" x14ac:dyDescent="0.15">
      <c r="A17" s="12" t="s">
        <v>53</v>
      </c>
      <c r="C17" s="1">
        <f>4*(10^9)</f>
        <v>4000000000</v>
      </c>
      <c r="E17" s="13" t="s">
        <v>51</v>
      </c>
    </row>
    <row r="18" spans="1:5" x14ac:dyDescent="0.15">
      <c r="A18" s="12" t="s">
        <v>52</v>
      </c>
      <c r="C18" s="1">
        <v>1.1850000000000001</v>
      </c>
      <c r="E18" s="13" t="s">
        <v>1</v>
      </c>
    </row>
    <row r="19" spans="1:5" x14ac:dyDescent="0.15">
      <c r="A19" s="12" t="s">
        <v>54</v>
      </c>
      <c r="C19" s="1">
        <f>3*10^6</f>
        <v>3000000</v>
      </c>
      <c r="E19" s="13" t="s">
        <v>56</v>
      </c>
    </row>
    <row r="20" spans="1:5" x14ac:dyDescent="0.15">
      <c r="A20" s="12" t="s">
        <v>55</v>
      </c>
      <c r="C20" s="1">
        <f>1*10^6</f>
        <v>1000000</v>
      </c>
      <c r="E20" s="13" t="s">
        <v>56</v>
      </c>
    </row>
    <row r="21" spans="1:5" x14ac:dyDescent="0.15">
      <c r="A21" s="12" t="s">
        <v>57</v>
      </c>
      <c r="C21" s="1">
        <f>25*(10^-6)</f>
        <v>2.4999999999999998E-5</v>
      </c>
      <c r="E21" s="13" t="s">
        <v>4</v>
      </c>
    </row>
    <row r="22" spans="1:5" x14ac:dyDescent="0.15">
      <c r="A22" s="12" t="s">
        <v>63</v>
      </c>
      <c r="C22" s="1">
        <f>1.1*(10^-6)</f>
        <v>1.1000000000000001E-6</v>
      </c>
      <c r="E22" s="13" t="s">
        <v>4</v>
      </c>
    </row>
    <row r="23" spans="1:5" x14ac:dyDescent="0.15">
      <c r="A23" s="12" t="s">
        <v>62</v>
      </c>
      <c r="C23" s="1">
        <f>3*10^-3</f>
        <v>3.0000000000000001E-3</v>
      </c>
      <c r="E23" s="13" t="s">
        <v>1</v>
      </c>
    </row>
    <row r="24" spans="1:5" x14ac:dyDescent="0.15">
      <c r="A24" s="12" t="s">
        <v>58</v>
      </c>
      <c r="C24" s="1">
        <f>10*10^3</f>
        <v>10000</v>
      </c>
      <c r="E24" s="13" t="s">
        <v>56</v>
      </c>
    </row>
    <row r="25" spans="1:5" x14ac:dyDescent="0.15">
      <c r="A25" s="12" t="s">
        <v>59</v>
      </c>
      <c r="C25" s="1">
        <f>50*10^3</f>
        <v>50000</v>
      </c>
      <c r="E25" s="13" t="s">
        <v>56</v>
      </c>
    </row>
    <row r="26" spans="1:5" x14ac:dyDescent="0.15">
      <c r="A26" s="12" t="s">
        <v>60</v>
      </c>
      <c r="C26" s="1">
        <f>4*(10^-12)</f>
        <v>3.9999999999999999E-12</v>
      </c>
      <c r="E26" s="13" t="s">
        <v>61</v>
      </c>
    </row>
    <row r="27" spans="1:5" x14ac:dyDescent="0.15">
      <c r="A27" s="12" t="s">
        <v>230</v>
      </c>
      <c r="C27" s="1">
        <f>16*(10^-9)</f>
        <v>1.6000000000000001E-8</v>
      </c>
      <c r="E27" s="13" t="s">
        <v>23</v>
      </c>
    </row>
    <row r="28" spans="1:5" x14ac:dyDescent="0.15">
      <c r="A28" s="12" t="s">
        <v>68</v>
      </c>
      <c r="C28" s="1">
        <v>1.5</v>
      </c>
      <c r="E28" s="13" t="s">
        <v>1</v>
      </c>
    </row>
    <row r="29" spans="1:5" x14ac:dyDescent="0.15">
      <c r="A29" s="12" t="s">
        <v>235</v>
      </c>
      <c r="C29" s="1">
        <f>36*(10^-9)</f>
        <v>3.6000000000000005E-8</v>
      </c>
      <c r="E29" s="13" t="s">
        <v>23</v>
      </c>
    </row>
    <row r="30" spans="1:5" x14ac:dyDescent="0.15">
      <c r="A30" s="12" t="s">
        <v>236</v>
      </c>
      <c r="C30" s="1">
        <f>41*(10^-9)</f>
        <v>4.1000000000000003E-8</v>
      </c>
      <c r="E30" s="13" t="s">
        <v>23</v>
      </c>
    </row>
    <row r="31" spans="1:5" x14ac:dyDescent="0.15">
      <c r="A31" s="12" t="s">
        <v>248</v>
      </c>
      <c r="C31" s="1">
        <f>15*(10^-9)</f>
        <v>1.5000000000000002E-8</v>
      </c>
      <c r="E31" s="13" t="s">
        <v>23</v>
      </c>
    </row>
    <row r="32" spans="1:5" x14ac:dyDescent="0.15">
      <c r="A32" s="12" t="s">
        <v>249</v>
      </c>
      <c r="C32" s="1">
        <f>200*(10^-9)</f>
        <v>2.0000000000000002E-7</v>
      </c>
      <c r="E32" s="13" t="s">
        <v>23</v>
      </c>
    </row>
    <row r="33" spans="1:5" x14ac:dyDescent="0.15">
      <c r="A33" s="12" t="s">
        <v>67</v>
      </c>
      <c r="C33" s="1">
        <f>25*(10^-6)</f>
        <v>2.4999999999999998E-5</v>
      </c>
      <c r="E33" s="13" t="s">
        <v>4</v>
      </c>
    </row>
    <row r="34" spans="1:5" x14ac:dyDescent="0.15">
      <c r="A34" s="12" t="s">
        <v>159</v>
      </c>
      <c r="C34" s="1">
        <v>5</v>
      </c>
      <c r="E34" s="13" t="s">
        <v>1</v>
      </c>
    </row>
    <row r="36" spans="1:5" x14ac:dyDescent="0.15">
      <c r="A36" s="12" t="s">
        <v>92</v>
      </c>
      <c r="B36" s="5">
        <v>0</v>
      </c>
      <c r="D36" s="6">
        <v>42</v>
      </c>
      <c r="E36" s="13" t="s">
        <v>1</v>
      </c>
    </row>
    <row r="37" spans="1:5" x14ac:dyDescent="0.15">
      <c r="A37" s="12" t="s">
        <v>93</v>
      </c>
      <c r="B37" s="5">
        <v>3</v>
      </c>
      <c r="D37" s="6">
        <v>42</v>
      </c>
      <c r="E37" s="13" t="s">
        <v>1</v>
      </c>
    </row>
    <row r="38" spans="1:5" x14ac:dyDescent="0.15">
      <c r="A38" s="12" t="s">
        <v>94</v>
      </c>
      <c r="B38" s="5">
        <v>6</v>
      </c>
      <c r="D38" s="6">
        <v>80</v>
      </c>
      <c r="E38" s="13" t="s">
        <v>1</v>
      </c>
    </row>
    <row r="39" spans="1:5" x14ac:dyDescent="0.15">
      <c r="A39" s="12" t="s">
        <v>95</v>
      </c>
      <c r="B39" s="5">
        <v>50000</v>
      </c>
      <c r="D39" s="6">
        <v>500000</v>
      </c>
      <c r="E39" s="13" t="s">
        <v>87</v>
      </c>
    </row>
    <row r="40" spans="1:5" x14ac:dyDescent="0.15">
      <c r="A40" s="12" t="s">
        <v>96</v>
      </c>
      <c r="B40" s="5">
        <v>15</v>
      </c>
      <c r="D40" s="6">
        <v>200</v>
      </c>
      <c r="E40" s="13" t="s">
        <v>97</v>
      </c>
    </row>
    <row r="43" spans="1:5" x14ac:dyDescent="0.15">
      <c r="A43" s="12" t="s">
        <v>105</v>
      </c>
      <c r="C43" s="1">
        <v>14</v>
      </c>
      <c r="E43" s="13" t="s">
        <v>1</v>
      </c>
    </row>
    <row r="44" spans="1:5" x14ac:dyDescent="0.15">
      <c r="A44" s="12" t="s">
        <v>106</v>
      </c>
      <c r="C44" s="1">
        <v>0.625</v>
      </c>
      <c r="E44" s="13" t="s">
        <v>1</v>
      </c>
    </row>
    <row r="46" spans="1:5" x14ac:dyDescent="0.15">
      <c r="A46" s="12" t="s">
        <v>116</v>
      </c>
      <c r="C46" s="1">
        <v>2.5</v>
      </c>
      <c r="E46" s="13" t="s">
        <v>1</v>
      </c>
    </row>
    <row r="48" spans="1:5" x14ac:dyDescent="0.15">
      <c r="A48" s="12" t="s">
        <v>187</v>
      </c>
      <c r="C48" s="1">
        <f>3.3</f>
        <v>3.3</v>
      </c>
      <c r="E48" s="13" t="s">
        <v>1</v>
      </c>
    </row>
  </sheetData>
  <autoFilter ref="A1:E33" xr:uid="{00000000-0009-0000-0000-000004000000}"/>
  <mergeCells count="1">
    <mergeCell ref="A2:E2"/>
  </mergeCells>
  <phoneticPr fontId="3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G3"/>
  <sheetViews>
    <sheetView workbookViewId="0">
      <selection activeCell="C4" sqref="C4"/>
    </sheetView>
  </sheetViews>
  <sheetFormatPr defaultColWidth="8.875" defaultRowHeight="13.5" x14ac:dyDescent="0.15"/>
  <sheetData>
    <row r="1" spans="1:7" x14ac:dyDescent="0.15">
      <c r="A1" t="s">
        <v>171</v>
      </c>
      <c r="C1" t="s">
        <v>221</v>
      </c>
      <c r="E1" t="s">
        <v>189</v>
      </c>
      <c r="G1" t="s">
        <v>96</v>
      </c>
    </row>
    <row r="2" spans="1:7" ht="15" x14ac:dyDescent="0.25">
      <c r="A2" s="43" t="s">
        <v>172</v>
      </c>
      <c r="C2" t="s">
        <v>222</v>
      </c>
      <c r="E2">
        <v>1.8</v>
      </c>
      <c r="G2" t="s">
        <v>225</v>
      </c>
    </row>
    <row r="3" spans="1:7" x14ac:dyDescent="0.15">
      <c r="A3" t="s">
        <v>173</v>
      </c>
      <c r="C3" t="s">
        <v>312</v>
      </c>
      <c r="E3">
        <v>3.3</v>
      </c>
      <c r="G3" t="s">
        <v>226</v>
      </c>
    </row>
  </sheetData>
  <phoneticPr fontId="3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A4"/>
  <sheetViews>
    <sheetView workbookViewId="0">
      <selection activeCell="E4" sqref="E4"/>
    </sheetView>
  </sheetViews>
  <sheetFormatPr defaultColWidth="8.875" defaultRowHeight="13.5" x14ac:dyDescent="0.15"/>
  <cols>
    <col min="2" max="2" width="137.375" customWidth="1"/>
  </cols>
  <sheetData>
    <row r="1" spans="1:1" x14ac:dyDescent="0.15">
      <c r="A1" t="s">
        <v>126</v>
      </c>
    </row>
    <row r="2" spans="1:1" x14ac:dyDescent="0.15">
      <c r="A2" t="str">
        <f>"schematic_1"</f>
        <v>schematic_1</v>
      </c>
    </row>
    <row r="4" spans="1:1" ht="343.5" customHeight="1" x14ac:dyDescent="0.15"/>
  </sheetData>
  <phoneticPr fontId="3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Design_Converter</vt:lpstr>
      <vt:lpstr>Licenses</vt:lpstr>
      <vt:lpstr>Calculations</vt:lpstr>
      <vt:lpstr>Compensation</vt:lpstr>
      <vt:lpstr>Comp_Compare</vt:lpstr>
      <vt:lpstr>Constants</vt:lpstr>
      <vt:lpstr>Lists</vt:lpstr>
      <vt:lpstr>Schematic</vt:lpstr>
      <vt:lpstr>Acs</vt:lpstr>
      <vt:lpstr>Fsw</vt:lpstr>
      <vt:lpstr>gm</vt:lpstr>
      <vt:lpstr>I_Channel</vt:lpstr>
      <vt:lpstr>I_Channel_Design</vt:lpstr>
      <vt:lpstr>I_Channel_Peak_No_Ilimit</vt:lpstr>
      <vt:lpstr>I_Channel_Peak_Select</vt:lpstr>
      <vt:lpstr>ISETA_Max</vt:lpstr>
      <vt:lpstr>np</vt:lpstr>
      <vt:lpstr>schematic_1</vt:lpstr>
      <vt:lpstr>V12_Max</vt:lpstr>
      <vt:lpstr>V12_Min</vt:lpstr>
      <vt:lpstr>V12_Nom</vt:lpstr>
      <vt:lpstr>V48_Max</vt:lpstr>
      <vt:lpstr>V48_Min</vt:lpstr>
      <vt:lpstr>V48_Nom</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PPD-NPS</dc:creator>
  <cp:lastModifiedBy>菅谷 光慶(rr0170re)</cp:lastModifiedBy>
  <cp:lastPrinted>2016-05-24T23:01:03Z</cp:lastPrinted>
  <dcterms:created xsi:type="dcterms:W3CDTF">2016-01-18T23:31:01Z</dcterms:created>
  <dcterms:modified xsi:type="dcterms:W3CDTF">2025-06-27T14:46:39Z</dcterms:modified>
</cp:coreProperties>
</file>
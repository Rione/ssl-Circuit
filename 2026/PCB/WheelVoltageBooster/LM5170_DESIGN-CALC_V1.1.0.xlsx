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codeName="ThisWorkbook" defaultThemeVersion="124226"/>
  <mc:AlternateContent xmlns:mc="http://schemas.openxmlformats.org/markup-compatibility/2006">
    <mc:Choice Requires="x15">
      <x15ac:absPath xmlns:x15ac="http://schemas.microsoft.com/office/spreadsheetml/2010/11/ac" url="/Users/tsukigake/Documents/GitHub/ssl-Circuit/2026/PCB/WheelVoltageBooster/"/>
    </mc:Choice>
  </mc:AlternateContent>
  <xr:revisionPtr revIDLastSave="0" documentId="13_ncr:1_{48C1D6F1-42AE-D642-A4BF-37C44C4D5223}"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1400" yWindow="880" windowWidth="32800" windowHeight="2136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B73" i="1" s="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rgb="FF000000"/>
            <rFont val="Tahoma"/>
            <family val="2"/>
          </rPr>
          <t>Calculated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rgb="FF000000"/>
            <rFont val="Tahoma"/>
            <family val="2"/>
          </rPr>
          <t xml:space="preserve">Selected RAMP Capacitor
</t>
        </r>
        <r>
          <rPr>
            <b/>
            <sz val="9"/>
            <color rgb="FF000000"/>
            <rFont val="Tahoma"/>
            <family val="2"/>
          </rPr>
          <t xml:space="preserve">
</t>
        </r>
        <r>
          <rPr>
            <sz val="9"/>
            <color rgb="FF000000"/>
            <rFont val="Tahoma"/>
            <family val="2"/>
          </rPr>
          <t xml:space="preserve">This is the capacitor used to create the saw tooth RAMP1/RAMP2 signals. This capacitor must be selected to be discharged in less the 200ns each switching cycle. </t>
        </r>
        <r>
          <rPr>
            <b/>
            <sz val="9"/>
            <color rgb="FF000000"/>
            <rFont val="Tahoma"/>
            <family val="2"/>
          </rPr>
          <t>The maximum recommended value is 2.5nF</t>
        </r>
        <r>
          <rPr>
            <sz val="9"/>
            <color rgb="FF000000"/>
            <rFont val="Tahoma"/>
            <family val="2"/>
          </rPr>
          <t>. A low tolerance value (&lt;10%) capacitor should be selected here.</t>
        </r>
      </text>
    </comment>
    <comment ref="B63" authorId="0" shapeId="0" xr:uid="{00000000-0006-0000-0000-000020000000}">
      <text>
        <r>
          <rPr>
            <b/>
            <sz val="9"/>
            <color indexed="81"/>
            <rFont val="Tahoma"/>
            <family val="2"/>
          </rPr>
          <t>Calculated RAMP1/RAMP2 Resistors</t>
        </r>
        <r>
          <rPr>
            <sz val="9"/>
            <color indexed="81"/>
            <rFont val="Tahoma"/>
            <family val="2"/>
          </rPr>
          <t xml:space="preserve">
This is the calculated value based on the datasheet equation. </t>
        </r>
      </text>
    </comment>
    <comment ref="B64" authorId="0" shapeId="0" xr:uid="{00000000-0006-0000-0000-000021000000}">
      <text>
        <r>
          <rPr>
            <b/>
            <sz val="9"/>
            <color rgb="FF000000"/>
            <rFont val="Tahoma"/>
            <family val="2"/>
          </rPr>
          <t xml:space="preserve">Selected RAMP1/RAMP2 Resistors
</t>
        </r>
        <r>
          <rPr>
            <b/>
            <sz val="9"/>
            <color rgb="FF000000"/>
            <rFont val="Tahoma"/>
            <family val="2"/>
          </rPr>
          <t xml:space="preserve">
</t>
        </r>
        <r>
          <rPr>
            <sz val="9"/>
            <color rgb="FF000000"/>
            <rFont val="Tahoma"/>
            <family val="2"/>
          </rPr>
          <t xml:space="preserve">This is the selected resistance value. The selected value should be based on the calculated value above. </t>
        </r>
      </text>
    </comment>
    <comment ref="B65" authorId="0" shapeId="0" xr:uid="{00000000-0006-0000-0000-000022000000}">
      <text>
        <r>
          <rPr>
            <b/>
            <sz val="9"/>
            <color indexed="81"/>
            <rFont val="Tahoma"/>
            <family val="2"/>
          </rPr>
          <t>Peak RAMP voltage at the HV minimum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rgb="FF000000"/>
            <rFont val="Tahoma"/>
            <family val="2"/>
          </rPr>
          <t>Selected Soft-Start Capacitor C</t>
        </r>
        <r>
          <rPr>
            <b/>
            <vertAlign val="subscript"/>
            <sz val="9"/>
            <color rgb="FF000000"/>
            <rFont val="Tahoma"/>
            <family val="2"/>
          </rPr>
          <t>SS</t>
        </r>
        <r>
          <rPr>
            <sz val="9"/>
            <color rgb="FF000000"/>
            <rFont val="Tahoma"/>
            <family val="2"/>
          </rPr>
          <t xml:space="preserve">
</t>
        </r>
        <r>
          <rPr>
            <sz val="9"/>
            <color rgb="FF000000"/>
            <rFont val="Tahoma"/>
            <family val="2"/>
          </rPr>
          <t xml:space="preserve">
</t>
        </r>
        <r>
          <rPr>
            <sz val="9"/>
            <color rgb="FF000000"/>
            <rFont val="Tahoma"/>
            <family val="2"/>
          </rPr>
          <t>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indexed="81"/>
            <rFont val="Tahoma"/>
            <family val="2"/>
          </rPr>
          <t xml:space="preserve">Actual Soft-Start Time
</t>
        </r>
        <r>
          <rPr>
            <sz val="9"/>
            <color indexed="81"/>
            <rFont val="Tahoma"/>
            <family val="2"/>
          </rPr>
          <t xml:space="preserve">
This is the soft-start time of the converter based on the value of the selected C</t>
        </r>
        <r>
          <rPr>
            <vertAlign val="subscript"/>
            <sz val="9"/>
            <color indexed="81"/>
            <rFont val="Tahoma"/>
            <family val="2"/>
          </rPr>
          <t>SS</t>
        </r>
        <r>
          <rPr>
            <sz val="9"/>
            <color indexed="81"/>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rgb="FF000000"/>
            <rFont val="Tahoma"/>
            <family val="2"/>
          </rPr>
          <t xml:space="preserve">Actual HV OVP Level
</t>
        </r>
        <r>
          <rPr>
            <b/>
            <sz val="9"/>
            <color rgb="FF000000"/>
            <rFont val="Tahoma"/>
            <family val="2"/>
          </rPr>
          <t xml:space="preserve">
</t>
        </r>
        <r>
          <rPr>
            <sz val="9"/>
            <color rgb="FF000000"/>
            <rFont val="Tahoma"/>
            <family val="2"/>
          </rPr>
          <t>This the level that OVPA will trigger at. This is based on the resistor value (R</t>
        </r>
        <r>
          <rPr>
            <vertAlign val="subscript"/>
            <sz val="9"/>
            <color rgb="FF000000"/>
            <rFont val="Tahoma"/>
            <family val="2"/>
          </rPr>
          <t>OVPA</t>
        </r>
        <r>
          <rPr>
            <sz val="9"/>
            <color rgb="FF000000"/>
            <rFont val="Tahoma"/>
            <family val="2"/>
          </rPr>
          <t xml:space="preserve">) selected above. </t>
        </r>
        <r>
          <rPr>
            <b/>
            <sz val="9"/>
            <color rgb="FF000000"/>
            <rFont val="Tahoma"/>
            <family val="2"/>
          </rPr>
          <t>This value should be less than 85V</t>
        </r>
      </text>
    </comment>
    <comment ref="B85" authorId="0" shapeId="0" xr:uid="{00000000-0006-0000-0000-00002D000000}">
      <text>
        <r>
          <rPr>
            <b/>
            <sz val="9"/>
            <color rgb="FF000000"/>
            <rFont val="Tahoma"/>
            <family val="2"/>
          </rPr>
          <t xml:space="preserve">LV Port Overvoltage Level
</t>
        </r>
        <r>
          <rPr>
            <b/>
            <sz val="9"/>
            <color rgb="FF000000"/>
            <rFont val="Tahoma"/>
            <family val="2"/>
          </rPr>
          <t xml:space="preserve">
</t>
        </r>
        <r>
          <rPr>
            <b/>
            <sz val="9"/>
            <color rgb="FF000000"/>
            <rFont val="Tahoma"/>
            <family val="2"/>
          </rPr>
          <t xml:space="preserve">Maximum Value: 60V
</t>
        </r>
        <r>
          <rPr>
            <sz val="9"/>
            <color rgb="FF000000"/>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indexed="81"/>
            <rFont val="Tahoma"/>
            <family val="2"/>
          </rPr>
          <t>Calculated R</t>
        </r>
        <r>
          <rPr>
            <b/>
            <vertAlign val="subscript"/>
            <sz val="9"/>
            <color indexed="81"/>
            <rFont val="Tahoma"/>
            <family val="2"/>
          </rPr>
          <t>OVPB</t>
        </r>
        <r>
          <rPr>
            <b/>
            <sz val="9"/>
            <color indexed="81"/>
            <rFont val="Tahoma"/>
            <family val="2"/>
          </rPr>
          <t xml:space="preserve">
</t>
        </r>
        <r>
          <rPr>
            <sz val="9"/>
            <color indexed="81"/>
            <rFont val="Tahoma"/>
            <family val="2"/>
          </rPr>
          <t>This is the calculated R</t>
        </r>
        <r>
          <rPr>
            <vertAlign val="subscript"/>
            <sz val="9"/>
            <color indexed="81"/>
            <rFont val="Tahoma"/>
            <family val="2"/>
          </rPr>
          <t>OVPB</t>
        </r>
        <r>
          <rPr>
            <sz val="9"/>
            <color indexed="81"/>
            <rFont val="Tahoma"/>
            <family val="2"/>
          </rPr>
          <t xml:space="preserve"> value based on the datasheet equation and the OVPB trigger level specified</t>
        </r>
      </text>
    </comment>
    <comment ref="B87" authorId="0" shapeId="0" xr:uid="{00000000-0006-0000-0000-00002F000000}">
      <text>
        <r>
          <rPr>
            <b/>
            <sz val="9"/>
            <color rgb="FF000000"/>
            <rFont val="Tahoma"/>
            <family val="2"/>
          </rPr>
          <t>Selected R</t>
        </r>
        <r>
          <rPr>
            <b/>
            <vertAlign val="subscript"/>
            <sz val="9"/>
            <color rgb="FF000000"/>
            <rFont val="Tahoma"/>
            <family val="2"/>
          </rPr>
          <t>OVPB</t>
        </r>
        <r>
          <rPr>
            <b/>
            <sz val="9"/>
            <color rgb="FF000000"/>
            <rFont val="Tahoma"/>
            <family val="2"/>
          </rPr>
          <t xml:space="preserve"> Resistor
</t>
        </r>
        <r>
          <rPr>
            <b/>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OVPB</t>
        </r>
        <r>
          <rPr>
            <sz val="9"/>
            <color rgb="FF000000"/>
            <rFont val="Tahoma"/>
            <family val="2"/>
          </rPr>
          <t xml:space="preserve"> value
</t>
        </r>
      </text>
    </comment>
    <comment ref="B88" authorId="0" shapeId="0" xr:uid="{00000000-0006-0000-0000-000030000000}">
      <text>
        <r>
          <rPr>
            <b/>
            <sz val="9"/>
            <color indexed="81"/>
            <rFont val="Tahoma"/>
            <family val="2"/>
          </rPr>
          <t xml:space="preserve">Actual LV OVP Level
</t>
        </r>
        <r>
          <rPr>
            <sz val="9"/>
            <color indexed="81"/>
            <rFont val="Tahoma"/>
            <family val="2"/>
          </rPr>
          <t>This the level that OVPB will trigger at. This is based on the resistor value (R</t>
        </r>
        <r>
          <rPr>
            <vertAlign val="subscript"/>
            <sz val="9"/>
            <color indexed="81"/>
            <rFont val="Tahoma"/>
            <family val="2"/>
          </rPr>
          <t>OVPB</t>
        </r>
        <r>
          <rPr>
            <sz val="9"/>
            <color indexed="81"/>
            <rFont val="Tahoma"/>
            <family val="2"/>
          </rPr>
          <t xml:space="preserve">) selected above. This value should be less than 60V
</t>
        </r>
      </text>
    </comment>
    <comment ref="B93" authorId="0" shapeId="0" xr:uid="{00000000-0006-0000-0000-000031000000}">
      <text>
        <r>
          <rPr>
            <b/>
            <sz val="9"/>
            <color rgb="FF000000"/>
            <rFont val="Tahoma"/>
            <family val="2"/>
          </rPr>
          <t xml:space="preserve">ULVO Control Type Selection:
</t>
        </r>
        <r>
          <rPr>
            <b/>
            <sz val="9"/>
            <color rgb="FF000000"/>
            <rFont val="Tahoma"/>
            <family val="2"/>
          </rPr>
          <t xml:space="preserve">
</t>
        </r>
        <r>
          <rPr>
            <sz val="9"/>
            <color rgb="FF000000"/>
            <rFont val="Tahoma"/>
            <family val="2"/>
          </rPr>
          <t xml:space="preserve">The UVLO signal can be configured in a number of ways. Below are two common configurations
</t>
        </r>
        <r>
          <rPr>
            <sz val="9"/>
            <color rgb="FF000000"/>
            <rFont val="Tahoma"/>
            <family val="2"/>
          </rPr>
          <t xml:space="preserve">
</t>
        </r>
        <r>
          <rPr>
            <sz val="9"/>
            <color rgb="FF000000"/>
            <rFont val="Tahoma"/>
            <family val="2"/>
          </rPr>
          <t xml:space="preserve">1. </t>
        </r>
        <r>
          <rPr>
            <u/>
            <sz val="9"/>
            <color rgb="FF000000"/>
            <rFont val="Tahoma"/>
            <family val="2"/>
          </rPr>
          <t>UVLO signal controlled by microcontroller (</t>
        </r>
        <r>
          <rPr>
            <u/>
            <sz val="9"/>
            <color rgb="FF000000"/>
            <rFont val="Calibri"/>
            <family val="2"/>
          </rPr>
          <t>μ</t>
        </r>
        <r>
          <rPr>
            <u/>
            <sz val="9"/>
            <color rgb="FF000000"/>
            <rFont val="Tahoma"/>
            <family val="2"/>
          </rPr>
          <t>C)</t>
        </r>
        <r>
          <rPr>
            <sz val="9"/>
            <color rgb="FF000000"/>
            <rFont val="Tahoma"/>
            <family val="2"/>
          </rPr>
          <t xml:space="preserve">
</t>
        </r>
        <r>
          <rPr>
            <sz val="9"/>
            <color rgb="FF000000"/>
            <rFont val="Tahoma"/>
            <family val="2"/>
          </rPr>
          <t xml:space="preserve">
</t>
        </r>
        <r>
          <rPr>
            <sz val="9"/>
            <color rgb="FF000000"/>
            <rFont val="Tahoma"/>
            <family val="2"/>
          </rPr>
          <t xml:space="preserve">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t>
        </r>
        <r>
          <rPr>
            <sz val="9"/>
            <color rgb="FF000000"/>
            <rFont val="Tahoma"/>
            <family val="2"/>
          </rPr>
          <t xml:space="preserve">
</t>
        </r>
        <r>
          <rPr>
            <sz val="9"/>
            <color rgb="FF000000"/>
            <rFont val="Tahoma"/>
            <family val="2"/>
          </rPr>
          <t>2.</t>
        </r>
        <r>
          <rPr>
            <u/>
            <sz val="9"/>
            <color rgb="FF000000"/>
            <rFont val="Tahoma"/>
            <family val="2"/>
          </rPr>
          <t xml:space="preserve"> UVLO Resistor Divider (Resistor Divider)</t>
        </r>
        <r>
          <rPr>
            <sz val="9"/>
            <color rgb="FF000000"/>
            <rFont val="Tahoma"/>
            <family val="2"/>
          </rPr>
          <t xml:space="preserve">
</t>
        </r>
        <r>
          <rPr>
            <sz val="9"/>
            <color rgb="FF000000"/>
            <rFont val="Tahoma"/>
            <family val="2"/>
          </rPr>
          <t xml:space="preserve">
</t>
        </r>
        <r>
          <rPr>
            <sz val="9"/>
            <color rgb="FF000000"/>
            <rFont val="Tahoma"/>
            <family val="2"/>
          </rPr>
          <t>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rgb="FF000000"/>
            <rFont val="Tahoma"/>
            <family val="2"/>
          </rPr>
          <t xml:space="preserve">UVLO Release Voltage
</t>
        </r>
        <r>
          <rPr>
            <b/>
            <sz val="9"/>
            <color rgb="FF000000"/>
            <rFont val="Tahoma"/>
            <family val="2"/>
          </rPr>
          <t xml:space="preserve">
</t>
        </r>
        <r>
          <rPr>
            <sz val="9"/>
            <color rgb="FF000000"/>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rgb="FF000000"/>
            <rFont val="Tahoma"/>
            <family val="2"/>
          </rPr>
          <t>Selected R</t>
        </r>
        <r>
          <rPr>
            <b/>
            <vertAlign val="subscript"/>
            <sz val="9"/>
            <color rgb="FF000000"/>
            <rFont val="Tahoma"/>
            <family val="2"/>
          </rPr>
          <t xml:space="preserve">UVLO2
</t>
        </r>
        <r>
          <rPr>
            <b/>
            <vertAlign val="subscript"/>
            <sz val="9"/>
            <color rgb="FF000000"/>
            <rFont val="Tahoma"/>
            <family val="2"/>
          </rPr>
          <t xml:space="preserve">
</t>
        </r>
        <r>
          <rPr>
            <sz val="9"/>
            <color rgb="FF000000"/>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rgb="FF000000"/>
            <rFont val="Tahoma"/>
            <family val="2"/>
          </rPr>
          <t>Calculated R</t>
        </r>
        <r>
          <rPr>
            <b/>
            <vertAlign val="subscript"/>
            <sz val="9"/>
            <color rgb="FF000000"/>
            <rFont val="Tahoma"/>
            <family val="2"/>
          </rPr>
          <t xml:space="preserve">UVLO1
</t>
        </r>
        <r>
          <rPr>
            <b/>
            <vertAlign val="subscript"/>
            <sz val="9"/>
            <color rgb="FF000000"/>
            <rFont val="Tahoma"/>
            <family val="2"/>
          </rPr>
          <t xml:space="preserve">
</t>
        </r>
        <r>
          <rPr>
            <sz val="9"/>
            <color rgb="FF000000"/>
            <rFont val="Tahoma"/>
            <family val="2"/>
          </rPr>
          <t>This is the calculated top resistor of the UVLO resistor divider based on the datasheet equation</t>
        </r>
      </text>
    </comment>
    <comment ref="B97" authorId="0" shapeId="0" xr:uid="{00000000-0006-0000-0000-000035000000}">
      <text>
        <r>
          <rPr>
            <b/>
            <sz val="9"/>
            <color rgb="FF000000"/>
            <rFont val="Tahoma"/>
            <family val="2"/>
          </rPr>
          <t>Selected R</t>
        </r>
        <r>
          <rPr>
            <b/>
            <vertAlign val="subscript"/>
            <sz val="9"/>
            <color rgb="FF000000"/>
            <rFont val="Tahoma"/>
            <family val="2"/>
          </rPr>
          <t>UVLO1</t>
        </r>
        <r>
          <rPr>
            <b/>
            <sz val="9"/>
            <color rgb="FF000000"/>
            <rFont val="Tahoma"/>
            <family val="2"/>
          </rPr>
          <t xml:space="preserve">
</t>
        </r>
        <r>
          <rPr>
            <sz val="9"/>
            <color rgb="FF000000"/>
            <rFont val="Tahoma"/>
            <family val="2"/>
          </rPr>
          <t xml:space="preserve">
</t>
        </r>
        <r>
          <rPr>
            <sz val="9"/>
            <color rgb="FF000000"/>
            <rFont val="Tahoma"/>
            <family val="2"/>
          </rPr>
          <t>This is the selected value of R</t>
        </r>
        <r>
          <rPr>
            <vertAlign val="subscript"/>
            <sz val="9"/>
            <color rgb="FF000000"/>
            <rFont val="Tahoma"/>
            <family val="2"/>
          </rPr>
          <t>UVLO1</t>
        </r>
        <r>
          <rPr>
            <sz val="9"/>
            <color rgb="FF000000"/>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indexed="81"/>
            <rFont val="Tahoma"/>
            <family val="2"/>
          </rPr>
          <t>Calculated R</t>
        </r>
        <r>
          <rPr>
            <b/>
            <vertAlign val="subscript"/>
            <sz val="9"/>
            <color indexed="81"/>
            <rFont val="Tahoma"/>
            <family val="2"/>
          </rPr>
          <t>UVLO3</t>
        </r>
        <r>
          <rPr>
            <b/>
            <sz val="9"/>
            <color indexed="81"/>
            <rFont val="Tahoma"/>
            <family val="2"/>
          </rPr>
          <t xml:space="preserve"> Value</t>
        </r>
        <r>
          <rPr>
            <sz val="9"/>
            <color indexed="81"/>
            <rFont val="Tahoma"/>
            <family val="2"/>
          </rPr>
          <t xml:space="preserve">
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indexed="81"/>
            <rFont val="Tahoma"/>
            <family val="2"/>
          </rPr>
          <t>Selected R</t>
        </r>
        <r>
          <rPr>
            <b/>
            <vertAlign val="subscript"/>
            <sz val="9"/>
            <color indexed="81"/>
            <rFont val="Tahoma"/>
            <family val="2"/>
          </rPr>
          <t>UVLO3</t>
        </r>
        <r>
          <rPr>
            <b/>
            <sz val="9"/>
            <color indexed="81"/>
            <rFont val="Tahoma"/>
            <family val="2"/>
          </rPr>
          <t xml:space="preserve"> Value
</t>
        </r>
        <r>
          <rPr>
            <sz val="9"/>
            <color indexed="81"/>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indexed="81"/>
            <rFont val="Tahoma"/>
            <family val="2"/>
          </rPr>
          <t xml:space="preserve">UVLO Release Rising Edge
</t>
        </r>
        <r>
          <rPr>
            <sz val="9"/>
            <color indexed="81"/>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indexed="81"/>
            <rFont val="Tahoma"/>
            <family val="2"/>
          </rPr>
          <t xml:space="preserve">UVLO Latch Falling Edge
</t>
        </r>
        <r>
          <rPr>
            <sz val="9"/>
            <color indexed="81"/>
            <rFont val="Tahoma"/>
            <family val="2"/>
          </rPr>
          <t xml:space="preserve">
This is the UVLO input rail voltage at which an Undervoltage event occurs. If the input rail voltage is less than this value the LM5170 is in standby mode.</t>
        </r>
      </text>
    </comment>
    <comment ref="B105" authorId="0" shapeId="0" xr:uid="{00000000-0006-0000-0000-00003D000000}">
      <text>
        <r>
          <rPr>
            <b/>
            <sz val="9"/>
            <color indexed="81"/>
            <rFont val="Tahoma"/>
            <family val="2"/>
          </rPr>
          <t xml:space="preserve">UVLO Shutdown Voltage
</t>
        </r>
        <r>
          <rPr>
            <sz val="9"/>
            <color indexed="81"/>
            <rFont val="Tahoma"/>
            <family val="2"/>
          </rPr>
          <t>This is the UVLO input rail voltage at which the LM5170 will enter shutdown mode.</t>
        </r>
        <r>
          <rPr>
            <b/>
            <sz val="9"/>
            <color indexed="81"/>
            <rFont val="Tahoma"/>
            <family val="2"/>
          </rPr>
          <t xml:space="preserve"> </t>
        </r>
      </text>
    </comment>
    <comment ref="B110" authorId="0" shapeId="0" xr:uid="{00000000-0006-0000-0000-00003E000000}">
      <text>
        <r>
          <rPr>
            <b/>
            <sz val="9"/>
            <color rgb="FF000000"/>
            <rFont val="Tahoma"/>
            <family val="2"/>
          </rPr>
          <t>IOUT Voltage at VCS = 50mV</t>
        </r>
        <r>
          <rPr>
            <sz val="9"/>
            <color rgb="FF000000"/>
            <rFont val="Tahoma"/>
            <family val="2"/>
          </rPr>
          <t xml:space="preserve">
</t>
        </r>
        <r>
          <rPr>
            <sz val="9"/>
            <color rgb="FF000000"/>
            <rFont val="Tahoma"/>
            <family val="2"/>
          </rPr>
          <t xml:space="preserve">
</t>
        </r>
        <r>
          <rPr>
            <sz val="9"/>
            <color rgb="FF000000"/>
            <rFont val="Tahoma"/>
            <family val="2"/>
          </rPr>
          <t xml:space="preserve">The maximum voltage that the IOUTx pin will see at full load current. This is assuming that each channel (IOUT1, IOUT2,…) has an output that is not tied together. It is recommended to keep the IOUTx pin </t>
        </r>
        <r>
          <rPr>
            <u/>
            <sz val="9"/>
            <color rgb="FF000000"/>
            <rFont val="Tahoma"/>
            <family val="2"/>
          </rPr>
          <t xml:space="preserve">voltage below 5V </t>
        </r>
        <r>
          <rPr>
            <sz val="9"/>
            <color rgb="FF000000"/>
            <rFont val="Tahoma"/>
            <family val="2"/>
          </rPr>
          <t>for accurate current measurements.</t>
        </r>
      </text>
    </comment>
    <comment ref="B111" authorId="0" shapeId="0" xr:uid="{00000000-0006-0000-0000-00003F000000}">
      <text>
        <r>
          <rPr>
            <b/>
            <sz val="9"/>
            <color rgb="FF000000"/>
            <rFont val="Tahoma"/>
            <family val="2"/>
          </rPr>
          <t>Calculated R</t>
        </r>
        <r>
          <rPr>
            <b/>
            <vertAlign val="subscript"/>
            <sz val="9"/>
            <color rgb="FF000000"/>
            <rFont val="Tahoma"/>
            <family val="2"/>
          </rPr>
          <t xml:space="preserve">IOUT </t>
        </r>
        <r>
          <rPr>
            <b/>
            <sz val="9"/>
            <color rgb="FF000000"/>
            <rFont val="Tahoma"/>
            <family val="2"/>
          </rPr>
          <t>Values</t>
        </r>
        <r>
          <rPr>
            <sz val="9"/>
            <color rgb="FF000000"/>
            <rFont val="Tahoma"/>
            <family val="2"/>
          </rPr>
          <t xml:space="preserve">
</t>
        </r>
        <r>
          <rPr>
            <sz val="9"/>
            <color rgb="FF000000"/>
            <rFont val="Tahoma"/>
            <family val="2"/>
          </rPr>
          <t xml:space="preserve">
</t>
        </r>
        <r>
          <rPr>
            <sz val="9"/>
            <color rgb="FF000000"/>
            <rFont val="Tahoma"/>
            <family val="2"/>
          </rPr>
          <t>These values are assuming that no IOUT signal is tied together. The calculated value of the resistor will give the specified maximum V</t>
        </r>
        <r>
          <rPr>
            <vertAlign val="subscript"/>
            <sz val="9"/>
            <color rgb="FF000000"/>
            <rFont val="Tahoma"/>
            <family val="2"/>
          </rPr>
          <t>IOUT</t>
        </r>
        <r>
          <rPr>
            <sz val="9"/>
            <color rgb="FF000000"/>
            <rFont val="Tahoma"/>
            <family val="2"/>
          </rPr>
          <t xml:space="preserve"> based on the datasheet equation.</t>
        </r>
      </text>
    </comment>
    <comment ref="B112" authorId="0" shapeId="0" xr:uid="{00000000-0006-0000-0000-000040000000}">
      <text>
        <r>
          <rPr>
            <b/>
            <sz val="9"/>
            <color rgb="FF000000"/>
            <rFont val="Tahoma"/>
            <family val="2"/>
          </rPr>
          <t>Selected RIOUT Value</t>
        </r>
        <r>
          <rPr>
            <sz val="9"/>
            <color rgb="FF000000"/>
            <rFont val="Tahoma"/>
            <family val="2"/>
          </rPr>
          <t xml:space="preserve">
</t>
        </r>
        <r>
          <rPr>
            <sz val="9"/>
            <color rgb="FF000000"/>
            <rFont val="Tahoma"/>
            <family val="2"/>
          </rPr>
          <t xml:space="preserve">
</t>
        </r>
        <r>
          <rPr>
            <sz val="9"/>
            <color rgb="FF000000"/>
            <rFont val="Tahoma"/>
            <family val="2"/>
          </rPr>
          <t>The selected value should be based on the calculated value for the RIOUT resistors</t>
        </r>
      </text>
    </comment>
    <comment ref="B113" authorId="0" shapeId="0" xr:uid="{00000000-0006-0000-0000-000041000000}">
      <text>
        <r>
          <rPr>
            <b/>
            <sz val="9"/>
            <color rgb="FF000000"/>
            <rFont val="Tahoma"/>
            <family val="2"/>
          </rPr>
          <t>V</t>
        </r>
        <r>
          <rPr>
            <b/>
            <vertAlign val="subscript"/>
            <sz val="9"/>
            <color rgb="FF000000"/>
            <rFont val="Tahoma"/>
            <family val="2"/>
          </rPr>
          <t>IOUT</t>
        </r>
        <r>
          <rPr>
            <b/>
            <sz val="9"/>
            <color rgb="FF000000"/>
            <rFont val="Tahoma"/>
            <family val="2"/>
          </rPr>
          <t xml:space="preserve"> at full load</t>
        </r>
        <r>
          <rPr>
            <sz val="9"/>
            <color rgb="FF000000"/>
            <rFont val="Tahoma"/>
            <family val="2"/>
          </rPr>
          <t xml:space="preserve">
</t>
        </r>
        <r>
          <rPr>
            <sz val="9"/>
            <color rgb="FF000000"/>
            <rFont val="Tahoma"/>
            <family val="2"/>
          </rPr>
          <t xml:space="preserve">
</t>
        </r>
        <r>
          <rPr>
            <sz val="9"/>
            <color rgb="FF000000"/>
            <rFont val="Tahoma"/>
            <family val="2"/>
          </rPr>
          <t>This is the maximum value on the IOUT pins based on the resistor selection made.</t>
        </r>
      </text>
    </comment>
    <comment ref="B114" authorId="0" shapeId="0" xr:uid="{00000000-0006-0000-0000-000042000000}">
      <text>
        <r>
          <rPr>
            <b/>
            <sz val="9"/>
            <color rgb="FF000000"/>
            <rFont val="Tahoma"/>
            <family val="2"/>
          </rPr>
          <t>V</t>
        </r>
        <r>
          <rPr>
            <b/>
            <vertAlign val="subscript"/>
            <sz val="9"/>
            <color rgb="FF000000"/>
            <rFont val="Tahoma"/>
            <family val="2"/>
          </rPr>
          <t>IOUT</t>
        </r>
        <r>
          <rPr>
            <b/>
            <sz val="9"/>
            <color rgb="FF000000"/>
            <rFont val="Tahoma"/>
            <family val="2"/>
          </rPr>
          <t xml:space="preserve"> at no load
</t>
        </r>
        <r>
          <rPr>
            <b/>
            <sz val="9"/>
            <color rgb="FF000000"/>
            <rFont val="Tahoma"/>
            <family val="2"/>
          </rPr>
          <t xml:space="preserve">
</t>
        </r>
        <r>
          <rPr>
            <sz val="9"/>
            <color rgb="FF000000"/>
            <rFont val="Tahoma"/>
            <family val="2"/>
          </rPr>
          <t>This is the voltage on the IOUT pins at no load based on the resistor selection made. This is due to the 25uA offset current on the IOUT pins</t>
        </r>
        <r>
          <rPr>
            <b/>
            <sz val="9"/>
            <color rgb="FF000000"/>
            <rFont val="Tahoma"/>
            <family val="2"/>
          </rPr>
          <t>.</t>
        </r>
        <r>
          <rPr>
            <sz val="9"/>
            <color rgb="FF000000"/>
            <rFont val="Tahoma"/>
            <family val="2"/>
          </rPr>
          <t xml:space="preserve">
</t>
        </r>
      </text>
    </comment>
    <comment ref="B115" authorId="0" shapeId="0" xr:uid="{00000000-0006-0000-0000-000043000000}">
      <text>
        <r>
          <rPr>
            <b/>
            <sz val="9"/>
            <color rgb="FF000000"/>
            <rFont val="Tahoma"/>
            <family val="2"/>
          </rPr>
          <t xml:space="preserve">Calculated CIOUT 
</t>
        </r>
        <r>
          <rPr>
            <b/>
            <sz val="9"/>
            <color rgb="FF000000"/>
            <rFont val="Tahoma"/>
            <family val="2"/>
          </rPr>
          <t xml:space="preserve">
</t>
        </r>
        <r>
          <rPr>
            <sz val="9"/>
            <color rgb="FF000000"/>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rgb="FF000000"/>
            <rFont val="Tahoma"/>
            <family val="2"/>
          </rPr>
          <t>Selected C</t>
        </r>
        <r>
          <rPr>
            <b/>
            <vertAlign val="subscript"/>
            <sz val="9"/>
            <color rgb="FF000000"/>
            <rFont val="Tahoma"/>
            <family val="2"/>
          </rPr>
          <t>IOUT</t>
        </r>
        <r>
          <rPr>
            <b/>
            <sz val="9"/>
            <color rgb="FF000000"/>
            <rFont val="Tahoma"/>
            <family val="2"/>
          </rPr>
          <t xml:space="preserve"> Capacitor</t>
        </r>
        <r>
          <rPr>
            <sz val="9"/>
            <color rgb="FF000000"/>
            <rFont val="Tahoma"/>
            <family val="2"/>
          </rPr>
          <t xml:space="preserve">
</t>
        </r>
        <r>
          <rPr>
            <sz val="9"/>
            <color rgb="FF000000"/>
            <rFont val="Tahoma"/>
            <family val="2"/>
          </rPr>
          <t xml:space="preserve">
</t>
        </r>
        <r>
          <rPr>
            <sz val="9"/>
            <color rgb="FF000000"/>
            <rFont val="Tahoma"/>
            <family val="2"/>
          </rPr>
          <t>This is the selected C</t>
        </r>
        <r>
          <rPr>
            <vertAlign val="subscript"/>
            <sz val="9"/>
            <color rgb="FF000000"/>
            <rFont val="Tahoma"/>
            <family val="2"/>
          </rPr>
          <t>IOUT</t>
        </r>
        <r>
          <rPr>
            <sz val="9"/>
            <color rgb="FF000000"/>
            <rFont val="Tahoma"/>
            <family val="2"/>
          </rPr>
          <t xml:space="preserve"> capacitor. The selected value should be based on the calculated value above.</t>
        </r>
      </text>
    </comment>
    <comment ref="B117" authorId="0" shapeId="0" xr:uid="{00000000-0006-0000-0000-000045000000}">
      <text>
        <r>
          <rPr>
            <b/>
            <sz val="9"/>
            <color rgb="FF000000"/>
            <rFont val="Tahoma"/>
            <family val="2"/>
          </rPr>
          <t>V</t>
        </r>
        <r>
          <rPr>
            <b/>
            <vertAlign val="subscript"/>
            <sz val="9"/>
            <color rgb="FF000000"/>
            <rFont val="Tahoma"/>
            <family val="2"/>
          </rPr>
          <t>IOUT</t>
        </r>
        <r>
          <rPr>
            <b/>
            <sz val="9"/>
            <color rgb="FF000000"/>
            <rFont val="Tahoma"/>
            <family val="2"/>
          </rPr>
          <t xml:space="preserve"> Ripple
</t>
        </r>
        <r>
          <rPr>
            <b/>
            <sz val="9"/>
            <color rgb="FF000000"/>
            <rFont val="Tahoma"/>
            <family val="2"/>
          </rPr>
          <t xml:space="preserve">
</t>
        </r>
        <r>
          <rPr>
            <sz val="9"/>
            <color rgb="FF000000"/>
            <rFont val="Tahoma"/>
            <family val="2"/>
          </rPr>
          <t>This is the amount of voltage ripple on the IOUT pin at full load. This can be decreased by increasing the C</t>
        </r>
        <r>
          <rPr>
            <vertAlign val="subscript"/>
            <sz val="9"/>
            <color rgb="FF000000"/>
            <rFont val="Tahoma"/>
            <family val="2"/>
          </rPr>
          <t>IOUT</t>
        </r>
        <r>
          <rPr>
            <sz val="9"/>
            <color rgb="FF000000"/>
            <rFont val="Tahoma"/>
            <family val="2"/>
          </rPr>
          <t xml:space="preserve"> capacitance</t>
        </r>
      </text>
    </comment>
    <comment ref="B118" authorId="0" shapeId="0" xr:uid="{00000000-0006-0000-0000-000046000000}">
      <text>
        <r>
          <rPr>
            <b/>
            <sz val="9"/>
            <color rgb="FF000000"/>
            <rFont val="Tahoma"/>
            <family val="2"/>
          </rPr>
          <t xml:space="preserve">Corner Frequency
</t>
        </r>
        <r>
          <rPr>
            <b/>
            <sz val="9"/>
            <color rgb="FF000000"/>
            <rFont val="Tahoma"/>
            <family val="2"/>
          </rPr>
          <t xml:space="preserve">
</t>
        </r>
        <r>
          <rPr>
            <sz val="9"/>
            <color rgb="FF000000"/>
            <rFont val="Tahoma"/>
            <family val="2"/>
          </rPr>
          <t>This is the corner frequency of the IOUT resistor and capacitor.</t>
        </r>
      </text>
    </comment>
    <comment ref="B123" authorId="0" shapeId="0" xr:uid="{00000000-0006-0000-0000-000047000000}">
      <text>
        <r>
          <rPr>
            <b/>
            <sz val="9"/>
            <color rgb="FF000000"/>
            <rFont val="Tahoma"/>
            <family val="2"/>
          </rPr>
          <t xml:space="preserve">Dead Time Configuration
</t>
        </r>
        <r>
          <rPr>
            <b/>
            <sz val="9"/>
            <color rgb="FF000000"/>
            <rFont val="Tahoma"/>
            <family val="2"/>
          </rPr>
          <t xml:space="preserve">
</t>
        </r>
        <r>
          <rPr>
            <sz val="9"/>
            <color rgb="FF000000"/>
            <rFont val="Tahoma"/>
            <family val="2"/>
          </rPr>
          <t>The dead time of the LM5170 can either be programmed or it can be set to adaptive. See the datasheet for more details</t>
        </r>
      </text>
    </comment>
    <comment ref="B124" authorId="0" shapeId="0" xr:uid="{00000000-0006-0000-0000-000048000000}">
      <text>
        <r>
          <rPr>
            <b/>
            <sz val="9"/>
            <color rgb="FF000000"/>
            <rFont val="Tahoma"/>
            <family val="2"/>
          </rPr>
          <t>Selected Dead Time</t>
        </r>
        <r>
          <rPr>
            <sz val="9"/>
            <color rgb="FF000000"/>
            <rFont val="Tahoma"/>
            <family val="2"/>
          </rPr>
          <t xml:space="preserve">
</t>
        </r>
        <r>
          <rPr>
            <sz val="9"/>
            <color rgb="FF000000"/>
            <rFont val="Tahoma"/>
            <family val="2"/>
          </rPr>
          <t xml:space="preserve">
</t>
        </r>
        <r>
          <rPr>
            <sz val="9"/>
            <color rgb="FF000000"/>
            <rFont val="Tahoma"/>
            <family val="2"/>
          </rPr>
          <t xml:space="preserve">This is the dead time between the LO and HO signals
</t>
        </r>
        <r>
          <rPr>
            <sz val="9"/>
            <color rgb="FF000000"/>
            <rFont val="Tahoma"/>
            <family val="2"/>
          </rPr>
          <t xml:space="preserve">
</t>
        </r>
        <r>
          <rPr>
            <sz val="9"/>
            <color rgb="FF000000"/>
            <rFont val="Tahoma"/>
            <family val="2"/>
          </rPr>
          <t xml:space="preserve">The </t>
        </r>
        <r>
          <rPr>
            <b/>
            <sz val="9"/>
            <color rgb="FF000000"/>
            <rFont val="Tahoma"/>
            <family val="2"/>
          </rPr>
          <t>minimum</t>
        </r>
        <r>
          <rPr>
            <sz val="9"/>
            <color rgb="FF000000"/>
            <rFont val="Tahoma"/>
            <family val="2"/>
          </rPr>
          <t xml:space="preserve"> value is: </t>
        </r>
        <r>
          <rPr>
            <b/>
            <sz val="9"/>
            <color rgb="FF000000"/>
            <rFont val="Tahoma"/>
            <family val="2"/>
          </rPr>
          <t>15ns</t>
        </r>
        <r>
          <rPr>
            <sz val="9"/>
            <color rgb="FF000000"/>
            <rFont val="Tahoma"/>
            <family val="2"/>
          </rPr>
          <t xml:space="preserve">
</t>
        </r>
        <r>
          <rPr>
            <sz val="9"/>
            <color rgb="FF000000"/>
            <rFont val="Tahoma"/>
            <family val="2"/>
          </rPr>
          <t xml:space="preserve">The </t>
        </r>
        <r>
          <rPr>
            <b/>
            <sz val="9"/>
            <color rgb="FF000000"/>
            <rFont val="Tahoma"/>
            <family val="2"/>
          </rPr>
          <t>maximum</t>
        </r>
        <r>
          <rPr>
            <sz val="9"/>
            <color rgb="FF000000"/>
            <rFont val="Tahoma"/>
            <family val="2"/>
          </rPr>
          <t xml:space="preserve"> values is: </t>
        </r>
        <r>
          <rPr>
            <b/>
            <sz val="9"/>
            <color rgb="FF000000"/>
            <rFont val="Tahoma"/>
            <family val="2"/>
          </rPr>
          <t>200ns</t>
        </r>
      </text>
    </comment>
    <comment ref="B125" authorId="0" shapeId="0" xr:uid="{00000000-0006-0000-0000-000049000000}">
      <text>
        <r>
          <rPr>
            <b/>
            <sz val="9"/>
            <color indexed="81"/>
            <rFont val="Tahoma"/>
            <family val="2"/>
          </rPr>
          <t>Dead Time Resistor</t>
        </r>
        <r>
          <rPr>
            <sz val="9"/>
            <color indexed="81"/>
            <rFont val="Tahoma"/>
            <family val="2"/>
          </rPr>
          <t xml:space="preserve">
Calculated dead time resistor based on the above selected dead time value.</t>
        </r>
      </text>
    </comment>
    <comment ref="B126" authorId="0" shapeId="0" xr:uid="{00000000-0006-0000-0000-00004A000000}">
      <text>
        <r>
          <rPr>
            <b/>
            <sz val="9"/>
            <color rgb="FF000000"/>
            <rFont val="Tahoma"/>
            <family val="2"/>
          </rPr>
          <t>Selected Dead Time Resistor</t>
        </r>
        <r>
          <rPr>
            <sz val="9"/>
            <color rgb="FF000000"/>
            <rFont val="Tahoma"/>
            <family val="2"/>
          </rPr>
          <t xml:space="preserve">
</t>
        </r>
        <r>
          <rPr>
            <sz val="9"/>
            <color rgb="FF000000"/>
            <rFont val="Tahoma"/>
            <family val="2"/>
          </rPr>
          <t xml:space="preserve">
</t>
        </r>
        <r>
          <rPr>
            <sz val="9"/>
            <color rgb="FF000000"/>
            <rFont val="Tahoma"/>
            <family val="2"/>
          </rPr>
          <t>This is the selected dead time resistor. The selection of this value should be based on the above calculated value</t>
        </r>
      </text>
    </comment>
    <comment ref="B127" authorId="0" shapeId="0" xr:uid="{00000000-0006-0000-0000-00004B000000}">
      <text>
        <r>
          <rPr>
            <b/>
            <sz val="9"/>
            <color indexed="81"/>
            <rFont val="Tahoma"/>
            <family val="2"/>
          </rPr>
          <t>LO falling to HO rising Dead Time</t>
        </r>
        <r>
          <rPr>
            <sz val="9"/>
            <color indexed="81"/>
            <rFont val="Tahoma"/>
            <family val="2"/>
          </rPr>
          <t xml:space="preserve">
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rgb="FF000000"/>
            <rFont val="Tahoma"/>
            <family val="2"/>
          </rPr>
          <t xml:space="preserve">Path Resistance
</t>
        </r>
        <r>
          <rPr>
            <b/>
            <sz val="9"/>
            <color rgb="FF000000"/>
            <rFont val="Tahoma"/>
            <family val="2"/>
          </rPr>
          <t xml:space="preserve">
</t>
        </r>
        <r>
          <rPr>
            <sz val="9"/>
            <color rgb="FF000000"/>
            <rFont val="Tahoma"/>
            <family val="2"/>
          </rPr>
          <t>This is the entire resistance on the LV port path to the load, excluding R</t>
        </r>
        <r>
          <rPr>
            <vertAlign val="subscript"/>
            <sz val="9"/>
            <color rgb="FF000000"/>
            <rFont val="Tahoma"/>
            <family val="2"/>
          </rPr>
          <t>CS</t>
        </r>
        <r>
          <rPr>
            <sz val="9"/>
            <color rgb="FF000000"/>
            <rFont val="Tahoma"/>
            <family val="2"/>
          </rPr>
          <t>. This a reasonable estimate of this value is 50m</t>
        </r>
        <r>
          <rPr>
            <sz val="9"/>
            <color rgb="FF000000"/>
            <rFont val="Calibri"/>
            <family val="2"/>
          </rPr>
          <t>Ω</t>
        </r>
        <r>
          <rPr>
            <sz val="9"/>
            <color rgb="FF000000"/>
            <rFont val="Tahoma"/>
            <family val="2"/>
          </rPr>
          <t xml:space="preserve"> </t>
        </r>
      </text>
    </comment>
    <comment ref="B135" authorId="0" shapeId="0" xr:uid="{00000000-0006-0000-0000-00004E000000}">
      <text>
        <r>
          <rPr>
            <b/>
            <sz val="9"/>
            <color rgb="FF000000"/>
            <rFont val="Tahoma"/>
            <family val="2"/>
          </rPr>
          <t xml:space="preserve">Plant Pole (kHz)
</t>
        </r>
        <r>
          <rPr>
            <sz val="9"/>
            <color rgb="FF000000"/>
            <rFont val="Tahoma"/>
            <family val="2"/>
          </rPr>
          <t xml:space="preserve">
</t>
        </r>
        <r>
          <rPr>
            <sz val="9"/>
            <color rgb="FF000000"/>
            <rFont val="Tahoma"/>
            <family val="2"/>
          </rPr>
          <t>This is the location of the low frequency pole of the power plant. This will help to determine the placement of the compensation network zero. See the datasheet for details on how to calculate this value.</t>
        </r>
        <r>
          <rPr>
            <b/>
            <sz val="9"/>
            <color rgb="FF000000"/>
            <rFont val="Tahoma"/>
            <family val="2"/>
          </rPr>
          <t xml:space="preserve">
</t>
        </r>
      </text>
    </comment>
    <comment ref="B136" authorId="0" shapeId="0" xr:uid="{00000000-0006-0000-0000-00004F000000}">
      <text>
        <r>
          <rPr>
            <b/>
            <sz val="9"/>
            <color indexed="81"/>
            <rFont val="Tahoma"/>
            <family val="2"/>
          </rPr>
          <t>Suggested Cross Over Frequency</t>
        </r>
        <r>
          <rPr>
            <sz val="9"/>
            <color indexed="81"/>
            <rFont val="Tahoma"/>
            <family val="2"/>
          </rPr>
          <t xml:space="preserve">
This is estimated to be 1/10 of the switching frequency. This should allow for easy compensation and stability when adding voltage loop control.</t>
        </r>
      </text>
    </comment>
    <comment ref="B137" authorId="0" shapeId="0" xr:uid="{00000000-0006-0000-0000-000050000000}">
      <text>
        <r>
          <rPr>
            <sz val="9"/>
            <color rgb="FF000000"/>
            <rFont val="Tahoma"/>
            <family val="2"/>
          </rPr>
          <t xml:space="preserve">Crossover Frequency
</t>
        </r>
        <r>
          <rPr>
            <sz val="9"/>
            <color rgb="FF000000"/>
            <rFont val="Tahoma"/>
            <family val="2"/>
          </rPr>
          <t xml:space="preserve">
</t>
        </r>
        <r>
          <rPr>
            <sz val="9"/>
            <color rgb="FF000000"/>
            <rFont val="Tahoma"/>
            <family val="2"/>
          </rPr>
          <t xml:space="preserve">This is the selected crossover frequency of the current loop. The compensation values will be set to this
</t>
        </r>
      </text>
    </comment>
    <comment ref="B138" authorId="0" shapeId="0" xr:uid="{00000000-0006-0000-0000-000051000000}">
      <text>
        <r>
          <rPr>
            <b/>
            <sz val="9"/>
            <color rgb="FF000000"/>
            <rFont val="Tahoma"/>
            <family val="2"/>
          </rPr>
          <t>Calculated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See datasheet for details on how to calculate this value</t>
        </r>
      </text>
    </comment>
    <comment ref="B139" authorId="0" shapeId="0" xr:uid="{00000000-0006-0000-0000-000052000000}">
      <text>
        <r>
          <rPr>
            <b/>
            <sz val="9"/>
            <color rgb="FF000000"/>
            <rFont val="Tahoma"/>
            <family val="2"/>
          </rPr>
          <t>Selected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rgb="FF000000"/>
            <rFont val="Tahoma"/>
            <family val="2"/>
          </rPr>
          <t>Calculated C</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b/>
            <sz val="9"/>
            <color rgb="FF000000"/>
            <rFont val="Tahoma"/>
            <family val="2"/>
          </rPr>
          <t>See datasheet for details on how to calculate this value</t>
        </r>
      </text>
    </comment>
    <comment ref="B141" authorId="0" shapeId="0" xr:uid="{00000000-0006-0000-0000-000054000000}">
      <text>
        <r>
          <rPr>
            <b/>
            <sz val="9"/>
            <color indexed="81"/>
            <rFont val="Tahoma"/>
            <family val="2"/>
          </rPr>
          <t>Selected C</t>
        </r>
        <r>
          <rPr>
            <b/>
            <vertAlign val="subscript"/>
            <sz val="9"/>
            <color indexed="81"/>
            <rFont val="Tahoma"/>
            <family val="2"/>
          </rPr>
          <t>COMP</t>
        </r>
        <r>
          <rPr>
            <b/>
            <sz val="9"/>
            <color indexed="81"/>
            <rFont val="Tahoma"/>
            <family val="2"/>
          </rPr>
          <t xml:space="preserve">
</t>
        </r>
        <r>
          <rPr>
            <sz val="9"/>
            <color indexed="81"/>
            <rFont val="Tahoma"/>
            <family val="2"/>
          </rPr>
          <t xml:space="preserve">
This value should reflect the calculated value above. Adjusting this value will move the affect the zero location of the compensation.</t>
        </r>
        <r>
          <rPr>
            <b/>
            <sz val="9"/>
            <color indexed="81"/>
            <rFont val="Tahoma"/>
            <family val="2"/>
          </rPr>
          <t xml:space="preserve">
</t>
        </r>
      </text>
    </comment>
    <comment ref="B142" authorId="0" shapeId="0" xr:uid="{00000000-0006-0000-0000-000055000000}">
      <text>
        <r>
          <rPr>
            <b/>
            <sz val="9"/>
            <color indexed="81"/>
            <rFont val="Tahoma"/>
            <family val="2"/>
          </rPr>
          <t>Calculated CHF</t>
        </r>
        <r>
          <rPr>
            <sz val="9"/>
            <color indexed="81"/>
            <rFont val="Tahoma"/>
            <family val="2"/>
          </rPr>
          <t xml:space="preserve">
See datasheet for details on how to calculate this value
</t>
        </r>
      </text>
    </comment>
    <comment ref="B143" authorId="0" shapeId="0" xr:uid="{00000000-0006-0000-0000-000056000000}">
      <text>
        <r>
          <rPr>
            <b/>
            <sz val="9"/>
            <color indexed="81"/>
            <rFont val="Tahoma"/>
            <family val="2"/>
          </rPr>
          <t>Selected C</t>
        </r>
        <r>
          <rPr>
            <b/>
            <vertAlign val="subscript"/>
            <sz val="9"/>
            <color indexed="81"/>
            <rFont val="Tahoma"/>
            <family val="2"/>
          </rPr>
          <t>HF</t>
        </r>
        <r>
          <rPr>
            <b/>
            <sz val="9"/>
            <color indexed="81"/>
            <rFont val="Tahoma"/>
            <family val="2"/>
          </rPr>
          <t xml:space="preserve">
</t>
        </r>
        <r>
          <rPr>
            <sz val="9"/>
            <color indexed="81"/>
            <rFont val="Tahoma"/>
            <family val="2"/>
          </rPr>
          <t xml:space="preserve">
This value should reflect the calculated value above. Adjusting this value will move the affect the pole location of the compensation network.
</t>
        </r>
      </text>
    </comment>
    <comment ref="B144" authorId="0" shapeId="0" xr:uid="{00000000-0006-0000-0000-000057000000}">
      <text>
        <r>
          <rPr>
            <b/>
            <sz val="9"/>
            <color indexed="81"/>
            <rFont val="Tahoma"/>
            <family val="2"/>
          </rPr>
          <t>Compensation Zero Location (F</t>
        </r>
        <r>
          <rPr>
            <b/>
            <vertAlign val="subscript"/>
            <sz val="9"/>
            <color indexed="81"/>
            <rFont val="Tahoma"/>
            <family val="2"/>
          </rPr>
          <t>Zcomp</t>
        </r>
        <r>
          <rPr>
            <b/>
            <sz val="9"/>
            <color indexed="81"/>
            <rFont val="Tahoma"/>
            <family val="2"/>
          </rPr>
          <t xml:space="preserve">)
</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45" authorId="0" shapeId="0" xr:uid="{00000000-0006-0000-0000-000058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r>
          <rPr>
            <b/>
            <sz val="9"/>
            <color indexed="81"/>
            <rFont val="Tahoma"/>
            <family val="2"/>
          </rPr>
          <t>.</t>
        </r>
        <r>
          <rPr>
            <sz val="9"/>
            <color indexed="81"/>
            <rFont val="Tahoma"/>
            <family val="2"/>
          </rPr>
          <t xml:space="preserve">
</t>
        </r>
      </text>
    </comment>
    <comment ref="B152" authorId="0" shapeId="0" xr:uid="{00000000-0006-0000-0000-000059000000}">
      <text>
        <r>
          <rPr>
            <b/>
            <sz val="9"/>
            <color indexed="81"/>
            <rFont val="Tahoma"/>
            <family val="2"/>
          </rPr>
          <t xml:space="preserve">External Reference Voltage
</t>
        </r>
        <r>
          <rPr>
            <sz val="9"/>
            <color indexed="81"/>
            <rFont val="Tahoma"/>
            <family val="2"/>
          </rPr>
          <t xml:space="preserve">
This is the external reference voltage for the voltage loop. This value will be used to calculate the feedback resistors. </t>
        </r>
      </text>
    </comment>
    <comment ref="B153" authorId="0" shapeId="0" xr:uid="{00000000-0006-0000-0000-00005A000000}">
      <text>
        <r>
          <rPr>
            <b/>
            <sz val="9"/>
            <color indexed="81"/>
            <rFont val="Tahoma"/>
            <family val="2"/>
          </rPr>
          <t>Selected Bottom Resistor</t>
        </r>
        <r>
          <rPr>
            <sz val="9"/>
            <color indexed="81"/>
            <rFont val="Tahoma"/>
            <family val="2"/>
          </rPr>
          <t xml:space="preserve">
This is the selected bottom resistor of the FB resistor divider. A good starting point for this value is in the 1kΩ to 20k</t>
        </r>
        <r>
          <rPr>
            <sz val="9"/>
            <color indexed="81"/>
            <rFont val="Calibri"/>
            <family val="2"/>
          </rPr>
          <t>Ω</t>
        </r>
        <r>
          <rPr>
            <sz val="9"/>
            <color indexed="81"/>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indexed="81"/>
            <rFont val="Tahoma"/>
            <family val="2"/>
          </rPr>
          <t>Calculated R</t>
        </r>
        <r>
          <rPr>
            <b/>
            <vertAlign val="subscript"/>
            <sz val="9"/>
            <color indexed="81"/>
            <rFont val="Tahoma"/>
            <family val="2"/>
          </rPr>
          <t>FB_TOP</t>
        </r>
        <r>
          <rPr>
            <b/>
            <sz val="9"/>
            <color indexed="81"/>
            <rFont val="Tahoma"/>
            <family val="2"/>
          </rPr>
          <t xml:space="preserve">
</t>
        </r>
        <r>
          <rPr>
            <sz val="9"/>
            <color indexed="81"/>
            <rFont val="Tahoma"/>
            <family val="2"/>
          </rPr>
          <t>This is the value calculated in order to set the feedback node at V</t>
        </r>
        <r>
          <rPr>
            <vertAlign val="subscript"/>
            <sz val="9"/>
            <color indexed="81"/>
            <rFont val="Tahoma"/>
            <family val="2"/>
          </rPr>
          <t>REF</t>
        </r>
        <r>
          <rPr>
            <sz val="9"/>
            <color indexed="81"/>
            <rFont val="Tahoma"/>
            <family val="2"/>
          </rPr>
          <t xml:space="preserve"> when the output voltage in buck mode is set to be the nominal value of the LV Port voltage.</t>
        </r>
      </text>
    </comment>
    <comment ref="B155" authorId="0" shapeId="0" xr:uid="{00000000-0006-0000-0000-00005C000000}">
      <text>
        <r>
          <rPr>
            <b/>
            <sz val="9"/>
            <color indexed="81"/>
            <rFont val="Tahoma"/>
            <family val="2"/>
          </rPr>
          <t>Selected R</t>
        </r>
        <r>
          <rPr>
            <b/>
            <vertAlign val="subscript"/>
            <sz val="9"/>
            <color indexed="81"/>
            <rFont val="Tahoma"/>
            <family val="2"/>
          </rPr>
          <t>FB_TOP</t>
        </r>
        <r>
          <rPr>
            <b/>
            <sz val="9"/>
            <color indexed="81"/>
            <rFont val="Tahoma"/>
            <family val="2"/>
          </rPr>
          <t xml:space="preserve">
</t>
        </r>
        <r>
          <rPr>
            <sz val="9"/>
            <color indexed="81"/>
            <rFont val="Tahoma"/>
            <family val="2"/>
          </rPr>
          <t xml:space="preserve">
The selected value should reflect the calculated value above.</t>
        </r>
      </text>
    </comment>
    <comment ref="B156" authorId="0" shapeId="0" xr:uid="{00000000-0006-0000-0000-00005D000000}">
      <text>
        <r>
          <rPr>
            <b/>
            <sz val="9"/>
            <color indexed="81"/>
            <rFont val="Tahoma"/>
            <family val="2"/>
          </rPr>
          <t>Suggested Crossover Frequency</t>
        </r>
        <r>
          <rPr>
            <sz val="9"/>
            <color indexed="81"/>
            <rFont val="Tahoma"/>
            <family val="2"/>
          </rPr>
          <t xml:space="preserve">
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indexed="81"/>
            <rFont val="Tahoma"/>
            <family val="2"/>
          </rPr>
          <t>Selected Crossover Frequency</t>
        </r>
        <r>
          <rPr>
            <sz val="9"/>
            <color indexed="81"/>
            <rFont val="Tahoma"/>
            <family val="2"/>
          </rPr>
          <t xml:space="preserve">
This is the desired crossover frequency. The voltage loop compensation values will be calculated to have a loop cross over frequency of this value.</t>
        </r>
      </text>
    </comment>
    <comment ref="B158" authorId="0" shapeId="0" xr:uid="{00000000-0006-0000-0000-00005F000000}">
      <text>
        <r>
          <rPr>
            <b/>
            <sz val="9"/>
            <color indexed="81"/>
            <rFont val="Tahoma"/>
            <family val="2"/>
          </rPr>
          <t>R</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R</t>
        </r>
        <r>
          <rPr>
            <vertAlign val="subscript"/>
            <sz val="9"/>
            <color indexed="81"/>
            <rFont val="Tahoma"/>
            <family val="2"/>
          </rPr>
          <t>COMP</t>
        </r>
        <r>
          <rPr>
            <sz val="9"/>
            <color indexed="81"/>
            <rFont val="Tahoma"/>
            <family val="2"/>
          </rPr>
          <t xml:space="preserve"> value based on the selected crossover frequency</t>
        </r>
      </text>
    </comment>
    <comment ref="B160" authorId="0" shapeId="0" xr:uid="{00000000-0006-0000-0000-000060000000}">
      <text>
        <r>
          <rPr>
            <b/>
            <sz val="9"/>
            <color indexed="81"/>
            <rFont val="Tahoma"/>
            <family val="2"/>
          </rPr>
          <t>C</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C</t>
        </r>
        <r>
          <rPr>
            <vertAlign val="subscript"/>
            <sz val="9"/>
            <color indexed="81"/>
            <rFont val="Tahoma"/>
            <family val="2"/>
          </rPr>
          <t>COMP</t>
        </r>
        <r>
          <rPr>
            <sz val="9"/>
            <color indexed="81"/>
            <rFont val="Tahoma"/>
            <family val="2"/>
          </rPr>
          <t xml:space="preserve"> value based on the selected crossover frequency
</t>
        </r>
      </text>
    </comment>
    <comment ref="B162" authorId="0" shapeId="0" xr:uid="{00000000-0006-0000-0000-000061000000}">
      <text>
        <r>
          <rPr>
            <b/>
            <sz val="9"/>
            <color indexed="81"/>
            <rFont val="Tahoma"/>
            <family val="2"/>
          </rPr>
          <t>C</t>
        </r>
        <r>
          <rPr>
            <b/>
            <vertAlign val="subscript"/>
            <sz val="9"/>
            <color indexed="81"/>
            <rFont val="Tahoma"/>
            <family val="2"/>
          </rPr>
          <t>HF</t>
        </r>
        <r>
          <rPr>
            <b/>
            <sz val="9"/>
            <color indexed="81"/>
            <rFont val="Tahoma"/>
            <family val="2"/>
          </rPr>
          <t xml:space="preserve"> Calculated
</t>
        </r>
        <r>
          <rPr>
            <sz val="9"/>
            <color indexed="81"/>
            <rFont val="Tahoma"/>
            <family val="2"/>
          </rPr>
          <t xml:space="preserve">
This is the calculated C</t>
        </r>
        <r>
          <rPr>
            <vertAlign val="subscript"/>
            <sz val="9"/>
            <color indexed="81"/>
            <rFont val="Tahoma"/>
            <family val="2"/>
          </rPr>
          <t>HF</t>
        </r>
        <r>
          <rPr>
            <sz val="9"/>
            <color indexed="81"/>
            <rFont val="Tahoma"/>
            <family val="2"/>
          </rPr>
          <t xml:space="preserve"> value based on the selected crossover frequency</t>
        </r>
      </text>
    </comment>
    <comment ref="B164" authorId="0" shapeId="0" xr:uid="{00000000-0006-0000-0000-000062000000}">
      <text>
        <r>
          <rPr>
            <b/>
            <sz val="9"/>
            <color indexed="81"/>
            <rFont val="Tahoma"/>
            <family val="2"/>
          </rPr>
          <t>Compensation Zero Location (F</t>
        </r>
        <r>
          <rPr>
            <b/>
            <vertAlign val="subscript"/>
            <sz val="9"/>
            <color indexed="81"/>
            <rFont val="Tahoma"/>
            <family val="2"/>
          </rPr>
          <t>Zcomp</t>
        </r>
        <r>
          <rPr>
            <b/>
            <sz val="9"/>
            <color indexed="81"/>
            <rFont val="Tahoma"/>
            <family val="2"/>
          </rPr>
          <t xml:space="preserve">)
</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65" authorId="0" shapeId="0" xr:uid="{00000000-0006-0000-0000-000063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text>
    </comment>
    <comment ref="B171" authorId="0" shapeId="0" xr:uid="{00000000-0006-0000-0000-000064000000}">
      <text>
        <r>
          <rPr>
            <b/>
            <sz val="9"/>
            <color indexed="81"/>
            <rFont val="Tahoma"/>
            <family val="2"/>
          </rPr>
          <t xml:space="preserve">External Reference Voltage
</t>
        </r>
        <r>
          <rPr>
            <sz val="9"/>
            <color indexed="81"/>
            <rFont val="Tahoma"/>
            <family val="2"/>
          </rPr>
          <t xml:space="preserve">
This is the external reference voltage for the voltage loop. This value will be used to calculate the feedback resistors. 
</t>
        </r>
      </text>
    </comment>
    <comment ref="B172" authorId="0" shapeId="0" xr:uid="{00000000-0006-0000-0000-000065000000}">
      <text>
        <r>
          <rPr>
            <b/>
            <sz val="9"/>
            <color rgb="FF000000"/>
            <rFont val="Tahoma"/>
            <family val="2"/>
          </rPr>
          <t xml:space="preserve">Selected Bottom Resistor
</t>
        </r>
        <r>
          <rPr>
            <b/>
            <sz val="9"/>
            <color rgb="FF000000"/>
            <rFont val="Tahoma"/>
            <family val="2"/>
          </rPr>
          <t xml:space="preserve">
</t>
        </r>
        <r>
          <rPr>
            <sz val="9"/>
            <color rgb="FF000000"/>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HV Port voltage.</t>
        </r>
      </text>
    </comment>
    <comment ref="B174" authorId="0" shapeId="0" xr:uid="{00000000-0006-0000-0000-000067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 xml:space="preserve">The selected value should reflect the calculated value above.
</t>
        </r>
      </text>
    </comment>
    <comment ref="B175" authorId="0" shapeId="0" xr:uid="{00000000-0006-0000-0000-000068000000}">
      <text>
        <r>
          <rPr>
            <b/>
            <sz val="9"/>
            <color rgb="FF000000"/>
            <rFont val="Tahoma"/>
            <family val="2"/>
          </rPr>
          <t xml:space="preserve">Suggested Crossover Frequency
</t>
        </r>
        <r>
          <rPr>
            <b/>
            <sz val="9"/>
            <color rgb="FF000000"/>
            <rFont val="Tahoma"/>
            <family val="2"/>
          </rPr>
          <t xml:space="preserve">
</t>
        </r>
        <r>
          <rPr>
            <sz val="9"/>
            <color rgb="FF000000"/>
            <rFont val="Tahoma"/>
            <family val="2"/>
          </rPr>
          <t>This value is set to be around 1/5 that of the boost mode operation's RHP zero frequency (F</t>
        </r>
        <r>
          <rPr>
            <vertAlign val="subscript"/>
            <sz val="9"/>
            <color rgb="FF000000"/>
            <rFont val="Tahoma"/>
            <family val="2"/>
          </rPr>
          <t>RHPzero</t>
        </r>
        <r>
          <rPr>
            <sz val="9"/>
            <color rgb="FF000000"/>
            <rFont val="Tahoma"/>
            <family val="2"/>
          </rPr>
          <t xml:space="preserve">). For best operation the voltage loop should be slower than that of the current loop. 
</t>
        </r>
      </text>
    </comment>
    <comment ref="B176" authorId="0" shapeId="0" xr:uid="{00000000-0006-0000-0000-000069000000}">
      <text>
        <r>
          <rPr>
            <b/>
            <sz val="9"/>
            <color indexed="81"/>
            <rFont val="Tahoma"/>
            <family val="2"/>
          </rPr>
          <t>Selected Crossover Frequency</t>
        </r>
        <r>
          <rPr>
            <sz val="9"/>
            <color indexed="81"/>
            <rFont val="Tahoma"/>
            <family val="2"/>
          </rPr>
          <t xml:space="preserve">
This is the desired crossover frequency. The voltage loop compensation values will be calculated to have a loop cross over frequency of this value.</t>
        </r>
      </text>
    </comment>
    <comment ref="B177" authorId="0" shapeId="0" xr:uid="{00000000-0006-0000-0000-00006A000000}">
      <text>
        <r>
          <rPr>
            <b/>
            <sz val="9"/>
            <color indexed="81"/>
            <rFont val="Tahoma"/>
            <family val="2"/>
          </rPr>
          <t>R</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R</t>
        </r>
        <r>
          <rPr>
            <vertAlign val="subscript"/>
            <sz val="9"/>
            <color indexed="81"/>
            <rFont val="Tahoma"/>
            <family val="2"/>
          </rPr>
          <t>COMP</t>
        </r>
        <r>
          <rPr>
            <sz val="9"/>
            <color indexed="81"/>
            <rFont val="Tahoma"/>
            <family val="2"/>
          </rPr>
          <t xml:space="preserve"> value based on the selected crossover frequency
</t>
        </r>
      </text>
    </comment>
    <comment ref="B179" authorId="0" shapeId="0" xr:uid="{00000000-0006-0000-0000-00006B000000}">
      <text>
        <r>
          <rPr>
            <b/>
            <sz val="9"/>
            <color indexed="81"/>
            <rFont val="Tahoma"/>
            <family val="2"/>
          </rPr>
          <t>C</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C</t>
        </r>
        <r>
          <rPr>
            <vertAlign val="subscript"/>
            <sz val="9"/>
            <color indexed="81"/>
            <rFont val="Tahoma"/>
            <family val="2"/>
          </rPr>
          <t>COMP</t>
        </r>
        <r>
          <rPr>
            <sz val="9"/>
            <color indexed="81"/>
            <rFont val="Tahoma"/>
            <family val="2"/>
          </rPr>
          <t xml:space="preserve"> value based on the selected crossover frequency
</t>
        </r>
      </text>
    </comment>
    <comment ref="B181" authorId="0" shapeId="0" xr:uid="{00000000-0006-0000-0000-00006C000000}">
      <text>
        <r>
          <rPr>
            <b/>
            <sz val="9"/>
            <color indexed="81"/>
            <rFont val="Tahoma"/>
            <family val="2"/>
          </rPr>
          <t>C</t>
        </r>
        <r>
          <rPr>
            <b/>
            <vertAlign val="subscript"/>
            <sz val="9"/>
            <color indexed="81"/>
            <rFont val="Tahoma"/>
            <family val="2"/>
          </rPr>
          <t>HF</t>
        </r>
        <r>
          <rPr>
            <b/>
            <sz val="9"/>
            <color indexed="81"/>
            <rFont val="Tahoma"/>
            <family val="2"/>
          </rPr>
          <t xml:space="preserve"> Calculated</t>
        </r>
        <r>
          <rPr>
            <sz val="9"/>
            <color indexed="81"/>
            <rFont val="Tahoma"/>
            <family val="2"/>
          </rPr>
          <t xml:space="preserve">
This is the calculated C</t>
        </r>
        <r>
          <rPr>
            <vertAlign val="subscript"/>
            <sz val="9"/>
            <color indexed="81"/>
            <rFont val="Tahoma"/>
            <family val="2"/>
          </rPr>
          <t>HF</t>
        </r>
        <r>
          <rPr>
            <sz val="9"/>
            <color indexed="81"/>
            <rFont val="Tahoma"/>
            <family val="2"/>
          </rPr>
          <t xml:space="preserve"> value based on the selected crossover frequency</t>
        </r>
      </text>
    </comment>
    <comment ref="B183" authorId="0" shapeId="0" xr:uid="{00000000-0006-0000-0000-00006D000000}">
      <text>
        <r>
          <rPr>
            <b/>
            <sz val="9"/>
            <color indexed="81"/>
            <rFont val="Tahoma"/>
            <family val="2"/>
          </rPr>
          <t>Compensation Zero Location (F</t>
        </r>
        <r>
          <rPr>
            <b/>
            <vertAlign val="subscript"/>
            <sz val="9"/>
            <color indexed="81"/>
            <rFont val="Tahoma"/>
            <family val="2"/>
          </rPr>
          <t>Zcomp</t>
        </r>
        <r>
          <rPr>
            <b/>
            <sz val="9"/>
            <color indexed="81"/>
            <rFont val="Tahoma"/>
            <family val="2"/>
          </rPr>
          <t>)</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<sst xmlns="http://schemas.openxmlformats.org/spreadsheetml/2006/main" count="921" uniqueCount="497">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</sst>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7">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sz val="9"/>
      <color indexed="81"/>
      <name val="Calibri"/>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
      <u/>
      <sz val="9"/>
      <color rgb="FF000000"/>
      <name val="Tahoma"/>
      <family val="2"/>
    </font>
    <font>
      <u/>
      <sz val="9"/>
      <color rgb="FF000000"/>
      <name val="Calibri"/>
      <family val="2"/>
    </font>
    <font>
      <sz val="9"/>
      <color rgb="FF000000"/>
      <name val="Calibri"/>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8" fillId="0" borderId="0"/>
    <xf numFmtId="0" fontId="22" fillId="0" borderId="0" applyNumberFormat="0" applyFill="0" applyBorder="0" applyAlignment="0" applyProtection="0"/>
    <xf numFmtId="0" fontId="22"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19" fillId="0" borderId="42" xfId="1" applyFont="1" applyBorder="1"/>
    <xf numFmtId="0" fontId="20" fillId="0" borderId="42" xfId="1" applyFont="1" applyBorder="1" applyAlignment="1">
      <alignment horizontal="center"/>
    </xf>
    <xf numFmtId="0" fontId="20" fillId="0" borderId="42" xfId="1" applyFont="1" applyBorder="1" applyAlignment="1">
      <alignment horizontal="left"/>
    </xf>
    <xf numFmtId="0" fontId="21" fillId="0" borderId="42" xfId="1" applyFont="1" applyBorder="1"/>
    <xf numFmtId="0" fontId="23" fillId="0" borderId="42" xfId="2" applyFont="1" applyFill="1" applyBorder="1" applyAlignment="1">
      <alignment vertical="center"/>
    </xf>
    <xf numFmtId="0" fontId="23" fillId="0" borderId="42" xfId="2" applyFont="1" applyFill="1" applyBorder="1" applyAlignment="1">
      <alignment horizontal="right" vertical="center"/>
    </xf>
    <xf numFmtId="0" fontId="19" fillId="0" borderId="42" xfId="1" applyFont="1" applyBorder="1" applyAlignment="1">
      <alignment horizontal="center"/>
    </xf>
    <xf numFmtId="0" fontId="19" fillId="0" borderId="42" xfId="1" applyFont="1" applyBorder="1" applyAlignment="1">
      <alignment horizontal="left"/>
    </xf>
    <xf numFmtId="0" fontId="21" fillId="0" borderId="42" xfId="1" applyFont="1" applyBorder="1" applyAlignment="1">
      <alignment horizontal="center"/>
    </xf>
    <xf numFmtId="0" fontId="24" fillId="0" borderId="42" xfId="1" applyFont="1" applyBorder="1"/>
    <xf numFmtId="0" fontId="25" fillId="12" borderId="42" xfId="1" applyFont="1" applyFill="1" applyBorder="1" applyAlignment="1">
      <alignment horizontal="center"/>
    </xf>
    <xf numFmtId="0" fontId="26" fillId="0" borderId="42" xfId="2" applyFont="1" applyFill="1" applyBorder="1" applyAlignment="1">
      <alignment vertical="center"/>
    </xf>
    <xf numFmtId="0" fontId="22"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21" fillId="0" borderId="42" xfId="1" applyFont="1" applyBorder="1" applyAlignment="1">
      <alignment wrapText="1"/>
    </xf>
    <xf numFmtId="0" fontId="19" fillId="0" borderId="42" xfId="1" applyFont="1" applyBorder="1" applyAlignment="1">
      <alignment horizontal="center"/>
    </xf>
    <xf numFmtId="0" fontId="19" fillId="11" borderId="42" xfId="1" applyFont="1" applyFill="1" applyBorder="1" applyAlignment="1">
      <alignment horizontal="center"/>
    </xf>
    <xf numFmtId="0" fontId="25" fillId="12" borderId="42" xfId="1" applyFont="1" applyFill="1" applyBorder="1" applyAlignment="1">
      <alignment horizontal="left"/>
    </xf>
    <xf numFmtId="0" fontId="21" fillId="0" borderId="42" xfId="1" applyFont="1" applyBorder="1" applyAlignment="1">
      <alignment horizontal="left"/>
    </xf>
    <xf numFmtId="0" fontId="21" fillId="0" borderId="42" xfId="1" applyFont="1" applyBorder="1" applyAlignment="1">
      <alignment horizontal="left" wrapText="1"/>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0" borderId="6" xfId="0" applyBorder="1" applyAlignment="1">
      <alignment horizontal="center"/>
    </xf>
    <xf numFmtId="0" fontId="0" fillId="0" borderId="4"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72.651780126269315</c:v>
                </c:pt>
                <c:pt idx="1">
                  <c:v>66.63125899967784</c:v>
                </c:pt>
                <c:pt idx="2">
                  <c:v>63.109565125179572</c:v>
                </c:pt>
                <c:pt idx="3">
                  <c:v>60.610974212759217</c:v>
                </c:pt>
                <c:pt idx="4">
                  <c:v>58.67301027595996</c:v>
                </c:pt>
                <c:pt idx="5">
                  <c:v>57.089674169755511</c:v>
                </c:pt>
                <c:pt idx="6">
                  <c:v>55.751079668333603</c:v>
                </c:pt>
                <c:pt idx="7">
                  <c:v>54.591634478756639</c:v>
                </c:pt>
                <c:pt idx="8">
                  <c:v>53.56903021820748</c:v>
                </c:pt>
                <c:pt idx="9">
                  <c:v>52.65437901074322</c:v>
                </c:pt>
                <c:pt idx="10">
                  <c:v>46.641640976967579</c:v>
                </c:pt>
                <c:pt idx="11">
                  <c:v>43.132873925004851</c:v>
                </c:pt>
                <c:pt idx="12">
                  <c:v>40.652286771557868</c:v>
                </c:pt>
                <c:pt idx="13">
                  <c:v>38.737311407384297</c:v>
                </c:pt>
                <c:pt idx="14">
                  <c:v>37.181832572576262</c:v>
                </c:pt>
                <c:pt idx="15">
                  <c:v>35.875825584762254</c:v>
                </c:pt>
                <c:pt idx="16">
                  <c:v>34.753539269199223</c:v>
                </c:pt>
                <c:pt idx="17">
                  <c:v>33.772488065924456</c:v>
                </c:pt>
                <c:pt idx="18">
                  <c:v>32.903590914178466</c:v>
                </c:pt>
                <c:pt idx="19">
                  <c:v>27.530261169551274</c:v>
                </c:pt>
                <c:pt idx="20">
                  <c:v>24.834236269042293</c:v>
                </c:pt>
                <c:pt idx="21">
                  <c:v>23.168006329090382</c:v>
                </c:pt>
                <c:pt idx="22">
                  <c:v>21.982599783093477</c:v>
                </c:pt>
                <c:pt idx="23">
                  <c:v>21.044391643261378</c:v>
                </c:pt>
                <c:pt idx="24">
                  <c:v>20.244787838827278</c:v>
                </c:pt>
                <c:pt idx="25">
                  <c:v>19.530616303331211</c:v>
                </c:pt>
                <c:pt idx="26">
                  <c:v>18.874643909758092</c:v>
                </c:pt>
                <c:pt idx="27">
                  <c:v>18.262219026160459</c:v>
                </c:pt>
                <c:pt idx="28">
                  <c:v>13.550849260049368</c:v>
                </c:pt>
                <c:pt idx="29">
                  <c:v>10.351766259083954</c:v>
                </c:pt>
                <c:pt idx="30">
                  <c:v>7.9674374448915515</c:v>
                </c:pt>
                <c:pt idx="31">
                  <c:v>6.0754469472601036</c:v>
                </c:pt>
                <c:pt idx="32">
                  <c:v>4.5083696342337944</c:v>
                </c:pt>
                <c:pt idx="33">
                  <c:v>3.1702037787419446</c:v>
                </c:pt>
                <c:pt idx="34">
                  <c:v>2.0013298600013214</c:v>
                </c:pt>
                <c:pt idx="35">
                  <c:v>0.96236156229705672</c:v>
                </c:pt>
                <c:pt idx="36">
                  <c:v>2.5990713755611353E-2</c:v>
                </c:pt>
                <c:pt idx="37">
                  <c:v>-6.3888553863477213</c:v>
                </c:pt>
                <c:pt idx="38">
                  <c:v>-10.520859725247188</c:v>
                </c:pt>
                <c:pt idx="39">
                  <c:v>-13.753940843860125</c:v>
                </c:pt>
                <c:pt idx="40">
                  <c:v>-16.484564122978643</c:v>
                </c:pt>
                <c:pt idx="41">
                  <c:v>-18.874090346193846</c:v>
                </c:pt>
                <c:pt idx="42">
                  <c:v>-21.005488446021459</c:v>
                </c:pt>
                <c:pt idx="43">
                  <c:v>-22.929766964827188</c:v>
                </c:pt>
                <c:pt idx="44">
                  <c:v>-24.682377278982422</c:v>
                </c:pt>
                <c:pt idx="45">
                  <c:v>-26.28987817423619</c:v>
                </c:pt>
                <c:pt idx="46">
                  <c:v>-37.530750656000855</c:v>
                </c:pt>
                <c:pt idx="47">
                  <c:v>-44.408539108303941</c:v>
                </c:pt>
                <c:pt idx="48">
                  <c:v>-49.346508007712188</c:v>
                </c:pt>
                <c:pt idx="49">
                  <c:v>-53.195052183763629</c:v>
                </c:pt>
                <c:pt idx="50">
                  <c:v>-56.347094992011876</c:v>
                </c:pt>
                <c:pt idx="51">
                  <c:v>-59.015771427423743</c:v>
                </c:pt>
                <c:pt idx="52">
                  <c:v>-61.329470869876388</c:v>
                </c:pt>
                <c:pt idx="53">
                  <c:v>-63.371468212857806</c:v>
                </c:pt>
                <c:pt idx="54">
                  <c:v>-65.19883020718288</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880.43160008282541</c:v>
                </c:pt>
              </c:numCache>
            </c:numRef>
          </c:xVal>
          <c:yVal>
            <c:numRef>
              <c:f>Compensation!$AD$9</c:f>
              <c:numCache>
                <c:formatCode>General</c:formatCode>
                <c:ptCount val="1"/>
                <c:pt idx="0">
                  <c:v>18.999236020599056</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369.16622539407894</c:v>
                </c:pt>
              </c:numCache>
            </c:numRef>
          </c:xVal>
          <c:yVal>
            <c:numRef>
              <c:f>Compensation!$AD$10</c:f>
              <c:numCache>
                <c:formatCode>General</c:formatCode>
                <c:ptCount val="1"/>
                <c:pt idx="0">
                  <c:v>23.614024860890751</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53411.28367403696</c:v>
                </c:pt>
              </c:numCache>
            </c:numRef>
          </c:xVal>
          <c:yVal>
            <c:numRef>
              <c:f>Compensation!$AD$11</c:f>
              <c:numCache>
                <c:formatCode>General</c:formatCode>
                <c:ptCount val="1"/>
                <c:pt idx="0">
                  <c:v>-17.332894514941394</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90.089060560849433</c:v>
                </c:pt>
                <c:pt idx="1">
                  <c:v>90.178119012006221</c:v>
                </c:pt>
                <c:pt idx="2">
                  <c:v>90.267173243975563</c:v>
                </c:pt>
                <c:pt idx="3">
                  <c:v>90.356221147658616</c:v>
                </c:pt>
                <c:pt idx="4">
                  <c:v>90.445260614550023</c:v>
                </c:pt>
                <c:pt idx="5">
                  <c:v>90.534289536935887</c:v>
                </c:pt>
                <c:pt idx="6">
                  <c:v>90.623305808091004</c:v>
                </c:pt>
                <c:pt idx="7">
                  <c:v>90.712307322476292</c:v>
                </c:pt>
                <c:pt idx="8">
                  <c:v>90.801291975935754</c:v>
                </c:pt>
                <c:pt idx="9">
                  <c:v>90.890257665893188</c:v>
                </c:pt>
                <c:pt idx="10">
                  <c:v>91.778410527420974</c:v>
                </c:pt>
                <c:pt idx="11">
                  <c:v>92.662373429408035</c:v>
                </c:pt>
                <c:pt idx="12">
                  <c:v>93.540100082056895</c:v>
                </c:pt>
                <c:pt idx="13">
                  <c:v>94.409601428677675</c:v>
                </c:pt>
                <c:pt idx="14">
                  <c:v>95.2689627834676</c:v>
                </c:pt>
                <c:pt idx="15">
                  <c:v>96.11635940606439</c:v>
                </c:pt>
                <c:pt idx="16">
                  <c:v>96.950070239087154</c:v>
                </c:pt>
                <c:pt idx="17">
                  <c:v>97.768489602085609</c:v>
                </c:pt>
                <c:pt idx="18">
                  <c:v>98.570136706446121</c:v>
                </c:pt>
                <c:pt idx="19">
                  <c:v>105.43585576787119</c:v>
                </c:pt>
                <c:pt idx="20">
                  <c:v>109.96302381302095</c:v>
                </c:pt>
                <c:pt idx="21">
                  <c:v>112.43609125538353</c:v>
                </c:pt>
                <c:pt idx="22">
                  <c:v>113.43529252803275</c:v>
                </c:pt>
                <c:pt idx="23">
                  <c:v>113.4839744106126</c:v>
                </c:pt>
                <c:pt idx="24">
                  <c:v>112.96103738024826</c:v>
                </c:pt>
                <c:pt idx="25">
                  <c:v>112.11673583033236</c:v>
                </c:pt>
                <c:pt idx="26">
                  <c:v>111.10887141617627</c:v>
                </c:pt>
                <c:pt idx="27">
                  <c:v>110.03402601331881</c:v>
                </c:pt>
                <c:pt idx="28">
                  <c:v>101.17198415158001</c:v>
                </c:pt>
                <c:pt idx="29">
                  <c:v>96.147689233169658</c:v>
                </c:pt>
                <c:pt idx="30">
                  <c:v>92.886710102528568</c:v>
                </c:pt>
                <c:pt idx="31">
                  <c:v>90.45240117512536</c:v>
                </c:pt>
                <c:pt idx="32">
                  <c:v>88.4612243622271</c:v>
                </c:pt>
                <c:pt idx="33">
                  <c:v>86.734055955582392</c:v>
                </c:pt>
                <c:pt idx="34">
                  <c:v>85.177394786591222</c:v>
                </c:pt>
                <c:pt idx="35">
                  <c:v>83.738107567486622</c:v>
                </c:pt>
                <c:pt idx="36">
                  <c:v>82.383970740938679</c:v>
                </c:pt>
                <c:pt idx="37">
                  <c:v>71.063880788422154</c:v>
                </c:pt>
                <c:pt idx="38">
                  <c:v>61.822191994154075</c:v>
                </c:pt>
                <c:pt idx="39">
                  <c:v>54.091576824604331</c:v>
                </c:pt>
                <c:pt idx="40">
                  <c:v>47.671983092748583</c:v>
                </c:pt>
                <c:pt idx="41">
                  <c:v>42.359336661740549</c:v>
                </c:pt>
                <c:pt idx="42">
                  <c:v>37.953230840614005</c:v>
                </c:pt>
                <c:pt idx="43">
                  <c:v>34.277332608425191</c:v>
                </c:pt>
                <c:pt idx="44">
                  <c:v>31.186338992331983</c:v>
                </c:pt>
                <c:pt idx="45">
                  <c:v>28.564485205698091</c:v>
                </c:pt>
                <c:pt idx="46">
                  <c:v>15.197401311309845</c:v>
                </c:pt>
                <c:pt idx="47">
                  <c:v>10.260997539530285</c:v>
                </c:pt>
                <c:pt idx="48">
                  <c:v>7.7307933570672809</c:v>
                </c:pt>
                <c:pt idx="49">
                  <c:v>6.1977693565026133</c:v>
                </c:pt>
                <c:pt idx="50">
                  <c:v>5.1707890361730566</c:v>
                </c:pt>
                <c:pt idx="51">
                  <c:v>4.4352066154369689</c:v>
                </c:pt>
                <c:pt idx="52">
                  <c:v>3.8825709834339888</c:v>
                </c:pt>
                <c:pt idx="53">
                  <c:v>3.4522514508737259</c:v>
                </c:pt>
                <c:pt idx="54">
                  <c:v>3.1077204719921241</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3.3244680851063833</c:v>
                </c:pt>
              </c:numCache>
            </c:numRef>
          </c:xVal>
          <c:yVal>
            <c:numRef>
              <c:f>Calculations!$B$58</c:f>
              <c:numCache>
                <c:formatCode>General</c:formatCode>
                <c:ptCount val="1"/>
                <c:pt idx="0">
                  <c:v>0.5</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0.25854292572887083</c:v>
                </c:pt>
                <c:pt idx="2">
                  <c:v>0.36563491202138898</c:v>
                </c:pt>
                <c:pt idx="3">
                  <c:v>0.44444444444444442</c:v>
                </c:pt>
                <c:pt idx="4">
                  <c:v>0.44444444444444442</c:v>
                </c:pt>
                <c:pt idx="5">
                  <c:v>0.44444444444444442</c:v>
                </c:pt>
                <c:pt idx="6">
                  <c:v>0.44444444444444442</c:v>
                </c:pt>
                <c:pt idx="7">
                  <c:v>0.44444444444444442</c:v>
                </c:pt>
                <c:pt idx="8">
                  <c:v>0.44444444444444442</c:v>
                </c:pt>
                <c:pt idx="9">
                  <c:v>0.44444444444444442</c:v>
                </c:pt>
                <c:pt idx="10">
                  <c:v>0.44444444444444442</c:v>
                </c:pt>
                <c:pt idx="11">
                  <c:v>0.44444444444444442</c:v>
                </c:pt>
                <c:pt idx="12">
                  <c:v>0.44444444444444442</c:v>
                </c:pt>
                <c:pt idx="13">
                  <c:v>0.44444444444444442</c:v>
                </c:pt>
                <c:pt idx="14">
                  <c:v>0.44444444444444442</c:v>
                </c:pt>
                <c:pt idx="15">
                  <c:v>0.44444444444444442</c:v>
                </c:pt>
                <c:pt idx="16">
                  <c:v>0.44444444444444442</c:v>
                </c:pt>
                <c:pt idx="17">
                  <c:v>0.44444444444444442</c:v>
                </c:pt>
                <c:pt idx="18">
                  <c:v>0.44444444444444442</c:v>
                </c:pt>
                <c:pt idx="19">
                  <c:v>0.44444444444444442</c:v>
                </c:pt>
                <c:pt idx="20">
                  <c:v>0.44444444444444442</c:v>
                </c:pt>
                <c:pt idx="21">
                  <c:v>0.44444444444444442</c:v>
                </c:pt>
                <c:pt idx="22">
                  <c:v>0.44444444444444442</c:v>
                </c:pt>
                <c:pt idx="23">
                  <c:v>0.44444444444444442</c:v>
                </c:pt>
                <c:pt idx="24">
                  <c:v>0.44444444444444442</c:v>
                </c:pt>
                <c:pt idx="25">
                  <c:v>0.44444444444444442</c:v>
                </c:pt>
                <c:pt idx="26">
                  <c:v>0.44444444444444442</c:v>
                </c:pt>
                <c:pt idx="27">
                  <c:v>0.44444444444444442</c:v>
                </c:pt>
                <c:pt idx="28">
                  <c:v>0.44444444444444442</c:v>
                </c:pt>
                <c:pt idx="29">
                  <c:v>0.44444444444444442</c:v>
                </c:pt>
                <c:pt idx="30">
                  <c:v>0.44444444444444442</c:v>
                </c:pt>
                <c:pt idx="31">
                  <c:v>0.44444444444444442</c:v>
                </c:pt>
                <c:pt idx="32">
                  <c:v>0.44444444444444442</c:v>
                </c:pt>
                <c:pt idx="33">
                  <c:v>0.44444444444444442</c:v>
                </c:pt>
                <c:pt idx="34">
                  <c:v>0.44444444444444442</c:v>
                </c:pt>
                <c:pt idx="35">
                  <c:v>0.44444444444444442</c:v>
                </c:pt>
                <c:pt idx="36">
                  <c:v>0.44444444444444442</c:v>
                </c:pt>
                <c:pt idx="37">
                  <c:v>0.44444444444444442</c:v>
                </c:pt>
                <c:pt idx="38">
                  <c:v>0.44444444444444442</c:v>
                </c:pt>
                <c:pt idx="39">
                  <c:v>0.44444444444444442</c:v>
                </c:pt>
                <c:pt idx="40">
                  <c:v>0.44444444444444442</c:v>
                </c:pt>
                <c:pt idx="41">
                  <c:v>0.44444444444444442</c:v>
                </c:pt>
                <c:pt idx="42">
                  <c:v>0.44444444444444442</c:v>
                </c:pt>
                <c:pt idx="43">
                  <c:v>0.44444444444444442</c:v>
                </c:pt>
                <c:pt idx="44">
                  <c:v>0.44444444444444442</c:v>
                </c:pt>
                <c:pt idx="45">
                  <c:v>0.44444444444444442</c:v>
                </c:pt>
                <c:pt idx="46">
                  <c:v>0.44444444444444442</c:v>
                </c:pt>
                <c:pt idx="47">
                  <c:v>0.44444444444444442</c:v>
                </c:pt>
                <c:pt idx="48">
                  <c:v>0.44444444444444442</c:v>
                </c:pt>
                <c:pt idx="49">
                  <c:v>0.44444444444444442</c:v>
                </c:pt>
                <c:pt idx="50">
                  <c:v>0.44444444444444442</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0.19764851394567848</c:v>
                </c:pt>
                <c:pt idx="2">
                  <c:v>0.27951720900486632</c:v>
                </c:pt>
                <c:pt idx="3">
                  <c:v>0.34233726819440097</c:v>
                </c:pt>
                <c:pt idx="4">
                  <c:v>0.36363636363636365</c:v>
                </c:pt>
                <c:pt idx="5">
                  <c:v>0.36363636363636365</c:v>
                </c:pt>
                <c:pt idx="6">
                  <c:v>0.36363636363636365</c:v>
                </c:pt>
                <c:pt idx="7">
                  <c:v>0.36363636363636365</c:v>
                </c:pt>
                <c:pt idx="8">
                  <c:v>0.36363636363636365</c:v>
                </c:pt>
                <c:pt idx="9">
                  <c:v>0.36363636363636365</c:v>
                </c:pt>
                <c:pt idx="10">
                  <c:v>0.36363636363636365</c:v>
                </c:pt>
                <c:pt idx="11">
                  <c:v>0.36363636363636365</c:v>
                </c:pt>
                <c:pt idx="12">
                  <c:v>0.36363636363636365</c:v>
                </c:pt>
                <c:pt idx="13">
                  <c:v>0.36363636363636365</c:v>
                </c:pt>
                <c:pt idx="14">
                  <c:v>0.36363636363636365</c:v>
                </c:pt>
                <c:pt idx="15">
                  <c:v>0.36363636363636365</c:v>
                </c:pt>
                <c:pt idx="16">
                  <c:v>0.36363636363636365</c:v>
                </c:pt>
                <c:pt idx="17">
                  <c:v>0.36363636363636365</c:v>
                </c:pt>
                <c:pt idx="18">
                  <c:v>0.36363636363636365</c:v>
                </c:pt>
                <c:pt idx="19">
                  <c:v>0.36363636363636365</c:v>
                </c:pt>
                <c:pt idx="20">
                  <c:v>0.36363636363636365</c:v>
                </c:pt>
                <c:pt idx="21">
                  <c:v>0.36363636363636365</c:v>
                </c:pt>
                <c:pt idx="22">
                  <c:v>0.36363636363636365</c:v>
                </c:pt>
                <c:pt idx="23">
                  <c:v>0.36363636363636365</c:v>
                </c:pt>
                <c:pt idx="24">
                  <c:v>0.36363636363636365</c:v>
                </c:pt>
                <c:pt idx="25">
                  <c:v>0.36363636363636365</c:v>
                </c:pt>
                <c:pt idx="26">
                  <c:v>0.36363636363636365</c:v>
                </c:pt>
                <c:pt idx="27">
                  <c:v>0.36363636363636365</c:v>
                </c:pt>
                <c:pt idx="28">
                  <c:v>0.36363636363636365</c:v>
                </c:pt>
                <c:pt idx="29">
                  <c:v>0.36363636363636365</c:v>
                </c:pt>
                <c:pt idx="30">
                  <c:v>0.36363636363636365</c:v>
                </c:pt>
                <c:pt idx="31">
                  <c:v>0.36363636363636365</c:v>
                </c:pt>
                <c:pt idx="32">
                  <c:v>0.36363636363636365</c:v>
                </c:pt>
                <c:pt idx="33">
                  <c:v>0.36363636363636365</c:v>
                </c:pt>
                <c:pt idx="34">
                  <c:v>0.36363636363636365</c:v>
                </c:pt>
                <c:pt idx="35">
                  <c:v>0.36363636363636365</c:v>
                </c:pt>
                <c:pt idx="36">
                  <c:v>0.36363636363636365</c:v>
                </c:pt>
                <c:pt idx="37">
                  <c:v>0.36363636363636365</c:v>
                </c:pt>
                <c:pt idx="38">
                  <c:v>0.36363636363636365</c:v>
                </c:pt>
                <c:pt idx="39">
                  <c:v>0.36363636363636365</c:v>
                </c:pt>
                <c:pt idx="40">
                  <c:v>0.36363636363636365</c:v>
                </c:pt>
                <c:pt idx="41">
                  <c:v>0.36363636363636365</c:v>
                </c:pt>
                <c:pt idx="42">
                  <c:v>0.36363636363636365</c:v>
                </c:pt>
                <c:pt idx="43">
                  <c:v>0.36363636363636365</c:v>
                </c:pt>
                <c:pt idx="44">
                  <c:v>0.36363636363636365</c:v>
                </c:pt>
                <c:pt idx="45">
                  <c:v>0.36363636363636365</c:v>
                </c:pt>
                <c:pt idx="46">
                  <c:v>0.36363636363636365</c:v>
                </c:pt>
                <c:pt idx="47">
                  <c:v>0.36363636363636365</c:v>
                </c:pt>
                <c:pt idx="48">
                  <c:v>0.36363636363636365</c:v>
                </c:pt>
                <c:pt idx="49">
                  <c:v>0.36363636363636365</c:v>
                </c:pt>
                <c:pt idx="50">
                  <c:v>0.36363636363636365</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2.9550827423167854</c:v>
                </c:pt>
              </c:numCache>
            </c:numRef>
          </c:xVal>
          <c:yVal>
            <c:numRef>
              <c:f>Calculations!$B$43</c:f>
              <c:numCache>
                <c:formatCode>General</c:formatCode>
                <c:ptCount val="1"/>
                <c:pt idx="0">
                  <c:v>0.44444444444444442</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3.3849129593810448</c:v>
                </c:pt>
              </c:numCache>
            </c:numRef>
          </c:xVal>
          <c:yVal>
            <c:numRef>
              <c:f>Calculations!$B$49</c:f>
              <c:numCache>
                <c:formatCode>0.000</c:formatCode>
                <c:ptCount val="1"/>
                <c:pt idx="0">
                  <c:v>0.36363636363636365</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69.976317646729711</c:v>
                </c:pt>
                <c:pt idx="1">
                  <c:v>63.953847308701093</c:v>
                </c:pt>
                <c:pt idx="2">
                  <c:v>60.428906755527116</c:v>
                </c:pt>
                <c:pt idx="3">
                  <c:v>57.925774701371765</c:v>
                </c:pt>
                <c:pt idx="4">
                  <c:v>55.981979352870226</c:v>
                </c:pt>
                <c:pt idx="5">
                  <c:v>54.391526934340497</c:v>
                </c:pt>
                <c:pt idx="6">
                  <c:v>53.044537749424634</c:v>
                </c:pt>
                <c:pt idx="7">
                  <c:v>51.87542717523182</c:v>
                </c:pt>
                <c:pt idx="8">
                  <c:v>50.841895616807307</c:v>
                </c:pt>
                <c:pt idx="9">
                  <c:v>49.915065077994967</c:v>
                </c:pt>
                <c:pt idx="10">
                  <c:v>43.714560730782644</c:v>
                </c:pt>
                <c:pt idx="11">
                  <c:v>39.910400815779681</c:v>
                </c:pt>
                <c:pt idx="12">
                  <c:v>37.048443326064969</c:v>
                </c:pt>
                <c:pt idx="13">
                  <c:v>34.689394607987872</c:v>
                </c:pt>
                <c:pt idx="14">
                  <c:v>32.64867093433034</c:v>
                </c:pt>
                <c:pt idx="15">
                  <c:v>30.834224944703298</c:v>
                </c:pt>
                <c:pt idx="16">
                  <c:v>29.194235553163622</c:v>
                </c:pt>
                <c:pt idx="17">
                  <c:v>27.696406253816484</c:v>
                </c:pt>
                <c:pt idx="18">
                  <c:v>26.318752960997962</c:v>
                </c:pt>
                <c:pt idx="19">
                  <c:v>16.76716332965665</c:v>
                </c:pt>
                <c:pt idx="20">
                  <c:v>11.389494416808688</c:v>
                </c:pt>
                <c:pt idx="21">
                  <c:v>7.9818771597269658</c:v>
                </c:pt>
                <c:pt idx="22">
                  <c:v>5.6488812804304933</c:v>
                </c:pt>
                <c:pt idx="23">
                  <c:v>3.957345798845902</c:v>
                </c:pt>
                <c:pt idx="24">
                  <c:v>2.6750360152308659</c:v>
                </c:pt>
                <c:pt idx="25">
                  <c:v>1.6679630280259201</c:v>
                </c:pt>
                <c:pt idx="26">
                  <c:v>0.85432278251283833</c:v>
                </c:pt>
                <c:pt idx="27">
                  <c:v>0.18183119438147222</c:v>
                </c:pt>
                <c:pt idx="28">
                  <c:v>-3.1259425859432093</c:v>
                </c:pt>
                <c:pt idx="29">
                  <c:v>-4.2935725035061916</c:v>
                </c:pt>
                <c:pt idx="30">
                  <c:v>-4.8727860216252452</c:v>
                </c:pt>
                <c:pt idx="31">
                  <c:v>-5.2418938347907504</c:v>
                </c:pt>
                <c:pt idx="32">
                  <c:v>-5.5289370057578786</c:v>
                </c:pt>
                <c:pt idx="33">
                  <c:v>-5.7850820822929521</c:v>
                </c:pt>
                <c:pt idx="34">
                  <c:v>-6.0332019003258406</c:v>
                </c:pt>
                <c:pt idx="35">
                  <c:v>-6.2842649931658165</c:v>
                </c:pt>
                <c:pt idx="36">
                  <c:v>-6.5436794071275273</c:v>
                </c:pt>
                <c:pt idx="37">
                  <c:v>-9.7462572642996488</c:v>
                </c:pt>
                <c:pt idx="38">
                  <c:v>-13.596950120729051</c:v>
                </c:pt>
                <c:pt idx="39">
                  <c:v>-17.508109282150034</c:v>
                </c:pt>
                <c:pt idx="40">
                  <c:v>-21.219041770779338</c:v>
                </c:pt>
                <c:pt idx="41">
                  <c:v>-24.648201758973151</c:v>
                </c:pt>
                <c:pt idx="42">
                  <c:v>-27.788789231695436</c:v>
                </c:pt>
                <c:pt idx="43">
                  <c:v>-30.661562378912425</c:v>
                </c:pt>
                <c:pt idx="44">
                  <c:v>-33.295179702469618</c:v>
                </c:pt>
                <c:pt idx="45">
                  <c:v>-35.718439228391901</c:v>
                </c:pt>
                <c:pt idx="46">
                  <c:v>-52.682791435669827</c:v>
                </c:pt>
                <c:pt idx="47">
                  <c:v>-63.032497122068762</c:v>
                </c:pt>
                <c:pt idx="48">
                  <c:v>-70.452285141118324</c:v>
                </c:pt>
                <c:pt idx="49">
                  <c:v>-76.231278111793571</c:v>
                </c:pt>
                <c:pt idx="50">
                  <c:v>-80.962761521712935</c:v>
                </c:pt>
                <c:pt idx="51">
                  <c:v>-84.96785983369054</c:v>
                </c:pt>
                <c:pt idx="52">
                  <c:v>-88.439770280531064</c:v>
                </c:pt>
                <c:pt idx="53">
                  <c:v>-91.503703654160859</c:v>
                </c:pt>
                <c:pt idx="54">
                  <c:v>-94.24541916859792</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5.9564720506177027</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777.88339732109148</c:v>
                </c:pt>
              </c:numCache>
            </c:numRef>
          </c:xVal>
          <c:yVal>
            <c:numRef>
              <c:f>Compensation!$Y$135</c:f>
              <c:numCache>
                <c:formatCode>General</c:formatCode>
                <c:ptCount val="1"/>
                <c:pt idx="0">
                  <c:v>1.8717374001905427</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42783.586852660039</c:v>
                </c:pt>
              </c:numCache>
            </c:numRef>
          </c:xVal>
          <c:yVal>
            <c:numRef>
              <c:f>Compensation!$Y$136</c:f>
              <c:numCache>
                <c:formatCode>General</c:formatCode>
                <c:ptCount val="1"/>
                <c:pt idx="0">
                  <c:v>-18.566809137939927</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89.497187945392241</c:v>
                </c:pt>
                <c:pt idx="1">
                  <c:v>88.994588349000381</c:v>
                </c:pt>
                <c:pt idx="2">
                  <c:v>88.492413277307904</c:v>
                </c:pt>
                <c:pt idx="3">
                  <c:v>87.990874015118379</c:v>
                </c:pt>
                <c:pt idx="4">
                  <c:v>87.490180679163245</c:v>
                </c:pt>
                <c:pt idx="5">
                  <c:v>86.990541837004258</c:v>
                </c:pt>
                <c:pt idx="6">
                  <c:v>86.492164132926391</c:v>
                </c:pt>
                <c:pt idx="7">
                  <c:v>85.995251922456802</c:v>
                </c:pt>
                <c:pt idx="8">
                  <c:v>85.500006917076178</c:v>
                </c:pt>
                <c:pt idx="9">
                  <c:v>85.006627840601297</c:v>
                </c:pt>
                <c:pt idx="10">
                  <c:v>80.216431143449284</c:v>
                </c:pt>
                <c:pt idx="11">
                  <c:v>75.798661118832129</c:v>
                </c:pt>
                <c:pt idx="12">
                  <c:v>71.867613241536617</c:v>
                </c:pt>
                <c:pt idx="13">
                  <c:v>68.479105778143193</c:v>
                </c:pt>
                <c:pt idx="14">
                  <c:v>65.640174329684697</c:v>
                </c:pt>
                <c:pt idx="15">
                  <c:v>63.324228921627963</c:v>
                </c:pt>
                <c:pt idx="16">
                  <c:v>61.485565204394454</c:v>
                </c:pt>
                <c:pt idx="17">
                  <c:v>60.070387941595079</c:v>
                </c:pt>
                <c:pt idx="18">
                  <c:v>59.023962962524493</c:v>
                </c:pt>
                <c:pt idx="19">
                  <c:v>60.005197809341922</c:v>
                </c:pt>
                <c:pt idx="20">
                  <c:v>68.054992812496749</c:v>
                </c:pt>
                <c:pt idx="21">
                  <c:v>76.527857772011686</c:v>
                </c:pt>
                <c:pt idx="22">
                  <c:v>84.056570962940654</c:v>
                </c:pt>
                <c:pt idx="23">
                  <c:v>90.473459061892228</c:v>
                </c:pt>
                <c:pt idx="24">
                  <c:v>95.897664876500343</c:v>
                </c:pt>
                <c:pt idx="25">
                  <c:v>100.49765836710854</c:v>
                </c:pt>
                <c:pt idx="26">
                  <c:v>104.42812316063282</c:v>
                </c:pt>
                <c:pt idx="27">
                  <c:v>107.81637332286884</c:v>
                </c:pt>
                <c:pt idx="28">
                  <c:v>126.11951222526443</c:v>
                </c:pt>
                <c:pt idx="29">
                  <c:v>132.43665221039444</c:v>
                </c:pt>
                <c:pt idx="30">
                  <c:v>134.0635999728581</c:v>
                </c:pt>
                <c:pt idx="31">
                  <c:v>133.3423120141355</c:v>
                </c:pt>
                <c:pt idx="32">
                  <c:v>131.31906461770603</c:v>
                </c:pt>
                <c:pt idx="33">
                  <c:v>128.5270892674144</c:v>
                </c:pt>
                <c:pt idx="34">
                  <c:v>125.26420052163546</c:v>
                </c:pt>
                <c:pt idx="35">
                  <c:v>121.70923226785214</c:v>
                </c:pt>
                <c:pt idx="36">
                  <c:v>117.97601426016958</c:v>
                </c:pt>
                <c:pt idx="37">
                  <c:v>80.308242471821075</c:v>
                </c:pt>
                <c:pt idx="38">
                  <c:v>49.72621306643525</c:v>
                </c:pt>
                <c:pt idx="39">
                  <c:v>26.684151632463493</c:v>
                </c:pt>
                <c:pt idx="40">
                  <c:v>9.3293627905618113</c:v>
                </c:pt>
                <c:pt idx="41">
                  <c:v>-3.9590752733906527</c:v>
                </c:pt>
                <c:pt idx="42">
                  <c:v>-14.343498602941473</c:v>
                </c:pt>
                <c:pt idx="43">
                  <c:v>-22.623593517197722</c:v>
                </c:pt>
                <c:pt idx="44">
                  <c:v>-29.349081146800078</c:v>
                </c:pt>
                <c:pt idx="45">
                  <c:v>-34.902850102601477</c:v>
                </c:pt>
                <c:pt idx="46">
                  <c:v>-61.564943989884952</c:v>
                </c:pt>
                <c:pt idx="47">
                  <c:v>-70.925171947666556</c:v>
                </c:pt>
                <c:pt idx="48">
                  <c:v>-75.662337977979107</c:v>
                </c:pt>
                <c:pt idx="49">
                  <c:v>-78.518114424884644</c:v>
                </c:pt>
                <c:pt idx="50">
                  <c:v>-80.426423253395981</c:v>
                </c:pt>
                <c:pt idx="51">
                  <c:v>-81.791312814926087</c:v>
                </c:pt>
                <c:pt idx="52">
                  <c:v>-82.815827091325346</c:v>
                </c:pt>
                <c:pt idx="53">
                  <c:v>-83.613110030082439</c:v>
                </c:pt>
                <c:pt idx="54">
                  <c:v>-84.251181658171646</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83.384832387528448</c:v>
                </c:pt>
                <c:pt idx="1">
                  <c:v>77.36277991250256</c:v>
                </c:pt>
                <c:pt idx="2">
                  <c:v>73.838535020008123</c:v>
                </c:pt>
                <c:pt idx="3">
                  <c:v>71.336375261053078</c:v>
                </c:pt>
                <c:pt idx="4">
                  <c:v>69.393827220490579</c:v>
                </c:pt>
                <c:pt idx="5">
                  <c:v>67.8048950488038</c:v>
                </c:pt>
                <c:pt idx="6">
                  <c:v>66.459696532118841</c:v>
                </c:pt>
                <c:pt idx="7">
                  <c:v>65.292644096442018</c:v>
                </c:pt>
                <c:pt idx="8">
                  <c:v>64.261434773882172</c:v>
                </c:pt>
                <c:pt idx="9">
                  <c:v>63.337186786832149</c:v>
                </c:pt>
                <c:pt idx="10">
                  <c:v>57.175734612276173</c:v>
                </c:pt>
                <c:pt idx="11">
                  <c:v>53.430168044983695</c:v>
                </c:pt>
                <c:pt idx="12">
                  <c:v>50.638890173100961</c:v>
                </c:pt>
                <c:pt idx="13">
                  <c:v>48.355401533742189</c:v>
                </c:pt>
                <c:pt idx="14">
                  <c:v>46.38939297830062</c:v>
                </c:pt>
                <c:pt idx="15">
                  <c:v>44.644958827696762</c:v>
                </c:pt>
                <c:pt idx="16">
                  <c:v>43.068099396231176</c:v>
                </c:pt>
                <c:pt idx="17">
                  <c:v>41.625595058512772</c:v>
                </c:pt>
                <c:pt idx="18">
                  <c:v>40.295359371829164</c:v>
                </c:pt>
                <c:pt idx="19">
                  <c:v>30.906450502116645</c:v>
                </c:pt>
                <c:pt idx="20">
                  <c:v>25.418600374237528</c:v>
                </c:pt>
                <c:pt idx="21">
                  <c:v>21.791909548416314</c:v>
                </c:pt>
                <c:pt idx="22">
                  <c:v>19.180844430152728</c:v>
                </c:pt>
                <c:pt idx="23">
                  <c:v>17.17678997528273</c:v>
                </c:pt>
                <c:pt idx="24">
                  <c:v>15.562965813532157</c:v>
                </c:pt>
                <c:pt idx="25">
                  <c:v>14.215612882401619</c:v>
                </c:pt>
                <c:pt idx="26">
                  <c:v>13.059545088559803</c:v>
                </c:pt>
                <c:pt idx="27">
                  <c:v>12.046566604542901</c:v>
                </c:pt>
                <c:pt idx="28">
                  <c:v>5.6528794650724299</c:v>
                </c:pt>
                <c:pt idx="29">
                  <c:v>1.9509987151747932</c:v>
                </c:pt>
                <c:pt idx="30">
                  <c:v>-0.73872364873846907</c:v>
                </c:pt>
                <c:pt idx="31">
                  <c:v>-2.898409922480397</c:v>
                </c:pt>
                <c:pt idx="32">
                  <c:v>-4.7344238157336713</c:v>
                </c:pt>
                <c:pt idx="33">
                  <c:v>-6.3529443326398045</c:v>
                </c:pt>
                <c:pt idx="34">
                  <c:v>-7.8148762855595439</c:v>
                </c:pt>
                <c:pt idx="35">
                  <c:v>-9.1578353312439962</c:v>
                </c:pt>
                <c:pt idx="36">
                  <c:v>-10.406397465627911</c:v>
                </c:pt>
                <c:pt idx="37">
                  <c:v>-19.922668203709371</c:v>
                </c:pt>
                <c:pt idx="38">
                  <c:v>-26.581980901509752</c:v>
                </c:pt>
                <c:pt idx="39">
                  <c:v>-31.74395922259729</c:v>
                </c:pt>
                <c:pt idx="40">
                  <c:v>-35.940050464382786</c:v>
                </c:pt>
                <c:pt idx="41">
                  <c:v>-39.447207135775805</c:v>
                </c:pt>
                <c:pt idx="42">
                  <c:v>-42.437261582052585</c:v>
                </c:pt>
                <c:pt idx="43">
                  <c:v>-45.027659005818698</c:v>
                </c:pt>
                <c:pt idx="44">
                  <c:v>-47.302729436412378</c:v>
                </c:pt>
                <c:pt idx="45">
                  <c:v>-49.324737526801044</c:v>
                </c:pt>
                <c:pt idx="46">
                  <c:v>-62.209427814620668</c:v>
                </c:pt>
                <c:pt idx="47">
                  <c:v>-69.464754808366735</c:v>
                </c:pt>
                <c:pt idx="48">
                  <c:v>-74.542054306025506</c:v>
                </c:pt>
                <c:pt idx="49">
                  <c:v>-78.456449675625677</c:v>
                </c:pt>
                <c:pt idx="50">
                  <c:v>-81.644635854336968</c:v>
                </c:pt>
                <c:pt idx="51">
                  <c:v>-84.335234311835237</c:v>
                </c:pt>
                <c:pt idx="52">
                  <c:v>-86.663214290240461</c:v>
                </c:pt>
                <c:pt idx="53">
                  <c:v>-88.715026250748465</c:v>
                </c:pt>
                <c:pt idx="54">
                  <c:v>-90.549420572589952</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33.455611475162044</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678.61230158996841</c:v>
                </c:pt>
              </c:numCache>
            </c:numRef>
          </c:xVal>
          <c:yVal>
            <c:numRef>
              <c:f>Compensation!$Y$225</c:f>
              <c:numCache>
                <c:formatCode>General</c:formatCode>
                <c:ptCount val="1"/>
                <c:pt idx="0">
                  <c:v>15.882453578293756</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31894.778174728515</c:v>
                </c:pt>
              </c:numCache>
            </c:numRef>
          </c:xVal>
          <c:yVal>
            <c:numRef>
              <c:f>Compensation!$Y$226</c:f>
              <c:numCache>
                <c:formatCode>General</c:formatCode>
                <c:ptCount val="1"/>
                <c:pt idx="0">
                  <c:v>-27.653182692493026</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-25.298847338417914</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89.524941484915317</c:v>
                </c:pt>
                <c:pt idx="1">
                  <c:v>89.050029434827792</c:v>
                </c:pt>
                <c:pt idx="2">
                  <c:v>88.575410102558465</c:v>
                </c:pt>
                <c:pt idx="3">
                  <c:v>88.101229317333605</c:v>
                </c:pt>
                <c:pt idx="4">
                  <c:v>87.627632274875253</c:v>
                </c:pt>
                <c:pt idx="5">
                  <c:v>87.154763329743304</c:v>
                </c:pt>
                <c:pt idx="6">
                  <c:v>86.682765790657129</c:v>
                </c:pt>
                <c:pt idx="7">
                  <c:v>86.211781719503065</c:v>
                </c:pt>
                <c:pt idx="8">
                  <c:v>85.741951734712828</c:v>
                </c:pt>
                <c:pt idx="9">
                  <c:v>85.273414819666314</c:v>
                </c:pt>
                <c:pt idx="10">
                  <c:v>80.688219990789165</c:v>
                </c:pt>
                <c:pt idx="11">
                  <c:v>76.366869040806819</c:v>
                </c:pt>
                <c:pt idx="12">
                  <c:v>72.399788300184682</c:v>
                </c:pt>
                <c:pt idx="13">
                  <c:v>68.840877178379657</c:v>
                </c:pt>
                <c:pt idx="14">
                  <c:v>65.710549856084469</c:v>
                </c:pt>
                <c:pt idx="15">
                  <c:v>63.003121002486544</c:v>
                </c:pt>
                <c:pt idx="16">
                  <c:v>60.695305874368017</c:v>
                </c:pt>
                <c:pt idx="17">
                  <c:v>58.753740454556784</c:v>
                </c:pt>
                <c:pt idx="18">
                  <c:v>57.140665450873115</c:v>
                </c:pt>
                <c:pt idx="19">
                  <c:v>51.980781870014873</c:v>
                </c:pt>
                <c:pt idx="20">
                  <c:v>54.365246306991821</c:v>
                </c:pt>
                <c:pt idx="21">
                  <c:v>57.765531508139482</c:v>
                </c:pt>
                <c:pt idx="22">
                  <c:v>60.72778029266982</c:v>
                </c:pt>
                <c:pt idx="23">
                  <c:v>63.02216807240719</c:v>
                </c:pt>
                <c:pt idx="24">
                  <c:v>64.713368970507048</c:v>
                </c:pt>
                <c:pt idx="25">
                  <c:v>65.917958969479585</c:v>
                </c:pt>
                <c:pt idx="26">
                  <c:v>66.742601240885691</c:v>
                </c:pt>
                <c:pt idx="27">
                  <c:v>67.272290759009152</c:v>
                </c:pt>
                <c:pt idx="28">
                  <c:v>65.164006538046905</c:v>
                </c:pt>
                <c:pt idx="29">
                  <c:v>58.735103665649817</c:v>
                </c:pt>
                <c:pt idx="30">
                  <c:v>51.317896038127884</c:v>
                </c:pt>
                <c:pt idx="31">
                  <c:v>43.64874332663824</c:v>
                </c:pt>
                <c:pt idx="32">
                  <c:v>35.993695345715011</c:v>
                </c:pt>
                <c:pt idx="33">
                  <c:v>28.476112310065162</c:v>
                </c:pt>
                <c:pt idx="34">
                  <c:v>21.16053029592323</c:v>
                </c:pt>
                <c:pt idx="35">
                  <c:v>14.081795400991238</c:v>
                </c:pt>
                <c:pt idx="36">
                  <c:v>7.2577119632469707</c:v>
                </c:pt>
                <c:pt idx="37">
                  <c:v>-47.357324385810365</c:v>
                </c:pt>
                <c:pt idx="38">
                  <c:v>-82.904737116173507</c:v>
                </c:pt>
                <c:pt idx="39">
                  <c:v>-106.43887045020388</c:v>
                </c:pt>
                <c:pt idx="40">
                  <c:v>-122.41500876870936</c:v>
                </c:pt>
                <c:pt idx="41">
                  <c:v>-133.56701203247772</c:v>
                </c:pt>
                <c:pt idx="42">
                  <c:v>-141.57638168175887</c:v>
                </c:pt>
                <c:pt idx="43">
                  <c:v>-147.48898375486445</c:v>
                </c:pt>
                <c:pt idx="44">
                  <c:v>-151.96710543457152</c:v>
                </c:pt>
                <c:pt idx="45">
                  <c:v>-155.43921202187738</c:v>
                </c:pt>
                <c:pt idx="46">
                  <c:v>-169.25889572449702</c:v>
                </c:pt>
                <c:pt idx="47">
                  <c:v>-173.10612001016017</c:v>
                </c:pt>
                <c:pt idx="48">
                  <c:v>-174.90561085758264</c:v>
                </c:pt>
                <c:pt idx="49">
                  <c:v>-175.95355444678813</c:v>
                </c:pt>
                <c:pt idx="50">
                  <c:v>-176.64132944820537</c:v>
                </c:pt>
                <c:pt idx="51">
                  <c:v>-177.12811062335962</c:v>
                </c:pt>
                <c:pt idx="52">
                  <c:v>-177.49107797029245</c:v>
                </c:pt>
                <c:pt idx="53">
                  <c:v>-177.77228233930384</c:v>
                </c:pt>
                <c:pt idx="54">
                  <c:v>-177.99662592007198</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3.3244680851063833</c:v>
                </c:pt>
              </c:numCache>
            </c:numRef>
          </c:xVal>
          <c:yVal>
            <c:numRef>
              <c:f>Calculations!$B$58</c:f>
              <c:numCache>
                <c:formatCode>General</c:formatCode>
                <c:ptCount val="1"/>
                <c:pt idx="0">
                  <c:v>0.5</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0.25854292572887083</c:v>
                </c:pt>
                <c:pt idx="2">
                  <c:v>0.36563491202138898</c:v>
                </c:pt>
                <c:pt idx="3">
                  <c:v>0.44444444444444442</c:v>
                </c:pt>
                <c:pt idx="4">
                  <c:v>0.44444444444444442</c:v>
                </c:pt>
                <c:pt idx="5">
                  <c:v>0.44444444444444442</c:v>
                </c:pt>
                <c:pt idx="6">
                  <c:v>0.44444444444444442</c:v>
                </c:pt>
                <c:pt idx="7">
                  <c:v>0.44444444444444442</c:v>
                </c:pt>
                <c:pt idx="8">
                  <c:v>0.44444444444444442</c:v>
                </c:pt>
                <c:pt idx="9">
                  <c:v>0.44444444444444442</c:v>
                </c:pt>
                <c:pt idx="10">
                  <c:v>0.44444444444444442</c:v>
                </c:pt>
                <c:pt idx="11">
                  <c:v>0.44444444444444442</c:v>
                </c:pt>
                <c:pt idx="12">
                  <c:v>0.44444444444444442</c:v>
                </c:pt>
                <c:pt idx="13">
                  <c:v>0.44444444444444442</c:v>
                </c:pt>
                <c:pt idx="14">
                  <c:v>0.44444444444444442</c:v>
                </c:pt>
                <c:pt idx="15">
                  <c:v>0.44444444444444442</c:v>
                </c:pt>
                <c:pt idx="16">
                  <c:v>0.44444444444444442</c:v>
                </c:pt>
                <c:pt idx="17">
                  <c:v>0.44444444444444442</c:v>
                </c:pt>
                <c:pt idx="18">
                  <c:v>0.44444444444444442</c:v>
                </c:pt>
                <c:pt idx="19">
                  <c:v>0.44444444444444442</c:v>
                </c:pt>
                <c:pt idx="20">
                  <c:v>0.44444444444444442</c:v>
                </c:pt>
                <c:pt idx="21">
                  <c:v>0.44444444444444442</c:v>
                </c:pt>
                <c:pt idx="22">
                  <c:v>0.44444444444444442</c:v>
                </c:pt>
                <c:pt idx="23">
                  <c:v>0.44444444444444442</c:v>
                </c:pt>
                <c:pt idx="24">
                  <c:v>0.44444444444444442</c:v>
                </c:pt>
                <c:pt idx="25">
                  <c:v>0.44444444444444442</c:v>
                </c:pt>
                <c:pt idx="26">
                  <c:v>0.44444444444444442</c:v>
                </c:pt>
                <c:pt idx="27">
                  <c:v>0.44444444444444442</c:v>
                </c:pt>
                <c:pt idx="28">
                  <c:v>0.44444444444444442</c:v>
                </c:pt>
                <c:pt idx="29">
                  <c:v>0.44444444444444442</c:v>
                </c:pt>
                <c:pt idx="30">
                  <c:v>0.44444444444444442</c:v>
                </c:pt>
                <c:pt idx="31">
                  <c:v>0.44444444444444442</c:v>
                </c:pt>
                <c:pt idx="32">
                  <c:v>0.44444444444444442</c:v>
                </c:pt>
                <c:pt idx="33">
                  <c:v>0.44444444444444442</c:v>
                </c:pt>
                <c:pt idx="34">
                  <c:v>0.44444444444444442</c:v>
                </c:pt>
                <c:pt idx="35">
                  <c:v>0.44444444444444442</c:v>
                </c:pt>
                <c:pt idx="36">
                  <c:v>0.44444444444444442</c:v>
                </c:pt>
                <c:pt idx="37">
                  <c:v>0.44444444444444442</c:v>
                </c:pt>
                <c:pt idx="38">
                  <c:v>0.44444444444444442</c:v>
                </c:pt>
                <c:pt idx="39">
                  <c:v>0.44444444444444442</c:v>
                </c:pt>
                <c:pt idx="40">
                  <c:v>0.44444444444444442</c:v>
                </c:pt>
                <c:pt idx="41">
                  <c:v>0.44444444444444442</c:v>
                </c:pt>
                <c:pt idx="42">
                  <c:v>0.44444444444444442</c:v>
                </c:pt>
                <c:pt idx="43">
                  <c:v>0.44444444444444442</c:v>
                </c:pt>
                <c:pt idx="44">
                  <c:v>0.44444444444444442</c:v>
                </c:pt>
                <c:pt idx="45">
                  <c:v>0.44444444444444442</c:v>
                </c:pt>
                <c:pt idx="46">
                  <c:v>0.44444444444444442</c:v>
                </c:pt>
                <c:pt idx="47">
                  <c:v>0.44444444444444442</c:v>
                </c:pt>
                <c:pt idx="48">
                  <c:v>0.44444444444444442</c:v>
                </c:pt>
                <c:pt idx="49">
                  <c:v>0.44444444444444442</c:v>
                </c:pt>
                <c:pt idx="50">
                  <c:v>0.44444444444444442</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0.19764851394567848</c:v>
                </c:pt>
                <c:pt idx="2">
                  <c:v>0.27951720900486632</c:v>
                </c:pt>
                <c:pt idx="3">
                  <c:v>0.34233726819440097</c:v>
                </c:pt>
                <c:pt idx="4">
                  <c:v>0.36363636363636365</c:v>
                </c:pt>
                <c:pt idx="5">
                  <c:v>0.36363636363636365</c:v>
                </c:pt>
                <c:pt idx="6">
                  <c:v>0.36363636363636365</c:v>
                </c:pt>
                <c:pt idx="7">
                  <c:v>0.36363636363636365</c:v>
                </c:pt>
                <c:pt idx="8">
                  <c:v>0.36363636363636365</c:v>
                </c:pt>
                <c:pt idx="9">
                  <c:v>0.36363636363636365</c:v>
                </c:pt>
                <c:pt idx="10">
                  <c:v>0.36363636363636365</c:v>
                </c:pt>
                <c:pt idx="11">
                  <c:v>0.36363636363636365</c:v>
                </c:pt>
                <c:pt idx="12">
                  <c:v>0.36363636363636365</c:v>
                </c:pt>
                <c:pt idx="13">
                  <c:v>0.36363636363636365</c:v>
                </c:pt>
                <c:pt idx="14">
                  <c:v>0.36363636363636365</c:v>
                </c:pt>
                <c:pt idx="15">
                  <c:v>0.36363636363636365</c:v>
                </c:pt>
                <c:pt idx="16">
                  <c:v>0.36363636363636365</c:v>
                </c:pt>
                <c:pt idx="17">
                  <c:v>0.36363636363636365</c:v>
                </c:pt>
                <c:pt idx="18">
                  <c:v>0.36363636363636365</c:v>
                </c:pt>
                <c:pt idx="19">
                  <c:v>0.36363636363636365</c:v>
                </c:pt>
                <c:pt idx="20">
                  <c:v>0.36363636363636365</c:v>
                </c:pt>
                <c:pt idx="21">
                  <c:v>0.36363636363636365</c:v>
                </c:pt>
                <c:pt idx="22">
                  <c:v>0.36363636363636365</c:v>
                </c:pt>
                <c:pt idx="23">
                  <c:v>0.36363636363636365</c:v>
                </c:pt>
                <c:pt idx="24">
                  <c:v>0.36363636363636365</c:v>
                </c:pt>
                <c:pt idx="25">
                  <c:v>0.36363636363636365</c:v>
                </c:pt>
                <c:pt idx="26">
                  <c:v>0.36363636363636365</c:v>
                </c:pt>
                <c:pt idx="27">
                  <c:v>0.36363636363636365</c:v>
                </c:pt>
                <c:pt idx="28">
                  <c:v>0.36363636363636365</c:v>
                </c:pt>
                <c:pt idx="29">
                  <c:v>0.36363636363636365</c:v>
                </c:pt>
                <c:pt idx="30">
                  <c:v>0.36363636363636365</c:v>
                </c:pt>
                <c:pt idx="31">
                  <c:v>0.36363636363636365</c:v>
                </c:pt>
                <c:pt idx="32">
                  <c:v>0.36363636363636365</c:v>
                </c:pt>
                <c:pt idx="33">
                  <c:v>0.36363636363636365</c:v>
                </c:pt>
                <c:pt idx="34">
                  <c:v>0.36363636363636365</c:v>
                </c:pt>
                <c:pt idx="35">
                  <c:v>0.36363636363636365</c:v>
                </c:pt>
                <c:pt idx="36">
                  <c:v>0.36363636363636365</c:v>
                </c:pt>
                <c:pt idx="37">
                  <c:v>0.36363636363636365</c:v>
                </c:pt>
                <c:pt idx="38">
                  <c:v>0.36363636363636365</c:v>
                </c:pt>
                <c:pt idx="39">
                  <c:v>0.36363636363636365</c:v>
                </c:pt>
                <c:pt idx="40">
                  <c:v>0.36363636363636365</c:v>
                </c:pt>
                <c:pt idx="41">
                  <c:v>0.36363636363636365</c:v>
                </c:pt>
                <c:pt idx="42">
                  <c:v>0.36363636363636365</c:v>
                </c:pt>
                <c:pt idx="43">
                  <c:v>0.36363636363636365</c:v>
                </c:pt>
                <c:pt idx="44">
                  <c:v>0.36363636363636365</c:v>
                </c:pt>
                <c:pt idx="45">
                  <c:v>0.36363636363636365</c:v>
                </c:pt>
                <c:pt idx="46">
                  <c:v>0.36363636363636365</c:v>
                </c:pt>
                <c:pt idx="47">
                  <c:v>0.36363636363636365</c:v>
                </c:pt>
                <c:pt idx="48">
                  <c:v>0.36363636363636365</c:v>
                </c:pt>
                <c:pt idx="49">
                  <c:v>0.36363636363636365</c:v>
                </c:pt>
                <c:pt idx="50">
                  <c:v>0.36363636363636365</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2.9550827423167854</c:v>
                </c:pt>
              </c:numCache>
            </c:numRef>
          </c:xVal>
          <c:yVal>
            <c:numRef>
              <c:f>Calculations!$B$43</c:f>
              <c:numCache>
                <c:formatCode>General</c:formatCode>
                <c:ptCount val="1"/>
                <c:pt idx="0">
                  <c:v>0.44444444444444442</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3.3849129593810448</c:v>
                </c:pt>
              </c:numCache>
            </c:numRef>
          </c:xVal>
          <c:yVal>
            <c:numRef>
              <c:f>Calculations!$B$49</c:f>
              <c:numCache>
                <c:formatCode>0.000</c:formatCode>
                <c:ptCount val="1"/>
                <c:pt idx="0">
                  <c:v>0.36363636363636365</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51.345952098734102</c:v>
                </c:pt>
                <c:pt idx="1">
                  <c:v>51.34593529085474</c:v>
                </c:pt>
                <c:pt idx="2">
                  <c:v>51.345907277867028</c:v>
                </c:pt>
                <c:pt idx="3">
                  <c:v>51.345868059987822</c:v>
                </c:pt>
                <c:pt idx="4">
                  <c:v>51.345817637520632</c:v>
                </c:pt>
                <c:pt idx="5">
                  <c:v>51.345756010855709</c:v>
                </c:pt>
                <c:pt idx="6">
                  <c:v>51.345683180470054</c:v>
                </c:pt>
                <c:pt idx="7">
                  <c:v>51.345599146927306</c:v>
                </c:pt>
                <c:pt idx="8">
                  <c:v>51.345503910877795</c:v>
                </c:pt>
                <c:pt idx="9">
                  <c:v>51.345397473058554</c:v>
                </c:pt>
                <c:pt idx="10">
                  <c:v>51.343717221586516</c:v>
                </c:pt>
                <c:pt idx="11">
                  <c:v>51.34091824627339</c:v>
                </c:pt>
                <c:pt idx="12">
                  <c:v>51.337002708924729</c:v>
                </c:pt>
                <c:pt idx="13">
                  <c:v>51.331973628280451</c:v>
                </c:pt>
                <c:pt idx="14">
                  <c:v>51.325834872277312</c:v>
                </c:pt>
                <c:pt idx="15">
                  <c:v>51.31859114817216</c:v>
                </c:pt>
                <c:pt idx="16">
                  <c:v>51.310247990578823</c:v>
                </c:pt>
                <c:pt idx="17">
                  <c:v>51.300811747482122</c:v>
                </c:pt>
                <c:pt idx="18">
                  <c:v>51.290289564302178</c:v>
                </c:pt>
                <c:pt idx="19">
                  <c:v>51.127442581158924</c:v>
                </c:pt>
                <c:pt idx="20">
                  <c:v>50.868906807073373</c:v>
                </c:pt>
                <c:pt idx="21">
                  <c:v>50.531011829600857</c:v>
                </c:pt>
                <c:pt idx="22">
                  <c:v>50.131954447809903</c:v>
                </c:pt>
                <c:pt idx="23">
                  <c:v>49.689300097368758</c:v>
                </c:pt>
                <c:pt idx="24">
                  <c:v>49.21841628748102</c:v>
                </c:pt>
                <c:pt idx="25">
                  <c:v>48.731815295375192</c:v>
                </c:pt>
                <c:pt idx="26">
                  <c:v>48.239139628286985</c:v>
                </c:pt>
                <c:pt idx="27">
                  <c:v>47.747495585300932</c:v>
                </c:pt>
                <c:pt idx="28">
                  <c:v>43.449991035089141</c:v>
                </c:pt>
                <c:pt idx="29">
                  <c:v>40.338631476032248</c:v>
                </c:pt>
                <c:pt idx="30">
                  <c:v>37.993203474831944</c:v>
                </c:pt>
                <c:pt idx="31">
                  <c:v>36.127856469618727</c:v>
                </c:pt>
                <c:pt idx="32">
                  <c:v>34.584324449087553</c:v>
                </c:pt>
                <c:pt idx="33">
                  <c:v>33.269743504936862</c:v>
                </c:pt>
                <c:pt idx="34">
                  <c:v>32.125785204136839</c:v>
                </c:pt>
                <c:pt idx="35">
                  <c:v>31.113656120091147</c:v>
                </c:pt>
                <c:pt idx="36">
                  <c:v>30.206335179910543</c:v>
                </c:pt>
                <c:pt idx="37">
                  <c:v>24.210862175361015</c:v>
                </c:pt>
                <c:pt idx="38">
                  <c:v>20.693706121270495</c:v>
                </c:pt>
                <c:pt idx="39">
                  <c:v>18.196566770215124</c:v>
                </c:pt>
                <c:pt idx="40">
                  <c:v>16.259123666416627</c:v>
                </c:pt>
                <c:pt idx="41">
                  <c:v>14.675910095613659</c:v>
                </c:pt>
                <c:pt idx="42">
                  <c:v>13.337222352998046</c:v>
                </c:pt>
                <c:pt idx="43">
                  <c:v>12.177544415014518</c:v>
                </c:pt>
                <c:pt idx="44">
                  <c:v>11.154604351662238</c:v>
                </c:pt>
                <c:pt idx="45">
                  <c:v>10.239533500337021</c:v>
                </c:pt>
                <c:pt idx="46">
                  <c:v>4.2191860605443896</c:v>
                </c:pt>
                <c:pt idx="47">
                  <c:v>0.69740763539091033</c:v>
                </c:pt>
                <c:pt idx="48">
                  <c:v>-1.8013507320701041</c:v>
                </c:pt>
                <c:pt idx="49">
                  <c:v>-3.7395434176897728</c:v>
                </c:pt>
                <c:pt idx="50">
                  <c:v>-5.3231642240709789</c:v>
                </c:pt>
                <c:pt idx="51">
                  <c:v>-6.6620975357246479</c:v>
                </c:pt>
                <c:pt idx="52">
                  <c:v>-7.8219348650401175</c:v>
                </c:pt>
                <c:pt idx="53">
                  <c:v>-8.8449842100133349</c:v>
                </c:pt>
                <c:pt idx="54">
                  <c:v>-9.7601332315602605</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-6.5076895092640766E-2</c:v>
                </c:pt>
                <c:pt idx="1">
                  <c:v>-0.13015362228010594</c:v>
                </c:pt>
                <c:pt idx="2">
                  <c:v>-0.19523001365982051</c:v>
                </c:pt>
                <c:pt idx="3">
                  <c:v>-0.26030590133440634</c:v>
                </c:pt>
                <c:pt idx="4">
                  <c:v>-0.32538111741428183</c:v>
                </c:pt>
                <c:pt idx="5">
                  <c:v>-0.39045549402026641</c:v>
                </c:pt>
                <c:pt idx="6">
                  <c:v>-0.4555288632861676</c:v>
                </c:pt>
                <c:pt idx="7">
                  <c:v>-0.52060105736138751</c:v>
                </c:pt>
                <c:pt idx="8">
                  <c:v>-0.58567190841351979</c:v>
                </c:pt>
                <c:pt idx="9">
                  <c:v>-0.65074124863094418</c:v>
                </c:pt>
                <c:pt idx="10">
                  <c:v>-1.3013146563941138</c:v>
                </c:pt>
                <c:pt idx="11">
                  <c:v>-1.9515526420164087</c:v>
                </c:pt>
                <c:pt idx="12">
                  <c:v>-2.601288142411057</c:v>
                </c:pt>
                <c:pt idx="13">
                  <c:v>-3.2503548692706445</c:v>
                </c:pt>
                <c:pt idx="14">
                  <c:v>-3.8985875626800706</c:v>
                </c:pt>
                <c:pt idx="15">
                  <c:v>-4.545822240789585</c:v>
                </c:pt>
                <c:pt idx="16">
                  <c:v>-5.1918964446156428</c:v>
                </c:pt>
                <c:pt idx="17">
                  <c:v>-5.8366494770724833</c:v>
                </c:pt>
                <c:pt idx="18">
                  <c:v>-6.4799226353771768</c:v>
                </c:pt>
                <c:pt idx="19">
                  <c:v>-12.79819599264974</c:v>
                </c:pt>
                <c:pt idx="20">
                  <c:v>-18.816131350201932</c:v>
                </c:pt>
                <c:pt idx="21">
                  <c:v>-24.433373095750845</c:v>
                </c:pt>
                <c:pt idx="22">
                  <c:v>-29.592385294176545</c:v>
                </c:pt>
                <c:pt idx="23">
                  <c:v>-34.273801914058431</c:v>
                </c:pt>
                <c:pt idx="24">
                  <c:v>-38.486967382384705</c:v>
                </c:pt>
                <c:pt idx="25">
                  <c:v>-42.259705847696146</c:v>
                </c:pt>
                <c:pt idx="26">
                  <c:v>-45.629702137707604</c:v>
                </c:pt>
                <c:pt idx="27">
                  <c:v>-48.638289298201457</c:v>
                </c:pt>
                <c:pt idx="28">
                  <c:v>-66.240147390567344</c:v>
                </c:pt>
                <c:pt idx="29">
                  <c:v>-73.64423886080391</c:v>
                </c:pt>
                <c:pt idx="30">
                  <c:v>-77.586684795950404</c:v>
                </c:pt>
                <c:pt idx="31">
                  <c:v>-80.013373607633923</c:v>
                </c:pt>
                <c:pt idx="32">
                  <c:v>-81.652073771038275</c:v>
                </c:pt>
                <c:pt idx="33">
                  <c:v>-82.831213561251147</c:v>
                </c:pt>
                <c:pt idx="34">
                  <c:v>-83.719647375662532</c:v>
                </c:pt>
                <c:pt idx="35">
                  <c:v>-84.412776104330575</c:v>
                </c:pt>
                <c:pt idx="36">
                  <c:v>-84.968472544019519</c:v>
                </c:pt>
                <c:pt idx="37">
                  <c:v>-87.479376655932839</c:v>
                </c:pt>
                <c:pt idx="38">
                  <c:v>-88.318982008631139</c:v>
                </c:pt>
                <c:pt idx="39">
                  <c:v>-88.739078231137967</c:v>
                </c:pt>
                <c:pt idx="40">
                  <c:v>-88.991203958438604</c:v>
                </c:pt>
                <c:pt idx="41">
                  <c:v>-89.159310089015364</c:v>
                </c:pt>
                <c:pt idx="42">
                  <c:v>-89.279394928247399</c:v>
                </c:pt>
                <c:pt idx="43">
                  <c:v>-89.369462770364692</c:v>
                </c:pt>
                <c:pt idx="44">
                  <c:v>-89.439517713863523</c:v>
                </c:pt>
                <c:pt idx="45">
                  <c:v>-89.495562885362773</c:v>
                </c:pt>
                <c:pt idx="46">
                  <c:v>-89.747776555097062</c:v>
                </c:pt>
                <c:pt idx="47">
                  <c:v>-89.831850433300971</c:v>
                </c:pt>
                <c:pt idx="48">
                  <c:v>-89.87388766657385</c:v>
                </c:pt>
                <c:pt idx="49">
                  <c:v>-89.899110074604948</c:v>
                </c:pt>
                <c:pt idx="50">
                  <c:v>-89.915925035619495</c:v>
                </c:pt>
                <c:pt idx="51">
                  <c:v>-89.92793573109418</c:v>
                </c:pt>
                <c:pt idx="52">
                  <c:v>-89.93694375691426</c:v>
                </c:pt>
                <c:pt idx="53">
                  <c:v>-89.943950001396715</c:v>
                </c:pt>
                <c:pt idx="54">
                  <c:v>-89.949554998199616</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21.30582802753522</c:v>
                </c:pt>
                <c:pt idx="1">
                  <c:v>15.285323708823109</c:v>
                </c:pt>
                <c:pt idx="2">
                  <c:v>11.763657847312514</c:v>
                </c:pt>
                <c:pt idx="3">
                  <c:v>9.265106152771402</c:v>
                </c:pt>
                <c:pt idx="4">
                  <c:v>7.3271926384393193</c:v>
                </c:pt>
                <c:pt idx="5">
                  <c:v>5.743918158899799</c:v>
                </c:pt>
                <c:pt idx="6">
                  <c:v>4.4053964878635403</c:v>
                </c:pt>
                <c:pt idx="7">
                  <c:v>3.2460353318293262</c:v>
                </c:pt>
                <c:pt idx="8">
                  <c:v>2.2235263073296787</c:v>
                </c:pt>
                <c:pt idx="9">
                  <c:v>1.3089815376846508</c:v>
                </c:pt>
                <c:pt idx="10">
                  <c:v>-4.702076244618933</c:v>
                </c:pt>
                <c:pt idx="11">
                  <c:v>-8.2080443212685097</c:v>
                </c:pt>
                <c:pt idx="12">
                  <c:v>-10.684715937366844</c:v>
                </c:pt>
                <c:pt idx="13">
                  <c:v>-12.594662220896158</c:v>
                </c:pt>
                <c:pt idx="14">
                  <c:v>-14.14400229970105</c:v>
                </c:pt>
                <c:pt idx="15">
                  <c:v>-15.442765563409894</c:v>
                </c:pt>
                <c:pt idx="16">
                  <c:v>-16.556708721379604</c:v>
                </c:pt>
                <c:pt idx="17">
                  <c:v>-17.528323681557652</c:v>
                </c:pt>
                <c:pt idx="18">
                  <c:v>-18.386698650123709</c:v>
                </c:pt>
                <c:pt idx="19">
                  <c:v>-23.597181411607664</c:v>
                </c:pt>
                <c:pt idx="20">
                  <c:v>-26.034670538031083</c:v>
                </c:pt>
                <c:pt idx="21">
                  <c:v>-27.363005500510464</c:v>
                </c:pt>
                <c:pt idx="22">
                  <c:v>-28.149354664716441</c:v>
                </c:pt>
                <c:pt idx="23">
                  <c:v>-28.644908454107384</c:v>
                </c:pt>
                <c:pt idx="24">
                  <c:v>-28.973628448653752</c:v>
                </c:pt>
                <c:pt idx="25">
                  <c:v>-29.201198992043985</c:v>
                </c:pt>
                <c:pt idx="26">
                  <c:v>-29.364495718528897</c:v>
                </c:pt>
                <c:pt idx="27">
                  <c:v>-29.485276559140473</c:v>
                </c:pt>
                <c:pt idx="28">
                  <c:v>-29.899141775039766</c:v>
                </c:pt>
                <c:pt idx="29">
                  <c:v>-29.986865216948289</c:v>
                </c:pt>
                <c:pt idx="30">
                  <c:v>-30.025766029940382</c:v>
                </c:pt>
                <c:pt idx="31">
                  <c:v>-30.052409522358609</c:v>
                </c:pt>
                <c:pt idx="32">
                  <c:v>-30.075954814853731</c:v>
                </c:pt>
                <c:pt idx="33">
                  <c:v>-30.099539726194898</c:v>
                </c:pt>
                <c:pt idx="34">
                  <c:v>-30.124455344135541</c:v>
                </c:pt>
                <c:pt idx="35">
                  <c:v>-30.151294557794056</c:v>
                </c:pt>
                <c:pt idx="36">
                  <c:v>-30.180344466154931</c:v>
                </c:pt>
                <c:pt idx="37">
                  <c:v>-30.599717561708736</c:v>
                </c:pt>
                <c:pt idx="38">
                  <c:v>-31.214565846517679</c:v>
                </c:pt>
                <c:pt idx="39">
                  <c:v>-31.950507614075256</c:v>
                </c:pt>
                <c:pt idx="40">
                  <c:v>-32.743687789395281</c:v>
                </c:pt>
                <c:pt idx="41">
                  <c:v>-33.550000441807498</c:v>
                </c:pt>
                <c:pt idx="42">
                  <c:v>-34.3427107990195</c:v>
                </c:pt>
                <c:pt idx="43">
                  <c:v>-35.107311379841704</c:v>
                </c:pt>
                <c:pt idx="44">
                  <c:v>-35.836981630644672</c:v>
                </c:pt>
                <c:pt idx="45">
                  <c:v>-36.529411674573204</c:v>
                </c:pt>
                <c:pt idx="46">
                  <c:v>-41.749936716545264</c:v>
                </c:pt>
                <c:pt idx="47">
                  <c:v>-45.105946743694844</c:v>
                </c:pt>
                <c:pt idx="48">
                  <c:v>-47.545157275642097</c:v>
                </c:pt>
                <c:pt idx="49">
                  <c:v>-49.455508766073855</c:v>
                </c:pt>
                <c:pt idx="50">
                  <c:v>-51.023930767940875</c:v>
                </c:pt>
                <c:pt idx="51">
                  <c:v>-52.353673891699053</c:v>
                </c:pt>
                <c:pt idx="52">
                  <c:v>-53.507536004836275</c:v>
                </c:pt>
                <c:pt idx="53">
                  <c:v>-54.52648400284447</c:v>
                </c:pt>
                <c:pt idx="54">
                  <c:v>-55.438696975622612</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90.154137455942077</c:v>
                </c:pt>
                <c:pt idx="1">
                  <c:v>90.308272634286325</c:v>
                </c:pt>
                <c:pt idx="2">
                  <c:v>90.462403257635387</c:v>
                </c:pt>
                <c:pt idx="3">
                  <c:v>90.616527048993021</c:v>
                </c:pt>
                <c:pt idx="4">
                  <c:v>90.770641731964304</c:v>
                </c:pt>
                <c:pt idx="5">
                  <c:v>90.924745030956146</c:v>
                </c:pt>
                <c:pt idx="6">
                  <c:v>91.078834671377166</c:v>
                </c:pt>
                <c:pt idx="7">
                  <c:v>91.232908379837681</c:v>
                </c:pt>
                <c:pt idx="8">
                  <c:v>91.386963884349271</c:v>
                </c:pt>
                <c:pt idx="9">
                  <c:v>91.540998914524138</c:v>
                </c:pt>
                <c:pt idx="10">
                  <c:v>93.079725183815086</c:v>
                </c:pt>
                <c:pt idx="11">
                  <c:v>94.61392607142443</c:v>
                </c:pt>
                <c:pt idx="12">
                  <c:v>96.141388224467946</c:v>
                </c:pt>
                <c:pt idx="13">
                  <c:v>97.659956297948312</c:v>
                </c:pt>
                <c:pt idx="14">
                  <c:v>99.167550346147678</c:v>
                </c:pt>
                <c:pt idx="15">
                  <c:v>100.66218164685397</c:v>
                </c:pt>
                <c:pt idx="16">
                  <c:v>102.1419666837028</c:v>
                </c:pt>
                <c:pt idx="17">
                  <c:v>103.60513907915809</c:v>
                </c:pt>
                <c:pt idx="18">
                  <c:v>105.05005934182329</c:v>
                </c:pt>
                <c:pt idx="19">
                  <c:v>118.23405176052094</c:v>
                </c:pt>
                <c:pt idx="20">
                  <c:v>128.7791551632229</c:v>
                </c:pt>
                <c:pt idx="21">
                  <c:v>136.86946435113433</c:v>
                </c:pt>
                <c:pt idx="22">
                  <c:v>143.02767782220934</c:v>
                </c:pt>
                <c:pt idx="23">
                  <c:v>147.75777632467106</c:v>
                </c:pt>
                <c:pt idx="24">
                  <c:v>151.44800476263302</c:v>
                </c:pt>
                <c:pt idx="25">
                  <c:v>154.3764416780285</c:v>
                </c:pt>
                <c:pt idx="26">
                  <c:v>156.73857355388387</c:v>
                </c:pt>
                <c:pt idx="27">
                  <c:v>158.67231531152024</c:v>
                </c:pt>
                <c:pt idx="28">
                  <c:v>167.41213154214734</c:v>
                </c:pt>
                <c:pt idx="29">
                  <c:v>169.79192809397355</c:v>
                </c:pt>
                <c:pt idx="30">
                  <c:v>170.47339489847894</c:v>
                </c:pt>
                <c:pt idx="31">
                  <c:v>170.46577478275927</c:v>
                </c:pt>
                <c:pt idx="32">
                  <c:v>170.11329813326535</c:v>
                </c:pt>
                <c:pt idx="33">
                  <c:v>169.56526951683352</c:v>
                </c:pt>
                <c:pt idx="34">
                  <c:v>168.89704216225374</c:v>
                </c:pt>
                <c:pt idx="35">
                  <c:v>168.15088367181721</c:v>
                </c:pt>
                <c:pt idx="36">
                  <c:v>167.35244328495818</c:v>
                </c:pt>
                <c:pt idx="37">
                  <c:v>158.54325744435505</c:v>
                </c:pt>
                <c:pt idx="38">
                  <c:v>150.14117400278525</c:v>
                </c:pt>
                <c:pt idx="39">
                  <c:v>142.8306550557424</c:v>
                </c:pt>
                <c:pt idx="40">
                  <c:v>136.66318705118724</c:v>
                </c:pt>
                <c:pt idx="41">
                  <c:v>131.51864675075592</c:v>
                </c:pt>
                <c:pt idx="42">
                  <c:v>127.23262576886138</c:v>
                </c:pt>
                <c:pt idx="43">
                  <c:v>123.64679537878988</c:v>
                </c:pt>
                <c:pt idx="44">
                  <c:v>120.62585670619548</c:v>
                </c:pt>
                <c:pt idx="45">
                  <c:v>118.06004809106088</c:v>
                </c:pt>
                <c:pt idx="46">
                  <c:v>104.94517786640692</c:v>
                </c:pt>
                <c:pt idx="47">
                  <c:v>100.09284797283122</c:v>
                </c:pt>
                <c:pt idx="48">
                  <c:v>97.604681023641149</c:v>
                </c:pt>
                <c:pt idx="49">
                  <c:v>96.096879431107567</c:v>
                </c:pt>
                <c:pt idx="50">
                  <c:v>95.086714071792528</c:v>
                </c:pt>
                <c:pt idx="51">
                  <c:v>94.363142346531134</c:v>
                </c:pt>
                <c:pt idx="52">
                  <c:v>93.819514740348254</c:v>
                </c:pt>
                <c:pt idx="53">
                  <c:v>93.396201452270446</c:v>
                </c:pt>
                <c:pt idx="54">
                  <c:v>93.057275470191726</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72.651780126269315</c:v>
                </c:pt>
                <c:pt idx="1">
                  <c:v>66.63125899967784</c:v>
                </c:pt>
                <c:pt idx="2">
                  <c:v>63.109565125179572</c:v>
                </c:pt>
                <c:pt idx="3">
                  <c:v>60.610974212759217</c:v>
                </c:pt>
                <c:pt idx="4">
                  <c:v>58.67301027595996</c:v>
                </c:pt>
                <c:pt idx="5">
                  <c:v>57.089674169755511</c:v>
                </c:pt>
                <c:pt idx="6">
                  <c:v>55.751079668333603</c:v>
                </c:pt>
                <c:pt idx="7">
                  <c:v>54.591634478756639</c:v>
                </c:pt>
                <c:pt idx="8">
                  <c:v>53.56903021820748</c:v>
                </c:pt>
                <c:pt idx="9">
                  <c:v>52.65437901074322</c:v>
                </c:pt>
                <c:pt idx="10">
                  <c:v>46.641640976967579</c:v>
                </c:pt>
                <c:pt idx="11">
                  <c:v>43.132873925004851</c:v>
                </c:pt>
                <c:pt idx="12">
                  <c:v>40.652286771557868</c:v>
                </c:pt>
                <c:pt idx="13">
                  <c:v>38.737311407384297</c:v>
                </c:pt>
                <c:pt idx="14">
                  <c:v>37.181832572576262</c:v>
                </c:pt>
                <c:pt idx="15">
                  <c:v>35.875825584762254</c:v>
                </c:pt>
                <c:pt idx="16">
                  <c:v>34.753539269199223</c:v>
                </c:pt>
                <c:pt idx="17">
                  <c:v>33.772488065924456</c:v>
                </c:pt>
                <c:pt idx="18">
                  <c:v>32.903590914178466</c:v>
                </c:pt>
                <c:pt idx="19">
                  <c:v>27.530261169551274</c:v>
                </c:pt>
                <c:pt idx="20">
                  <c:v>24.834236269042293</c:v>
                </c:pt>
                <c:pt idx="21">
                  <c:v>23.168006329090382</c:v>
                </c:pt>
                <c:pt idx="22">
                  <c:v>21.982599783093477</c:v>
                </c:pt>
                <c:pt idx="23">
                  <c:v>21.044391643261378</c:v>
                </c:pt>
                <c:pt idx="24">
                  <c:v>20.244787838827278</c:v>
                </c:pt>
                <c:pt idx="25">
                  <c:v>19.530616303331211</c:v>
                </c:pt>
                <c:pt idx="26">
                  <c:v>18.874643909758092</c:v>
                </c:pt>
                <c:pt idx="27">
                  <c:v>18.262219026160459</c:v>
                </c:pt>
                <c:pt idx="28">
                  <c:v>13.550849260049368</c:v>
                </c:pt>
                <c:pt idx="29">
                  <c:v>10.351766259083954</c:v>
                </c:pt>
                <c:pt idx="30">
                  <c:v>7.9674374448915515</c:v>
                </c:pt>
                <c:pt idx="31">
                  <c:v>6.0754469472601036</c:v>
                </c:pt>
                <c:pt idx="32">
                  <c:v>4.5083696342337944</c:v>
                </c:pt>
                <c:pt idx="33">
                  <c:v>3.1702037787419446</c:v>
                </c:pt>
                <c:pt idx="34">
                  <c:v>2.0013298600013214</c:v>
                </c:pt>
                <c:pt idx="35">
                  <c:v>0.96236156229705672</c:v>
                </c:pt>
                <c:pt idx="36">
                  <c:v>2.5990713755611353E-2</c:v>
                </c:pt>
                <c:pt idx="37">
                  <c:v>-6.3888553863477213</c:v>
                </c:pt>
                <c:pt idx="38">
                  <c:v>-10.520859725247188</c:v>
                </c:pt>
                <c:pt idx="39">
                  <c:v>-13.753940843860125</c:v>
                </c:pt>
                <c:pt idx="40">
                  <c:v>-16.484564122978643</c:v>
                </c:pt>
                <c:pt idx="41">
                  <c:v>-18.874090346193846</c:v>
                </c:pt>
                <c:pt idx="42">
                  <c:v>-21.005488446021459</c:v>
                </c:pt>
                <c:pt idx="43">
                  <c:v>-22.929766964827188</c:v>
                </c:pt>
                <c:pt idx="44">
                  <c:v>-24.682377278982422</c:v>
                </c:pt>
                <c:pt idx="45">
                  <c:v>-26.28987817423619</c:v>
                </c:pt>
                <c:pt idx="46">
                  <c:v>-37.530750656000855</c:v>
                </c:pt>
                <c:pt idx="47">
                  <c:v>-44.408539108303941</c:v>
                </c:pt>
                <c:pt idx="48">
                  <c:v>-49.346508007712188</c:v>
                </c:pt>
                <c:pt idx="49">
                  <c:v>-53.195052183763629</c:v>
                </c:pt>
                <c:pt idx="50">
                  <c:v>-56.347094992011876</c:v>
                </c:pt>
                <c:pt idx="51">
                  <c:v>-59.015771427423743</c:v>
                </c:pt>
                <c:pt idx="52">
                  <c:v>-61.329470869876388</c:v>
                </c:pt>
                <c:pt idx="53">
                  <c:v>-63.371468212857806</c:v>
                </c:pt>
                <c:pt idx="54">
                  <c:v>-65.19883020718288</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90.089060560849433</c:v>
                </c:pt>
                <c:pt idx="1">
                  <c:v>90.178119012006221</c:v>
                </c:pt>
                <c:pt idx="2">
                  <c:v>90.267173243975563</c:v>
                </c:pt>
                <c:pt idx="3">
                  <c:v>90.356221147658616</c:v>
                </c:pt>
                <c:pt idx="4">
                  <c:v>90.445260614550023</c:v>
                </c:pt>
                <c:pt idx="5">
                  <c:v>90.534289536935887</c:v>
                </c:pt>
                <c:pt idx="6">
                  <c:v>90.623305808091004</c:v>
                </c:pt>
                <c:pt idx="7">
                  <c:v>90.712307322476292</c:v>
                </c:pt>
                <c:pt idx="8">
                  <c:v>90.801291975935754</c:v>
                </c:pt>
                <c:pt idx="9">
                  <c:v>90.890257665893188</c:v>
                </c:pt>
                <c:pt idx="10">
                  <c:v>91.778410527420974</c:v>
                </c:pt>
                <c:pt idx="11">
                  <c:v>92.662373429408035</c:v>
                </c:pt>
                <c:pt idx="12">
                  <c:v>93.540100082056895</c:v>
                </c:pt>
                <c:pt idx="13">
                  <c:v>94.409601428677675</c:v>
                </c:pt>
                <c:pt idx="14">
                  <c:v>95.2689627834676</c:v>
                </c:pt>
                <c:pt idx="15">
                  <c:v>96.11635940606439</c:v>
                </c:pt>
                <c:pt idx="16">
                  <c:v>96.950070239087154</c:v>
                </c:pt>
                <c:pt idx="17">
                  <c:v>97.768489602085609</c:v>
                </c:pt>
                <c:pt idx="18">
                  <c:v>98.570136706446121</c:v>
                </c:pt>
                <c:pt idx="19">
                  <c:v>105.43585576787119</c:v>
                </c:pt>
                <c:pt idx="20">
                  <c:v>109.96302381302095</c:v>
                </c:pt>
                <c:pt idx="21">
                  <c:v>112.43609125538353</c:v>
                </c:pt>
                <c:pt idx="22">
                  <c:v>113.43529252803275</c:v>
                </c:pt>
                <c:pt idx="23">
                  <c:v>113.4839744106126</c:v>
                </c:pt>
                <c:pt idx="24">
                  <c:v>112.96103738024826</c:v>
                </c:pt>
                <c:pt idx="25">
                  <c:v>112.11673583033236</c:v>
                </c:pt>
                <c:pt idx="26">
                  <c:v>111.10887141617627</c:v>
                </c:pt>
                <c:pt idx="27">
                  <c:v>110.03402601331881</c:v>
                </c:pt>
                <c:pt idx="28">
                  <c:v>101.17198415158001</c:v>
                </c:pt>
                <c:pt idx="29">
                  <c:v>96.147689233169658</c:v>
                </c:pt>
                <c:pt idx="30">
                  <c:v>92.886710102528568</c:v>
                </c:pt>
                <c:pt idx="31">
                  <c:v>90.45240117512536</c:v>
                </c:pt>
                <c:pt idx="32">
                  <c:v>88.4612243622271</c:v>
                </c:pt>
                <c:pt idx="33">
                  <c:v>86.734055955582392</c:v>
                </c:pt>
                <c:pt idx="34">
                  <c:v>85.177394786591222</c:v>
                </c:pt>
                <c:pt idx="35">
                  <c:v>83.738107567486622</c:v>
                </c:pt>
                <c:pt idx="36">
                  <c:v>82.383970740938679</c:v>
                </c:pt>
                <c:pt idx="37">
                  <c:v>71.063880788422154</c:v>
                </c:pt>
                <c:pt idx="38">
                  <c:v>61.822191994154075</c:v>
                </c:pt>
                <c:pt idx="39">
                  <c:v>54.091576824604331</c:v>
                </c:pt>
                <c:pt idx="40">
                  <c:v>47.671983092748583</c:v>
                </c:pt>
                <c:pt idx="41">
                  <c:v>42.359336661740549</c:v>
                </c:pt>
                <c:pt idx="42">
                  <c:v>37.953230840614005</c:v>
                </c:pt>
                <c:pt idx="43">
                  <c:v>34.277332608425191</c:v>
                </c:pt>
                <c:pt idx="44">
                  <c:v>31.186338992331983</c:v>
                </c:pt>
                <c:pt idx="45">
                  <c:v>28.564485205698091</c:v>
                </c:pt>
                <c:pt idx="46">
                  <c:v>15.197401311309845</c:v>
                </c:pt>
                <c:pt idx="47">
                  <c:v>10.260997539530285</c:v>
                </c:pt>
                <c:pt idx="48">
                  <c:v>7.7307933570672809</c:v>
                </c:pt>
                <c:pt idx="49">
                  <c:v>6.1977693565026133</c:v>
                </c:pt>
                <c:pt idx="50">
                  <c:v>5.1707890361730566</c:v>
                </c:pt>
                <c:pt idx="51">
                  <c:v>4.4352066154369689</c:v>
                </c:pt>
                <c:pt idx="52">
                  <c:v>3.8825709834339888</c:v>
                </c:pt>
                <c:pt idx="53">
                  <c:v>3.4522514508737259</c:v>
                </c:pt>
                <c:pt idx="54">
                  <c:v>3.1077204719921241</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26.935255988140419</c:v>
                </c:pt>
                <c:pt idx="1">
                  <c:v>26.933775146927537</c:v>
                </c:pt>
                <c:pt idx="2">
                  <c:v>26.931308303511877</c:v>
                </c:pt>
                <c:pt idx="3">
                  <c:v>26.927857292734132</c:v>
                </c:pt>
                <c:pt idx="4">
                  <c:v>26.923424677250097</c:v>
                </c:pt>
                <c:pt idx="5">
                  <c:v>26.918013741445055</c:v>
                </c:pt>
                <c:pt idx="6">
                  <c:v>26.91162848366465</c:v>
                </c:pt>
                <c:pt idx="7">
                  <c:v>26.904273606793687</c:v>
                </c:pt>
                <c:pt idx="8">
                  <c:v>26.895954507235857</c:v>
                </c:pt>
                <c:pt idx="9">
                  <c:v>26.886677262343586</c:v>
                </c:pt>
                <c:pt idx="10">
                  <c:v>26.742998573995035</c:v>
                </c:pt>
                <c:pt idx="11">
                  <c:v>26.514550563434703</c:v>
                </c:pt>
                <c:pt idx="12">
                  <c:v>26.215466714549716</c:v>
                </c:pt>
                <c:pt idx="13">
                  <c:v>25.861732061930098</c:v>
                </c:pt>
                <c:pt idx="14">
                  <c:v>25.469047481713186</c:v>
                </c:pt>
                <c:pt idx="15">
                  <c:v>25.05140672256568</c:v>
                </c:pt>
                <c:pt idx="16">
                  <c:v>24.620417859918092</c:v>
                </c:pt>
                <c:pt idx="17">
                  <c:v>24.185187320709055</c:v>
                </c:pt>
                <c:pt idx="18">
                  <c:v>23.752536335643882</c:v>
                </c:pt>
                <c:pt idx="19">
                  <c:v>20.115913738996909</c:v>
                </c:pt>
                <c:pt idx="20">
                  <c:v>17.736572572885294</c:v>
                </c:pt>
                <c:pt idx="21">
                  <c:v>16.089111384377098</c:v>
                </c:pt>
                <c:pt idx="22">
                  <c:v>14.828404868340243</c:v>
                </c:pt>
                <c:pt idx="23">
                  <c:v>13.783292430872693</c:v>
                </c:pt>
                <c:pt idx="24">
                  <c:v>12.870211210595418</c:v>
                </c:pt>
                <c:pt idx="25">
                  <c:v>12.046940736114138</c:v>
                </c:pt>
                <c:pt idx="26">
                  <c:v>11.290780266582845</c:v>
                </c:pt>
                <c:pt idx="27">
                  <c:v>10.588466228879764</c:v>
                </c:pt>
                <c:pt idx="28">
                  <c:v>5.3788391031077651</c:v>
                </c:pt>
                <c:pt idx="29">
                  <c:v>1.9538268206626141</c:v>
                </c:pt>
                <c:pt idx="30">
                  <c:v>-0.61408870404201354</c:v>
                </c:pt>
                <c:pt idx="31">
                  <c:v>-2.6936720432119854</c:v>
                </c:pt>
                <c:pt idx="32">
                  <c:v>-4.4618501898381577</c:v>
                </c:pt>
                <c:pt idx="33">
                  <c:v>-6.0146309610556026</c:v>
                </c:pt>
                <c:pt idx="34">
                  <c:v>-7.4087812576572665</c:v>
                </c:pt>
                <c:pt idx="35">
                  <c:v>-8.6800893299886717</c:v>
                </c:pt>
                <c:pt idx="36">
                  <c:v>-9.8523245898345628</c:v>
                </c:pt>
                <c:pt idx="37">
                  <c:v>-18.355478268834513</c:v>
                </c:pt>
                <c:pt idx="38">
                  <c:v>-23.733761262686997</c:v>
                </c:pt>
                <c:pt idx="39">
                  <c:v>-27.569109957579126</c:v>
                </c:pt>
                <c:pt idx="40">
                  <c:v>-30.499490945130972</c:v>
                </c:pt>
                <c:pt idx="41">
                  <c:v>-32.837339335223497</c:v>
                </c:pt>
                <c:pt idx="42">
                  <c:v>-34.758851453271525</c:v>
                </c:pt>
                <c:pt idx="43">
                  <c:v>-36.374377814787309</c:v>
                </c:pt>
                <c:pt idx="44">
                  <c:v>-37.75792701528988</c:v>
                </c:pt>
                <c:pt idx="45">
                  <c:v>-38.961375201198457</c:v>
                </c:pt>
                <c:pt idx="46">
                  <c:v>-46.149571589352135</c:v>
                </c:pt>
                <c:pt idx="47">
                  <c:v>-49.945843369202478</c:v>
                </c:pt>
                <c:pt idx="48">
                  <c:v>-52.546553919269314</c:v>
                </c:pt>
                <c:pt idx="49">
                  <c:v>-54.533056406930598</c:v>
                </c:pt>
                <c:pt idx="50">
                  <c:v>-56.143227013832096</c:v>
                </c:pt>
                <c:pt idx="51">
                  <c:v>-57.498275447024554</c:v>
                </c:pt>
                <c:pt idx="52">
                  <c:v>-58.668615394345871</c:v>
                </c:pt>
                <c:pt idx="53">
                  <c:v>-59.6988851144447</c:v>
                </c:pt>
                <c:pt idx="54">
                  <c:v>-60.619208759453969</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-0.55773027897195782</c:v>
                </c:pt>
                <c:pt idx="1">
                  <c:v>-1.1153137262722639</c:v>
                </c:pt>
                <c:pt idx="2">
                  <c:v>-1.6726037224149557</c:v>
                </c:pt>
                <c:pt idx="3">
                  <c:v>-2.2294540715279734</c:v>
                </c:pt>
                <c:pt idx="4">
                  <c:v>-2.7857192112720806</c:v>
                </c:pt>
                <c:pt idx="5">
                  <c:v>-3.3412544205084456</c:v>
                </c:pt>
                <c:pt idx="6">
                  <c:v>-3.895916023986532</c:v>
                </c:pt>
                <c:pt idx="7">
                  <c:v>-4.4495615933461261</c:v>
                </c:pt>
                <c:pt idx="8">
                  <c:v>-5.0020501437484608</c:v>
                </c:pt>
                <c:pt idx="9">
                  <c:v>-5.5532423254830006</c:v>
                </c:pt>
                <c:pt idx="10">
                  <c:v>-10.964727861354882</c:v>
                </c:pt>
                <c:pt idx="11">
                  <c:v>-16.111637595439461</c:v>
                </c:pt>
                <c:pt idx="12">
                  <c:v>-20.903181613174322</c:v>
                </c:pt>
                <c:pt idx="13">
                  <c:v>-25.285099756558704</c:v>
                </c:pt>
                <c:pt idx="14">
                  <c:v>-29.236620848540781</c:v>
                </c:pt>
                <c:pt idx="15">
                  <c:v>-32.763077868359829</c:v>
                </c:pt>
                <c:pt idx="16">
                  <c:v>-35.887408715549974</c:v>
                </c:pt>
                <c:pt idx="17">
                  <c:v>-38.642636899978605</c:v>
                </c:pt>
                <c:pt idx="18">
                  <c:v>-41.066188332055916</c:v>
                </c:pt>
                <c:pt idx="19">
                  <c:v>-54.088679219779394</c:v>
                </c:pt>
                <c:pt idx="20">
                  <c:v>-58.956273776925862</c:v>
                </c:pt>
                <c:pt idx="21">
                  <c:v>-62.047634847795109</c:v>
                </c:pt>
                <c:pt idx="22">
                  <c:v>-64.775505027732009</c:v>
                </c:pt>
                <c:pt idx="23">
                  <c:v>-67.404306236065082</c:v>
                </c:pt>
                <c:pt idx="24">
                  <c:v>-69.944349582074608</c:v>
                </c:pt>
                <c:pt idx="25">
                  <c:v>-72.368355728543108</c:v>
                </c:pt>
                <c:pt idx="26">
                  <c:v>-74.657931193100524</c:v>
                </c:pt>
                <c:pt idx="27">
                  <c:v>-76.807988511997536</c:v>
                </c:pt>
                <c:pt idx="28">
                  <c:v>-92.58006381721826</c:v>
                </c:pt>
                <c:pt idx="29">
                  <c:v>-103.25678401711122</c:v>
                </c:pt>
                <c:pt idx="30">
                  <c:v>-112.05252869514379</c:v>
                </c:pt>
                <c:pt idx="31">
                  <c:v>-119.89539963745773</c:v>
                </c:pt>
                <c:pt idx="32">
                  <c:v>-127.11659587352624</c:v>
                </c:pt>
                <c:pt idx="33">
                  <c:v>-133.85830660299195</c:v>
                </c:pt>
                <c:pt idx="34">
                  <c:v>-140.1921882784824</c:v>
                </c:pt>
                <c:pt idx="35">
                  <c:v>-146.16075350838045</c:v>
                </c:pt>
                <c:pt idx="36">
                  <c:v>-151.79364145799315</c:v>
                </c:pt>
                <c:pt idx="37">
                  <c:v>166.13585721919961</c:v>
                </c:pt>
                <c:pt idx="38">
                  <c:v>141.03607935620937</c:v>
                </c:pt>
                <c:pt idx="39">
                  <c:v>125.37595295741775</c:v>
                </c:pt>
                <c:pt idx="40">
                  <c:v>115.27962722869091</c:v>
                </c:pt>
                <c:pt idx="41">
                  <c:v>108.58390170698429</c:v>
                </c:pt>
                <c:pt idx="42">
                  <c:v>104.02488536872163</c:v>
                </c:pt>
                <c:pt idx="43">
                  <c:v>100.84247480903808</c:v>
                </c:pt>
                <c:pt idx="44">
                  <c:v>98.568368714637813</c:v>
                </c:pt>
                <c:pt idx="45">
                  <c:v>96.907412354320314</c:v>
                </c:pt>
                <c:pt idx="46">
                  <c:v>91.685142661325187</c:v>
                </c:pt>
                <c:pt idx="47">
                  <c:v>90.826701411765242</c:v>
                </c:pt>
                <c:pt idx="48">
                  <c:v>90.536071361896475</c:v>
                </c:pt>
                <c:pt idx="49">
                  <c:v>90.39684030690205</c:v>
                </c:pt>
                <c:pt idx="50">
                  <c:v>90.315994049963805</c:v>
                </c:pt>
                <c:pt idx="51">
                  <c:v>90.263188155144817</c:v>
                </c:pt>
                <c:pt idx="52">
                  <c:v>90.225914714835426</c:v>
                </c:pt>
                <c:pt idx="53">
                  <c:v>90.198137745810698</c:v>
                </c:pt>
                <c:pt idx="54">
                  <c:v>90.176597546573433</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24.996918614070719</c:v>
                </c:pt>
                <c:pt idx="1">
                  <c:v>24.995026664663811</c:v>
                </c:pt>
                <c:pt idx="2">
                  <c:v>24.991875418410881</c:v>
                </c:pt>
                <c:pt idx="3">
                  <c:v>24.98746787304998</c:v>
                </c:pt>
                <c:pt idx="4">
                  <c:v>24.981808212657334</c:v>
                </c:pt>
                <c:pt idx="5">
                  <c:v>24.974901794987453</c:v>
                </c:pt>
                <c:pt idx="6">
                  <c:v>24.96675513533361</c:v>
                </c:pt>
                <c:pt idx="7">
                  <c:v>24.957375887011608</c:v>
                </c:pt>
                <c:pt idx="8">
                  <c:v>24.946772818586254</c:v>
                </c:pt>
                <c:pt idx="9">
                  <c:v>24.934955787982858</c:v>
                </c:pt>
                <c:pt idx="10">
                  <c:v>24.752899768537986</c:v>
                </c:pt>
                <c:pt idx="11">
                  <c:v>24.466981427367887</c:v>
                </c:pt>
                <c:pt idx="12">
                  <c:v>24.098786585426662</c:v>
                </c:pt>
                <c:pt idx="13">
                  <c:v>23.671502512180055</c:v>
                </c:pt>
                <c:pt idx="14">
                  <c:v>23.206550944685684</c:v>
                </c:pt>
                <c:pt idx="15">
                  <c:v>22.721778429557581</c:v>
                </c:pt>
                <c:pt idx="16">
                  <c:v>22.230965191974555</c:v>
                </c:pt>
                <c:pt idx="17">
                  <c:v>21.744133434958982</c:v>
                </c:pt>
                <c:pt idx="18">
                  <c:v>21.268198549791816</c:v>
                </c:pt>
                <c:pt idx="19">
                  <c:v>17.530465188676899</c:v>
                </c:pt>
                <c:pt idx="20">
                  <c:v>15.350534668639707</c:v>
                </c:pt>
                <c:pt idx="21">
                  <c:v>14.025144678788745</c:v>
                </c:pt>
                <c:pt idx="22">
                  <c:v>13.147569512418437</c:v>
                </c:pt>
                <c:pt idx="23">
                  <c:v>12.514358064283833</c:v>
                </c:pt>
                <c:pt idx="24">
                  <c:v>12.022468275804263</c:v>
                </c:pt>
                <c:pt idx="25">
                  <c:v>11.618074114323992</c:v>
                </c:pt>
                <c:pt idx="26">
                  <c:v>11.272045342130868</c:v>
                </c:pt>
                <c:pt idx="27">
                  <c:v>10.967989500724098</c:v>
                </c:pt>
                <c:pt idx="28">
                  <c:v>9.110307390520596</c:v>
                </c:pt>
                <c:pt idx="29">
                  <c:v>8.2832798565415864</c:v>
                </c:pt>
                <c:pt idx="30">
                  <c:v>7.8413612379538877</c:v>
                </c:pt>
                <c:pt idx="31">
                  <c:v>7.5499818515523796</c:v>
                </c:pt>
                <c:pt idx="32">
                  <c:v>7.3191894923030016</c:v>
                </c:pt>
                <c:pt idx="33">
                  <c:v>7.1112337611245078</c:v>
                </c:pt>
                <c:pt idx="34">
                  <c:v>6.9088855084959757</c:v>
                </c:pt>
                <c:pt idx="35">
                  <c:v>6.7038434049819093</c:v>
                </c:pt>
                <c:pt idx="36">
                  <c:v>6.4920570812112892</c:v>
                </c:pt>
                <c:pt idx="37">
                  <c:v>3.9167729050203755</c:v>
                </c:pt>
                <c:pt idx="38">
                  <c:v>0.92483736059095745</c:v>
                </c:pt>
                <c:pt idx="39">
                  <c:v>-2.0152003223901134</c:v>
                </c:pt>
                <c:pt idx="40">
                  <c:v>-4.7310863033973956</c:v>
                </c:pt>
                <c:pt idx="41">
                  <c:v>-7.1903513617875037</c:v>
                </c:pt>
                <c:pt idx="42">
                  <c:v>-9.4089207757150035</c:v>
                </c:pt>
                <c:pt idx="43">
                  <c:v>-11.415599535374731</c:v>
                </c:pt>
                <c:pt idx="44">
                  <c:v>-13.239698221243291</c:v>
                </c:pt>
                <c:pt idx="45">
                  <c:v>-14.907260156448585</c:v>
                </c:pt>
                <c:pt idx="46">
                  <c:v>-26.404117894034087</c:v>
                </c:pt>
                <c:pt idx="47">
                  <c:v>-33.342636944263575</c:v>
                </c:pt>
                <c:pt idx="48">
                  <c:v>-38.303049810768492</c:v>
                </c:pt>
                <c:pt idx="49">
                  <c:v>-42.162200695234603</c:v>
                </c:pt>
                <c:pt idx="50">
                  <c:v>-45.320064169066654</c:v>
                </c:pt>
                <c:pt idx="51">
                  <c:v>-47.992270543615057</c:v>
                </c:pt>
                <c:pt idx="52">
                  <c:v>-50.308269254126614</c:v>
                </c:pt>
                <c:pt idx="53">
                  <c:v>-52.35184671118158</c:v>
                </c:pt>
                <c:pt idx="54">
                  <c:v>-54.180340824328056</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-0.57515272831881947</c:v>
                </c:pt>
                <c:pt idx="1">
                  <c:v>-1.1500927549746767</c:v>
                </c:pt>
                <c:pt idx="2">
                  <c:v>-1.7246077700419173</c:v>
                </c:pt>
                <c:pt idx="3">
                  <c:v>-2.2984862452843942</c:v>
                </c:pt>
                <c:pt idx="4">
                  <c:v>-2.8715178205526177</c:v>
                </c:pt>
                <c:pt idx="5">
                  <c:v>-3.4434936848860387</c:v>
                </c:pt>
                <c:pt idx="6">
                  <c:v>-4.0142069506250735</c:v>
                </c:pt>
                <c:pt idx="7">
                  <c:v>-4.5834530188969103</c:v>
                </c:pt>
                <c:pt idx="8">
                  <c:v>-5.1510299349089541</c:v>
                </c:pt>
                <c:pt idx="9">
                  <c:v>-5.7167387315711506</c:v>
                </c:pt>
                <c:pt idx="10">
                  <c:v>-11.230058673289028</c:v>
                </c:pt>
                <c:pt idx="11">
                  <c:v>-16.370465769255571</c:v>
                </c:pt>
                <c:pt idx="12">
                  <c:v>-21.023422660682975</c:v>
                </c:pt>
                <c:pt idx="13">
                  <c:v>-25.132870633464123</c:v>
                </c:pt>
                <c:pt idx="14">
                  <c:v>-28.691535543313524</c:v>
                </c:pt>
                <c:pt idx="15">
                  <c:v>-31.725771184265898</c:v>
                </c:pt>
                <c:pt idx="16">
                  <c:v>-34.281048535146844</c:v>
                </c:pt>
                <c:pt idx="17">
                  <c:v>-36.41093270477392</c:v>
                </c:pt>
                <c:pt idx="18">
                  <c:v>-38.169931397399189</c:v>
                </c:pt>
                <c:pt idx="19">
                  <c:v>-44.150643632169128</c:v>
                </c:pt>
                <c:pt idx="20">
                  <c:v>-42.6401551121807</c:v>
                </c:pt>
                <c:pt idx="21">
                  <c:v>-40.158990158805608</c:v>
                </c:pt>
                <c:pt idx="22">
                  <c:v>-38.017502494198077</c:v>
                </c:pt>
                <c:pt idx="23">
                  <c:v>-36.38127750469809</c:v>
                </c:pt>
                <c:pt idx="24">
                  <c:v>-35.165058353739582</c:v>
                </c:pt>
                <c:pt idx="25">
                  <c:v>-34.253272301900608</c:v>
                </c:pt>
                <c:pt idx="26">
                  <c:v>-33.55094398022198</c:v>
                </c:pt>
                <c:pt idx="27">
                  <c:v>-32.989817891545059</c:v>
                </c:pt>
                <c:pt idx="28">
                  <c:v>-29.998628610977764</c:v>
                </c:pt>
                <c:pt idx="29">
                  <c:v>-29.087365926984734</c:v>
                </c:pt>
                <c:pt idx="30">
                  <c:v>-29.684970979515068</c:v>
                </c:pt>
                <c:pt idx="31">
                  <c:v>-31.266917416554719</c:v>
                </c:pt>
                <c:pt idx="32">
                  <c:v>-33.451530946633099</c:v>
                </c:pt>
                <c:pt idx="33">
                  <c:v>-36.002907343474966</c:v>
                </c:pt>
                <c:pt idx="34">
                  <c:v>-38.775750037107152</c:v>
                </c:pt>
                <c:pt idx="35">
                  <c:v>-41.67755765547701</c:v>
                </c:pt>
                <c:pt idx="36">
                  <c:v>-44.647144594994103</c:v>
                </c:pt>
                <c:pt idx="37">
                  <c:v>-72.803543978137895</c:v>
                </c:pt>
                <c:pt idx="38">
                  <c:v>-94.233987301062811</c:v>
                </c:pt>
                <c:pt idx="39">
                  <c:v>-109.64227709178444</c:v>
                </c:pt>
                <c:pt idx="40">
                  <c:v>-120.84265821468209</c:v>
                </c:pt>
                <c:pt idx="41">
                  <c:v>-129.19686198377363</c:v>
                </c:pt>
                <c:pt idx="42">
                  <c:v>-135.60110029474924</c:v>
                </c:pt>
                <c:pt idx="43">
                  <c:v>-140.63559734924397</c:v>
                </c:pt>
                <c:pt idx="44">
                  <c:v>-144.68161798887601</c:v>
                </c:pt>
                <c:pt idx="45">
                  <c:v>-147.99581410743696</c:v>
                </c:pt>
                <c:pt idx="46">
                  <c:v>-163.62963171820431</c:v>
                </c:pt>
                <c:pt idx="47">
                  <c:v>-169.03849259263623</c:v>
                </c:pt>
                <c:pt idx="48">
                  <c:v>-171.76614185941435</c:v>
                </c:pt>
                <c:pt idx="49">
                  <c:v>-173.40817975237681</c:v>
                </c:pt>
                <c:pt idx="50">
                  <c:v>-174.50466896886326</c:v>
                </c:pt>
                <c:pt idx="51">
                  <c:v>-175.28860501070125</c:v>
                </c:pt>
                <c:pt idx="52">
                  <c:v>-175.87689781677483</c:v>
                </c:pt>
                <c:pt idx="53">
                  <c:v>-176.33463519777797</c:v>
                </c:pt>
                <c:pt idx="54">
                  <c:v>-176.70092368729016</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69.976317646729711</c:v>
                </c:pt>
                <c:pt idx="1">
                  <c:v>63.953847308701093</c:v>
                </c:pt>
                <c:pt idx="2">
                  <c:v>60.428906755527116</c:v>
                </c:pt>
                <c:pt idx="3">
                  <c:v>57.925774701371765</c:v>
                </c:pt>
                <c:pt idx="4">
                  <c:v>55.981979352870226</c:v>
                </c:pt>
                <c:pt idx="5">
                  <c:v>54.391526934340497</c:v>
                </c:pt>
                <c:pt idx="6">
                  <c:v>53.044537749424634</c:v>
                </c:pt>
                <c:pt idx="7">
                  <c:v>51.87542717523182</c:v>
                </c:pt>
                <c:pt idx="8">
                  <c:v>50.841895616807307</c:v>
                </c:pt>
                <c:pt idx="9">
                  <c:v>49.915065077994967</c:v>
                </c:pt>
                <c:pt idx="10">
                  <c:v>43.714560730782644</c:v>
                </c:pt>
                <c:pt idx="11">
                  <c:v>39.910400815779681</c:v>
                </c:pt>
                <c:pt idx="12">
                  <c:v>37.048443326064969</c:v>
                </c:pt>
                <c:pt idx="13">
                  <c:v>34.689394607987872</c:v>
                </c:pt>
                <c:pt idx="14">
                  <c:v>32.64867093433034</c:v>
                </c:pt>
                <c:pt idx="15">
                  <c:v>30.834224944703298</c:v>
                </c:pt>
                <c:pt idx="16">
                  <c:v>29.194235553163622</c:v>
                </c:pt>
                <c:pt idx="17">
                  <c:v>27.696406253816484</c:v>
                </c:pt>
                <c:pt idx="18">
                  <c:v>26.318752960997962</c:v>
                </c:pt>
                <c:pt idx="19">
                  <c:v>16.76716332965665</c:v>
                </c:pt>
                <c:pt idx="20">
                  <c:v>11.389494416808688</c:v>
                </c:pt>
                <c:pt idx="21">
                  <c:v>7.9818771597269658</c:v>
                </c:pt>
                <c:pt idx="22">
                  <c:v>5.6488812804304933</c:v>
                </c:pt>
                <c:pt idx="23">
                  <c:v>3.957345798845902</c:v>
                </c:pt>
                <c:pt idx="24">
                  <c:v>2.6750360152308659</c:v>
                </c:pt>
                <c:pt idx="25">
                  <c:v>1.6679630280259201</c:v>
                </c:pt>
                <c:pt idx="26">
                  <c:v>0.85432278251283833</c:v>
                </c:pt>
                <c:pt idx="27">
                  <c:v>0.18183119438147222</c:v>
                </c:pt>
                <c:pt idx="28">
                  <c:v>-3.1259425859432093</c:v>
                </c:pt>
                <c:pt idx="29">
                  <c:v>-4.2935725035061916</c:v>
                </c:pt>
                <c:pt idx="30">
                  <c:v>-4.8727860216252452</c:v>
                </c:pt>
                <c:pt idx="31">
                  <c:v>-5.2418938347907504</c:v>
                </c:pt>
                <c:pt idx="32">
                  <c:v>-5.5289370057578786</c:v>
                </c:pt>
                <c:pt idx="33">
                  <c:v>-5.7850820822929521</c:v>
                </c:pt>
                <c:pt idx="34">
                  <c:v>-6.0332019003258406</c:v>
                </c:pt>
                <c:pt idx="35">
                  <c:v>-6.2842649931658165</c:v>
                </c:pt>
                <c:pt idx="36">
                  <c:v>-6.5436794071275273</c:v>
                </c:pt>
                <c:pt idx="37">
                  <c:v>-9.7462572642996488</c:v>
                </c:pt>
                <c:pt idx="38">
                  <c:v>-13.596950120729051</c:v>
                </c:pt>
                <c:pt idx="39">
                  <c:v>-17.508109282150034</c:v>
                </c:pt>
                <c:pt idx="40">
                  <c:v>-21.219041770779338</c:v>
                </c:pt>
                <c:pt idx="41">
                  <c:v>-24.648201758973151</c:v>
                </c:pt>
                <c:pt idx="42">
                  <c:v>-27.788789231695436</c:v>
                </c:pt>
                <c:pt idx="43">
                  <c:v>-30.661562378912425</c:v>
                </c:pt>
                <c:pt idx="44">
                  <c:v>-33.295179702469618</c:v>
                </c:pt>
                <c:pt idx="45">
                  <c:v>-35.718439228391901</c:v>
                </c:pt>
                <c:pt idx="46">
                  <c:v>-52.682791435669827</c:v>
                </c:pt>
                <c:pt idx="47">
                  <c:v>-63.032497122068762</c:v>
                </c:pt>
                <c:pt idx="48">
                  <c:v>-70.452285141118324</c:v>
                </c:pt>
                <c:pt idx="49">
                  <c:v>-76.231278111793571</c:v>
                </c:pt>
                <c:pt idx="50">
                  <c:v>-80.962761521712935</c:v>
                </c:pt>
                <c:pt idx="51">
                  <c:v>-84.96785983369054</c:v>
                </c:pt>
                <c:pt idx="52">
                  <c:v>-88.439770280531064</c:v>
                </c:pt>
                <c:pt idx="53">
                  <c:v>-91.503703654160859</c:v>
                </c:pt>
                <c:pt idx="54">
                  <c:v>-94.24541916859792</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5.9564720506177027</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777.88339732109148</c:v>
                </c:pt>
              </c:numCache>
            </c:numRef>
          </c:xVal>
          <c:yVal>
            <c:numRef>
              <c:f>Compensation!$Y$135</c:f>
              <c:numCache>
                <c:formatCode>General</c:formatCode>
                <c:ptCount val="1"/>
                <c:pt idx="0">
                  <c:v>1.8717374001905427</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Compensation!$Y$136</c:f>
              <c:numCache>
                <c:formatCode>General</c:formatCode>
                <c:ptCount val="1"/>
                <c:pt idx="0">
                  <c:v>-18.566809137939927</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89.497187945392241</c:v>
                </c:pt>
                <c:pt idx="1">
                  <c:v>88.994588349000381</c:v>
                </c:pt>
                <c:pt idx="2">
                  <c:v>88.492413277307904</c:v>
                </c:pt>
                <c:pt idx="3">
                  <c:v>87.990874015118379</c:v>
                </c:pt>
                <c:pt idx="4">
                  <c:v>87.490180679163245</c:v>
                </c:pt>
                <c:pt idx="5">
                  <c:v>86.990541837004258</c:v>
                </c:pt>
                <c:pt idx="6">
                  <c:v>86.492164132926391</c:v>
                </c:pt>
                <c:pt idx="7">
                  <c:v>85.995251922456802</c:v>
                </c:pt>
                <c:pt idx="8">
                  <c:v>85.500006917076178</c:v>
                </c:pt>
                <c:pt idx="9">
                  <c:v>85.006627840601297</c:v>
                </c:pt>
                <c:pt idx="10">
                  <c:v>80.216431143449284</c:v>
                </c:pt>
                <c:pt idx="11">
                  <c:v>75.798661118832129</c:v>
                </c:pt>
                <c:pt idx="12">
                  <c:v>71.867613241536617</c:v>
                </c:pt>
                <c:pt idx="13">
                  <c:v>68.479105778143193</c:v>
                </c:pt>
                <c:pt idx="14">
                  <c:v>65.640174329684697</c:v>
                </c:pt>
                <c:pt idx="15">
                  <c:v>63.324228921627963</c:v>
                </c:pt>
                <c:pt idx="16">
                  <c:v>61.485565204394454</c:v>
                </c:pt>
                <c:pt idx="17">
                  <c:v>60.070387941595079</c:v>
                </c:pt>
                <c:pt idx="18">
                  <c:v>59.023962962524493</c:v>
                </c:pt>
                <c:pt idx="19">
                  <c:v>60.005197809341922</c:v>
                </c:pt>
                <c:pt idx="20">
                  <c:v>68.054992812496749</c:v>
                </c:pt>
                <c:pt idx="21">
                  <c:v>76.527857772011686</c:v>
                </c:pt>
                <c:pt idx="22">
                  <c:v>84.056570962940654</c:v>
                </c:pt>
                <c:pt idx="23">
                  <c:v>90.473459061892228</c:v>
                </c:pt>
                <c:pt idx="24">
                  <c:v>95.897664876500343</c:v>
                </c:pt>
                <c:pt idx="25">
                  <c:v>100.49765836710854</c:v>
                </c:pt>
                <c:pt idx="26">
                  <c:v>104.42812316063282</c:v>
                </c:pt>
                <c:pt idx="27">
                  <c:v>107.81637332286884</c:v>
                </c:pt>
                <c:pt idx="28">
                  <c:v>126.11951222526443</c:v>
                </c:pt>
                <c:pt idx="29">
                  <c:v>132.43665221039444</c:v>
                </c:pt>
                <c:pt idx="30">
                  <c:v>134.0635999728581</c:v>
                </c:pt>
                <c:pt idx="31">
                  <c:v>133.3423120141355</c:v>
                </c:pt>
                <c:pt idx="32">
                  <c:v>131.31906461770603</c:v>
                </c:pt>
                <c:pt idx="33">
                  <c:v>128.5270892674144</c:v>
                </c:pt>
                <c:pt idx="34">
                  <c:v>125.26420052163546</c:v>
                </c:pt>
                <c:pt idx="35">
                  <c:v>121.70923226785214</c:v>
                </c:pt>
                <c:pt idx="36">
                  <c:v>117.97601426016958</c:v>
                </c:pt>
                <c:pt idx="37">
                  <c:v>80.308242471821075</c:v>
                </c:pt>
                <c:pt idx="38">
                  <c:v>49.72621306643525</c:v>
                </c:pt>
                <c:pt idx="39">
                  <c:v>26.684151632463493</c:v>
                </c:pt>
                <c:pt idx="40">
                  <c:v>9.3293627905618113</c:v>
                </c:pt>
                <c:pt idx="41">
                  <c:v>-3.9590752733906527</c:v>
                </c:pt>
                <c:pt idx="42">
                  <c:v>-14.343498602941473</c:v>
                </c:pt>
                <c:pt idx="43">
                  <c:v>-22.623593517197722</c:v>
                </c:pt>
                <c:pt idx="44">
                  <c:v>-29.349081146800078</c:v>
                </c:pt>
                <c:pt idx="45">
                  <c:v>-34.902850102601477</c:v>
                </c:pt>
                <c:pt idx="46">
                  <c:v>-61.564943989884952</c:v>
                </c:pt>
                <c:pt idx="47">
                  <c:v>-70.925171947666556</c:v>
                </c:pt>
                <c:pt idx="48">
                  <c:v>-75.662337977979107</c:v>
                </c:pt>
                <c:pt idx="49">
                  <c:v>-78.518114424884644</c:v>
                </c:pt>
                <c:pt idx="50">
                  <c:v>-80.426423253395981</c:v>
                </c:pt>
                <c:pt idx="51">
                  <c:v>-81.791312814926087</c:v>
                </c:pt>
                <c:pt idx="52">
                  <c:v>-82.815827091325346</c:v>
                </c:pt>
                <c:pt idx="53">
                  <c:v>-83.613110030082439</c:v>
                </c:pt>
                <c:pt idx="54">
                  <c:v>-84.251181658171646</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83.384832387528448</c:v>
                </c:pt>
                <c:pt idx="1">
                  <c:v>77.36277991250256</c:v>
                </c:pt>
                <c:pt idx="2">
                  <c:v>73.838535020008123</c:v>
                </c:pt>
                <c:pt idx="3">
                  <c:v>71.336375261053078</c:v>
                </c:pt>
                <c:pt idx="4">
                  <c:v>69.393827220490579</c:v>
                </c:pt>
                <c:pt idx="5">
                  <c:v>67.8048950488038</c:v>
                </c:pt>
                <c:pt idx="6">
                  <c:v>66.459696532118841</c:v>
                </c:pt>
                <c:pt idx="7">
                  <c:v>65.292644096442018</c:v>
                </c:pt>
                <c:pt idx="8">
                  <c:v>64.261434773882172</c:v>
                </c:pt>
                <c:pt idx="9">
                  <c:v>63.337186786832149</c:v>
                </c:pt>
                <c:pt idx="10">
                  <c:v>57.175734612276173</c:v>
                </c:pt>
                <c:pt idx="11">
                  <c:v>53.430168044983695</c:v>
                </c:pt>
                <c:pt idx="12">
                  <c:v>50.638890173100961</c:v>
                </c:pt>
                <c:pt idx="13">
                  <c:v>48.355401533742189</c:v>
                </c:pt>
                <c:pt idx="14">
                  <c:v>46.38939297830062</c:v>
                </c:pt>
                <c:pt idx="15">
                  <c:v>44.644958827696762</c:v>
                </c:pt>
                <c:pt idx="16">
                  <c:v>43.068099396231176</c:v>
                </c:pt>
                <c:pt idx="17">
                  <c:v>41.625595058512772</c:v>
                </c:pt>
                <c:pt idx="18">
                  <c:v>40.295359371829164</c:v>
                </c:pt>
                <c:pt idx="19">
                  <c:v>30.906450502116645</c:v>
                </c:pt>
                <c:pt idx="20">
                  <c:v>25.418600374237528</c:v>
                </c:pt>
                <c:pt idx="21">
                  <c:v>21.791909548416314</c:v>
                </c:pt>
                <c:pt idx="22">
                  <c:v>19.180844430152728</c:v>
                </c:pt>
                <c:pt idx="23">
                  <c:v>17.17678997528273</c:v>
                </c:pt>
                <c:pt idx="24">
                  <c:v>15.562965813532157</c:v>
                </c:pt>
                <c:pt idx="25">
                  <c:v>14.215612882401619</c:v>
                </c:pt>
                <c:pt idx="26">
                  <c:v>13.059545088559803</c:v>
                </c:pt>
                <c:pt idx="27">
                  <c:v>12.046566604542901</c:v>
                </c:pt>
                <c:pt idx="28">
                  <c:v>5.6528794650724299</c:v>
                </c:pt>
                <c:pt idx="29">
                  <c:v>1.9509987151747932</c:v>
                </c:pt>
                <c:pt idx="30">
                  <c:v>-0.73872364873846907</c:v>
                </c:pt>
                <c:pt idx="31">
                  <c:v>-2.898409922480397</c:v>
                </c:pt>
                <c:pt idx="32">
                  <c:v>-4.7344238157336713</c:v>
                </c:pt>
                <c:pt idx="33">
                  <c:v>-6.3529443326398045</c:v>
                </c:pt>
                <c:pt idx="34">
                  <c:v>-7.8148762855595439</c:v>
                </c:pt>
                <c:pt idx="35">
                  <c:v>-9.1578353312439962</c:v>
                </c:pt>
                <c:pt idx="36">
                  <c:v>-10.406397465627911</c:v>
                </c:pt>
                <c:pt idx="37">
                  <c:v>-19.922668203709371</c:v>
                </c:pt>
                <c:pt idx="38">
                  <c:v>-26.581980901509752</c:v>
                </c:pt>
                <c:pt idx="39">
                  <c:v>-31.74395922259729</c:v>
                </c:pt>
                <c:pt idx="40">
                  <c:v>-35.940050464382786</c:v>
                </c:pt>
                <c:pt idx="41">
                  <c:v>-39.447207135775805</c:v>
                </c:pt>
                <c:pt idx="42">
                  <c:v>-42.437261582052585</c:v>
                </c:pt>
                <c:pt idx="43">
                  <c:v>-45.027659005818698</c:v>
                </c:pt>
                <c:pt idx="44">
                  <c:v>-47.302729436412378</c:v>
                </c:pt>
                <c:pt idx="45">
                  <c:v>-49.324737526801044</c:v>
                </c:pt>
                <c:pt idx="46">
                  <c:v>-62.209427814620668</c:v>
                </c:pt>
                <c:pt idx="47">
                  <c:v>-69.464754808366735</c:v>
                </c:pt>
                <c:pt idx="48">
                  <c:v>-74.542054306025506</c:v>
                </c:pt>
                <c:pt idx="49">
                  <c:v>-78.456449675625677</c:v>
                </c:pt>
                <c:pt idx="50">
                  <c:v>-81.644635854336968</c:v>
                </c:pt>
                <c:pt idx="51">
                  <c:v>-84.335234311835237</c:v>
                </c:pt>
                <c:pt idx="52">
                  <c:v>-86.663214290240461</c:v>
                </c:pt>
                <c:pt idx="53">
                  <c:v>-88.715026250748465</c:v>
                </c:pt>
                <c:pt idx="54">
                  <c:v>-90.549420572589952</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33.455611475162044</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678.61230158996841</c:v>
                </c:pt>
              </c:numCache>
            </c:numRef>
          </c:xVal>
          <c:yVal>
            <c:numRef>
              <c:f>Compensation!$Y$225</c:f>
              <c:numCache>
                <c:formatCode>General</c:formatCode>
                <c:ptCount val="1"/>
                <c:pt idx="0">
                  <c:v>15.882453578293756</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31894.778174728515</c:v>
                </c:pt>
              </c:numCache>
            </c:numRef>
          </c:xVal>
          <c:yVal>
            <c:numRef>
              <c:f>Compensation!$Y$226</c:f>
              <c:numCache>
                <c:formatCode>General</c:formatCode>
                <c:ptCount val="1"/>
                <c:pt idx="0">
                  <c:v>-27.653182692493026</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-25.298847338417914</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89.524941484915317</c:v>
                </c:pt>
                <c:pt idx="1">
                  <c:v>89.050029434827792</c:v>
                </c:pt>
                <c:pt idx="2">
                  <c:v>88.575410102558465</c:v>
                </c:pt>
                <c:pt idx="3">
                  <c:v>88.101229317333605</c:v>
                </c:pt>
                <c:pt idx="4">
                  <c:v>87.627632274875253</c:v>
                </c:pt>
                <c:pt idx="5">
                  <c:v>87.154763329743304</c:v>
                </c:pt>
                <c:pt idx="6">
                  <c:v>86.682765790657129</c:v>
                </c:pt>
                <c:pt idx="7">
                  <c:v>86.211781719503065</c:v>
                </c:pt>
                <c:pt idx="8">
                  <c:v>85.741951734712828</c:v>
                </c:pt>
                <c:pt idx="9">
                  <c:v>85.273414819666314</c:v>
                </c:pt>
                <c:pt idx="10">
                  <c:v>80.688219990789165</c:v>
                </c:pt>
                <c:pt idx="11">
                  <c:v>76.366869040806819</c:v>
                </c:pt>
                <c:pt idx="12">
                  <c:v>72.399788300184682</c:v>
                </c:pt>
                <c:pt idx="13">
                  <c:v>68.840877178379657</c:v>
                </c:pt>
                <c:pt idx="14">
                  <c:v>65.710549856084469</c:v>
                </c:pt>
                <c:pt idx="15">
                  <c:v>63.003121002486544</c:v>
                </c:pt>
                <c:pt idx="16">
                  <c:v>60.695305874368017</c:v>
                </c:pt>
                <c:pt idx="17">
                  <c:v>58.753740454556784</c:v>
                </c:pt>
                <c:pt idx="18">
                  <c:v>57.140665450873115</c:v>
                </c:pt>
                <c:pt idx="19">
                  <c:v>51.980781870014873</c:v>
                </c:pt>
                <c:pt idx="20">
                  <c:v>54.365246306991821</c:v>
                </c:pt>
                <c:pt idx="21">
                  <c:v>57.765531508139482</c:v>
                </c:pt>
                <c:pt idx="22">
                  <c:v>60.72778029266982</c:v>
                </c:pt>
                <c:pt idx="23">
                  <c:v>63.02216807240719</c:v>
                </c:pt>
                <c:pt idx="24">
                  <c:v>64.713368970507048</c:v>
                </c:pt>
                <c:pt idx="25">
                  <c:v>65.917958969479585</c:v>
                </c:pt>
                <c:pt idx="26">
                  <c:v>66.742601240885691</c:v>
                </c:pt>
                <c:pt idx="27">
                  <c:v>67.272290759009152</c:v>
                </c:pt>
                <c:pt idx="28">
                  <c:v>65.164006538046905</c:v>
                </c:pt>
                <c:pt idx="29">
                  <c:v>58.735103665649817</c:v>
                </c:pt>
                <c:pt idx="30">
                  <c:v>51.317896038127884</c:v>
                </c:pt>
                <c:pt idx="31">
                  <c:v>43.64874332663824</c:v>
                </c:pt>
                <c:pt idx="32">
                  <c:v>35.993695345715011</c:v>
                </c:pt>
                <c:pt idx="33">
                  <c:v>28.476112310065162</c:v>
                </c:pt>
                <c:pt idx="34">
                  <c:v>21.16053029592323</c:v>
                </c:pt>
                <c:pt idx="35">
                  <c:v>14.081795400991238</c:v>
                </c:pt>
                <c:pt idx="36">
                  <c:v>7.2577119632469707</c:v>
                </c:pt>
                <c:pt idx="37">
                  <c:v>-47.357324385810365</c:v>
                </c:pt>
                <c:pt idx="38">
                  <c:v>-82.904737116173507</c:v>
                </c:pt>
                <c:pt idx="39">
                  <c:v>-106.43887045020388</c:v>
                </c:pt>
                <c:pt idx="40">
                  <c:v>-122.41500876870936</c:v>
                </c:pt>
                <c:pt idx="41">
                  <c:v>-133.56701203247772</c:v>
                </c:pt>
                <c:pt idx="42">
                  <c:v>-141.57638168175887</c:v>
                </c:pt>
                <c:pt idx="43">
                  <c:v>-147.48898375486445</c:v>
                </c:pt>
                <c:pt idx="44">
                  <c:v>-151.96710543457152</c:v>
                </c:pt>
                <c:pt idx="45">
                  <c:v>-155.43921202187738</c:v>
                </c:pt>
                <c:pt idx="46">
                  <c:v>-169.25889572449702</c:v>
                </c:pt>
                <c:pt idx="47">
                  <c:v>-173.10612001016017</c:v>
                </c:pt>
                <c:pt idx="48">
                  <c:v>-174.90561085758264</c:v>
                </c:pt>
                <c:pt idx="49">
                  <c:v>-175.95355444678813</c:v>
                </c:pt>
                <c:pt idx="50">
                  <c:v>-176.64132944820537</c:v>
                </c:pt>
                <c:pt idx="51">
                  <c:v>-177.12811062335962</c:v>
                </c:pt>
                <c:pt idx="52">
                  <c:v>-177.49107797029245</c:v>
                </c:pt>
                <c:pt idx="53">
                  <c:v>-177.77228233930384</c:v>
                </c:pt>
                <c:pt idx="54">
                  <c:v>-177.99662592007198</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5256</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159046</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82848</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120397</xdr:colOff>
      <xdr:row>103</xdr:row>
      <xdr:rowOff>105389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239358</xdr:colOff>
      <xdr:row>116</xdr:row>
      <xdr:rowOff>123825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66296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276239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10306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121812</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topLeftCell="A103" zoomScaleNormal="100" workbookViewId="0">
      <selection activeCell="A107" sqref="A107:C107"/>
    </sheetView>
  </sheetViews>
  <sheetFormatPr baseColWidth="10" defaultColWidth="9.1640625" defaultRowHeight="14"/>
  <cols>
    <col min="1" max="1" width="50.1640625" style="127" customWidth="1"/>
    <col min="2" max="2" width="10" style="128" customWidth="1"/>
    <col min="3" max="3" width="4.6640625" style="128" customWidth="1"/>
    <col min="4" max="4" width="9.1640625" style="128"/>
    <col min="5" max="5" width="10" style="128" bestFit="1" customWidth="1"/>
    <col min="6" max="9" width="9.1640625" style="128"/>
    <col min="10" max="10" width="9.1640625" style="128" customWidth="1"/>
    <col min="11" max="17" width="9.1640625" style="128"/>
    <col min="18" max="18" width="12.6640625" style="128" customWidth="1"/>
    <col min="19" max="19" width="9.1640625" style="148"/>
    <col min="20" max="16384" width="9.1640625" style="128"/>
  </cols>
  <sheetData>
    <row r="1" spans="1:22" s="185" customFormat="1">
      <c r="A1" s="184" t="s">
        <v>462</v>
      </c>
    </row>
    <row r="2" spans="1:22" s="187" customFormat="1">
      <c r="A2" s="186"/>
    </row>
    <row r="3" spans="1:22" s="187" customFormat="1" ht="12.75" customHeight="1">
      <c r="A3" s="186"/>
    </row>
    <row r="4" spans="1:22" s="116" customFormat="1" ht="15" thickBot="1">
      <c r="A4" s="115"/>
      <c r="F4" s="117"/>
      <c r="G4" s="117"/>
      <c r="H4" s="117"/>
      <c r="I4" s="117"/>
      <c r="J4" s="117"/>
      <c r="K4" s="117"/>
      <c r="L4" s="117"/>
      <c r="M4" s="117"/>
      <c r="N4" s="117"/>
      <c r="O4" s="117"/>
      <c r="P4" s="117"/>
      <c r="Q4" s="117"/>
      <c r="R4" s="117"/>
      <c r="S4" s="118"/>
      <c r="T4" s="117"/>
      <c r="U4" s="117"/>
      <c r="V4" s="117"/>
    </row>
    <row r="5" spans="1:22" s="116" customFormat="1" ht="15" thickBot="1">
      <c r="A5" s="119"/>
      <c r="B5" s="120"/>
      <c r="C5" s="121" t="s">
        <v>127</v>
      </c>
      <c r="F5" s="117"/>
      <c r="G5" s="122" t="s">
        <v>284</v>
      </c>
      <c r="H5" s="122"/>
      <c r="I5" s="122"/>
      <c r="K5" s="117"/>
      <c r="L5" s="117"/>
      <c r="M5" s="117"/>
      <c r="N5" s="117"/>
      <c r="O5" s="117"/>
      <c r="P5" s="117"/>
      <c r="R5" s="172" t="s">
        <v>285</v>
      </c>
      <c r="S5" s="118"/>
      <c r="T5" s="117"/>
      <c r="U5" s="117"/>
      <c r="V5" s="117"/>
    </row>
    <row r="6" spans="1:22" s="124" customFormat="1" ht="15" thickBot="1">
      <c r="A6" s="123"/>
      <c r="F6" s="125"/>
      <c r="G6" s="125"/>
      <c r="H6" s="125"/>
      <c r="I6" s="125"/>
      <c r="J6" s="125"/>
      <c r="K6" s="125"/>
      <c r="L6" s="125"/>
      <c r="M6" s="125"/>
      <c r="N6" s="125"/>
      <c r="O6" s="125"/>
      <c r="P6" s="125"/>
      <c r="Q6" s="125"/>
      <c r="R6" s="125"/>
      <c r="S6" s="126"/>
      <c r="T6" s="125"/>
      <c r="U6" s="125"/>
      <c r="V6" s="125"/>
    </row>
    <row r="7" spans="1:22">
      <c r="F7" s="129"/>
      <c r="G7" s="129"/>
      <c r="H7" s="129"/>
      <c r="I7" s="129"/>
      <c r="J7" s="129"/>
      <c r="K7" s="129"/>
      <c r="L7" s="129"/>
      <c r="M7" s="129"/>
      <c r="N7" s="129"/>
      <c r="O7" s="129"/>
      <c r="P7" s="129"/>
      <c r="Q7" s="129"/>
      <c r="R7" s="129"/>
      <c r="S7" s="130"/>
      <c r="T7" s="129"/>
      <c r="U7" s="129"/>
      <c r="V7" s="129"/>
    </row>
    <row r="8" spans="1:22" ht="17">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c r="A9" s="131"/>
      <c r="B9" s="131"/>
      <c r="C9" s="131"/>
      <c r="F9" s="129"/>
      <c r="G9" s="129"/>
      <c r="H9" s="129"/>
      <c r="I9" s="129"/>
      <c r="J9" s="129"/>
      <c r="K9" s="129"/>
      <c r="L9" s="129"/>
      <c r="M9" s="129"/>
      <c r="N9" s="129"/>
      <c r="O9" s="129"/>
      <c r="P9" s="129"/>
      <c r="Q9" s="129"/>
      <c r="R9" s="129"/>
      <c r="S9" s="130"/>
      <c r="T9" s="129"/>
      <c r="U9" s="129"/>
      <c r="V9" s="129"/>
    </row>
    <row r="10" spans="1:22" ht="17.25" customHeight="1" thickBot="1">
      <c r="A10" s="179" t="s">
        <v>321</v>
      </c>
      <c r="B10" s="180"/>
      <c r="C10" s="181"/>
      <c r="F10" s="129"/>
      <c r="G10" s="174" t="s">
        <v>281</v>
      </c>
      <c r="H10" s="174"/>
      <c r="I10" s="174"/>
      <c r="J10" s="174"/>
      <c r="K10" s="174"/>
      <c r="L10" s="174"/>
      <c r="M10" s="174"/>
      <c r="N10" s="132"/>
      <c r="O10" s="132"/>
      <c r="P10" s="129"/>
      <c r="Q10" s="129"/>
      <c r="R10" s="129"/>
      <c r="S10" s="130"/>
      <c r="T10" s="129"/>
      <c r="U10" s="129"/>
      <c r="V10" s="129"/>
    </row>
    <row r="11" spans="1:22" ht="15" customHeight="1">
      <c r="A11" s="133" t="s">
        <v>330</v>
      </c>
      <c r="B11" s="154">
        <v>45</v>
      </c>
      <c r="C11" s="134" t="s">
        <v>1</v>
      </c>
      <c r="F11" s="129"/>
      <c r="G11" s="174"/>
      <c r="H11" s="174"/>
      <c r="I11" s="174"/>
      <c r="J11" s="174"/>
      <c r="K11" s="174"/>
      <c r="L11" s="174"/>
      <c r="M11" s="174"/>
      <c r="N11" s="132"/>
      <c r="O11" s="132"/>
      <c r="Q11" s="129"/>
      <c r="R11" s="129"/>
      <c r="S11" s="130"/>
      <c r="T11" s="129"/>
      <c r="U11" s="129"/>
      <c r="V11" s="129"/>
    </row>
    <row r="12" spans="1:22" ht="15" customHeight="1">
      <c r="A12" s="133" t="s">
        <v>331</v>
      </c>
      <c r="B12" s="154">
        <v>50</v>
      </c>
      <c r="C12" s="134" t="s">
        <v>1</v>
      </c>
      <c r="F12" s="129"/>
      <c r="G12" s="129"/>
      <c r="Q12" s="129"/>
      <c r="R12" s="129"/>
      <c r="S12" s="130"/>
      <c r="T12" s="129"/>
      <c r="U12" s="129"/>
      <c r="V12" s="129"/>
    </row>
    <row r="13" spans="1:22" ht="15" thickBot="1">
      <c r="A13" s="135" t="s">
        <v>332</v>
      </c>
      <c r="B13" s="155">
        <v>55</v>
      </c>
      <c r="C13" s="136" t="s">
        <v>1</v>
      </c>
      <c r="F13" s="129"/>
      <c r="G13" s="129"/>
      <c r="H13" s="129"/>
      <c r="I13" s="129"/>
      <c r="J13" s="129"/>
      <c r="K13" s="129"/>
      <c r="L13" s="129"/>
      <c r="M13" s="129"/>
      <c r="N13" s="129"/>
      <c r="O13" s="129"/>
      <c r="P13" s="129"/>
      <c r="Q13" s="129"/>
      <c r="R13" s="129"/>
      <c r="S13" s="130"/>
      <c r="T13" s="129"/>
      <c r="U13" s="129"/>
      <c r="V13" s="129"/>
    </row>
    <row r="14" spans="1:22" ht="15" thickBot="1">
      <c r="B14" s="137"/>
      <c r="F14" s="129"/>
      <c r="G14" s="129"/>
      <c r="H14" s="129"/>
      <c r="I14" s="129"/>
      <c r="J14" s="129"/>
      <c r="K14" s="129"/>
      <c r="L14" s="129"/>
      <c r="M14" s="129"/>
      <c r="N14" s="129"/>
      <c r="O14" s="129"/>
      <c r="P14" s="129"/>
      <c r="Q14" s="129"/>
      <c r="R14" s="129"/>
      <c r="S14" s="130"/>
      <c r="T14" s="129"/>
      <c r="U14" s="129"/>
      <c r="V14" s="129"/>
    </row>
    <row r="15" spans="1:22" ht="15" thickBot="1">
      <c r="A15" s="179" t="s">
        <v>320</v>
      </c>
      <c r="B15" s="180"/>
      <c r="C15" s="181"/>
      <c r="F15" s="129"/>
      <c r="G15" s="129"/>
      <c r="H15" s="129"/>
      <c r="I15" s="129"/>
      <c r="J15" s="129"/>
      <c r="K15" s="129"/>
      <c r="L15" s="129"/>
      <c r="M15" s="129"/>
      <c r="N15" s="129"/>
      <c r="O15" s="129"/>
      <c r="P15" s="129"/>
      <c r="Q15" s="129"/>
      <c r="R15" s="129"/>
      <c r="S15" s="130"/>
      <c r="T15" s="129"/>
      <c r="U15" s="129"/>
      <c r="V15" s="129"/>
    </row>
    <row r="16" spans="1:22">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c r="A17" s="133" t="s">
        <v>328</v>
      </c>
      <c r="B17" s="154">
        <v>20</v>
      </c>
      <c r="C17" s="134" t="s">
        <v>1</v>
      </c>
      <c r="F17" s="129"/>
      <c r="G17" s="129"/>
      <c r="H17" s="129"/>
      <c r="I17" s="129"/>
      <c r="J17" s="129"/>
      <c r="K17" s="129"/>
      <c r="L17" s="129"/>
      <c r="M17" s="129"/>
      <c r="N17" s="129"/>
      <c r="O17" s="129"/>
      <c r="P17" s="129"/>
      <c r="Q17" s="129"/>
      <c r="R17" s="129"/>
      <c r="S17" s="130"/>
      <c r="T17" s="129"/>
      <c r="U17" s="129"/>
      <c r="V17" s="129"/>
    </row>
    <row r="18" spans="1:22" ht="15" thickBot="1">
      <c r="A18" s="135" t="s">
        <v>329</v>
      </c>
      <c r="B18" s="155">
        <v>25</v>
      </c>
      <c r="C18" s="136" t="s">
        <v>1</v>
      </c>
      <c r="F18" s="129"/>
      <c r="G18" s="129"/>
      <c r="H18" s="129"/>
      <c r="I18" s="129"/>
      <c r="J18" s="129"/>
      <c r="K18" s="129"/>
      <c r="L18" s="129"/>
      <c r="M18" s="129"/>
      <c r="N18" s="129"/>
      <c r="O18" s="129"/>
      <c r="P18" s="129"/>
      <c r="Q18" s="129"/>
      <c r="R18" s="129"/>
      <c r="S18" s="130"/>
      <c r="T18" s="129"/>
      <c r="U18" s="129"/>
      <c r="V18" s="129"/>
    </row>
    <row r="19" spans="1:22" ht="15" thickBot="1">
      <c r="B19" s="137"/>
      <c r="F19" s="129"/>
      <c r="G19" s="129"/>
      <c r="H19" s="129"/>
      <c r="I19" s="129"/>
      <c r="J19" s="129"/>
      <c r="K19" s="129"/>
      <c r="L19" s="129"/>
      <c r="M19" s="129"/>
      <c r="N19" s="129"/>
      <c r="O19" s="129"/>
      <c r="P19" s="129"/>
      <c r="Q19" s="129"/>
      <c r="R19" s="129"/>
      <c r="S19" s="130"/>
      <c r="T19" s="129"/>
      <c r="U19" s="129"/>
      <c r="V19" s="129"/>
    </row>
    <row r="20" spans="1:22" ht="15" thickBot="1">
      <c r="A20" s="179" t="s">
        <v>2</v>
      </c>
      <c r="B20" s="180"/>
      <c r="C20" s="181"/>
      <c r="F20" s="129"/>
      <c r="G20" s="129"/>
      <c r="H20" s="129"/>
      <c r="I20" s="129"/>
      <c r="J20" s="129"/>
      <c r="K20" s="129"/>
      <c r="L20" s="129"/>
      <c r="M20" s="129"/>
      <c r="N20" s="129"/>
      <c r="O20" s="129"/>
      <c r="P20" s="129"/>
      <c r="Q20" s="129"/>
      <c r="R20" s="129"/>
      <c r="S20" s="130"/>
      <c r="T20" s="129"/>
      <c r="U20" s="129"/>
      <c r="V20" s="129"/>
    </row>
    <row r="21" spans="1:22">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 thickBot="1">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5" thickBot="1">
      <c r="F23" s="129"/>
      <c r="G23" s="129"/>
      <c r="H23" s="129"/>
      <c r="I23" s="129"/>
      <c r="J23" s="129"/>
      <c r="K23" s="129"/>
      <c r="L23" s="129"/>
      <c r="M23" s="129"/>
      <c r="N23" s="129"/>
      <c r="O23" s="129"/>
      <c r="P23" s="129"/>
      <c r="Q23" s="129"/>
      <c r="R23" s="129"/>
      <c r="S23" s="130"/>
      <c r="T23" s="129"/>
      <c r="U23" s="129"/>
      <c r="V23" s="129"/>
    </row>
    <row r="24" spans="1:22" ht="15" thickBot="1">
      <c r="A24" s="179" t="s">
        <v>282</v>
      </c>
      <c r="B24" s="180"/>
      <c r="C24" s="181"/>
      <c r="F24" s="129"/>
      <c r="G24" s="129"/>
      <c r="H24" s="129"/>
      <c r="I24" s="129"/>
      <c r="J24" s="129"/>
      <c r="K24" s="129"/>
      <c r="L24" s="129"/>
      <c r="M24" s="129"/>
      <c r="N24" s="129"/>
      <c r="O24" s="129"/>
      <c r="P24" s="129"/>
      <c r="Q24" s="129"/>
      <c r="R24" s="129"/>
      <c r="S24" s="130"/>
      <c r="T24" s="129"/>
      <c r="U24" s="129"/>
      <c r="V24" s="129"/>
    </row>
    <row r="25" spans="1:22">
      <c r="A25" s="133" t="s">
        <v>27</v>
      </c>
      <c r="B25" s="154">
        <v>2</v>
      </c>
      <c r="C25" s="134"/>
      <c r="F25" s="129"/>
      <c r="G25" s="129"/>
      <c r="H25" s="129"/>
      <c r="I25" s="129"/>
      <c r="J25" s="129"/>
      <c r="K25" s="129"/>
      <c r="L25" s="129"/>
      <c r="M25" s="129"/>
      <c r="N25" s="129"/>
      <c r="O25" s="129"/>
      <c r="P25" s="129"/>
      <c r="Q25" s="129"/>
      <c r="R25" s="129"/>
      <c r="S25" s="130"/>
      <c r="T25" s="129"/>
      <c r="U25" s="129"/>
      <c r="V25" s="129"/>
    </row>
    <row r="26" spans="1:22">
      <c r="A26" s="133" t="s">
        <v>325</v>
      </c>
      <c r="B26" s="154">
        <v>45</v>
      </c>
      <c r="C26" s="134" t="s">
        <v>4</v>
      </c>
      <c r="F26" s="129"/>
      <c r="G26" s="129"/>
      <c r="H26" s="129"/>
      <c r="I26" s="129"/>
      <c r="J26" s="129"/>
      <c r="K26" s="129"/>
      <c r="L26" s="129"/>
      <c r="M26" s="129"/>
      <c r="N26" s="129"/>
      <c r="O26" s="129"/>
      <c r="P26" s="129"/>
      <c r="Q26" s="129"/>
      <c r="R26" s="129"/>
      <c r="S26" s="130"/>
      <c r="T26" s="129"/>
      <c r="U26" s="129"/>
      <c r="V26" s="129"/>
    </row>
    <row r="27" spans="1:22" ht="16">
      <c r="A27" s="133" t="s">
        <v>324</v>
      </c>
      <c r="B27" s="139">
        <f>Calculations!B27</f>
        <v>2.2222222222222223</v>
      </c>
      <c r="C27" s="134" t="s">
        <v>7</v>
      </c>
      <c r="F27" s="129"/>
      <c r="G27" s="129"/>
      <c r="H27" s="129"/>
      <c r="I27" s="129"/>
      <c r="J27" s="129"/>
      <c r="K27" s="129"/>
      <c r="L27" s="129"/>
      <c r="M27" s="129"/>
      <c r="N27" s="129"/>
      <c r="O27" s="129"/>
      <c r="P27" s="129"/>
      <c r="Q27" s="129"/>
      <c r="R27" s="129"/>
      <c r="S27" s="130"/>
      <c r="T27" s="129"/>
      <c r="U27" s="129"/>
      <c r="V27" s="129"/>
    </row>
    <row r="28" spans="1:22" ht="16">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5" thickBot="1">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
      <c r="A31" s="188"/>
      <c r="B31" s="188"/>
      <c r="C31" s="188"/>
      <c r="F31" s="129"/>
      <c r="G31" s="129"/>
      <c r="H31" s="129"/>
      <c r="I31" s="129"/>
      <c r="J31" s="129"/>
      <c r="K31" s="129"/>
      <c r="L31" s="129"/>
      <c r="M31" s="129"/>
      <c r="N31" s="129"/>
      <c r="O31" s="129"/>
      <c r="P31" s="129"/>
      <c r="Q31" s="129"/>
      <c r="R31" s="129"/>
      <c r="S31" s="130"/>
      <c r="T31" s="129"/>
      <c r="U31" s="129"/>
      <c r="V31" s="129"/>
    </row>
    <row r="32" spans="1:22" ht="17">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c r="A33" s="140"/>
      <c r="B33" s="140"/>
      <c r="C33" s="140"/>
      <c r="F33" s="129"/>
      <c r="G33" s="129"/>
      <c r="H33" s="129"/>
      <c r="I33" s="129"/>
      <c r="J33" s="129"/>
      <c r="K33" s="129"/>
      <c r="L33" s="129"/>
      <c r="M33" s="129"/>
      <c r="N33" s="129"/>
      <c r="O33" s="129"/>
      <c r="P33" s="129"/>
      <c r="Q33" s="129"/>
      <c r="R33" s="129"/>
      <c r="S33" s="130"/>
      <c r="T33" s="129"/>
      <c r="U33" s="129"/>
      <c r="V33" s="129"/>
    </row>
    <row r="34" spans="1:22" ht="15" thickBot="1">
      <c r="A34" s="179" t="s">
        <v>9</v>
      </c>
      <c r="B34" s="180"/>
      <c r="C34" s="181"/>
      <c r="F34" s="129"/>
      <c r="G34" s="129"/>
      <c r="H34" s="129"/>
      <c r="I34" s="129"/>
      <c r="J34" s="129"/>
      <c r="K34" s="129"/>
      <c r="L34" s="129"/>
      <c r="M34" s="129"/>
      <c r="N34" s="129"/>
      <c r="O34" s="129"/>
      <c r="P34" s="129"/>
      <c r="Q34" s="129"/>
      <c r="R34" s="129"/>
      <c r="S34" s="130"/>
      <c r="T34" s="129"/>
      <c r="U34" s="129"/>
      <c r="V34" s="129"/>
    </row>
    <row r="35" spans="1:22">
      <c r="A35" s="133" t="s">
        <v>471</v>
      </c>
      <c r="B35" s="156">
        <v>30.6</v>
      </c>
      <c r="C35" s="141" t="s">
        <v>26</v>
      </c>
      <c r="F35" s="129"/>
      <c r="G35" s="129"/>
      <c r="H35" s="129"/>
      <c r="I35" s="129"/>
      <c r="J35" s="129"/>
      <c r="K35" s="129"/>
      <c r="L35" s="129"/>
      <c r="M35" s="129"/>
      <c r="N35" s="129"/>
      <c r="O35" s="129"/>
      <c r="P35" s="129"/>
      <c r="Q35" s="129"/>
      <c r="R35" s="129"/>
      <c r="S35" s="130"/>
      <c r="T35" s="129"/>
      <c r="U35" s="129"/>
      <c r="V35" s="129"/>
    </row>
    <row r="36" spans="1:22">
      <c r="A36" s="133" t="s">
        <v>472</v>
      </c>
      <c r="B36" s="139">
        <f>Calculations!B37</f>
        <v>4.6213771703967783</v>
      </c>
      <c r="C36" s="134" t="s">
        <v>6</v>
      </c>
      <c r="F36" s="129"/>
      <c r="G36" s="129"/>
      <c r="H36" s="129"/>
      <c r="I36" s="129"/>
      <c r="J36" s="129"/>
      <c r="K36" s="129"/>
      <c r="L36" s="129"/>
      <c r="M36" s="129"/>
      <c r="N36" s="129"/>
      <c r="O36" s="129"/>
      <c r="P36" s="129"/>
      <c r="Q36" s="129"/>
      <c r="R36" s="129"/>
      <c r="S36" s="130"/>
      <c r="T36" s="129"/>
      <c r="U36" s="129"/>
      <c r="V36" s="129"/>
    </row>
    <row r="37" spans="1:22" ht="16">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c r="A38" s="133" t="s">
        <v>29</v>
      </c>
      <c r="B38" s="154">
        <v>2.64</v>
      </c>
      <c r="C38" s="134" t="s">
        <v>7</v>
      </c>
      <c r="F38" s="129"/>
      <c r="G38" s="129"/>
      <c r="H38" s="129"/>
      <c r="I38" s="129"/>
      <c r="J38" s="129"/>
      <c r="K38" s="129"/>
      <c r="L38" s="129"/>
      <c r="M38" s="129"/>
      <c r="N38" s="129"/>
      <c r="O38" s="129"/>
      <c r="P38" s="129"/>
      <c r="Q38" s="129"/>
      <c r="R38" s="129"/>
      <c r="S38" s="130"/>
      <c r="T38" s="129"/>
      <c r="U38" s="129"/>
      <c r="V38" s="129"/>
    </row>
    <row r="39" spans="1:22" ht="15" thickBot="1">
      <c r="A39" s="135" t="s">
        <v>474</v>
      </c>
      <c r="B39" s="143">
        <f>I_Channel_Peak_No_Ilimit</f>
        <v>25.884912959381044</v>
      </c>
      <c r="C39" s="136" t="s">
        <v>4</v>
      </c>
      <c r="F39" s="129"/>
      <c r="G39" s="129"/>
      <c r="H39" s="129"/>
      <c r="I39" s="129"/>
      <c r="J39" s="129"/>
      <c r="K39" s="129"/>
      <c r="L39" s="129"/>
      <c r="M39" s="129"/>
      <c r="N39" s="129"/>
      <c r="O39" s="129"/>
      <c r="P39" s="129"/>
      <c r="Q39" s="129"/>
      <c r="R39" s="129"/>
      <c r="S39" s="130"/>
      <c r="T39" s="129"/>
      <c r="U39" s="129"/>
      <c r="V39" s="129"/>
    </row>
    <row r="40" spans="1:22">
      <c r="A40" s="133"/>
      <c r="B40" s="144"/>
      <c r="F40" s="129"/>
      <c r="G40" s="129"/>
      <c r="H40" s="129"/>
      <c r="I40" s="129"/>
      <c r="J40" s="129"/>
      <c r="K40" s="129"/>
      <c r="L40" s="129"/>
      <c r="M40" s="129"/>
      <c r="N40" s="129"/>
      <c r="O40" s="129"/>
      <c r="P40" s="129"/>
      <c r="Q40" s="129"/>
      <c r="R40" s="129"/>
      <c r="S40" s="130"/>
      <c r="T40" s="129"/>
      <c r="U40" s="129"/>
      <c r="V40" s="129"/>
    </row>
    <row r="41" spans="1:22" ht="17">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c r="A42" s="133"/>
      <c r="B42" s="144"/>
      <c r="F42" s="129"/>
      <c r="G42" s="129"/>
      <c r="H42" s="129"/>
      <c r="I42" s="129"/>
      <c r="J42" s="129"/>
      <c r="K42" s="129"/>
      <c r="L42" s="129"/>
      <c r="M42" s="129"/>
      <c r="N42" s="129"/>
      <c r="O42" s="129"/>
      <c r="P42" s="129"/>
      <c r="Q42" s="129"/>
      <c r="R42" s="129"/>
      <c r="S42" s="130"/>
      <c r="T42" s="129"/>
      <c r="U42" s="129"/>
      <c r="V42" s="129"/>
    </row>
    <row r="43" spans="1:22" ht="15" thickBot="1">
      <c r="A43" s="179" t="s">
        <v>287</v>
      </c>
      <c r="B43" s="180"/>
      <c r="C43" s="181"/>
      <c r="F43" s="129"/>
      <c r="G43" s="129"/>
      <c r="H43" s="129"/>
      <c r="I43" s="129"/>
      <c r="J43" s="129"/>
      <c r="K43" s="129"/>
      <c r="L43" s="129"/>
      <c r="M43" s="129"/>
      <c r="N43" s="129"/>
      <c r="O43" s="129"/>
      <c r="P43" s="129"/>
      <c r="Q43" s="129"/>
      <c r="R43" s="129"/>
      <c r="S43" s="130"/>
      <c r="T43" s="129"/>
      <c r="U43" s="129"/>
      <c r="V43" s="129"/>
    </row>
    <row r="44" spans="1:22">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c r="A45" s="133" t="s">
        <v>344</v>
      </c>
      <c r="B45" s="144">
        <f>I_Channel_Peak_Select</f>
        <v>28.473404255319149</v>
      </c>
      <c r="C45" s="134" t="s">
        <v>4</v>
      </c>
      <c r="F45" s="129"/>
      <c r="G45" s="129"/>
      <c r="H45" s="129"/>
      <c r="I45" s="129"/>
      <c r="J45" s="129"/>
      <c r="K45" s="129"/>
      <c r="L45" s="129"/>
      <c r="M45" s="129"/>
      <c r="N45" s="129"/>
      <c r="O45" s="129"/>
      <c r="P45" s="129"/>
      <c r="Q45" s="129"/>
      <c r="R45" s="129"/>
      <c r="S45" s="130"/>
      <c r="T45" s="129"/>
      <c r="U45" s="129"/>
      <c r="V45" s="129"/>
    </row>
    <row r="46" spans="1:22" ht="16">
      <c r="A46" s="133" t="s">
        <v>341</v>
      </c>
      <c r="B46" s="144">
        <f>Calculations!B68</f>
        <v>25.884912959381044</v>
      </c>
      <c r="C46" s="134" t="s">
        <v>16</v>
      </c>
      <c r="F46" s="129"/>
      <c r="G46" s="129"/>
      <c r="H46" s="129"/>
      <c r="I46" s="129"/>
      <c r="J46" s="129"/>
      <c r="K46" s="129"/>
      <c r="L46" s="129"/>
      <c r="M46" s="129"/>
      <c r="N46" s="129"/>
      <c r="O46" s="129"/>
      <c r="P46" s="129"/>
      <c r="Q46" s="129"/>
      <c r="R46" s="129"/>
      <c r="S46" s="130"/>
      <c r="T46" s="129"/>
      <c r="U46" s="129"/>
      <c r="V46" s="129"/>
    </row>
    <row r="47" spans="1:22" ht="16">
      <c r="A47" s="133" t="s">
        <v>342</v>
      </c>
      <c r="B47" s="157">
        <v>26</v>
      </c>
      <c r="C47" s="134" t="s">
        <v>16</v>
      </c>
      <c r="F47" s="129"/>
      <c r="G47" s="129"/>
      <c r="H47" s="129"/>
      <c r="I47" s="129"/>
      <c r="J47" s="129"/>
      <c r="K47" s="129"/>
      <c r="L47" s="129"/>
      <c r="M47" s="129"/>
      <c r="N47" s="129"/>
      <c r="O47" s="129"/>
      <c r="P47" s="129"/>
      <c r="Q47" s="129"/>
      <c r="R47" s="129"/>
      <c r="S47" s="130"/>
      <c r="T47" s="129"/>
      <c r="U47" s="129"/>
      <c r="V47" s="129"/>
    </row>
    <row r="48" spans="1:22" ht="15" thickBot="1">
      <c r="A48" s="135" t="s">
        <v>343</v>
      </c>
      <c r="B48" s="143">
        <f>Calculations!B70</f>
        <v>28.6</v>
      </c>
      <c r="C48" s="136" t="s">
        <v>4</v>
      </c>
      <c r="F48" s="129"/>
      <c r="G48" s="129"/>
      <c r="H48" s="129"/>
      <c r="I48" s="129"/>
      <c r="J48" s="129"/>
      <c r="K48" s="129"/>
      <c r="L48" s="129"/>
      <c r="M48" s="129"/>
      <c r="N48" s="129"/>
      <c r="O48" s="129"/>
      <c r="P48" s="129"/>
      <c r="Q48" s="129"/>
      <c r="R48" s="129"/>
      <c r="S48" s="130"/>
      <c r="T48" s="129"/>
      <c r="U48" s="129"/>
      <c r="V48" s="129"/>
    </row>
    <row r="49" spans="1:22">
      <c r="B49" s="144"/>
      <c r="F49" s="129"/>
      <c r="G49" s="129"/>
      <c r="H49" s="129"/>
      <c r="I49" s="129"/>
      <c r="J49" s="129"/>
      <c r="K49" s="129"/>
      <c r="L49" s="129"/>
      <c r="M49" s="129"/>
      <c r="N49" s="129"/>
      <c r="O49" s="129"/>
      <c r="P49" s="129"/>
      <c r="Q49" s="129"/>
      <c r="R49" s="129"/>
      <c r="S49" s="130"/>
      <c r="T49" s="129"/>
      <c r="U49" s="129"/>
      <c r="V49" s="129"/>
    </row>
    <row r="50" spans="1:22" ht="17">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c r="B51" s="144"/>
      <c r="F51" s="129"/>
      <c r="G51" s="129"/>
      <c r="H51" s="129"/>
      <c r="I51" s="129"/>
      <c r="J51" s="129"/>
      <c r="K51" s="129"/>
      <c r="L51" s="129"/>
      <c r="M51" s="129"/>
      <c r="N51" s="129"/>
      <c r="O51" s="129"/>
      <c r="P51" s="129"/>
      <c r="Q51" s="129"/>
      <c r="R51" s="129"/>
      <c r="S51" s="130"/>
      <c r="T51" s="129"/>
      <c r="U51" s="129"/>
      <c r="V51" s="129"/>
    </row>
    <row r="52" spans="1:22" ht="15" thickBot="1">
      <c r="A52" s="179" t="s">
        <v>338</v>
      </c>
      <c r="B52" s="180"/>
      <c r="C52" s="181"/>
      <c r="F52" s="129"/>
      <c r="G52" s="129"/>
      <c r="H52" s="129"/>
      <c r="I52" s="129"/>
      <c r="J52" s="129"/>
      <c r="K52" s="129"/>
      <c r="L52" s="129"/>
      <c r="M52" s="129"/>
      <c r="N52" s="129"/>
      <c r="O52" s="129"/>
      <c r="P52" s="129"/>
      <c r="Q52" s="129"/>
      <c r="R52" s="129"/>
      <c r="S52" s="130"/>
      <c r="T52" s="129"/>
      <c r="U52" s="129"/>
      <c r="V52" s="129"/>
    </row>
    <row r="53" spans="1:22" ht="16">
      <c r="A53" s="133" t="s">
        <v>347</v>
      </c>
      <c r="B53" s="154">
        <v>738.8</v>
      </c>
      <c r="C53" s="145" t="s">
        <v>32</v>
      </c>
      <c r="F53" s="129"/>
      <c r="G53" s="129"/>
      <c r="H53" s="129"/>
      <c r="I53" s="129"/>
      <c r="J53" s="129"/>
      <c r="K53" s="129"/>
      <c r="L53" s="129"/>
      <c r="M53" s="129"/>
      <c r="N53" s="129"/>
      <c r="O53" s="129"/>
      <c r="P53" s="129"/>
      <c r="Q53" s="129"/>
      <c r="R53" s="129"/>
      <c r="S53" s="130"/>
      <c r="T53" s="129"/>
      <c r="U53" s="129"/>
      <c r="V53" s="129"/>
    </row>
    <row r="54" spans="1:22" ht="16" thickBot="1">
      <c r="A54" s="135" t="s">
        <v>345</v>
      </c>
      <c r="B54" s="155">
        <v>112</v>
      </c>
      <c r="C54" s="136" t="s">
        <v>7</v>
      </c>
      <c r="F54" s="129"/>
      <c r="G54" s="129"/>
      <c r="H54" s="129"/>
      <c r="I54" s="129"/>
      <c r="J54" s="129"/>
      <c r="K54" s="129"/>
      <c r="L54" s="129"/>
      <c r="M54" s="129"/>
      <c r="N54" s="129"/>
      <c r="O54" s="129"/>
      <c r="P54" s="129"/>
      <c r="Q54" s="129"/>
      <c r="R54" s="129"/>
      <c r="S54" s="130"/>
      <c r="T54" s="129"/>
      <c r="U54" s="129"/>
      <c r="V54" s="129"/>
    </row>
    <row r="55" spans="1:22" ht="15" thickBot="1">
      <c r="A55" s="179" t="s">
        <v>339</v>
      </c>
      <c r="B55" s="180"/>
      <c r="C55" s="181"/>
      <c r="F55" s="129"/>
      <c r="G55" s="129"/>
      <c r="H55" s="129"/>
      <c r="I55" s="129"/>
      <c r="J55" s="129"/>
      <c r="K55" s="129"/>
      <c r="L55" s="129"/>
      <c r="M55" s="129"/>
      <c r="N55" s="129"/>
      <c r="O55" s="129"/>
      <c r="P55" s="129"/>
      <c r="Q55" s="129"/>
      <c r="R55" s="129"/>
      <c r="S55" s="130"/>
      <c r="T55" s="129"/>
      <c r="U55" s="129"/>
      <c r="V55" s="129"/>
    </row>
    <row r="56" spans="1:22" ht="16">
      <c r="A56" s="133" t="s">
        <v>348</v>
      </c>
      <c r="B56" s="154">
        <v>637</v>
      </c>
      <c r="C56" s="145" t="s">
        <v>32</v>
      </c>
      <c r="F56" s="129"/>
      <c r="G56" s="129"/>
      <c r="H56" s="129"/>
      <c r="I56" s="129"/>
      <c r="J56" s="129"/>
      <c r="K56" s="129"/>
      <c r="L56" s="129"/>
      <c r="M56" s="129"/>
      <c r="N56" s="129"/>
      <c r="O56" s="129"/>
      <c r="P56" s="129"/>
      <c r="Q56" s="129"/>
      <c r="R56" s="129"/>
      <c r="S56" s="130"/>
      <c r="T56" s="129"/>
      <c r="U56" s="129"/>
      <c r="V56" s="129"/>
    </row>
    <row r="57" spans="1:22" ht="16" thickBot="1">
      <c r="A57" s="135" t="s">
        <v>346</v>
      </c>
      <c r="B57" s="155">
        <v>3.2</v>
      </c>
      <c r="C57" s="136" t="s">
        <v>7</v>
      </c>
      <c r="F57" s="129"/>
      <c r="G57" s="129"/>
      <c r="H57" s="129"/>
      <c r="I57" s="129"/>
      <c r="J57" s="129"/>
      <c r="K57" s="129"/>
      <c r="L57" s="129"/>
      <c r="M57" s="129"/>
      <c r="N57" s="129"/>
      <c r="O57" s="129"/>
      <c r="P57" s="129"/>
      <c r="Q57" s="129"/>
      <c r="R57" s="129"/>
      <c r="S57" s="130"/>
      <c r="T57" s="129"/>
      <c r="U57" s="129"/>
      <c r="V57" s="129"/>
    </row>
    <row r="58" spans="1:22">
      <c r="F58" s="129"/>
      <c r="G58" s="129"/>
      <c r="H58" s="129"/>
      <c r="I58" s="129"/>
      <c r="J58" s="129"/>
      <c r="K58" s="129"/>
      <c r="L58" s="129"/>
      <c r="M58" s="129"/>
      <c r="N58" s="129"/>
      <c r="O58" s="129"/>
      <c r="P58" s="129"/>
      <c r="Q58" s="129"/>
      <c r="R58" s="129"/>
      <c r="S58" s="130"/>
      <c r="T58" s="129"/>
      <c r="U58" s="129"/>
      <c r="V58" s="129"/>
    </row>
    <row r="59" spans="1:22" ht="17">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c r="F60" s="129"/>
      <c r="G60" s="129"/>
      <c r="H60" s="129"/>
      <c r="I60" s="129"/>
      <c r="J60" s="129"/>
      <c r="K60" s="129"/>
      <c r="L60" s="129"/>
      <c r="M60" s="129"/>
      <c r="N60" s="129"/>
      <c r="O60" s="129"/>
      <c r="P60" s="129"/>
      <c r="Q60" s="129"/>
      <c r="R60" s="129"/>
      <c r="S60" s="130"/>
      <c r="T60" s="129"/>
      <c r="U60" s="129"/>
      <c r="V60" s="129"/>
    </row>
    <row r="61" spans="1:22" ht="15" thickBot="1">
      <c r="A61" s="179" t="s">
        <v>296</v>
      </c>
      <c r="B61" s="180"/>
      <c r="C61" s="181"/>
      <c r="F61" s="129"/>
      <c r="G61" s="129"/>
      <c r="H61" s="129"/>
      <c r="I61" s="129"/>
      <c r="J61" s="129"/>
      <c r="K61" s="129"/>
      <c r="L61" s="129"/>
      <c r="M61" s="129"/>
      <c r="N61" s="129"/>
      <c r="O61" s="129"/>
      <c r="P61" s="177" t="s">
        <v>384</v>
      </c>
      <c r="Q61" s="178"/>
      <c r="R61" s="129"/>
      <c r="S61" s="130"/>
      <c r="T61" s="129"/>
      <c r="U61" s="129"/>
      <c r="V61" s="129"/>
    </row>
    <row r="62" spans="1:22" ht="16">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
      <c r="A64" s="133" t="s">
        <v>351</v>
      </c>
      <c r="B64" s="154">
        <v>24</v>
      </c>
      <c r="C64" s="134" t="s">
        <v>16</v>
      </c>
      <c r="F64" s="129"/>
      <c r="G64" s="129"/>
      <c r="H64" s="129"/>
      <c r="I64" s="129"/>
      <c r="J64" s="129"/>
      <c r="K64" s="129"/>
      <c r="L64" s="129"/>
      <c r="M64" s="129"/>
      <c r="N64" s="129"/>
      <c r="O64" s="129"/>
      <c r="P64" s="129"/>
      <c r="Q64" s="129"/>
      <c r="R64" s="129"/>
      <c r="S64" s="130"/>
      <c r="T64" s="129"/>
      <c r="U64" s="129"/>
      <c r="V64" s="129"/>
    </row>
    <row r="65" spans="1:22">
      <c r="A65" s="133" t="s">
        <v>475</v>
      </c>
      <c r="B65" s="144">
        <f>Calculations!B78</f>
        <v>4.6875</v>
      </c>
      <c r="C65" s="134" t="s">
        <v>1</v>
      </c>
      <c r="F65" s="129"/>
      <c r="G65" s="129"/>
      <c r="H65" s="129"/>
      <c r="I65" s="129"/>
      <c r="J65" s="129"/>
      <c r="K65" s="129"/>
      <c r="L65" s="129"/>
      <c r="M65" s="129"/>
      <c r="N65" s="129"/>
      <c r="O65" s="129"/>
      <c r="P65" s="129"/>
      <c r="Q65" s="129"/>
      <c r="R65" s="129"/>
      <c r="S65" s="130"/>
      <c r="T65" s="129"/>
      <c r="U65" s="129"/>
      <c r="V65" s="129"/>
    </row>
    <row r="66" spans="1:22">
      <c r="A66" s="133" t="s">
        <v>476</v>
      </c>
      <c r="B66" s="144">
        <f>Calculations!B79</f>
        <v>5.2083333333333339</v>
      </c>
      <c r="C66" s="134" t="s">
        <v>1</v>
      </c>
      <c r="F66" s="129"/>
      <c r="G66" s="129"/>
      <c r="H66" s="129"/>
      <c r="I66" s="129"/>
      <c r="J66" s="129"/>
      <c r="K66" s="129"/>
      <c r="L66" s="129"/>
      <c r="M66" s="129"/>
      <c r="N66" s="129"/>
      <c r="O66" s="129"/>
      <c r="P66" s="129"/>
      <c r="Q66" s="129"/>
      <c r="R66" s="129"/>
      <c r="S66" s="130"/>
      <c r="T66" s="129"/>
      <c r="U66" s="129"/>
      <c r="V66" s="129"/>
    </row>
    <row r="67" spans="1:22" ht="15" thickBot="1">
      <c r="A67" s="135" t="s">
        <v>477</v>
      </c>
      <c r="B67" s="143">
        <f>Calculations!B80</f>
        <v>5.729166666666667</v>
      </c>
      <c r="C67" s="136" t="s">
        <v>1</v>
      </c>
      <c r="F67" s="129"/>
      <c r="G67" s="129"/>
      <c r="H67" s="129"/>
      <c r="I67" s="129"/>
      <c r="J67" s="129"/>
      <c r="K67" s="129"/>
      <c r="L67" s="129"/>
      <c r="M67" s="129"/>
      <c r="N67" s="129"/>
      <c r="O67" s="129"/>
      <c r="P67" s="129"/>
      <c r="Q67" s="129"/>
      <c r="R67" s="129"/>
      <c r="S67" s="130"/>
      <c r="T67" s="129"/>
      <c r="U67" s="129"/>
      <c r="V67" s="129"/>
    </row>
    <row r="68" spans="1:22">
      <c r="F68" s="129"/>
      <c r="G68" s="129"/>
      <c r="H68" s="129"/>
      <c r="I68" s="129"/>
      <c r="J68" s="129"/>
      <c r="K68" s="129"/>
      <c r="L68" s="129"/>
      <c r="M68" s="129"/>
      <c r="N68" s="129"/>
      <c r="O68" s="129"/>
      <c r="P68" s="129"/>
      <c r="Q68" s="129"/>
      <c r="R68" s="129"/>
      <c r="S68" s="130"/>
      <c r="T68" s="129"/>
      <c r="U68" s="129"/>
      <c r="V68" s="129"/>
    </row>
    <row r="69" spans="1:22" ht="17">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c r="F70" s="129"/>
      <c r="G70" s="129"/>
      <c r="H70" s="129"/>
      <c r="I70" s="129"/>
      <c r="J70" s="129"/>
      <c r="K70" s="129"/>
      <c r="L70" s="129"/>
      <c r="M70" s="129"/>
      <c r="N70" s="129"/>
      <c r="O70" s="129"/>
      <c r="P70" s="129"/>
      <c r="Q70" s="129"/>
      <c r="R70" s="129"/>
      <c r="S70" s="130"/>
      <c r="T70" s="129"/>
      <c r="U70" s="129"/>
      <c r="V70" s="129"/>
    </row>
    <row r="71" spans="1:22" ht="15" thickBot="1">
      <c r="A71" s="179" t="s">
        <v>112</v>
      </c>
      <c r="B71" s="180"/>
      <c r="C71" s="181"/>
      <c r="F71" s="129"/>
      <c r="G71" s="129"/>
      <c r="H71" s="129"/>
      <c r="I71" s="129"/>
      <c r="J71" s="129"/>
      <c r="K71" s="129"/>
      <c r="L71" s="129"/>
      <c r="M71" s="129"/>
      <c r="N71" s="129"/>
      <c r="O71" s="129"/>
      <c r="P71" s="129"/>
      <c r="Q71" s="129"/>
      <c r="R71" s="129"/>
      <c r="S71" s="130"/>
      <c r="T71" s="129"/>
      <c r="U71" s="129"/>
      <c r="V71" s="129"/>
    </row>
    <row r="72" spans="1:22" ht="15" thickBot="1">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 thickBot="1">
      <c r="A73" s="133" t="s">
        <v>353</v>
      </c>
      <c r="B73" s="128">
        <f>Calculations!B84</f>
        <v>0.01</v>
      </c>
      <c r="C73" s="134" t="s">
        <v>32</v>
      </c>
      <c r="P73" s="177" t="s">
        <v>384</v>
      </c>
      <c r="Q73" s="178"/>
    </row>
    <row r="74" spans="1:22" ht="16">
      <c r="A74" s="133" t="s">
        <v>354</v>
      </c>
      <c r="B74" s="154">
        <v>0.01</v>
      </c>
      <c r="C74" s="134" t="s">
        <v>32</v>
      </c>
    </row>
    <row r="75" spans="1:22" ht="15" thickBot="1">
      <c r="A75" s="135" t="s">
        <v>182</v>
      </c>
      <c r="B75" s="138">
        <f>Calculations!B86</f>
        <v>2</v>
      </c>
      <c r="C75" s="136" t="s">
        <v>114</v>
      </c>
    </row>
    <row r="77" spans="1:22" ht="17">
      <c r="A77" s="173" t="s">
        <v>300</v>
      </c>
      <c r="B77" s="173"/>
      <c r="C77" s="173"/>
    </row>
    <row r="78" spans="1:22" ht="7.5" customHeight="1" thickBot="1"/>
    <row r="79" spans="1:22" ht="15" thickBot="1">
      <c r="A79" s="179" t="s">
        <v>298</v>
      </c>
      <c r="B79" s="180"/>
      <c r="C79" s="181"/>
    </row>
    <row r="80" spans="1:22">
      <c r="A80" s="133" t="s">
        <v>337</v>
      </c>
      <c r="B80" s="154">
        <v>60</v>
      </c>
      <c r="C80" s="134" t="s">
        <v>1</v>
      </c>
    </row>
    <row r="81" spans="1:19" ht="16">
      <c r="A81" s="133" t="s">
        <v>355</v>
      </c>
      <c r="B81" s="144">
        <f>Calculations!B90</f>
        <v>59.443764345830147</v>
      </c>
      <c r="C81" s="134" t="s">
        <v>104</v>
      </c>
    </row>
    <row r="82" spans="1:19" ht="16">
      <c r="A82" s="133" t="s">
        <v>356</v>
      </c>
      <c r="B82" s="154">
        <v>60</v>
      </c>
      <c r="C82" s="134" t="s">
        <v>104</v>
      </c>
    </row>
    <row r="83" spans="1:19" ht="15" thickBot="1">
      <c r="A83" s="135" t="s">
        <v>336</v>
      </c>
      <c r="B83" s="143">
        <f>Calculations!B92</f>
        <v>59.44426229508197</v>
      </c>
      <c r="C83" s="136" t="s">
        <v>1</v>
      </c>
    </row>
    <row r="84" spans="1:19" ht="15" thickBot="1">
      <c r="A84" s="179" t="s">
        <v>299</v>
      </c>
      <c r="B84" s="180"/>
      <c r="C84" s="181"/>
    </row>
    <row r="85" spans="1:19">
      <c r="A85" s="133" t="s">
        <v>335</v>
      </c>
      <c r="B85" s="154">
        <v>28</v>
      </c>
      <c r="C85" s="134" t="s">
        <v>1</v>
      </c>
    </row>
    <row r="86" spans="1:19" ht="16">
      <c r="A86" s="133" t="s">
        <v>357</v>
      </c>
      <c r="B86" s="144">
        <f>Calculations!B94</f>
        <v>43.191683759090061</v>
      </c>
      <c r="C86" s="134" t="s">
        <v>104</v>
      </c>
    </row>
    <row r="87" spans="1:19" ht="16">
      <c r="A87" s="133" t="s">
        <v>358</v>
      </c>
      <c r="B87" s="154">
        <v>43</v>
      </c>
      <c r="C87" s="134" t="s">
        <v>104</v>
      </c>
    </row>
    <row r="88" spans="1:19" ht="15" thickBot="1">
      <c r="A88" s="135" t="s">
        <v>334</v>
      </c>
      <c r="B88" s="143">
        <f>Calculations!B96</f>
        <v>28.743139534883721</v>
      </c>
      <c r="C88" s="136" t="s">
        <v>1</v>
      </c>
    </row>
    <row r="90" spans="1:19" ht="17">
      <c r="A90" s="173" t="s">
        <v>463</v>
      </c>
      <c r="B90" s="173"/>
      <c r="C90" s="173"/>
    </row>
    <row r="91" spans="1:19" ht="6" customHeight="1" thickBot="1">
      <c r="E91" s="129"/>
      <c r="F91" s="129"/>
      <c r="G91" s="129"/>
      <c r="H91" s="129"/>
      <c r="I91" s="129"/>
      <c r="J91" s="129"/>
      <c r="K91" s="129"/>
      <c r="L91" s="129"/>
      <c r="M91" s="129"/>
      <c r="N91" s="129"/>
      <c r="O91" s="129"/>
      <c r="P91" s="129"/>
      <c r="Q91" s="129"/>
      <c r="R91" s="129"/>
      <c r="S91" s="130"/>
    </row>
    <row r="92" spans="1:19" ht="15" thickBot="1">
      <c r="A92" s="179" t="s">
        <v>113</v>
      </c>
      <c r="B92" s="180"/>
      <c r="C92" s="181"/>
      <c r="E92" s="129"/>
      <c r="F92" s="129"/>
      <c r="G92" s="129"/>
      <c r="H92" s="129"/>
      <c r="I92" s="129"/>
      <c r="J92" s="129"/>
      <c r="K92" s="129"/>
      <c r="L92" s="129"/>
      <c r="M92" s="129"/>
      <c r="N92" s="129"/>
      <c r="O92" s="129"/>
      <c r="P92" s="129"/>
      <c r="Q92" s="129"/>
      <c r="R92" s="129"/>
      <c r="S92" s="130"/>
    </row>
    <row r="93" spans="1:19">
      <c r="A93" s="133" t="s">
        <v>117</v>
      </c>
      <c r="B93" s="182" t="s">
        <v>172</v>
      </c>
      <c r="C93" s="183"/>
      <c r="E93" s="129"/>
      <c r="F93" s="175" t="s">
        <v>309</v>
      </c>
      <c r="G93" s="175"/>
      <c r="H93" s="175"/>
      <c r="I93" s="129"/>
      <c r="J93" s="129"/>
      <c r="K93" s="175" t="s">
        <v>307</v>
      </c>
      <c r="L93" s="175"/>
      <c r="M93" s="175"/>
      <c r="N93" s="129"/>
      <c r="O93" s="129"/>
      <c r="P93" s="129"/>
      <c r="Q93" s="175" t="s">
        <v>308</v>
      </c>
      <c r="R93" s="175"/>
      <c r="S93" s="130"/>
    </row>
    <row r="94" spans="1:19">
      <c r="A94" s="133" t="s">
        <v>318</v>
      </c>
      <c r="B94" s="154">
        <v>24</v>
      </c>
      <c r="C94" s="134" t="s">
        <v>1</v>
      </c>
      <c r="E94" s="129"/>
      <c r="F94" s="129"/>
      <c r="G94" s="129"/>
      <c r="H94" s="129"/>
      <c r="I94" s="129"/>
      <c r="J94" s="129"/>
      <c r="K94" s="129"/>
      <c r="L94" s="129"/>
      <c r="M94" s="129"/>
      <c r="N94" s="129"/>
      <c r="O94" s="129"/>
      <c r="P94" s="129"/>
      <c r="Q94" s="129"/>
      <c r="R94" s="129"/>
      <c r="S94" s="130"/>
    </row>
    <row r="95" spans="1:19" ht="16">
      <c r="A95" s="133" t="s">
        <v>310</v>
      </c>
      <c r="B95" s="154">
        <v>10</v>
      </c>
      <c r="C95" s="134" t="s">
        <v>104</v>
      </c>
      <c r="E95" s="129"/>
      <c r="F95" s="129"/>
      <c r="G95" s="129"/>
      <c r="H95" s="129"/>
      <c r="I95" s="129"/>
      <c r="J95" s="129"/>
      <c r="K95" s="129"/>
      <c r="L95" s="129"/>
      <c r="M95" s="129"/>
      <c r="N95" s="129"/>
      <c r="O95" s="129"/>
      <c r="P95" s="129"/>
      <c r="Q95" s="129"/>
      <c r="R95" s="129"/>
      <c r="S95" s="130"/>
    </row>
    <row r="96" spans="1:19" ht="16">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
      <c r="A97" s="133" t="s">
        <v>311</v>
      </c>
      <c r="B97" s="154">
        <v>86.6</v>
      </c>
      <c r="C97" s="134" t="s">
        <v>104</v>
      </c>
      <c r="E97" s="129"/>
      <c r="F97" s="129"/>
      <c r="G97" s="129"/>
      <c r="H97" s="129"/>
      <c r="I97" s="129"/>
      <c r="J97" s="129"/>
      <c r="K97" s="129"/>
      <c r="L97" s="129"/>
      <c r="M97" s="129"/>
      <c r="N97" s="129"/>
      <c r="O97" s="129"/>
      <c r="P97" s="129"/>
      <c r="Q97" s="129"/>
      <c r="R97" s="129"/>
      <c r="S97" s="130"/>
    </row>
    <row r="98" spans="1:21">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c r="A99" s="133" t="s">
        <v>241</v>
      </c>
      <c r="B99" s="154">
        <v>2.4</v>
      </c>
      <c r="C99" s="134" t="s">
        <v>1</v>
      </c>
      <c r="E99" s="129"/>
      <c r="F99" s="129"/>
      <c r="G99" s="129"/>
      <c r="H99" s="129"/>
      <c r="I99" s="129"/>
      <c r="J99" s="129"/>
      <c r="K99" s="129"/>
      <c r="L99" s="129"/>
      <c r="M99" s="129"/>
      <c r="N99" s="129"/>
      <c r="O99" s="129"/>
      <c r="P99" s="129"/>
      <c r="Q99" s="129"/>
      <c r="R99" s="129"/>
      <c r="S99" s="130"/>
    </row>
    <row r="100" spans="1:21" ht="16">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5" thickBot="1">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c r="E106" s="129"/>
      <c r="F106" s="151"/>
      <c r="G106" s="151"/>
      <c r="H106" s="151"/>
      <c r="I106" s="151"/>
      <c r="J106" s="151"/>
      <c r="K106" s="151"/>
      <c r="L106" s="151"/>
      <c r="M106" s="129"/>
      <c r="N106" s="129"/>
      <c r="O106" s="129"/>
      <c r="P106" s="129"/>
      <c r="Q106" s="129"/>
      <c r="R106" s="129"/>
      <c r="S106" s="130"/>
    </row>
    <row r="107" spans="1:21" ht="17">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c r="E108" s="129"/>
      <c r="F108" s="151"/>
      <c r="G108" s="151"/>
      <c r="H108" s="151"/>
      <c r="I108" s="151"/>
      <c r="J108" s="151"/>
      <c r="K108" s="151"/>
      <c r="L108" s="151"/>
      <c r="M108" s="129"/>
      <c r="N108" s="129"/>
      <c r="O108" s="129"/>
      <c r="P108" s="129"/>
      <c r="Q108" s="129"/>
      <c r="R108" s="129"/>
      <c r="S108" s="130"/>
    </row>
    <row r="109" spans="1:21" ht="15" thickBot="1">
      <c r="A109" s="179" t="s">
        <v>302</v>
      </c>
      <c r="B109" s="180"/>
      <c r="C109" s="181"/>
      <c r="E109" s="129"/>
      <c r="F109" s="129"/>
      <c r="G109" s="129"/>
      <c r="H109" s="129"/>
      <c r="I109" s="129"/>
      <c r="J109" s="129"/>
      <c r="K109" s="129"/>
      <c r="L109" s="129"/>
      <c r="M109" s="129"/>
      <c r="N109" s="129"/>
      <c r="O109" s="129"/>
      <c r="P109" s="129"/>
      <c r="Q109" s="129"/>
      <c r="R109" s="129"/>
      <c r="S109" s="130"/>
    </row>
    <row r="110" spans="1:21" ht="16">
      <c r="A110" s="133" t="s">
        <v>478</v>
      </c>
      <c r="B110" s="154">
        <v>3.3</v>
      </c>
      <c r="C110" s="134" t="s">
        <v>1</v>
      </c>
      <c r="E110" s="129"/>
      <c r="F110" s="129"/>
      <c r="G110" s="129"/>
      <c r="H110" s="129"/>
      <c r="I110" s="129"/>
      <c r="J110" s="129"/>
      <c r="K110" s="129"/>
      <c r="L110" s="129"/>
      <c r="M110" s="129"/>
      <c r="N110" s="129"/>
      <c r="O110" s="129"/>
      <c r="P110" s="129"/>
      <c r="Q110" s="129"/>
      <c r="R110" s="129"/>
      <c r="S110" s="130"/>
    </row>
    <row r="111" spans="1:21" ht="16">
      <c r="A111" s="133" t="s">
        <v>465</v>
      </c>
      <c r="B111" s="144">
        <f>Calculations!B116</f>
        <v>11.999999999999998</v>
      </c>
      <c r="C111" s="134" t="s">
        <v>104</v>
      </c>
      <c r="E111" s="129"/>
      <c r="F111" s="129"/>
      <c r="G111" s="129"/>
      <c r="H111" s="129"/>
      <c r="I111" s="129"/>
      <c r="J111" s="129"/>
      <c r="K111" s="129"/>
      <c r="L111" s="129"/>
      <c r="M111" s="129"/>
      <c r="N111" s="129"/>
      <c r="O111" s="129"/>
      <c r="P111" s="129"/>
      <c r="Q111" s="129"/>
      <c r="R111" s="129"/>
      <c r="S111" s="130"/>
    </row>
    <row r="112" spans="1:21" ht="16">
      <c r="A112" s="133" t="s">
        <v>364</v>
      </c>
      <c r="B112" s="154">
        <v>12</v>
      </c>
      <c r="C112" s="134" t="s">
        <v>104</v>
      </c>
      <c r="E112" s="129"/>
      <c r="F112" s="129"/>
      <c r="G112" s="129"/>
      <c r="H112" s="129"/>
      <c r="I112" s="129"/>
      <c r="J112" s="129"/>
      <c r="K112" s="129"/>
      <c r="L112" s="129"/>
      <c r="M112" s="129"/>
      <c r="N112" s="129"/>
      <c r="O112" s="129"/>
      <c r="P112" s="129"/>
      <c r="Q112" s="129"/>
      <c r="R112" s="129"/>
      <c r="S112" s="130"/>
    </row>
    <row r="113" spans="1:19" ht="16">
      <c r="A113" s="133" t="s">
        <v>480</v>
      </c>
      <c r="B113" s="139">
        <f>Calculations!B118</f>
        <v>3.3</v>
      </c>
      <c r="C113" s="134" t="s">
        <v>1</v>
      </c>
      <c r="E113" s="129"/>
      <c r="F113" s="129"/>
      <c r="G113" s="129"/>
      <c r="H113" s="129"/>
      <c r="I113" s="129"/>
      <c r="J113" s="129"/>
      <c r="K113" s="129"/>
      <c r="L113" s="129"/>
      <c r="M113" s="129"/>
      <c r="N113" s="129"/>
      <c r="O113" s="129"/>
      <c r="P113" s="129"/>
      <c r="Q113" s="129"/>
      <c r="R113" s="129"/>
      <c r="S113" s="130"/>
    </row>
    <row r="114" spans="1:19" ht="16">
      <c r="A114" s="133" t="s">
        <v>479</v>
      </c>
      <c r="B114" s="139">
        <f>Calculations!B119</f>
        <v>0.3</v>
      </c>
      <c r="C114" s="134" t="s">
        <v>1</v>
      </c>
      <c r="E114" s="129"/>
      <c r="F114" s="129"/>
      <c r="G114" s="129"/>
      <c r="H114" s="129"/>
      <c r="I114" s="129"/>
      <c r="J114" s="129"/>
      <c r="K114" s="129"/>
      <c r="L114" s="129"/>
      <c r="M114" s="129"/>
      <c r="N114" s="129"/>
      <c r="O114" s="129"/>
      <c r="P114" s="129"/>
      <c r="Q114" s="129"/>
      <c r="R114" s="129"/>
      <c r="S114" s="130"/>
    </row>
    <row r="115" spans="1:19" ht="16">
      <c r="A115" s="133" t="s">
        <v>365</v>
      </c>
      <c r="B115" s="144">
        <f>Calculations!B120</f>
        <v>8.3333333333333321</v>
      </c>
      <c r="C115" s="134" t="s">
        <v>40</v>
      </c>
      <c r="E115" s="129"/>
      <c r="F115" s="129"/>
      <c r="G115" s="129"/>
      <c r="H115" s="129"/>
      <c r="I115" s="129"/>
      <c r="J115" s="129"/>
      <c r="K115" s="129"/>
      <c r="L115" s="129"/>
      <c r="M115" s="129"/>
      <c r="N115" s="129"/>
      <c r="O115" s="129"/>
      <c r="P115" s="129"/>
      <c r="Q115" s="129"/>
      <c r="R115" s="129"/>
      <c r="S115" s="130"/>
    </row>
    <row r="116" spans="1:19" ht="16">
      <c r="A116" s="133" t="s">
        <v>366</v>
      </c>
      <c r="B116" s="154">
        <v>8.1999999999999993</v>
      </c>
      <c r="C116" s="134" t="s">
        <v>40</v>
      </c>
      <c r="E116" s="129"/>
      <c r="F116" s="129"/>
      <c r="G116" s="129"/>
      <c r="H116" s="129"/>
      <c r="I116" s="129"/>
      <c r="J116" s="129"/>
      <c r="K116" s="129"/>
      <c r="L116" s="129"/>
      <c r="M116" s="129"/>
      <c r="N116" s="129"/>
      <c r="O116" s="129"/>
      <c r="P116" s="129"/>
      <c r="Q116" s="129"/>
      <c r="R116" s="129"/>
      <c r="S116" s="130"/>
    </row>
    <row r="117" spans="1:19" ht="16">
      <c r="A117" s="133" t="s">
        <v>481</v>
      </c>
      <c r="B117" s="149">
        <f>Calculations!B123</f>
        <v>1.6424561872600889</v>
      </c>
      <c r="C117" s="134" t="s">
        <v>72</v>
      </c>
      <c r="E117" s="129"/>
      <c r="F117" s="129"/>
      <c r="G117" s="129"/>
      <c r="H117" s="129"/>
      <c r="I117" s="129"/>
      <c r="J117" s="129"/>
      <c r="K117" s="129"/>
      <c r="L117" s="129"/>
      <c r="M117" s="129"/>
      <c r="N117" s="129"/>
      <c r="O117" s="129"/>
      <c r="P117" s="129"/>
      <c r="Q117" s="129"/>
      <c r="R117" s="129"/>
      <c r="S117" s="130"/>
    </row>
    <row r="118" spans="1:19" ht="17" thickBot="1">
      <c r="A118" s="135" t="s">
        <v>482</v>
      </c>
      <c r="B118" s="143">
        <f>Calculations!B122</f>
        <v>1.6174282834542213</v>
      </c>
      <c r="C118" s="136" t="s">
        <v>3</v>
      </c>
      <c r="E118" s="129"/>
      <c r="F118" s="129"/>
      <c r="G118" s="129"/>
      <c r="H118" s="129"/>
      <c r="I118" s="129"/>
      <c r="J118" s="129"/>
      <c r="K118" s="129"/>
      <c r="L118" s="129"/>
      <c r="M118" s="129"/>
      <c r="N118" s="129"/>
      <c r="O118" s="129"/>
      <c r="P118" s="129"/>
      <c r="Q118" s="129"/>
      <c r="R118" s="129"/>
      <c r="S118" s="130"/>
    </row>
    <row r="119" spans="1:19">
      <c r="E119" s="129"/>
      <c r="F119" s="129"/>
      <c r="G119" s="129"/>
      <c r="H119" s="129"/>
      <c r="I119" s="129"/>
      <c r="J119" s="129"/>
      <c r="K119" s="129"/>
      <c r="L119" s="129"/>
      <c r="M119" s="129"/>
      <c r="N119" s="129"/>
      <c r="O119" s="129"/>
      <c r="P119" s="129"/>
      <c r="Q119" s="129"/>
      <c r="R119" s="129"/>
      <c r="S119" s="130"/>
    </row>
    <row r="120" spans="1:19" ht="17">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c r="E121" s="129"/>
      <c r="F121" s="129"/>
      <c r="G121" s="129"/>
      <c r="H121" s="129"/>
      <c r="I121" s="129"/>
      <c r="J121" s="129"/>
      <c r="K121" s="129"/>
      <c r="L121" s="129"/>
      <c r="M121" s="129"/>
      <c r="N121" s="129"/>
      <c r="O121" s="129"/>
      <c r="P121" s="129"/>
      <c r="Q121" s="129"/>
      <c r="R121" s="129"/>
      <c r="S121" s="130"/>
    </row>
    <row r="122" spans="1:19" ht="15" thickBot="1">
      <c r="A122" s="179" t="s">
        <v>303</v>
      </c>
      <c r="B122" s="180"/>
      <c r="C122" s="181"/>
      <c r="E122" s="176" t="s">
        <v>361</v>
      </c>
      <c r="F122" s="176"/>
      <c r="G122" s="176"/>
      <c r="I122" s="176" t="s">
        <v>362</v>
      </c>
      <c r="J122" s="176"/>
      <c r="K122" s="176"/>
    </row>
    <row r="123" spans="1:19">
      <c r="A123" s="133" t="s">
        <v>224</v>
      </c>
      <c r="B123" s="182" t="s">
        <v>226</v>
      </c>
      <c r="C123" s="183"/>
    </row>
    <row r="124" spans="1:19">
      <c r="A124" s="133" t="s">
        <v>359</v>
      </c>
      <c r="B124" s="154">
        <v>55</v>
      </c>
      <c r="C124" s="134" t="s">
        <v>97</v>
      </c>
    </row>
    <row r="125" spans="1:19" ht="16">
      <c r="A125" s="133" t="s">
        <v>466</v>
      </c>
      <c r="B125" s="128">
        <f>Calculations!B129</f>
        <v>9.75</v>
      </c>
      <c r="C125" s="134" t="s">
        <v>104</v>
      </c>
    </row>
    <row r="126" spans="1:19" ht="16">
      <c r="A126" s="133" t="s">
        <v>360</v>
      </c>
      <c r="B126" s="154">
        <v>10</v>
      </c>
      <c r="C126" s="134" t="s">
        <v>104</v>
      </c>
    </row>
    <row r="127" spans="1:19">
      <c r="A127" s="133" t="s">
        <v>237</v>
      </c>
      <c r="B127" s="128">
        <f>Calculations!B131</f>
        <v>56</v>
      </c>
      <c r="C127" s="134" t="s">
        <v>97</v>
      </c>
    </row>
    <row r="128" spans="1:19" ht="15" thickBot="1">
      <c r="A128" s="135" t="s">
        <v>238</v>
      </c>
      <c r="B128" s="138">
        <f>Calculations!B132</f>
        <v>56</v>
      </c>
      <c r="C128" s="136" t="s">
        <v>97</v>
      </c>
    </row>
    <row r="131" spans="1:3" ht="17">
      <c r="A131" s="173" t="s">
        <v>305</v>
      </c>
      <c r="B131" s="173"/>
      <c r="C131" s="173"/>
    </row>
    <row r="132" spans="1:3" ht="15" thickBot="1"/>
    <row r="133" spans="1:3" ht="15" thickBot="1">
      <c r="A133" s="179" t="s">
        <v>306</v>
      </c>
      <c r="B133" s="180"/>
      <c r="C133" s="181"/>
    </row>
    <row r="134" spans="1:3">
      <c r="A134" s="133" t="s">
        <v>250</v>
      </c>
      <c r="B134" s="154">
        <v>25</v>
      </c>
      <c r="C134" s="134" t="s">
        <v>251</v>
      </c>
    </row>
    <row r="135" spans="1:3" ht="16">
      <c r="A135" s="133" t="s">
        <v>363</v>
      </c>
      <c r="B135" s="139">
        <f>Calculations!B137</f>
        <v>0.88043160008282539</v>
      </c>
      <c r="C135" s="134" t="s">
        <v>3</v>
      </c>
    </row>
    <row r="136" spans="1:3" ht="16">
      <c r="A136" s="133" t="s">
        <v>467</v>
      </c>
      <c r="B136" s="128">
        <f>Calculations!B139/1000</f>
        <v>40</v>
      </c>
      <c r="C136" s="134" t="s">
        <v>3</v>
      </c>
    </row>
    <row r="137" spans="1:3" ht="16">
      <c r="A137" s="133" t="s">
        <v>468</v>
      </c>
      <c r="B137" s="154">
        <v>10</v>
      </c>
      <c r="C137" s="134" t="s">
        <v>3</v>
      </c>
    </row>
    <row r="138" spans="1:3" ht="16">
      <c r="A138" s="133" t="s">
        <v>367</v>
      </c>
      <c r="B138" s="139">
        <f>Calculations!B143</f>
        <v>0.61760846047597262</v>
      </c>
      <c r="C138" s="134" t="s">
        <v>104</v>
      </c>
    </row>
    <row r="139" spans="1:3" ht="16">
      <c r="A139" s="133" t="s">
        <v>368</v>
      </c>
      <c r="B139" s="154">
        <v>0.63400000000000001</v>
      </c>
      <c r="C139" s="134" t="s">
        <v>104</v>
      </c>
    </row>
    <row r="140" spans="1:3" ht="16">
      <c r="A140" s="133" t="s">
        <v>370</v>
      </c>
      <c r="B140" s="144">
        <f>Calculations!B145</f>
        <v>292.69228376489087</v>
      </c>
      <c r="C140" s="134" t="s">
        <v>40</v>
      </c>
    </row>
    <row r="141" spans="1:3" ht="16">
      <c r="A141" s="133" t="s">
        <v>369</v>
      </c>
      <c r="B141" s="154">
        <v>680</v>
      </c>
      <c r="C141" s="134" t="s">
        <v>40</v>
      </c>
    </row>
    <row r="142" spans="1:3" ht="16">
      <c r="A142" s="133" t="s">
        <v>372</v>
      </c>
      <c r="B142" s="144">
        <f>Calculations!B147</f>
        <v>2.9269228376489087</v>
      </c>
      <c r="C142" s="134" t="s">
        <v>40</v>
      </c>
    </row>
    <row r="143" spans="1:3" ht="16">
      <c r="A143" s="133" t="s">
        <v>371</v>
      </c>
      <c r="B143" s="154">
        <v>4.7</v>
      </c>
      <c r="C143" s="134" t="s">
        <v>40</v>
      </c>
    </row>
    <row r="144" spans="1:3" ht="16">
      <c r="A144" s="133" t="s">
        <v>374</v>
      </c>
      <c r="B144" s="139">
        <f>Calculations!B149</f>
        <v>0.36916622539407895</v>
      </c>
      <c r="C144" s="134" t="s">
        <v>3</v>
      </c>
    </row>
    <row r="145" spans="1:3" ht="17" thickBot="1">
      <c r="A145" s="135" t="s">
        <v>373</v>
      </c>
      <c r="B145" s="152">
        <f>Calculations!B150</f>
        <v>53.411283674036959</v>
      </c>
      <c r="C145" s="136" t="s">
        <v>3</v>
      </c>
    </row>
    <row r="149" spans="1:3" ht="17">
      <c r="A149" s="173" t="s">
        <v>460</v>
      </c>
      <c r="B149" s="173"/>
      <c r="C149" s="173"/>
    </row>
    <row r="150" spans="1:3" ht="8.25" customHeight="1" thickBot="1"/>
    <row r="151" spans="1:3" ht="15" thickBot="1">
      <c r="A151" s="179" t="s">
        <v>459</v>
      </c>
      <c r="B151" s="180"/>
      <c r="C151" s="181"/>
    </row>
    <row r="152" spans="1:3" ht="16">
      <c r="A152" s="146" t="s">
        <v>484</v>
      </c>
      <c r="B152" s="158">
        <v>2</v>
      </c>
      <c r="C152" s="147" t="s">
        <v>1</v>
      </c>
    </row>
    <row r="153" spans="1:3" ht="16">
      <c r="A153" s="133" t="s">
        <v>485</v>
      </c>
      <c r="B153" s="154">
        <v>4.42</v>
      </c>
      <c r="C153" s="134" t="s">
        <v>104</v>
      </c>
    </row>
    <row r="154" spans="1:3" ht="16">
      <c r="A154" s="133" t="s">
        <v>487</v>
      </c>
      <c r="B154" s="128">
        <f>Calculations!B159/1000</f>
        <v>39.78</v>
      </c>
      <c r="C154" s="134" t="s">
        <v>104</v>
      </c>
    </row>
    <row r="155" spans="1:3" ht="16">
      <c r="A155" s="133" t="s">
        <v>486</v>
      </c>
      <c r="B155" s="154">
        <v>26.7</v>
      </c>
      <c r="C155" s="134" t="s">
        <v>104</v>
      </c>
    </row>
    <row r="156" spans="1:3">
      <c r="A156" s="133" t="s">
        <v>432</v>
      </c>
      <c r="B156" s="128">
        <f>Calculations!B164/1000</f>
        <v>1</v>
      </c>
      <c r="C156" s="134" t="s">
        <v>3</v>
      </c>
    </row>
    <row r="157" spans="1:3">
      <c r="A157" s="133" t="s">
        <v>258</v>
      </c>
      <c r="B157" s="154">
        <v>1</v>
      </c>
      <c r="C157" s="134" t="s">
        <v>3</v>
      </c>
    </row>
    <row r="158" spans="1:3" ht="16">
      <c r="A158" s="133" t="s">
        <v>455</v>
      </c>
      <c r="B158" s="139">
        <f>Calculations!B170/1000</f>
        <v>7.6602491838980438</v>
      </c>
      <c r="C158" s="134" t="s">
        <v>104</v>
      </c>
    </row>
    <row r="159" spans="1:3" ht="16">
      <c r="A159" s="133" t="s">
        <v>456</v>
      </c>
      <c r="B159" s="154">
        <v>6.2</v>
      </c>
      <c r="C159" s="134" t="s">
        <v>104</v>
      </c>
    </row>
    <row r="160" spans="1:3" ht="16">
      <c r="A160" s="133" t="s">
        <v>457</v>
      </c>
      <c r="B160" s="144">
        <f>Calculations!B172*(10^9)</f>
        <v>42.86486609936447</v>
      </c>
      <c r="C160" s="134" t="s">
        <v>40</v>
      </c>
    </row>
    <row r="161" spans="1:3" ht="16">
      <c r="A161" s="133" t="s">
        <v>458</v>
      </c>
      <c r="B161" s="154">
        <v>33</v>
      </c>
      <c r="C161" s="134" t="s">
        <v>40</v>
      </c>
    </row>
    <row r="162" spans="1:3" ht="16">
      <c r="A162" s="133" t="s">
        <v>454</v>
      </c>
      <c r="B162" s="139">
        <f>Calculations!B174*(10^9)</f>
        <v>10.801946257039843</v>
      </c>
      <c r="C162" s="134" t="s">
        <v>40</v>
      </c>
    </row>
    <row r="163" spans="1:3" ht="16">
      <c r="A163" s="133" t="s">
        <v>453</v>
      </c>
      <c r="B163" s="154">
        <v>0.6</v>
      </c>
      <c r="C163" s="134" t="s">
        <v>40</v>
      </c>
    </row>
    <row r="164" spans="1:3" ht="16">
      <c r="A164" s="133" t="s">
        <v>374</v>
      </c>
      <c r="B164" s="139">
        <f>Calculations!B176</f>
        <v>0.77788339732109146</v>
      </c>
      <c r="C164" s="134" t="s">
        <v>3</v>
      </c>
    </row>
    <row r="165" spans="1:3" ht="17" thickBot="1">
      <c r="A165" s="135" t="s">
        <v>373</v>
      </c>
      <c r="B165" s="143">
        <f>Calculations!B177</f>
        <v>42.783586852660036</v>
      </c>
      <c r="C165" s="136" t="s">
        <v>3</v>
      </c>
    </row>
    <row r="168" spans="1:3" ht="17">
      <c r="A168" s="173" t="s">
        <v>483</v>
      </c>
      <c r="B168" s="173"/>
      <c r="C168" s="173"/>
    </row>
    <row r="169" spans="1:3" ht="15" thickBot="1"/>
    <row r="170" spans="1:3" ht="15" thickBot="1">
      <c r="A170" s="179" t="s">
        <v>461</v>
      </c>
      <c r="B170" s="180"/>
      <c r="C170" s="181"/>
    </row>
    <row r="171" spans="1:3" ht="16">
      <c r="A171" s="146" t="s">
        <v>484</v>
      </c>
      <c r="B171" s="158">
        <v>2</v>
      </c>
      <c r="C171" s="147" t="s">
        <v>1</v>
      </c>
    </row>
    <row r="172" spans="1:3" ht="16">
      <c r="A172" s="133" t="s">
        <v>485</v>
      </c>
      <c r="B172" s="154">
        <v>2.1</v>
      </c>
      <c r="C172" s="134" t="s">
        <v>104</v>
      </c>
    </row>
    <row r="173" spans="1:3" ht="16">
      <c r="A173" s="133" t="s">
        <v>487</v>
      </c>
      <c r="B173" s="128">
        <f>Calculations!B183/1000</f>
        <v>50.4</v>
      </c>
      <c r="C173" s="134" t="s">
        <v>104</v>
      </c>
    </row>
    <row r="174" spans="1:3" ht="16">
      <c r="A174" s="133" t="s">
        <v>486</v>
      </c>
      <c r="B174" s="154">
        <v>49.9</v>
      </c>
      <c r="C174" s="134" t="s">
        <v>104</v>
      </c>
    </row>
    <row r="175" spans="1:3">
      <c r="A175" s="133" t="s">
        <v>432</v>
      </c>
      <c r="B175" s="139">
        <f>Calculations!B188/1000</f>
        <v>5.5685417441135963</v>
      </c>
      <c r="C175" s="134" t="s">
        <v>3</v>
      </c>
    </row>
    <row r="176" spans="1:3">
      <c r="A176" s="133" t="s">
        <v>258</v>
      </c>
      <c r="B176" s="159">
        <v>2</v>
      </c>
      <c r="C176" s="134" t="s">
        <v>3</v>
      </c>
    </row>
    <row r="177" spans="1:3" ht="16">
      <c r="A177" s="133" t="s">
        <v>428</v>
      </c>
      <c r="B177" s="144">
        <f>Calculations!B194/1000</f>
        <v>26.772093089664981</v>
      </c>
      <c r="C177" s="134" t="s">
        <v>104</v>
      </c>
    </row>
    <row r="178" spans="1:3" ht="16">
      <c r="A178" s="133" t="s">
        <v>427</v>
      </c>
      <c r="B178" s="154">
        <v>49.9</v>
      </c>
      <c r="C178" s="134" t="s">
        <v>104</v>
      </c>
    </row>
    <row r="179" spans="1:3" ht="16">
      <c r="A179" s="133" t="s">
        <v>426</v>
      </c>
      <c r="B179" s="139">
        <f>Calculations!B196*(10^9)</f>
        <v>35.725875195977267</v>
      </c>
      <c r="C179" s="134" t="s">
        <v>40</v>
      </c>
    </row>
    <row r="180" spans="1:3" ht="16">
      <c r="A180" s="133" t="s">
        <v>429</v>
      </c>
      <c r="B180" s="154">
        <v>4.7</v>
      </c>
      <c r="C180" s="134" t="s">
        <v>40</v>
      </c>
    </row>
    <row r="181" spans="1:3" ht="16">
      <c r="A181" s="133" t="s">
        <v>430</v>
      </c>
      <c r="B181" s="153">
        <f>Calculations!B198*(10^9)</f>
        <v>2.9724038116641514E-2</v>
      </c>
      <c r="C181" s="134" t="s">
        <v>40</v>
      </c>
    </row>
    <row r="182" spans="1:3" ht="16">
      <c r="A182" s="133" t="s">
        <v>431</v>
      </c>
      <c r="B182" s="154">
        <v>0.1</v>
      </c>
      <c r="C182" s="134" t="s">
        <v>40</v>
      </c>
    </row>
    <row r="183" spans="1:3" ht="16">
      <c r="A183" s="133" t="s">
        <v>374</v>
      </c>
      <c r="B183" s="139">
        <f>Calculations!B200/1000</f>
        <v>0.67861230158996844</v>
      </c>
      <c r="C183" s="134" t="s">
        <v>3</v>
      </c>
    </row>
    <row r="184" spans="1:3" ht="17" thickBot="1">
      <c r="A184" s="135" t="s">
        <v>373</v>
      </c>
      <c r="B184" s="143">
        <f>Calculations!B201/1000</f>
        <v>31.894778174728515</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 ref="A52:C52"/>
    <mergeCell ref="A55:C55"/>
    <mergeCell ref="A59:C59"/>
    <mergeCell ref="A69:C69"/>
    <mergeCell ref="A84:C84"/>
    <mergeCell ref="A77:C77"/>
    <mergeCell ref="A90:C90"/>
    <mergeCell ref="A109:C109"/>
    <mergeCell ref="A107:C107"/>
    <mergeCell ref="A122:C122"/>
    <mergeCell ref="B123:C123"/>
    <mergeCell ref="B98:C98"/>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s>
  <phoneticPr fontId="31"/>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baseColWidth="10" defaultColWidth="9.1640625" defaultRowHeight="14"/>
  <cols>
    <col min="1" max="1" width="25.6640625" style="166" bestFit="1" customWidth="1"/>
    <col min="2" max="2" width="56.5" style="167" customWidth="1"/>
    <col min="3" max="11" width="9.1640625" style="160"/>
    <col min="12" max="12" width="20.5" style="160" customWidth="1"/>
    <col min="13" max="16384" width="9.1640625" style="160"/>
  </cols>
  <sheetData>
    <row r="1" spans="1:12">
      <c r="A1" s="190"/>
      <c r="B1" s="190"/>
      <c r="C1" s="190"/>
      <c r="D1" s="190"/>
      <c r="E1" s="190"/>
      <c r="F1" s="190"/>
      <c r="G1" s="190"/>
      <c r="H1" s="190"/>
      <c r="I1" s="190"/>
      <c r="J1" s="190"/>
      <c r="K1" s="190"/>
      <c r="L1" s="190"/>
    </row>
    <row r="2" spans="1:12">
      <c r="A2" s="190"/>
      <c r="B2" s="190"/>
      <c r="C2" s="190"/>
      <c r="D2" s="190"/>
      <c r="E2" s="190"/>
      <c r="F2" s="190"/>
      <c r="G2" s="190"/>
      <c r="H2" s="190"/>
      <c r="I2" s="190"/>
      <c r="J2" s="190"/>
      <c r="K2" s="190"/>
      <c r="L2" s="190"/>
    </row>
    <row r="3" spans="1:12">
      <c r="A3" s="190"/>
      <c r="B3" s="190"/>
      <c r="C3" s="190"/>
      <c r="D3" s="190"/>
      <c r="E3" s="190"/>
      <c r="F3" s="190"/>
      <c r="G3" s="190"/>
      <c r="H3" s="190"/>
      <c r="I3" s="190"/>
      <c r="J3" s="190"/>
      <c r="K3" s="190"/>
      <c r="L3" s="190"/>
    </row>
    <row r="4" spans="1:12">
      <c r="A4" s="191"/>
      <c r="B4" s="191"/>
      <c r="C4" s="191"/>
      <c r="D4" s="191"/>
      <c r="E4" s="191"/>
      <c r="F4" s="191"/>
      <c r="G4" s="191"/>
      <c r="H4" s="191"/>
      <c r="I4" s="191"/>
      <c r="J4" s="191"/>
      <c r="K4" s="191"/>
      <c r="L4" s="191"/>
    </row>
    <row r="5" spans="1:12">
      <c r="A5" s="161" t="s">
        <v>489</v>
      </c>
      <c r="B5" s="162" t="str">
        <f>LOOKUP(2,1/((A37:A46)&lt;&gt;""),(A37:A46))</f>
        <v>1.1.0</v>
      </c>
      <c r="C5" s="163"/>
      <c r="D5" s="163"/>
      <c r="E5" s="163"/>
      <c r="F5" s="163"/>
      <c r="G5" s="163"/>
      <c r="H5" s="163"/>
      <c r="I5" s="163"/>
      <c r="J5" s="163"/>
      <c r="K5" s="164"/>
      <c r="L5" s="165"/>
    </row>
    <row r="6" spans="1:12">
      <c r="A6" s="161"/>
      <c r="B6" s="162"/>
      <c r="C6" s="163"/>
      <c r="D6" s="163"/>
      <c r="E6" s="163"/>
      <c r="F6" s="163"/>
      <c r="G6" s="163"/>
      <c r="H6" s="163"/>
      <c r="I6" s="163"/>
      <c r="J6" s="165"/>
      <c r="K6" s="165"/>
      <c r="L6" s="165"/>
    </row>
    <row r="35" spans="1:39">
      <c r="A35" s="168" t="s">
        <v>491</v>
      </c>
      <c r="B35" s="169"/>
      <c r="C35" s="163"/>
      <c r="D35" s="163"/>
      <c r="E35" s="163"/>
      <c r="F35" s="163"/>
      <c r="G35" s="163"/>
      <c r="H35" s="163"/>
      <c r="I35" s="163"/>
      <c r="J35" s="163"/>
      <c r="K35" s="163"/>
    </row>
    <row r="36" spans="1:39">
      <c r="A36" s="170" t="s">
        <v>492</v>
      </c>
      <c r="B36" s="192" t="s">
        <v>493</v>
      </c>
      <c r="C36" s="192"/>
      <c r="D36" s="192"/>
      <c r="E36" s="192"/>
      <c r="F36" s="192"/>
      <c r="G36" s="192"/>
      <c r="H36" s="192"/>
      <c r="I36" s="192"/>
      <c r="J36" s="192"/>
      <c r="K36" s="192"/>
    </row>
    <row r="37" spans="1:39">
      <c r="A37" s="168" t="s">
        <v>490</v>
      </c>
      <c r="B37" s="193" t="s">
        <v>494</v>
      </c>
      <c r="C37" s="193"/>
      <c r="D37" s="193"/>
      <c r="E37" s="193"/>
      <c r="F37" s="193"/>
      <c r="G37" s="193"/>
      <c r="H37" s="193"/>
      <c r="I37" s="193"/>
      <c r="J37" s="193"/>
      <c r="K37" s="193"/>
    </row>
    <row r="38" spans="1:39" ht="14.25" customHeight="1">
      <c r="A38" s="168" t="s">
        <v>495</v>
      </c>
      <c r="B38" s="194" t="s">
        <v>496</v>
      </c>
      <c r="C38" s="193"/>
      <c r="D38" s="193"/>
      <c r="E38" s="193"/>
      <c r="F38" s="193"/>
      <c r="G38" s="193"/>
      <c r="H38" s="193"/>
      <c r="I38" s="193"/>
      <c r="J38" s="193"/>
      <c r="K38" s="193"/>
    </row>
    <row r="39" spans="1:39" ht="14.25" customHeight="1">
      <c r="A39" s="168"/>
      <c r="B39" s="189"/>
      <c r="C39" s="189"/>
      <c r="D39" s="189"/>
      <c r="E39" s="189"/>
      <c r="F39" s="189"/>
      <c r="G39" s="189"/>
      <c r="H39" s="189"/>
      <c r="I39" s="189"/>
      <c r="J39" s="189"/>
      <c r="K39" s="189"/>
    </row>
    <row r="40" spans="1:39" ht="14.25" customHeight="1">
      <c r="A40" s="168"/>
      <c r="B40" s="189"/>
      <c r="C40" s="189"/>
      <c r="D40" s="189"/>
      <c r="E40" s="189"/>
      <c r="F40" s="189"/>
      <c r="G40" s="189"/>
      <c r="H40" s="189"/>
      <c r="I40" s="189"/>
      <c r="J40" s="189"/>
      <c r="K40" s="189"/>
    </row>
    <row r="41" spans="1:39" ht="14.25" customHeight="1">
      <c r="A41" s="168"/>
      <c r="B41" s="189"/>
      <c r="C41" s="189"/>
      <c r="D41" s="189"/>
      <c r="E41" s="189"/>
      <c r="F41" s="189"/>
      <c r="G41" s="189"/>
      <c r="H41" s="189"/>
      <c r="I41" s="189"/>
      <c r="J41" s="189"/>
      <c r="K41" s="189"/>
    </row>
    <row r="42" spans="1:39">
      <c r="A42" s="168"/>
      <c r="B42" s="189"/>
      <c r="C42" s="189"/>
      <c r="D42" s="189"/>
      <c r="E42" s="189"/>
      <c r="F42" s="189"/>
      <c r="G42" s="189"/>
      <c r="H42" s="189"/>
      <c r="I42" s="189"/>
      <c r="J42" s="189"/>
      <c r="K42" s="189"/>
    </row>
    <row r="43" spans="1:39">
      <c r="A43" s="168"/>
      <c r="B43" s="189"/>
      <c r="C43" s="189"/>
      <c r="D43" s="189"/>
      <c r="E43" s="189"/>
      <c r="F43" s="189"/>
      <c r="G43" s="189"/>
      <c r="H43" s="189"/>
      <c r="I43" s="189"/>
      <c r="J43" s="189"/>
      <c r="K43" s="189"/>
    </row>
    <row r="44" spans="1:39">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c r="A45" s="168"/>
      <c r="B45" s="189"/>
      <c r="C45" s="189"/>
      <c r="D45" s="189"/>
      <c r="E45" s="189"/>
      <c r="F45" s="189"/>
      <c r="G45" s="189"/>
      <c r="H45" s="189"/>
      <c r="I45" s="189"/>
      <c r="J45" s="189"/>
      <c r="K45" s="189"/>
    </row>
    <row r="46" spans="1:39">
      <c r="A46" s="168"/>
      <c r="B46" s="189"/>
      <c r="C46" s="189"/>
      <c r="D46" s="189"/>
      <c r="E46" s="189"/>
      <c r="F46" s="189"/>
      <c r="G46" s="189"/>
      <c r="H46" s="189"/>
      <c r="I46" s="189"/>
      <c r="J46" s="189"/>
      <c r="K46" s="189"/>
    </row>
    <row r="47" spans="1:39">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46:K46"/>
    <mergeCell ref="B47:K47"/>
    <mergeCell ref="B40:K40"/>
    <mergeCell ref="B41:K41"/>
    <mergeCell ref="B42:K42"/>
    <mergeCell ref="B43:K43"/>
    <mergeCell ref="B44:K44"/>
    <mergeCell ref="B45:K45"/>
    <mergeCell ref="B39:K39"/>
    <mergeCell ref="A1:L3"/>
    <mergeCell ref="A4:L4"/>
    <mergeCell ref="B36:K36"/>
    <mergeCell ref="B37:K37"/>
    <mergeCell ref="B38:K38"/>
  </mergeCells>
  <phoneticPr fontId="31"/>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baseColWidth="10" defaultColWidth="8.83203125" defaultRowHeight="14"/>
  <cols>
    <col min="1" max="1" width="46.5" style="34" customWidth="1"/>
    <col min="2" max="2" width="12.6640625" style="33" bestFit="1" customWidth="1"/>
    <col min="3" max="3" width="10" style="34" bestFit="1" customWidth="1"/>
    <col min="4" max="4" width="10.33203125" style="34" bestFit="1" customWidth="1"/>
    <col min="5" max="5" width="10.33203125" style="34" customWidth="1"/>
    <col min="6" max="11" width="10.33203125" customWidth="1"/>
    <col min="12" max="12" width="10.8320312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3203125" customWidth="1"/>
    <col min="56" max="56" width="9.1640625" customWidth="1"/>
    <col min="59" max="59" width="9.1640625" customWidth="1"/>
  </cols>
  <sheetData>
    <row r="2" spans="1:39">
      <c r="N2" t="s">
        <v>28</v>
      </c>
    </row>
    <row r="3" spans="1:39" ht="15" thickBot="1"/>
    <row r="4" spans="1:39">
      <c r="P4" s="196" t="s">
        <v>375</v>
      </c>
      <c r="Q4" s="197"/>
      <c r="R4" s="197"/>
      <c r="S4" s="198"/>
      <c r="T4" s="196" t="s">
        <v>24</v>
      </c>
      <c r="U4" s="197"/>
      <c r="V4" s="197"/>
      <c r="W4" s="198"/>
      <c r="X4" s="196" t="s">
        <v>75</v>
      </c>
      <c r="Y4" s="197"/>
      <c r="Z4" s="197"/>
      <c r="AA4" s="198"/>
      <c r="AB4" s="196" t="s">
        <v>376</v>
      </c>
      <c r="AC4" s="197"/>
      <c r="AD4" s="197"/>
      <c r="AE4" s="198"/>
      <c r="AF4" s="196" t="s">
        <v>377</v>
      </c>
      <c r="AG4" s="197"/>
      <c r="AH4" s="197"/>
      <c r="AI4" s="198"/>
      <c r="AJ4" s="196" t="s">
        <v>378</v>
      </c>
      <c r="AK4" s="197"/>
      <c r="AL4" s="197"/>
      <c r="AM4" s="198"/>
    </row>
    <row r="5" spans="1:39" ht="4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c r="A6" s="199" t="s">
        <v>118</v>
      </c>
      <c r="B6" s="199"/>
      <c r="C6" s="199"/>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c r="A7" s="31" t="s">
        <v>108</v>
      </c>
      <c r="B7" s="49">
        <f>Design_Converter!B11</f>
        <v>45</v>
      </c>
      <c r="C7" s="31" t="s">
        <v>1</v>
      </c>
      <c r="E7" s="34" t="s">
        <v>119</v>
      </c>
      <c r="I7" s="36"/>
      <c r="J7" t="s">
        <v>127</v>
      </c>
      <c r="N7">
        <v>1E-3</v>
      </c>
      <c r="O7">
        <f t="shared" si="0"/>
        <v>1</v>
      </c>
      <c r="P7" s="5">
        <f t="shared" si="1"/>
        <v>0.25854292572887083</v>
      </c>
      <c r="Q7" s="1">
        <f t="shared" si="2"/>
        <v>0.32317865716108851</v>
      </c>
      <c r="R7" s="1">
        <f t="shared" si="3"/>
        <v>3.4380708208626447</v>
      </c>
      <c r="S7" s="6">
        <f t="shared" si="4"/>
        <v>3.4380708208626447</v>
      </c>
      <c r="T7" s="5">
        <f t="shared" si="5"/>
        <v>0.22390474164995552</v>
      </c>
      <c r="U7" s="1">
        <f t="shared" si="6"/>
        <v>0.33585711247493327</v>
      </c>
      <c r="V7" s="1">
        <f t="shared" si="7"/>
        <v>3.5729480050524822</v>
      </c>
      <c r="W7" s="6">
        <f t="shared" si="8"/>
        <v>3.5729480050524822</v>
      </c>
      <c r="X7" s="5">
        <f t="shared" si="9"/>
        <v>0.19764851394567848</v>
      </c>
      <c r="Y7" s="1">
        <f t="shared" si="10"/>
        <v>0.34588489940493733</v>
      </c>
      <c r="Z7" s="1">
        <f t="shared" si="11"/>
        <v>3.6796265894142275</v>
      </c>
      <c r="AA7" s="6">
        <f t="shared" si="12"/>
        <v>3.6796265894142275</v>
      </c>
      <c r="AB7" s="5">
        <f t="shared" si="13"/>
        <v>0.21015489374525487</v>
      </c>
      <c r="AC7" s="1">
        <f t="shared" si="14"/>
        <v>0.35783130556624476</v>
      </c>
      <c r="AD7" s="1">
        <f t="shared" si="15"/>
        <v>3.5212123154125154</v>
      </c>
      <c r="AE7" s="6">
        <f t="shared" si="16"/>
        <v>3.5212123154125154</v>
      </c>
      <c r="AF7" s="5">
        <f t="shared" si="17"/>
        <v>0.22390474164995552</v>
      </c>
      <c r="AG7" s="1">
        <f t="shared" si="18"/>
        <v>0.33585711247493327</v>
      </c>
      <c r="AH7" s="1">
        <f t="shared" ref="AH7:AH56" si="25">IF($O7&lt;((V48_Nom-V12_Nom)*V12_Nom)/((2*Lm*Fsw)*V48_Nom),(AF7/(Fsw*Lm))*(V48_Nom-V12_Nom),((AF7/(Fsw*Lm))*(V48_Nom-V12_Nom)))</f>
        <v>3.5729480050524822</v>
      </c>
      <c r="AI7" s="6">
        <f t="shared" ref="AI7:AI56" si="26">IF($O7&lt;((V48_Nom-V12_Nom)*V12_Nom)/((2*Lm*Fsw)*V48_Nom),(AF7/(Fsw*Lm))*(V48_Nom-V12_Nom),(AH7/2)+$O7)</f>
        <v>3.5729480050524822</v>
      </c>
      <c r="AJ7" s="5">
        <f t="shared" si="21"/>
        <v>0.27422618401604176</v>
      </c>
      <c r="AK7" s="1">
        <f t="shared" si="22"/>
        <v>0.27422618401604176</v>
      </c>
      <c r="AL7" s="1">
        <f t="shared" si="23"/>
        <v>3.6466247874473638</v>
      </c>
      <c r="AM7" s="6">
        <f t="shared" si="24"/>
        <v>3.6466247874473638</v>
      </c>
    </row>
    <row r="8" spans="1:39">
      <c r="A8" s="31" t="s">
        <v>109</v>
      </c>
      <c r="B8" s="49">
        <f>Design_Converter!B12</f>
        <v>50</v>
      </c>
      <c r="C8" s="31" t="s">
        <v>1</v>
      </c>
      <c r="E8" s="34" t="s">
        <v>120</v>
      </c>
      <c r="I8" s="37"/>
      <c r="J8" t="s">
        <v>128</v>
      </c>
      <c r="N8">
        <v>2E-3</v>
      </c>
      <c r="O8">
        <f t="shared" si="0"/>
        <v>2</v>
      </c>
      <c r="P8" s="5">
        <f t="shared" si="1"/>
        <v>0.36563491202138898</v>
      </c>
      <c r="Q8" s="1">
        <f t="shared" si="2"/>
        <v>0.45704364002673625</v>
      </c>
      <c r="R8" s="1">
        <f t="shared" si="3"/>
        <v>4.8621663832631512</v>
      </c>
      <c r="S8" s="6">
        <f t="shared" si="4"/>
        <v>4.8621663832631512</v>
      </c>
      <c r="T8" s="5">
        <f t="shared" si="5"/>
        <v>0.31664912232101111</v>
      </c>
      <c r="U8" s="1">
        <f t="shared" si="6"/>
        <v>0.4749736834815167</v>
      </c>
      <c r="V8" s="1">
        <f t="shared" si="7"/>
        <v>5.0529115263991136</v>
      </c>
      <c r="W8" s="6">
        <f t="shared" si="8"/>
        <v>5.0529115263991136</v>
      </c>
      <c r="X8" s="5">
        <f t="shared" si="9"/>
        <v>0.27951720900486632</v>
      </c>
      <c r="Y8" s="1">
        <f t="shared" si="10"/>
        <v>0.48915511575851606</v>
      </c>
      <c r="Z8" s="1">
        <f t="shared" si="11"/>
        <v>5.2037778272182562</v>
      </c>
      <c r="AA8" s="6">
        <f t="shared" si="12"/>
        <v>5.2037778272182562</v>
      </c>
      <c r="AB8" s="5">
        <f t="shared" si="13"/>
        <v>0.29720390093361615</v>
      </c>
      <c r="AC8" s="1">
        <f t="shared" si="14"/>
        <v>0.50604988537345452</v>
      </c>
      <c r="AD8" s="1">
        <f t="shared" si="15"/>
        <v>4.9797462124515475</v>
      </c>
      <c r="AE8" s="6">
        <f t="shared" si="16"/>
        <v>4.9797462124515475</v>
      </c>
      <c r="AF8" s="5">
        <f t="shared" si="17"/>
        <v>0.31664912232101111</v>
      </c>
      <c r="AG8" s="1">
        <f t="shared" si="18"/>
        <v>0.4749736834815167</v>
      </c>
      <c r="AH8" s="1">
        <f t="shared" si="25"/>
        <v>5.0529115263991136</v>
      </c>
      <c r="AI8" s="6">
        <f t="shared" si="26"/>
        <v>5.0529115263991136</v>
      </c>
      <c r="AJ8" s="5">
        <f t="shared" si="21"/>
        <v>0.3878143885933063</v>
      </c>
      <c r="AK8" s="1">
        <f t="shared" si="22"/>
        <v>0.3878143885933063</v>
      </c>
      <c r="AL8" s="1">
        <f t="shared" si="23"/>
        <v>5.1571062312939668</v>
      </c>
      <c r="AM8" s="6">
        <f t="shared" si="24"/>
        <v>5.1571062312939668</v>
      </c>
    </row>
    <row r="9" spans="1:39">
      <c r="A9" s="31" t="s">
        <v>110</v>
      </c>
      <c r="B9" s="49">
        <f>Design_Converter!B13</f>
        <v>55</v>
      </c>
      <c r="C9" s="31" t="s">
        <v>1</v>
      </c>
      <c r="E9" s="34" t="s">
        <v>125</v>
      </c>
      <c r="I9" s="38"/>
      <c r="J9" t="s">
        <v>138</v>
      </c>
      <c r="N9">
        <v>3.0000000000000001E-3</v>
      </c>
      <c r="O9">
        <f t="shared" si="0"/>
        <v>3</v>
      </c>
      <c r="P9" s="5">
        <f t="shared" si="1"/>
        <v>0.44444444444444442</v>
      </c>
      <c r="Q9" s="1">
        <f t="shared" si="2"/>
        <v>0.55555555555555558</v>
      </c>
      <c r="R9" s="1">
        <f t="shared" si="3"/>
        <v>5.9101654846335698</v>
      </c>
      <c r="S9" s="6">
        <f t="shared" si="4"/>
        <v>5.9550827423167849</v>
      </c>
      <c r="T9" s="5">
        <f t="shared" si="5"/>
        <v>0.3878143885933063</v>
      </c>
      <c r="U9" s="1">
        <f t="shared" si="6"/>
        <v>0.58172158288995945</v>
      </c>
      <c r="V9" s="1">
        <f t="shared" si="7"/>
        <v>6.1885274775527606</v>
      </c>
      <c r="W9" s="6">
        <f t="shared" si="8"/>
        <v>6.1885274775527606</v>
      </c>
      <c r="X9" s="5">
        <f t="shared" si="9"/>
        <v>0.34233726819440097</v>
      </c>
      <c r="Y9" s="1">
        <f t="shared" si="10"/>
        <v>0.59909021934020168</v>
      </c>
      <c r="Z9" s="1">
        <f t="shared" si="11"/>
        <v>6.3733002057468271</v>
      </c>
      <c r="AA9" s="6">
        <f t="shared" si="12"/>
        <v>6.3733002057468271</v>
      </c>
      <c r="AB9" s="5">
        <f t="shared" si="13"/>
        <v>0.36399895342602034</v>
      </c>
      <c r="AC9" s="1">
        <f t="shared" si="14"/>
        <v>0.61978200177943998</v>
      </c>
      <c r="AD9" s="1">
        <f t="shared" si="15"/>
        <v>6.0989186345317243</v>
      </c>
      <c r="AE9" s="6">
        <f t="shared" si="16"/>
        <v>6.0989186345317243</v>
      </c>
      <c r="AF9" s="5">
        <f t="shared" si="17"/>
        <v>0.3878143885933063</v>
      </c>
      <c r="AG9" s="1">
        <f t="shared" si="18"/>
        <v>0.58172158288995945</v>
      </c>
      <c r="AH9" s="1">
        <f t="shared" si="25"/>
        <v>6.1885274775527606</v>
      </c>
      <c r="AI9" s="6">
        <f t="shared" si="26"/>
        <v>6.1885274775527606</v>
      </c>
      <c r="AJ9" s="5">
        <f t="shared" si="21"/>
        <v>0.4749736834815167</v>
      </c>
      <c r="AK9" s="1">
        <f t="shared" si="22"/>
        <v>0.4749736834815167</v>
      </c>
      <c r="AL9" s="1">
        <f t="shared" si="23"/>
        <v>6.3161394079988931</v>
      </c>
      <c r="AM9" s="6">
        <f t="shared" si="24"/>
        <v>6.3161394079988931</v>
      </c>
    </row>
    <row r="10" spans="1:39">
      <c r="A10" s="199" t="s">
        <v>121</v>
      </c>
      <c r="B10" s="199"/>
      <c r="C10" s="199"/>
      <c r="I10" s="39"/>
      <c r="J10" t="s">
        <v>145</v>
      </c>
      <c r="N10">
        <v>4.0000000000000001E-3</v>
      </c>
      <c r="O10">
        <f t="shared" si="0"/>
        <v>4</v>
      </c>
      <c r="P10" s="5">
        <f t="shared" si="1"/>
        <v>0.44444444444444442</v>
      </c>
      <c r="Q10" s="1">
        <f t="shared" si="2"/>
        <v>0.55555555555555558</v>
      </c>
      <c r="R10" s="1">
        <f t="shared" si="3"/>
        <v>5.9101654846335698</v>
      </c>
      <c r="S10" s="6">
        <f t="shared" si="4"/>
        <v>6.9550827423167849</v>
      </c>
      <c r="T10" s="5">
        <f t="shared" si="5"/>
        <v>0.4</v>
      </c>
      <c r="U10" s="1">
        <f t="shared" si="6"/>
        <v>0.6</v>
      </c>
      <c r="V10" s="1">
        <f t="shared" si="7"/>
        <v>6.3829787234042561</v>
      </c>
      <c r="W10" s="6">
        <f t="shared" si="8"/>
        <v>7.1914893617021285</v>
      </c>
      <c r="X10" s="5">
        <f t="shared" si="9"/>
        <v>0.36363636363636365</v>
      </c>
      <c r="Y10" s="1">
        <f t="shared" si="10"/>
        <v>0.63636363636363635</v>
      </c>
      <c r="Z10" s="1">
        <f t="shared" si="11"/>
        <v>6.7698259187620895</v>
      </c>
      <c r="AA10" s="6">
        <f t="shared" si="12"/>
        <v>7.3849129593810448</v>
      </c>
      <c r="AB10" s="5">
        <f t="shared" si="13"/>
        <v>0.37</v>
      </c>
      <c r="AC10" s="1">
        <f t="shared" si="14"/>
        <v>0.63</v>
      </c>
      <c r="AD10" s="1">
        <f t="shared" si="15"/>
        <v>6.1994680851063828</v>
      </c>
      <c r="AE10" s="6">
        <f t="shared" si="16"/>
        <v>7.099734042553191</v>
      </c>
      <c r="AF10" s="5">
        <f t="shared" si="17"/>
        <v>0.4</v>
      </c>
      <c r="AG10" s="1">
        <f t="shared" si="18"/>
        <v>0.6</v>
      </c>
      <c r="AH10" s="1">
        <f t="shared" si="25"/>
        <v>6.3829787234042561</v>
      </c>
      <c r="AI10" s="6">
        <f t="shared" si="26"/>
        <v>7.1914893617021285</v>
      </c>
      <c r="AJ10" s="5">
        <f t="shared" si="21"/>
        <v>0.5</v>
      </c>
      <c r="AK10" s="1">
        <f t="shared" si="22"/>
        <v>0.5</v>
      </c>
      <c r="AL10" s="1">
        <f t="shared" si="23"/>
        <v>6.6489361702127656</v>
      </c>
      <c r="AM10" s="6">
        <f t="shared" si="24"/>
        <v>7.3244680851063828</v>
      </c>
    </row>
    <row r="11" spans="1:39">
      <c r="A11" s="31" t="s">
        <v>76</v>
      </c>
      <c r="B11" s="49">
        <f>Design_Converter!B16</f>
        <v>18.5</v>
      </c>
      <c r="C11" s="31" t="s">
        <v>1</v>
      </c>
      <c r="E11" s="34" t="s">
        <v>122</v>
      </c>
      <c r="N11">
        <v>5.0000000000000001E-3</v>
      </c>
      <c r="O11">
        <f t="shared" si="0"/>
        <v>5</v>
      </c>
      <c r="P11" s="5">
        <f t="shared" si="1"/>
        <v>0.44444444444444442</v>
      </c>
      <c r="Q11" s="1">
        <f t="shared" si="2"/>
        <v>0.55555555555555558</v>
      </c>
      <c r="R11" s="1">
        <f t="shared" si="3"/>
        <v>5.9101654846335698</v>
      </c>
      <c r="S11" s="6">
        <f t="shared" si="4"/>
        <v>7.9550827423167849</v>
      </c>
      <c r="T11" s="5">
        <f t="shared" si="5"/>
        <v>0.4</v>
      </c>
      <c r="U11" s="1">
        <f t="shared" si="6"/>
        <v>0.6</v>
      </c>
      <c r="V11" s="1">
        <f t="shared" si="7"/>
        <v>6.3829787234042561</v>
      </c>
      <c r="W11" s="6">
        <f t="shared" si="8"/>
        <v>8.1914893617021285</v>
      </c>
      <c r="X11" s="5">
        <f t="shared" si="9"/>
        <v>0.36363636363636365</v>
      </c>
      <c r="Y11" s="1">
        <f t="shared" si="10"/>
        <v>0.63636363636363635</v>
      </c>
      <c r="Z11" s="1">
        <f t="shared" si="11"/>
        <v>6.7698259187620895</v>
      </c>
      <c r="AA11" s="6">
        <f t="shared" si="12"/>
        <v>8.3849129593810439</v>
      </c>
      <c r="AB11" s="5">
        <f t="shared" si="13"/>
        <v>0.37</v>
      </c>
      <c r="AC11" s="1">
        <f t="shared" si="14"/>
        <v>0.63</v>
      </c>
      <c r="AD11" s="1">
        <f t="shared" si="15"/>
        <v>6.1994680851063828</v>
      </c>
      <c r="AE11" s="6">
        <f t="shared" si="16"/>
        <v>8.099734042553191</v>
      </c>
      <c r="AF11" s="5">
        <f t="shared" si="17"/>
        <v>0.4</v>
      </c>
      <c r="AG11" s="1">
        <f t="shared" si="18"/>
        <v>0.6</v>
      </c>
      <c r="AH11" s="1">
        <f t="shared" si="25"/>
        <v>6.3829787234042561</v>
      </c>
      <c r="AI11" s="6">
        <f t="shared" si="26"/>
        <v>8.1914893617021285</v>
      </c>
      <c r="AJ11" s="5">
        <f t="shared" si="21"/>
        <v>0.5</v>
      </c>
      <c r="AK11" s="1">
        <f t="shared" si="22"/>
        <v>0.5</v>
      </c>
      <c r="AL11" s="1">
        <f t="shared" si="23"/>
        <v>6.6489361702127656</v>
      </c>
      <c r="AM11" s="6">
        <f t="shared" si="24"/>
        <v>8.3244680851063819</v>
      </c>
    </row>
    <row r="12" spans="1:39">
      <c r="A12" s="31" t="s">
        <v>77</v>
      </c>
      <c r="B12" s="49">
        <f>Design_Converter!B17</f>
        <v>20</v>
      </c>
      <c r="C12" s="31" t="s">
        <v>1</v>
      </c>
      <c r="E12" s="34" t="s">
        <v>123</v>
      </c>
      <c r="N12">
        <v>6.0000000000000001E-3</v>
      </c>
      <c r="O12">
        <f t="shared" si="0"/>
        <v>6</v>
      </c>
      <c r="P12" s="5">
        <f t="shared" si="1"/>
        <v>0.44444444444444442</v>
      </c>
      <c r="Q12" s="1">
        <f t="shared" si="2"/>
        <v>0.55555555555555558</v>
      </c>
      <c r="R12" s="1">
        <f t="shared" si="3"/>
        <v>5.9101654846335698</v>
      </c>
      <c r="S12" s="6">
        <f t="shared" si="4"/>
        <v>8.9550827423167849</v>
      </c>
      <c r="T12" s="5">
        <f t="shared" si="5"/>
        <v>0.4</v>
      </c>
      <c r="U12" s="1">
        <f t="shared" si="6"/>
        <v>0.6</v>
      </c>
      <c r="V12" s="1">
        <f t="shared" si="7"/>
        <v>6.3829787234042561</v>
      </c>
      <c r="W12" s="6">
        <f t="shared" si="8"/>
        <v>9.1914893617021285</v>
      </c>
      <c r="X12" s="5">
        <f t="shared" si="9"/>
        <v>0.36363636363636365</v>
      </c>
      <c r="Y12" s="1">
        <f t="shared" si="10"/>
        <v>0.63636363636363635</v>
      </c>
      <c r="Z12" s="1">
        <f t="shared" si="11"/>
        <v>6.7698259187620895</v>
      </c>
      <c r="AA12" s="6">
        <f t="shared" si="12"/>
        <v>9.3849129593810439</v>
      </c>
      <c r="AB12" s="5">
        <f t="shared" si="13"/>
        <v>0.37</v>
      </c>
      <c r="AC12" s="1">
        <f t="shared" si="14"/>
        <v>0.63</v>
      </c>
      <c r="AD12" s="1">
        <f t="shared" si="15"/>
        <v>6.1994680851063828</v>
      </c>
      <c r="AE12" s="6">
        <f t="shared" si="16"/>
        <v>9.099734042553191</v>
      </c>
      <c r="AF12" s="5">
        <f t="shared" si="17"/>
        <v>0.4</v>
      </c>
      <c r="AG12" s="1">
        <f t="shared" si="18"/>
        <v>0.6</v>
      </c>
      <c r="AH12" s="1">
        <f t="shared" si="25"/>
        <v>6.3829787234042561</v>
      </c>
      <c r="AI12" s="6">
        <f t="shared" si="26"/>
        <v>9.1914893617021285</v>
      </c>
      <c r="AJ12" s="5">
        <f t="shared" si="21"/>
        <v>0.5</v>
      </c>
      <c r="AK12" s="1">
        <f t="shared" si="22"/>
        <v>0.5</v>
      </c>
      <c r="AL12" s="1">
        <f t="shared" si="23"/>
        <v>6.6489361702127656</v>
      </c>
      <c r="AM12" s="6">
        <f t="shared" si="24"/>
        <v>9.3244680851063819</v>
      </c>
    </row>
    <row r="13" spans="1:39">
      <c r="A13" s="31" t="s">
        <v>78</v>
      </c>
      <c r="B13" s="49">
        <f>Design_Converter!B18</f>
        <v>25</v>
      </c>
      <c r="C13" s="31" t="s">
        <v>1</v>
      </c>
      <c r="E13" s="34" t="s">
        <v>124</v>
      </c>
      <c r="N13">
        <v>7.0000000000000001E-3</v>
      </c>
      <c r="O13">
        <f t="shared" si="0"/>
        <v>7</v>
      </c>
      <c r="P13" s="5">
        <f t="shared" si="1"/>
        <v>0.44444444444444442</v>
      </c>
      <c r="Q13" s="1">
        <f t="shared" si="2"/>
        <v>0.55555555555555558</v>
      </c>
      <c r="R13" s="1">
        <f t="shared" si="3"/>
        <v>5.9101654846335698</v>
      </c>
      <c r="S13" s="6">
        <f t="shared" si="4"/>
        <v>9.9550827423167849</v>
      </c>
      <c r="T13" s="5">
        <f t="shared" si="5"/>
        <v>0.4</v>
      </c>
      <c r="U13" s="1">
        <f t="shared" si="6"/>
        <v>0.6</v>
      </c>
      <c r="V13" s="1">
        <f t="shared" si="7"/>
        <v>6.3829787234042561</v>
      </c>
      <c r="W13" s="6">
        <f t="shared" si="8"/>
        <v>10.191489361702128</v>
      </c>
      <c r="X13" s="5">
        <f t="shared" si="9"/>
        <v>0.36363636363636365</v>
      </c>
      <c r="Y13" s="1">
        <f t="shared" si="10"/>
        <v>0.63636363636363635</v>
      </c>
      <c r="Z13" s="1">
        <f t="shared" si="11"/>
        <v>6.7698259187620895</v>
      </c>
      <c r="AA13" s="6">
        <f t="shared" si="12"/>
        <v>10.384912959381044</v>
      </c>
      <c r="AB13" s="5">
        <f t="shared" si="13"/>
        <v>0.37</v>
      </c>
      <c r="AC13" s="1">
        <f t="shared" si="14"/>
        <v>0.63</v>
      </c>
      <c r="AD13" s="1">
        <f t="shared" si="15"/>
        <v>6.1994680851063828</v>
      </c>
      <c r="AE13" s="6">
        <f t="shared" si="16"/>
        <v>10.099734042553191</v>
      </c>
      <c r="AF13" s="5">
        <f t="shared" si="17"/>
        <v>0.4</v>
      </c>
      <c r="AG13" s="1">
        <f t="shared" si="18"/>
        <v>0.6</v>
      </c>
      <c r="AH13" s="1">
        <f t="shared" si="25"/>
        <v>6.3829787234042561</v>
      </c>
      <c r="AI13" s="6">
        <f t="shared" si="26"/>
        <v>10.191489361702128</v>
      </c>
      <c r="AJ13" s="5">
        <f t="shared" si="21"/>
        <v>0.5</v>
      </c>
      <c r="AK13" s="1">
        <f t="shared" si="22"/>
        <v>0.5</v>
      </c>
      <c r="AL13" s="1">
        <f t="shared" si="23"/>
        <v>6.6489361702127656</v>
      </c>
      <c r="AM13" s="6">
        <f t="shared" si="24"/>
        <v>10.324468085106382</v>
      </c>
    </row>
    <row r="14" spans="1:39">
      <c r="A14" s="199" t="s">
        <v>86</v>
      </c>
      <c r="B14" s="199"/>
      <c r="C14" s="199"/>
      <c r="N14">
        <v>8.0000000000000002E-3</v>
      </c>
      <c r="O14">
        <f t="shared" si="0"/>
        <v>8</v>
      </c>
      <c r="P14" s="5">
        <f t="shared" si="1"/>
        <v>0.44444444444444442</v>
      </c>
      <c r="Q14" s="1">
        <f t="shared" si="2"/>
        <v>0.55555555555555558</v>
      </c>
      <c r="R14" s="1">
        <f t="shared" si="3"/>
        <v>5.9101654846335698</v>
      </c>
      <c r="S14" s="6">
        <f t="shared" si="4"/>
        <v>10.955082742316785</v>
      </c>
      <c r="T14" s="5">
        <f t="shared" si="5"/>
        <v>0.4</v>
      </c>
      <c r="U14" s="1">
        <f t="shared" si="6"/>
        <v>0.6</v>
      </c>
      <c r="V14" s="1">
        <f t="shared" si="7"/>
        <v>6.3829787234042561</v>
      </c>
      <c r="W14" s="6">
        <f t="shared" si="8"/>
        <v>11.191489361702128</v>
      </c>
      <c r="X14" s="5">
        <f t="shared" si="9"/>
        <v>0.36363636363636365</v>
      </c>
      <c r="Y14" s="1">
        <f t="shared" si="10"/>
        <v>0.63636363636363635</v>
      </c>
      <c r="Z14" s="1">
        <f t="shared" si="11"/>
        <v>6.7698259187620895</v>
      </c>
      <c r="AA14" s="6">
        <f t="shared" si="12"/>
        <v>11.384912959381044</v>
      </c>
      <c r="AB14" s="5">
        <f t="shared" si="13"/>
        <v>0.37</v>
      </c>
      <c r="AC14" s="1">
        <f t="shared" si="14"/>
        <v>0.63</v>
      </c>
      <c r="AD14" s="1">
        <f t="shared" si="15"/>
        <v>6.1994680851063828</v>
      </c>
      <c r="AE14" s="6">
        <f t="shared" si="16"/>
        <v>11.099734042553191</v>
      </c>
      <c r="AF14" s="5">
        <f t="shared" si="17"/>
        <v>0.4</v>
      </c>
      <c r="AG14" s="1">
        <f t="shared" si="18"/>
        <v>0.6</v>
      </c>
      <c r="AH14" s="1">
        <f t="shared" si="25"/>
        <v>6.3829787234042561</v>
      </c>
      <c r="AI14" s="6">
        <f t="shared" si="26"/>
        <v>11.191489361702128</v>
      </c>
      <c r="AJ14" s="5">
        <f t="shared" si="21"/>
        <v>0.5</v>
      </c>
      <c r="AK14" s="1">
        <f t="shared" si="22"/>
        <v>0.5</v>
      </c>
      <c r="AL14" s="1">
        <f t="shared" si="23"/>
        <v>6.6489361702127656</v>
      </c>
      <c r="AM14" s="6">
        <f t="shared" si="24"/>
        <v>11.324468085106382</v>
      </c>
    </row>
    <row r="15" spans="1:39">
      <c r="A15" s="31" t="s">
        <v>129</v>
      </c>
      <c r="B15" s="49">
        <f>Design_Converter!B21*1000</f>
        <v>400000</v>
      </c>
      <c r="C15" s="31" t="s">
        <v>87</v>
      </c>
      <c r="D15" s="34">
        <f>IF(AND(B15&lt;=Constants!B39,B15&lt;=Constants!D39),1,0)</f>
        <v>0</v>
      </c>
      <c r="E15" s="34" t="s">
        <v>130</v>
      </c>
      <c r="N15">
        <v>8.9999999999999993E-3</v>
      </c>
      <c r="O15">
        <f t="shared" si="0"/>
        <v>9</v>
      </c>
      <c r="P15" s="5">
        <f t="shared" si="1"/>
        <v>0.44444444444444442</v>
      </c>
      <c r="Q15" s="1">
        <f t="shared" si="2"/>
        <v>0.55555555555555558</v>
      </c>
      <c r="R15" s="1">
        <f t="shared" si="3"/>
        <v>5.9101654846335698</v>
      </c>
      <c r="S15" s="6">
        <f t="shared" si="4"/>
        <v>11.955082742316785</v>
      </c>
      <c r="T15" s="5">
        <f t="shared" si="5"/>
        <v>0.4</v>
      </c>
      <c r="U15" s="1">
        <f t="shared" si="6"/>
        <v>0.6</v>
      </c>
      <c r="V15" s="1">
        <f t="shared" si="7"/>
        <v>6.3829787234042561</v>
      </c>
      <c r="W15" s="6">
        <f t="shared" si="8"/>
        <v>12.191489361702128</v>
      </c>
      <c r="X15" s="5">
        <f t="shared" si="9"/>
        <v>0.36363636363636365</v>
      </c>
      <c r="Y15" s="1">
        <f t="shared" si="10"/>
        <v>0.63636363636363635</v>
      </c>
      <c r="Z15" s="1">
        <f t="shared" si="11"/>
        <v>6.7698259187620895</v>
      </c>
      <c r="AA15" s="6">
        <f t="shared" si="12"/>
        <v>12.384912959381044</v>
      </c>
      <c r="AB15" s="5">
        <f t="shared" si="13"/>
        <v>0.37</v>
      </c>
      <c r="AC15" s="1">
        <f t="shared" si="14"/>
        <v>0.63</v>
      </c>
      <c r="AD15" s="1">
        <f t="shared" si="15"/>
        <v>6.1994680851063828</v>
      </c>
      <c r="AE15" s="6">
        <f t="shared" si="16"/>
        <v>12.099734042553191</v>
      </c>
      <c r="AF15" s="5">
        <f t="shared" si="17"/>
        <v>0.4</v>
      </c>
      <c r="AG15" s="1">
        <f t="shared" si="18"/>
        <v>0.6</v>
      </c>
      <c r="AH15" s="1">
        <f t="shared" si="25"/>
        <v>6.3829787234042561</v>
      </c>
      <c r="AI15" s="6">
        <f t="shared" si="26"/>
        <v>12.191489361702128</v>
      </c>
      <c r="AJ15" s="5">
        <f t="shared" si="21"/>
        <v>0.5</v>
      </c>
      <c r="AK15" s="1">
        <f t="shared" si="22"/>
        <v>0.5</v>
      </c>
      <c r="AL15" s="1">
        <f t="shared" si="23"/>
        <v>6.6489361702127656</v>
      </c>
      <c r="AM15" s="6">
        <f t="shared" si="24"/>
        <v>12.324468085106382</v>
      </c>
    </row>
    <row r="16" spans="1:39">
      <c r="A16" s="31" t="s">
        <v>149</v>
      </c>
      <c r="B16" s="50">
        <f>Constants!C17/(Fsw*1000)</f>
        <v>10</v>
      </c>
      <c r="C16" s="31" t="s">
        <v>39</v>
      </c>
      <c r="D16" s="34" t="s">
        <v>98</v>
      </c>
      <c r="E16" s="34" t="s">
        <v>150</v>
      </c>
      <c r="N16">
        <v>0.01</v>
      </c>
      <c r="O16">
        <f t="shared" si="0"/>
        <v>10</v>
      </c>
      <c r="P16" s="5">
        <f t="shared" si="1"/>
        <v>0.44444444444444442</v>
      </c>
      <c r="Q16" s="1">
        <f t="shared" si="2"/>
        <v>0.55555555555555558</v>
      </c>
      <c r="R16" s="1">
        <f t="shared" si="3"/>
        <v>5.9101654846335698</v>
      </c>
      <c r="S16" s="6">
        <f t="shared" si="4"/>
        <v>12.955082742316785</v>
      </c>
      <c r="T16" s="5">
        <f t="shared" si="5"/>
        <v>0.4</v>
      </c>
      <c r="U16" s="1">
        <f t="shared" si="6"/>
        <v>0.6</v>
      </c>
      <c r="V16" s="1">
        <f t="shared" si="7"/>
        <v>6.3829787234042561</v>
      </c>
      <c r="W16" s="6">
        <f t="shared" si="8"/>
        <v>13.191489361702128</v>
      </c>
      <c r="X16" s="5">
        <f t="shared" si="9"/>
        <v>0.36363636363636365</v>
      </c>
      <c r="Y16" s="1">
        <f t="shared" si="10"/>
        <v>0.63636363636363635</v>
      </c>
      <c r="Z16" s="1">
        <f t="shared" si="11"/>
        <v>6.7698259187620895</v>
      </c>
      <c r="AA16" s="6">
        <f t="shared" si="12"/>
        <v>13.384912959381044</v>
      </c>
      <c r="AB16" s="5">
        <f t="shared" si="13"/>
        <v>0.37</v>
      </c>
      <c r="AC16" s="1">
        <f t="shared" si="14"/>
        <v>0.63</v>
      </c>
      <c r="AD16" s="1">
        <f t="shared" si="15"/>
        <v>6.1994680851063828</v>
      </c>
      <c r="AE16" s="6">
        <f t="shared" si="16"/>
        <v>13.099734042553191</v>
      </c>
      <c r="AF16" s="5">
        <f t="shared" si="17"/>
        <v>0.4</v>
      </c>
      <c r="AG16" s="1">
        <f t="shared" si="18"/>
        <v>0.6</v>
      </c>
      <c r="AH16" s="1">
        <f t="shared" si="25"/>
        <v>6.3829787234042561</v>
      </c>
      <c r="AI16" s="6">
        <f t="shared" si="26"/>
        <v>13.191489361702128</v>
      </c>
      <c r="AJ16" s="5">
        <f t="shared" si="21"/>
        <v>0.5</v>
      </c>
      <c r="AK16" s="1">
        <f t="shared" si="22"/>
        <v>0.5</v>
      </c>
      <c r="AL16" s="1">
        <f t="shared" si="23"/>
        <v>6.6489361702127656</v>
      </c>
      <c r="AM16" s="6">
        <f t="shared" si="24"/>
        <v>13.324468085106382</v>
      </c>
    </row>
    <row r="17" spans="1:39">
      <c r="A17" s="31" t="s">
        <v>88</v>
      </c>
      <c r="B17" s="51">
        <f>(1-(V12_Max/V48_Min))/Fsw</f>
        <v>1.111111111111111E-6</v>
      </c>
      <c r="C17" s="31" t="s">
        <v>23</v>
      </c>
      <c r="D17" s="34">
        <f>IF(B17&lt;Constants!C3,1,0)</f>
        <v>0</v>
      </c>
      <c r="N17">
        <v>1.0999999999999999E-2</v>
      </c>
      <c r="O17">
        <f t="shared" si="0"/>
        <v>11</v>
      </c>
      <c r="P17" s="5">
        <f t="shared" si="1"/>
        <v>0.44444444444444442</v>
      </c>
      <c r="Q17" s="1">
        <f t="shared" si="2"/>
        <v>0.55555555555555558</v>
      </c>
      <c r="R17" s="1">
        <f t="shared" si="3"/>
        <v>5.9101654846335698</v>
      </c>
      <c r="S17" s="6">
        <f t="shared" si="4"/>
        <v>13.955082742316785</v>
      </c>
      <c r="T17" s="5">
        <f t="shared" si="5"/>
        <v>0.4</v>
      </c>
      <c r="U17" s="1">
        <f t="shared" si="6"/>
        <v>0.6</v>
      </c>
      <c r="V17" s="1">
        <f t="shared" si="7"/>
        <v>6.3829787234042561</v>
      </c>
      <c r="W17" s="6">
        <f t="shared" si="8"/>
        <v>14.191489361702128</v>
      </c>
      <c r="X17" s="5">
        <f t="shared" si="9"/>
        <v>0.36363636363636365</v>
      </c>
      <c r="Y17" s="1">
        <f t="shared" si="10"/>
        <v>0.63636363636363635</v>
      </c>
      <c r="Z17" s="1">
        <f t="shared" si="11"/>
        <v>6.7698259187620895</v>
      </c>
      <c r="AA17" s="6">
        <f t="shared" si="12"/>
        <v>14.384912959381044</v>
      </c>
      <c r="AB17" s="5">
        <f t="shared" si="13"/>
        <v>0.37</v>
      </c>
      <c r="AC17" s="1">
        <f t="shared" si="14"/>
        <v>0.63</v>
      </c>
      <c r="AD17" s="1">
        <f t="shared" si="15"/>
        <v>6.1994680851063828</v>
      </c>
      <c r="AE17" s="6">
        <f t="shared" si="16"/>
        <v>14.099734042553191</v>
      </c>
      <c r="AF17" s="5">
        <f t="shared" si="17"/>
        <v>0.4</v>
      </c>
      <c r="AG17" s="1">
        <f t="shared" si="18"/>
        <v>0.6</v>
      </c>
      <c r="AH17" s="1">
        <f t="shared" si="25"/>
        <v>6.3829787234042561</v>
      </c>
      <c r="AI17" s="6">
        <f t="shared" si="26"/>
        <v>14.191489361702128</v>
      </c>
      <c r="AJ17" s="5">
        <f t="shared" si="21"/>
        <v>0.5</v>
      </c>
      <c r="AK17" s="1">
        <f t="shared" si="22"/>
        <v>0.5</v>
      </c>
      <c r="AL17" s="1">
        <f t="shared" si="23"/>
        <v>6.6489361702127656</v>
      </c>
      <c r="AM17" s="6">
        <f t="shared" si="24"/>
        <v>14.324468085106382</v>
      </c>
    </row>
    <row r="18" spans="1:39">
      <c r="A18" s="31" t="s">
        <v>89</v>
      </c>
      <c r="B18" s="51">
        <f>(V12_Min/V48_Max)/Fsw</f>
        <v>8.4090909090909093E-7</v>
      </c>
      <c r="C18" s="31" t="s">
        <v>23</v>
      </c>
      <c r="D18" s="34">
        <f>IF(B18&lt;Constants!C3,1,0)</f>
        <v>0</v>
      </c>
      <c r="N18">
        <v>1.2E-2</v>
      </c>
      <c r="O18">
        <f t="shared" si="0"/>
        <v>12</v>
      </c>
      <c r="P18" s="5">
        <f t="shared" si="1"/>
        <v>0.44444444444444442</v>
      </c>
      <c r="Q18" s="1">
        <f t="shared" si="2"/>
        <v>0.55555555555555558</v>
      </c>
      <c r="R18" s="1">
        <f t="shared" si="3"/>
        <v>5.9101654846335698</v>
      </c>
      <c r="S18" s="6">
        <f t="shared" si="4"/>
        <v>14.955082742316785</v>
      </c>
      <c r="T18" s="5">
        <f t="shared" si="5"/>
        <v>0.4</v>
      </c>
      <c r="U18" s="1">
        <f t="shared" si="6"/>
        <v>0.6</v>
      </c>
      <c r="V18" s="1">
        <f t="shared" si="7"/>
        <v>6.3829787234042561</v>
      </c>
      <c r="W18" s="6">
        <f t="shared" si="8"/>
        <v>15.191489361702128</v>
      </c>
      <c r="X18" s="5">
        <f t="shared" si="9"/>
        <v>0.36363636363636365</v>
      </c>
      <c r="Y18" s="1">
        <f t="shared" si="10"/>
        <v>0.63636363636363635</v>
      </c>
      <c r="Z18" s="1">
        <f t="shared" si="11"/>
        <v>6.7698259187620895</v>
      </c>
      <c r="AA18" s="6">
        <f t="shared" si="12"/>
        <v>15.384912959381044</v>
      </c>
      <c r="AB18" s="5">
        <f t="shared" si="13"/>
        <v>0.37</v>
      </c>
      <c r="AC18" s="1">
        <f t="shared" si="14"/>
        <v>0.63</v>
      </c>
      <c r="AD18" s="1">
        <f t="shared" si="15"/>
        <v>6.1994680851063828</v>
      </c>
      <c r="AE18" s="6">
        <f t="shared" si="16"/>
        <v>15.099734042553191</v>
      </c>
      <c r="AF18" s="5">
        <f t="shared" si="17"/>
        <v>0.4</v>
      </c>
      <c r="AG18" s="1">
        <f t="shared" si="18"/>
        <v>0.6</v>
      </c>
      <c r="AH18" s="1">
        <f t="shared" si="25"/>
        <v>6.3829787234042561</v>
      </c>
      <c r="AI18" s="6">
        <f t="shared" si="26"/>
        <v>15.191489361702128</v>
      </c>
      <c r="AJ18" s="5">
        <f t="shared" si="21"/>
        <v>0.5</v>
      </c>
      <c r="AK18" s="1">
        <f t="shared" si="22"/>
        <v>0.5</v>
      </c>
      <c r="AL18" s="1">
        <f t="shared" si="23"/>
        <v>6.6489361702127656</v>
      </c>
      <c r="AM18" s="6">
        <f t="shared" si="24"/>
        <v>15.324468085106382</v>
      </c>
    </row>
    <row r="19" spans="1:39">
      <c r="N19">
        <v>1.2999999999999999E-2</v>
      </c>
      <c r="O19">
        <f t="shared" si="0"/>
        <v>13</v>
      </c>
      <c r="P19" s="5">
        <f t="shared" si="1"/>
        <v>0.44444444444444442</v>
      </c>
      <c r="Q19" s="1">
        <f t="shared" si="2"/>
        <v>0.55555555555555558</v>
      </c>
      <c r="R19" s="1">
        <f t="shared" si="3"/>
        <v>5.9101654846335698</v>
      </c>
      <c r="S19" s="6">
        <f t="shared" si="4"/>
        <v>15.955082742316785</v>
      </c>
      <c r="T19" s="5">
        <f t="shared" si="5"/>
        <v>0.4</v>
      </c>
      <c r="U19" s="1">
        <f t="shared" si="6"/>
        <v>0.6</v>
      </c>
      <c r="V19" s="1">
        <f t="shared" si="7"/>
        <v>6.3829787234042561</v>
      </c>
      <c r="W19" s="6">
        <f t="shared" si="8"/>
        <v>16.191489361702128</v>
      </c>
      <c r="X19" s="5">
        <f t="shared" si="9"/>
        <v>0.36363636363636365</v>
      </c>
      <c r="Y19" s="1">
        <f t="shared" si="10"/>
        <v>0.63636363636363635</v>
      </c>
      <c r="Z19" s="1">
        <f t="shared" si="11"/>
        <v>6.7698259187620895</v>
      </c>
      <c r="AA19" s="6">
        <f t="shared" si="12"/>
        <v>16.384912959381044</v>
      </c>
      <c r="AB19" s="5">
        <f t="shared" si="13"/>
        <v>0.37</v>
      </c>
      <c r="AC19" s="1">
        <f t="shared" si="14"/>
        <v>0.63</v>
      </c>
      <c r="AD19" s="1">
        <f t="shared" si="15"/>
        <v>6.1994680851063828</v>
      </c>
      <c r="AE19" s="6">
        <f t="shared" si="16"/>
        <v>16.099734042553191</v>
      </c>
      <c r="AF19" s="5">
        <f t="shared" si="17"/>
        <v>0.4</v>
      </c>
      <c r="AG19" s="1">
        <f t="shared" si="18"/>
        <v>0.6</v>
      </c>
      <c r="AH19" s="1">
        <f t="shared" si="25"/>
        <v>6.3829787234042561</v>
      </c>
      <c r="AI19" s="6">
        <f t="shared" si="26"/>
        <v>16.191489361702128</v>
      </c>
      <c r="AJ19" s="5">
        <f t="shared" si="21"/>
        <v>0.5</v>
      </c>
      <c r="AK19" s="1">
        <f t="shared" si="22"/>
        <v>0.5</v>
      </c>
      <c r="AL19" s="1">
        <f t="shared" si="23"/>
        <v>6.6489361702127656</v>
      </c>
      <c r="AM19" s="6">
        <f t="shared" si="24"/>
        <v>16.324468085106382</v>
      </c>
    </row>
    <row r="20" spans="1:39">
      <c r="N20">
        <v>1.4E-2</v>
      </c>
      <c r="O20">
        <f t="shared" si="0"/>
        <v>14</v>
      </c>
      <c r="P20" s="5">
        <f t="shared" si="1"/>
        <v>0.44444444444444442</v>
      </c>
      <c r="Q20" s="1">
        <f t="shared" si="2"/>
        <v>0.55555555555555558</v>
      </c>
      <c r="R20" s="1">
        <f t="shared" si="3"/>
        <v>5.9101654846335698</v>
      </c>
      <c r="S20" s="6">
        <f t="shared" si="4"/>
        <v>16.955082742316783</v>
      </c>
      <c r="T20" s="5">
        <f t="shared" si="5"/>
        <v>0.4</v>
      </c>
      <c r="U20" s="1">
        <f t="shared" si="6"/>
        <v>0.6</v>
      </c>
      <c r="V20" s="1">
        <f t="shared" si="7"/>
        <v>6.3829787234042561</v>
      </c>
      <c r="W20" s="6">
        <f t="shared" si="8"/>
        <v>17.191489361702128</v>
      </c>
      <c r="X20" s="5">
        <f t="shared" si="9"/>
        <v>0.36363636363636365</v>
      </c>
      <c r="Y20" s="1">
        <f t="shared" si="10"/>
        <v>0.63636363636363635</v>
      </c>
      <c r="Z20" s="1">
        <f t="shared" si="11"/>
        <v>6.7698259187620895</v>
      </c>
      <c r="AA20" s="6">
        <f t="shared" si="12"/>
        <v>17.384912959381044</v>
      </c>
      <c r="AB20" s="5">
        <f t="shared" si="13"/>
        <v>0.37</v>
      </c>
      <c r="AC20" s="1">
        <f t="shared" si="14"/>
        <v>0.63</v>
      </c>
      <c r="AD20" s="1">
        <f t="shared" si="15"/>
        <v>6.1994680851063828</v>
      </c>
      <c r="AE20" s="6">
        <f t="shared" si="16"/>
        <v>17.099734042553191</v>
      </c>
      <c r="AF20" s="5">
        <f t="shared" si="17"/>
        <v>0.4</v>
      </c>
      <c r="AG20" s="1">
        <f t="shared" si="18"/>
        <v>0.6</v>
      </c>
      <c r="AH20" s="1">
        <f t="shared" si="25"/>
        <v>6.3829787234042561</v>
      </c>
      <c r="AI20" s="6">
        <f t="shared" si="26"/>
        <v>17.191489361702128</v>
      </c>
      <c r="AJ20" s="5">
        <f t="shared" si="21"/>
        <v>0.5</v>
      </c>
      <c r="AK20" s="1">
        <f t="shared" si="22"/>
        <v>0.5</v>
      </c>
      <c r="AL20" s="1">
        <f t="shared" si="23"/>
        <v>6.6489361702127656</v>
      </c>
      <c r="AM20" s="6">
        <f t="shared" si="24"/>
        <v>17.324468085106382</v>
      </c>
    </row>
    <row r="21" spans="1:39">
      <c r="A21" s="200" t="s">
        <v>131</v>
      </c>
      <c r="B21" s="201"/>
      <c r="C21" s="202"/>
      <c r="N21">
        <v>1.4999999999999999E-2</v>
      </c>
      <c r="O21">
        <f t="shared" si="0"/>
        <v>15</v>
      </c>
      <c r="P21" s="5">
        <f t="shared" si="1"/>
        <v>0.44444444444444442</v>
      </c>
      <c r="Q21" s="1">
        <f t="shared" si="2"/>
        <v>0.55555555555555558</v>
      </c>
      <c r="R21" s="1">
        <f t="shared" si="3"/>
        <v>5.9101654846335698</v>
      </c>
      <c r="S21" s="6">
        <f t="shared" si="4"/>
        <v>17.955082742316783</v>
      </c>
      <c r="T21" s="5">
        <f t="shared" si="5"/>
        <v>0.4</v>
      </c>
      <c r="U21" s="1">
        <f t="shared" si="6"/>
        <v>0.6</v>
      </c>
      <c r="V21" s="1">
        <f t="shared" si="7"/>
        <v>6.3829787234042561</v>
      </c>
      <c r="W21" s="6">
        <f t="shared" si="8"/>
        <v>18.191489361702128</v>
      </c>
      <c r="X21" s="5">
        <f t="shared" si="9"/>
        <v>0.36363636363636365</v>
      </c>
      <c r="Y21" s="1">
        <f t="shared" si="10"/>
        <v>0.63636363636363635</v>
      </c>
      <c r="Z21" s="1">
        <f t="shared" si="11"/>
        <v>6.7698259187620895</v>
      </c>
      <c r="AA21" s="6">
        <f t="shared" si="12"/>
        <v>18.384912959381044</v>
      </c>
      <c r="AB21" s="5">
        <f t="shared" si="13"/>
        <v>0.37</v>
      </c>
      <c r="AC21" s="1">
        <f t="shared" si="14"/>
        <v>0.63</v>
      </c>
      <c r="AD21" s="1">
        <f t="shared" si="15"/>
        <v>6.1994680851063828</v>
      </c>
      <c r="AE21" s="6">
        <f t="shared" si="16"/>
        <v>18.099734042553191</v>
      </c>
      <c r="AF21" s="5">
        <f t="shared" si="17"/>
        <v>0.4</v>
      </c>
      <c r="AG21" s="1">
        <f t="shared" si="18"/>
        <v>0.6</v>
      </c>
      <c r="AH21" s="1">
        <f t="shared" si="25"/>
        <v>6.3829787234042561</v>
      </c>
      <c r="AI21" s="6">
        <f t="shared" si="26"/>
        <v>18.191489361702128</v>
      </c>
      <c r="AJ21" s="5">
        <f t="shared" si="21"/>
        <v>0.5</v>
      </c>
      <c r="AK21" s="1">
        <f t="shared" si="22"/>
        <v>0.5</v>
      </c>
      <c r="AL21" s="1">
        <f t="shared" si="23"/>
        <v>6.6489361702127656</v>
      </c>
      <c r="AM21" s="6">
        <f t="shared" si="24"/>
        <v>18.324468085106382</v>
      </c>
    </row>
    <row r="22" spans="1:39">
      <c r="A22" s="31" t="s">
        <v>44</v>
      </c>
      <c r="B22" s="49">
        <f>Design_Converter!B26</f>
        <v>45</v>
      </c>
      <c r="C22" s="31" t="s">
        <v>4</v>
      </c>
      <c r="N22">
        <v>1.6E-2</v>
      </c>
      <c r="O22">
        <f t="shared" si="0"/>
        <v>16</v>
      </c>
      <c r="P22" s="5">
        <f t="shared" si="1"/>
        <v>0.44444444444444442</v>
      </c>
      <c r="Q22" s="1">
        <f t="shared" si="2"/>
        <v>0.55555555555555558</v>
      </c>
      <c r="R22" s="1">
        <f t="shared" si="3"/>
        <v>5.9101654846335698</v>
      </c>
      <c r="S22" s="6">
        <f t="shared" si="4"/>
        <v>18.955082742316783</v>
      </c>
      <c r="T22" s="5">
        <f t="shared" si="5"/>
        <v>0.4</v>
      </c>
      <c r="U22" s="1">
        <f t="shared" si="6"/>
        <v>0.6</v>
      </c>
      <c r="V22" s="1">
        <f t="shared" si="7"/>
        <v>6.3829787234042561</v>
      </c>
      <c r="W22" s="6">
        <f t="shared" si="8"/>
        <v>19.191489361702128</v>
      </c>
      <c r="X22" s="5">
        <f t="shared" si="9"/>
        <v>0.36363636363636365</v>
      </c>
      <c r="Y22" s="1">
        <f t="shared" si="10"/>
        <v>0.63636363636363635</v>
      </c>
      <c r="Z22" s="1">
        <f t="shared" si="11"/>
        <v>6.7698259187620895</v>
      </c>
      <c r="AA22" s="6">
        <f t="shared" si="12"/>
        <v>19.384912959381044</v>
      </c>
      <c r="AB22" s="5">
        <f t="shared" si="13"/>
        <v>0.37</v>
      </c>
      <c r="AC22" s="1">
        <f t="shared" si="14"/>
        <v>0.63</v>
      </c>
      <c r="AD22" s="1">
        <f t="shared" si="15"/>
        <v>6.1994680851063828</v>
      </c>
      <c r="AE22" s="6">
        <f t="shared" si="16"/>
        <v>19.099734042553191</v>
      </c>
      <c r="AF22" s="5">
        <f t="shared" si="17"/>
        <v>0.4</v>
      </c>
      <c r="AG22" s="1">
        <f t="shared" si="18"/>
        <v>0.6</v>
      </c>
      <c r="AH22" s="1">
        <f t="shared" si="25"/>
        <v>6.3829787234042561</v>
      </c>
      <c r="AI22" s="6">
        <f t="shared" si="26"/>
        <v>19.191489361702128</v>
      </c>
      <c r="AJ22" s="5">
        <f t="shared" si="21"/>
        <v>0.5</v>
      </c>
      <c r="AK22" s="1">
        <f t="shared" si="22"/>
        <v>0.5</v>
      </c>
      <c r="AL22" s="1">
        <f t="shared" si="23"/>
        <v>6.6489361702127656</v>
      </c>
      <c r="AM22" s="6">
        <f t="shared" si="24"/>
        <v>19.324468085106382</v>
      </c>
    </row>
    <row r="23" spans="1:39">
      <c r="A23" s="31" t="s">
        <v>132</v>
      </c>
      <c r="B23" s="50">
        <f>(V12_Max/V48_Min)*B22</f>
        <v>25</v>
      </c>
      <c r="C23" s="31" t="s">
        <v>4</v>
      </c>
      <c r="E23" s="34" t="s">
        <v>133</v>
      </c>
      <c r="N23">
        <v>1.7000000000000001E-2</v>
      </c>
      <c r="O23">
        <f t="shared" si="0"/>
        <v>17</v>
      </c>
      <c r="P23" s="5">
        <f t="shared" si="1"/>
        <v>0.44444444444444442</v>
      </c>
      <c r="Q23" s="1">
        <f t="shared" si="2"/>
        <v>0.55555555555555558</v>
      </c>
      <c r="R23" s="1">
        <f t="shared" si="3"/>
        <v>5.9101654846335698</v>
      </c>
      <c r="S23" s="6">
        <f t="shared" si="4"/>
        <v>19.955082742316783</v>
      </c>
      <c r="T23" s="5">
        <f t="shared" si="5"/>
        <v>0.4</v>
      </c>
      <c r="U23" s="1">
        <f t="shared" si="6"/>
        <v>0.6</v>
      </c>
      <c r="V23" s="1">
        <f t="shared" si="7"/>
        <v>6.3829787234042561</v>
      </c>
      <c r="W23" s="6">
        <f t="shared" si="8"/>
        <v>20.191489361702128</v>
      </c>
      <c r="X23" s="5">
        <f t="shared" si="9"/>
        <v>0.36363636363636365</v>
      </c>
      <c r="Y23" s="1">
        <f t="shared" si="10"/>
        <v>0.63636363636363635</v>
      </c>
      <c r="Z23" s="1">
        <f t="shared" si="11"/>
        <v>6.7698259187620895</v>
      </c>
      <c r="AA23" s="6">
        <f t="shared" si="12"/>
        <v>20.384912959381044</v>
      </c>
      <c r="AB23" s="5">
        <f t="shared" si="13"/>
        <v>0.37</v>
      </c>
      <c r="AC23" s="1">
        <f t="shared" si="14"/>
        <v>0.63</v>
      </c>
      <c r="AD23" s="1">
        <f t="shared" si="15"/>
        <v>6.1994680851063828</v>
      </c>
      <c r="AE23" s="6">
        <f t="shared" si="16"/>
        <v>20.099734042553191</v>
      </c>
      <c r="AF23" s="5">
        <f t="shared" si="17"/>
        <v>0.4</v>
      </c>
      <c r="AG23" s="1">
        <f t="shared" si="18"/>
        <v>0.6</v>
      </c>
      <c r="AH23" s="1">
        <f t="shared" si="25"/>
        <v>6.3829787234042561</v>
      </c>
      <c r="AI23" s="6">
        <f t="shared" si="26"/>
        <v>20.191489361702128</v>
      </c>
      <c r="AJ23" s="5">
        <f t="shared" si="21"/>
        <v>0.5</v>
      </c>
      <c r="AK23" s="1">
        <f t="shared" si="22"/>
        <v>0.5</v>
      </c>
      <c r="AL23" s="1">
        <f t="shared" si="23"/>
        <v>6.6489361702127656</v>
      </c>
      <c r="AM23" s="6">
        <f t="shared" si="24"/>
        <v>20.324468085106382</v>
      </c>
    </row>
    <row r="24" spans="1:39">
      <c r="A24" s="31" t="s">
        <v>134</v>
      </c>
      <c r="B24" s="49">
        <f>Design_Converter!B25</f>
        <v>2</v>
      </c>
      <c r="C24" s="31"/>
      <c r="E24" s="34" t="s">
        <v>135</v>
      </c>
      <c r="N24">
        <v>1.7999999999999999E-2</v>
      </c>
      <c r="O24">
        <f t="shared" si="0"/>
        <v>18</v>
      </c>
      <c r="P24" s="5">
        <f t="shared" si="1"/>
        <v>0.44444444444444442</v>
      </c>
      <c r="Q24" s="1">
        <f t="shared" si="2"/>
        <v>0.55555555555555558</v>
      </c>
      <c r="R24" s="1">
        <f t="shared" si="3"/>
        <v>5.9101654846335698</v>
      </c>
      <c r="S24" s="6">
        <f t="shared" si="4"/>
        <v>20.955082742316783</v>
      </c>
      <c r="T24" s="5">
        <f t="shared" si="5"/>
        <v>0.4</v>
      </c>
      <c r="U24" s="1">
        <f t="shared" si="6"/>
        <v>0.6</v>
      </c>
      <c r="V24" s="1">
        <f t="shared" si="7"/>
        <v>6.3829787234042561</v>
      </c>
      <c r="W24" s="6">
        <f t="shared" si="8"/>
        <v>21.191489361702128</v>
      </c>
      <c r="X24" s="5">
        <f t="shared" si="9"/>
        <v>0.36363636363636365</v>
      </c>
      <c r="Y24" s="1">
        <f t="shared" si="10"/>
        <v>0.63636363636363635</v>
      </c>
      <c r="Z24" s="1">
        <f t="shared" si="11"/>
        <v>6.7698259187620895</v>
      </c>
      <c r="AA24" s="6">
        <f t="shared" si="12"/>
        <v>21.384912959381044</v>
      </c>
      <c r="AB24" s="5">
        <f t="shared" si="13"/>
        <v>0.37</v>
      </c>
      <c r="AC24" s="1">
        <f t="shared" si="14"/>
        <v>0.63</v>
      </c>
      <c r="AD24" s="1">
        <f t="shared" si="15"/>
        <v>6.1994680851063828</v>
      </c>
      <c r="AE24" s="6">
        <f t="shared" si="16"/>
        <v>21.099734042553191</v>
      </c>
      <c r="AF24" s="5">
        <f t="shared" si="17"/>
        <v>0.4</v>
      </c>
      <c r="AG24" s="1">
        <f t="shared" si="18"/>
        <v>0.6</v>
      </c>
      <c r="AH24" s="1">
        <f t="shared" si="25"/>
        <v>6.3829787234042561</v>
      </c>
      <c r="AI24" s="6">
        <f t="shared" si="26"/>
        <v>21.191489361702128</v>
      </c>
      <c r="AJ24" s="5">
        <f t="shared" si="21"/>
        <v>0.5</v>
      </c>
      <c r="AK24" s="1">
        <f t="shared" si="22"/>
        <v>0.5</v>
      </c>
      <c r="AL24" s="1">
        <f t="shared" si="23"/>
        <v>6.6489361702127656</v>
      </c>
      <c r="AM24" s="6">
        <f t="shared" si="24"/>
        <v>21.324468085106382</v>
      </c>
    </row>
    <row r="25" spans="1:39">
      <c r="A25" s="31" t="s">
        <v>143</v>
      </c>
      <c r="B25" s="50">
        <f>B22/B24</f>
        <v>22.5</v>
      </c>
      <c r="C25" s="31" t="s">
        <v>4</v>
      </c>
      <c r="E25" s="34" t="s">
        <v>196</v>
      </c>
      <c r="N25">
        <v>1.9E-2</v>
      </c>
      <c r="O25">
        <f t="shared" si="0"/>
        <v>19</v>
      </c>
      <c r="P25" s="5">
        <f t="shared" si="1"/>
        <v>0.44444444444444442</v>
      </c>
      <c r="Q25" s="1">
        <f t="shared" si="2"/>
        <v>0.55555555555555558</v>
      </c>
      <c r="R25" s="1">
        <f t="shared" si="3"/>
        <v>5.9101654846335698</v>
      </c>
      <c r="S25" s="6">
        <f t="shared" si="4"/>
        <v>21.955082742316783</v>
      </c>
      <c r="T25" s="5">
        <f t="shared" si="5"/>
        <v>0.4</v>
      </c>
      <c r="U25" s="1">
        <f t="shared" si="6"/>
        <v>0.6</v>
      </c>
      <c r="V25" s="1">
        <f t="shared" si="7"/>
        <v>6.3829787234042561</v>
      </c>
      <c r="W25" s="6">
        <f t="shared" si="8"/>
        <v>22.191489361702128</v>
      </c>
      <c r="X25" s="5">
        <f t="shared" si="9"/>
        <v>0.36363636363636365</v>
      </c>
      <c r="Y25" s="1">
        <f t="shared" si="10"/>
        <v>0.63636363636363635</v>
      </c>
      <c r="Z25" s="1">
        <f t="shared" si="11"/>
        <v>6.7698259187620895</v>
      </c>
      <c r="AA25" s="6">
        <f t="shared" si="12"/>
        <v>22.384912959381044</v>
      </c>
      <c r="AB25" s="5">
        <f t="shared" si="13"/>
        <v>0.37</v>
      </c>
      <c r="AC25" s="1">
        <f t="shared" si="14"/>
        <v>0.63</v>
      </c>
      <c r="AD25" s="1">
        <f t="shared" si="15"/>
        <v>6.1994680851063828</v>
      </c>
      <c r="AE25" s="6">
        <f t="shared" si="16"/>
        <v>22.099734042553191</v>
      </c>
      <c r="AF25" s="5">
        <f t="shared" si="17"/>
        <v>0.4</v>
      </c>
      <c r="AG25" s="1">
        <f t="shared" si="18"/>
        <v>0.6</v>
      </c>
      <c r="AH25" s="1">
        <f t="shared" si="25"/>
        <v>6.3829787234042561</v>
      </c>
      <c r="AI25" s="6">
        <f t="shared" si="26"/>
        <v>22.191489361702128</v>
      </c>
      <c r="AJ25" s="5">
        <f t="shared" si="21"/>
        <v>0.5</v>
      </c>
      <c r="AK25" s="1">
        <f t="shared" si="22"/>
        <v>0.5</v>
      </c>
      <c r="AL25" s="1">
        <f t="shared" si="23"/>
        <v>6.6489361702127656</v>
      </c>
      <c r="AM25" s="6">
        <f t="shared" si="24"/>
        <v>22.324468085106382</v>
      </c>
    </row>
    <row r="26" spans="1:39">
      <c r="A26" s="31" t="s">
        <v>197</v>
      </c>
      <c r="B26" s="50">
        <f>B25*V12_Nom</f>
        <v>450</v>
      </c>
      <c r="C26" s="31" t="s">
        <v>136</v>
      </c>
      <c r="E26" s="34" t="s">
        <v>198</v>
      </c>
      <c r="N26">
        <v>0.02</v>
      </c>
      <c r="O26">
        <f t="shared" si="0"/>
        <v>20</v>
      </c>
      <c r="P26" s="5">
        <f t="shared" si="1"/>
        <v>0.44444444444444442</v>
      </c>
      <c r="Q26" s="1">
        <f t="shared" si="2"/>
        <v>0.55555555555555558</v>
      </c>
      <c r="R26" s="1">
        <f t="shared" si="3"/>
        <v>5.9101654846335698</v>
      </c>
      <c r="S26" s="6">
        <f t="shared" si="4"/>
        <v>22.955082742316783</v>
      </c>
      <c r="T26" s="5">
        <f t="shared" si="5"/>
        <v>0.4</v>
      </c>
      <c r="U26" s="1">
        <f t="shared" si="6"/>
        <v>0.6</v>
      </c>
      <c r="V26" s="1">
        <f t="shared" si="7"/>
        <v>6.3829787234042561</v>
      </c>
      <c r="W26" s="6">
        <f t="shared" si="8"/>
        <v>23.191489361702128</v>
      </c>
      <c r="X26" s="5">
        <f t="shared" si="9"/>
        <v>0.36363636363636365</v>
      </c>
      <c r="Y26" s="1">
        <f t="shared" si="10"/>
        <v>0.63636363636363635</v>
      </c>
      <c r="Z26" s="1">
        <f t="shared" si="11"/>
        <v>6.7698259187620895</v>
      </c>
      <c r="AA26" s="6">
        <f t="shared" si="12"/>
        <v>23.384912959381044</v>
      </c>
      <c r="AB26" s="5">
        <f t="shared" si="13"/>
        <v>0.37</v>
      </c>
      <c r="AC26" s="1">
        <f t="shared" si="14"/>
        <v>0.63</v>
      </c>
      <c r="AD26" s="1">
        <f t="shared" si="15"/>
        <v>6.1994680851063828</v>
      </c>
      <c r="AE26" s="6">
        <f t="shared" si="16"/>
        <v>23.099734042553191</v>
      </c>
      <c r="AF26" s="5">
        <f t="shared" si="17"/>
        <v>0.4</v>
      </c>
      <c r="AG26" s="1">
        <f t="shared" si="18"/>
        <v>0.6</v>
      </c>
      <c r="AH26" s="1">
        <f t="shared" si="25"/>
        <v>6.3829787234042561</v>
      </c>
      <c r="AI26" s="6">
        <f t="shared" si="26"/>
        <v>23.191489361702128</v>
      </c>
      <c r="AJ26" s="5">
        <f t="shared" si="21"/>
        <v>0.5</v>
      </c>
      <c r="AK26" s="1">
        <f t="shared" si="22"/>
        <v>0.5</v>
      </c>
      <c r="AL26" s="1">
        <f t="shared" si="23"/>
        <v>6.6489361702127656</v>
      </c>
      <c r="AM26" s="6">
        <f t="shared" si="24"/>
        <v>23.324468085106382</v>
      </c>
    </row>
    <row r="27" spans="1:39">
      <c r="A27" s="31" t="s">
        <v>139</v>
      </c>
      <c r="B27" s="50">
        <f>(VCS_Max/B25)*1000</f>
        <v>2.2222222222222223</v>
      </c>
      <c r="C27" s="31" t="s">
        <v>137</v>
      </c>
      <c r="E27" s="34" t="s">
        <v>140</v>
      </c>
      <c r="N27">
        <v>2.1000000000000001E-2</v>
      </c>
      <c r="O27">
        <f t="shared" si="0"/>
        <v>21</v>
      </c>
      <c r="P27" s="5">
        <f t="shared" si="1"/>
        <v>0.44444444444444442</v>
      </c>
      <c r="Q27" s="1">
        <f t="shared" si="2"/>
        <v>0.55555555555555558</v>
      </c>
      <c r="R27" s="1">
        <f t="shared" si="3"/>
        <v>5.9101654846335698</v>
      </c>
      <c r="S27" s="6">
        <f t="shared" si="4"/>
        <v>23.955082742316783</v>
      </c>
      <c r="T27" s="5">
        <f t="shared" si="5"/>
        <v>0.4</v>
      </c>
      <c r="U27" s="1">
        <f t="shared" si="6"/>
        <v>0.6</v>
      </c>
      <c r="V27" s="1">
        <f t="shared" si="7"/>
        <v>6.3829787234042561</v>
      </c>
      <c r="W27" s="6">
        <f t="shared" si="8"/>
        <v>24.191489361702128</v>
      </c>
      <c r="X27" s="5">
        <f t="shared" si="9"/>
        <v>0.36363636363636365</v>
      </c>
      <c r="Y27" s="1">
        <f t="shared" si="10"/>
        <v>0.63636363636363635</v>
      </c>
      <c r="Z27" s="1">
        <f t="shared" si="11"/>
        <v>6.7698259187620895</v>
      </c>
      <c r="AA27" s="6">
        <f t="shared" si="12"/>
        <v>24.384912959381044</v>
      </c>
      <c r="AB27" s="5">
        <f t="shared" si="13"/>
        <v>0.37</v>
      </c>
      <c r="AC27" s="1">
        <f t="shared" si="14"/>
        <v>0.63</v>
      </c>
      <c r="AD27" s="1">
        <f t="shared" si="15"/>
        <v>6.1994680851063828</v>
      </c>
      <c r="AE27" s="6">
        <f t="shared" si="16"/>
        <v>24.099734042553191</v>
      </c>
      <c r="AF27" s="5">
        <f t="shared" si="17"/>
        <v>0.4</v>
      </c>
      <c r="AG27" s="1">
        <f t="shared" si="18"/>
        <v>0.6</v>
      </c>
      <c r="AH27" s="1">
        <f t="shared" si="25"/>
        <v>6.3829787234042561</v>
      </c>
      <c r="AI27" s="6">
        <f t="shared" si="26"/>
        <v>24.191489361702128</v>
      </c>
      <c r="AJ27" s="5">
        <f t="shared" si="21"/>
        <v>0.5</v>
      </c>
      <c r="AK27" s="1">
        <f t="shared" si="22"/>
        <v>0.5</v>
      </c>
      <c r="AL27" s="1">
        <f t="shared" si="23"/>
        <v>6.6489361702127656</v>
      </c>
      <c r="AM27" s="6">
        <f t="shared" si="24"/>
        <v>24.324468085106382</v>
      </c>
    </row>
    <row r="28" spans="1:39">
      <c r="A28" s="31" t="s">
        <v>141</v>
      </c>
      <c r="B28" s="49">
        <f>Design_Converter!B28</f>
        <v>1</v>
      </c>
      <c r="C28" s="31" t="s">
        <v>137</v>
      </c>
      <c r="E28" s="34" t="s">
        <v>8</v>
      </c>
      <c r="N28">
        <v>2.1999999999999999E-2</v>
      </c>
      <c r="O28">
        <f t="shared" si="0"/>
        <v>22</v>
      </c>
      <c r="P28" s="5">
        <f t="shared" si="1"/>
        <v>0.44444444444444442</v>
      </c>
      <c r="Q28" s="1">
        <f t="shared" si="2"/>
        <v>0.55555555555555558</v>
      </c>
      <c r="R28" s="1">
        <f t="shared" si="3"/>
        <v>5.9101654846335698</v>
      </c>
      <c r="S28" s="6">
        <f t="shared" si="4"/>
        <v>24.955082742316783</v>
      </c>
      <c r="T28" s="5">
        <f t="shared" si="5"/>
        <v>0.4</v>
      </c>
      <c r="U28" s="1">
        <f t="shared" si="6"/>
        <v>0.6</v>
      </c>
      <c r="V28" s="1">
        <f t="shared" si="7"/>
        <v>6.3829787234042561</v>
      </c>
      <c r="W28" s="6">
        <f t="shared" si="8"/>
        <v>25.191489361702128</v>
      </c>
      <c r="X28" s="5">
        <f t="shared" si="9"/>
        <v>0.36363636363636365</v>
      </c>
      <c r="Y28" s="1">
        <f t="shared" si="10"/>
        <v>0.63636363636363635</v>
      </c>
      <c r="Z28" s="1">
        <f t="shared" si="11"/>
        <v>6.7698259187620895</v>
      </c>
      <c r="AA28" s="6">
        <f t="shared" si="12"/>
        <v>25.384912959381044</v>
      </c>
      <c r="AB28" s="5">
        <f t="shared" si="13"/>
        <v>0.37</v>
      </c>
      <c r="AC28" s="1">
        <f t="shared" si="14"/>
        <v>0.63</v>
      </c>
      <c r="AD28" s="1">
        <f t="shared" si="15"/>
        <v>6.1994680851063828</v>
      </c>
      <c r="AE28" s="6">
        <f t="shared" si="16"/>
        <v>25.099734042553191</v>
      </c>
      <c r="AF28" s="5">
        <f t="shared" si="17"/>
        <v>0.4</v>
      </c>
      <c r="AG28" s="1">
        <f t="shared" si="18"/>
        <v>0.6</v>
      </c>
      <c r="AH28" s="1">
        <f t="shared" si="25"/>
        <v>6.3829787234042561</v>
      </c>
      <c r="AI28" s="6">
        <f t="shared" si="26"/>
        <v>25.191489361702128</v>
      </c>
      <c r="AJ28" s="5">
        <f t="shared" si="21"/>
        <v>0.5</v>
      </c>
      <c r="AK28" s="1">
        <f t="shared" si="22"/>
        <v>0.5</v>
      </c>
      <c r="AL28" s="1">
        <f t="shared" si="23"/>
        <v>6.6489361702127656</v>
      </c>
      <c r="AM28" s="6">
        <f t="shared" si="24"/>
        <v>25.324468085106382</v>
      </c>
    </row>
    <row r="29" spans="1:39">
      <c r="A29" s="31" t="s">
        <v>144</v>
      </c>
      <c r="B29" s="52">
        <f>VCS_Max/Rcs</f>
        <v>50</v>
      </c>
      <c r="C29" s="31" t="s">
        <v>4</v>
      </c>
      <c r="E29" s="34" t="s">
        <v>195</v>
      </c>
      <c r="N29">
        <v>2.3E-2</v>
      </c>
      <c r="O29">
        <f t="shared" si="0"/>
        <v>23</v>
      </c>
      <c r="P29" s="5">
        <f t="shared" si="1"/>
        <v>0.44444444444444442</v>
      </c>
      <c r="Q29" s="1">
        <f t="shared" si="2"/>
        <v>0.55555555555555558</v>
      </c>
      <c r="R29" s="1">
        <f t="shared" si="3"/>
        <v>5.9101654846335698</v>
      </c>
      <c r="S29" s="6">
        <f t="shared" si="4"/>
        <v>25.955082742316783</v>
      </c>
      <c r="T29" s="5">
        <f t="shared" si="5"/>
        <v>0.4</v>
      </c>
      <c r="U29" s="1">
        <f t="shared" si="6"/>
        <v>0.6</v>
      </c>
      <c r="V29" s="1">
        <f t="shared" si="7"/>
        <v>6.3829787234042561</v>
      </c>
      <c r="W29" s="6">
        <f t="shared" si="8"/>
        <v>26.191489361702128</v>
      </c>
      <c r="X29" s="5">
        <f t="shared" si="9"/>
        <v>0.36363636363636365</v>
      </c>
      <c r="Y29" s="1">
        <f t="shared" si="10"/>
        <v>0.63636363636363635</v>
      </c>
      <c r="Z29" s="1">
        <f t="shared" si="11"/>
        <v>6.7698259187620895</v>
      </c>
      <c r="AA29" s="6">
        <f t="shared" si="12"/>
        <v>26.384912959381044</v>
      </c>
      <c r="AB29" s="5">
        <f t="shared" si="13"/>
        <v>0.37</v>
      </c>
      <c r="AC29" s="1">
        <f t="shared" si="14"/>
        <v>0.63</v>
      </c>
      <c r="AD29" s="1">
        <f t="shared" si="15"/>
        <v>6.1994680851063828</v>
      </c>
      <c r="AE29" s="6">
        <f t="shared" si="16"/>
        <v>26.099734042553191</v>
      </c>
      <c r="AF29" s="5">
        <f t="shared" si="17"/>
        <v>0.4</v>
      </c>
      <c r="AG29" s="1">
        <f t="shared" si="18"/>
        <v>0.6</v>
      </c>
      <c r="AH29" s="1">
        <f t="shared" si="25"/>
        <v>6.3829787234042561</v>
      </c>
      <c r="AI29" s="6">
        <f t="shared" si="26"/>
        <v>26.191489361702128</v>
      </c>
      <c r="AJ29" s="5">
        <f t="shared" si="21"/>
        <v>0.5</v>
      </c>
      <c r="AK29" s="1">
        <f t="shared" si="22"/>
        <v>0.5</v>
      </c>
      <c r="AL29" s="1">
        <f t="shared" si="23"/>
        <v>6.6489361702127656</v>
      </c>
      <c r="AM29" s="6">
        <f t="shared" si="24"/>
        <v>26.324468085106382</v>
      </c>
    </row>
    <row r="30" spans="1:39">
      <c r="A30" s="31" t="s">
        <v>142</v>
      </c>
      <c r="B30" s="50">
        <f>V12_Nom*B29</f>
        <v>1000</v>
      </c>
      <c r="C30" s="31" t="s">
        <v>136</v>
      </c>
      <c r="E30" s="34" t="s">
        <v>199</v>
      </c>
      <c r="N30">
        <v>2.4E-2</v>
      </c>
      <c r="O30">
        <f t="shared" si="0"/>
        <v>24</v>
      </c>
      <c r="P30" s="5">
        <f t="shared" si="1"/>
        <v>0.44444444444444442</v>
      </c>
      <c r="Q30" s="1">
        <f t="shared" si="2"/>
        <v>0.55555555555555558</v>
      </c>
      <c r="R30" s="1">
        <f t="shared" si="3"/>
        <v>5.9101654846335698</v>
      </c>
      <c r="S30" s="6">
        <f t="shared" si="4"/>
        <v>26.955082742316783</v>
      </c>
      <c r="T30" s="5">
        <f t="shared" si="5"/>
        <v>0.4</v>
      </c>
      <c r="U30" s="1">
        <f t="shared" si="6"/>
        <v>0.6</v>
      </c>
      <c r="V30" s="1">
        <f t="shared" si="7"/>
        <v>6.3829787234042561</v>
      </c>
      <c r="W30" s="6">
        <f t="shared" si="8"/>
        <v>27.191489361702128</v>
      </c>
      <c r="X30" s="5">
        <f t="shared" si="9"/>
        <v>0.36363636363636365</v>
      </c>
      <c r="Y30" s="1">
        <f t="shared" si="10"/>
        <v>0.63636363636363635</v>
      </c>
      <c r="Z30" s="1">
        <f t="shared" si="11"/>
        <v>6.7698259187620895</v>
      </c>
      <c r="AA30" s="6">
        <f t="shared" si="12"/>
        <v>27.384912959381044</v>
      </c>
      <c r="AB30" s="5">
        <f t="shared" si="13"/>
        <v>0.37</v>
      </c>
      <c r="AC30" s="1">
        <f t="shared" si="14"/>
        <v>0.63</v>
      </c>
      <c r="AD30" s="1">
        <f t="shared" si="15"/>
        <v>6.1994680851063828</v>
      </c>
      <c r="AE30" s="6">
        <f t="shared" si="16"/>
        <v>27.099734042553191</v>
      </c>
      <c r="AF30" s="5">
        <f t="shared" si="17"/>
        <v>0.4</v>
      </c>
      <c r="AG30" s="1">
        <f t="shared" si="18"/>
        <v>0.6</v>
      </c>
      <c r="AH30" s="1">
        <f t="shared" si="25"/>
        <v>6.3829787234042561</v>
      </c>
      <c r="AI30" s="6">
        <f t="shared" si="26"/>
        <v>27.191489361702128</v>
      </c>
      <c r="AJ30" s="5">
        <f t="shared" si="21"/>
        <v>0.5</v>
      </c>
      <c r="AK30" s="1">
        <f t="shared" si="22"/>
        <v>0.5</v>
      </c>
      <c r="AL30" s="1">
        <f t="shared" si="23"/>
        <v>6.6489361702127656</v>
      </c>
      <c r="AM30" s="6">
        <f t="shared" si="24"/>
        <v>27.324468085106382</v>
      </c>
    </row>
    <row r="31" spans="1:39">
      <c r="A31" s="31" t="s">
        <v>146</v>
      </c>
      <c r="B31" s="50">
        <f>I_Channel*np</f>
        <v>100</v>
      </c>
      <c r="C31" s="31" t="s">
        <v>4</v>
      </c>
      <c r="E31" s="34" t="s">
        <v>200</v>
      </c>
      <c r="N31">
        <v>2.5000000000000001E-2</v>
      </c>
      <c r="O31">
        <f t="shared" si="0"/>
        <v>25</v>
      </c>
      <c r="P31" s="5">
        <f t="shared" si="1"/>
        <v>0.44444444444444442</v>
      </c>
      <c r="Q31" s="1">
        <f t="shared" si="2"/>
        <v>0.55555555555555558</v>
      </c>
      <c r="R31" s="1">
        <f t="shared" si="3"/>
        <v>5.9101654846335698</v>
      </c>
      <c r="S31" s="6">
        <f t="shared" si="4"/>
        <v>27.955082742316783</v>
      </c>
      <c r="T31" s="5">
        <f t="shared" si="5"/>
        <v>0.4</v>
      </c>
      <c r="U31" s="1">
        <f t="shared" si="6"/>
        <v>0.6</v>
      </c>
      <c r="V31" s="1">
        <f t="shared" si="7"/>
        <v>6.3829787234042561</v>
      </c>
      <c r="W31" s="6">
        <f t="shared" si="8"/>
        <v>28.191489361702128</v>
      </c>
      <c r="X31" s="5">
        <f t="shared" si="9"/>
        <v>0.36363636363636365</v>
      </c>
      <c r="Y31" s="1">
        <f t="shared" si="10"/>
        <v>0.63636363636363635</v>
      </c>
      <c r="Z31" s="1">
        <f t="shared" si="11"/>
        <v>6.7698259187620895</v>
      </c>
      <c r="AA31" s="6">
        <f t="shared" si="12"/>
        <v>28.384912959381044</v>
      </c>
      <c r="AB31" s="5">
        <f t="shared" si="13"/>
        <v>0.37</v>
      </c>
      <c r="AC31" s="1">
        <f t="shared" si="14"/>
        <v>0.63</v>
      </c>
      <c r="AD31" s="1">
        <f t="shared" si="15"/>
        <v>6.1994680851063828</v>
      </c>
      <c r="AE31" s="6">
        <f t="shared" si="16"/>
        <v>28.099734042553191</v>
      </c>
      <c r="AF31" s="5">
        <f t="shared" si="17"/>
        <v>0.4</v>
      </c>
      <c r="AG31" s="1">
        <f t="shared" si="18"/>
        <v>0.6</v>
      </c>
      <c r="AH31" s="1">
        <f t="shared" si="25"/>
        <v>6.3829787234042561</v>
      </c>
      <c r="AI31" s="6">
        <f t="shared" si="26"/>
        <v>28.191489361702128</v>
      </c>
      <c r="AJ31" s="5">
        <f t="shared" si="21"/>
        <v>0.5</v>
      </c>
      <c r="AK31" s="1">
        <f t="shared" si="22"/>
        <v>0.5</v>
      </c>
      <c r="AL31" s="1">
        <f t="shared" si="23"/>
        <v>6.6489361702127656</v>
      </c>
      <c r="AM31" s="6">
        <f t="shared" si="24"/>
        <v>28.324468085106382</v>
      </c>
    </row>
    <row r="32" spans="1:39">
      <c r="A32" s="31" t="s">
        <v>147</v>
      </c>
      <c r="B32" s="50">
        <f>B30*np</f>
        <v>2000</v>
      </c>
      <c r="C32" s="31" t="s">
        <v>136</v>
      </c>
      <c r="E32" s="34" t="s">
        <v>201</v>
      </c>
      <c r="N32">
        <v>2.5999999999999999E-2</v>
      </c>
      <c r="O32">
        <f t="shared" si="0"/>
        <v>26</v>
      </c>
      <c r="P32" s="5">
        <f t="shared" si="1"/>
        <v>0.44444444444444442</v>
      </c>
      <c r="Q32" s="1">
        <f t="shared" si="2"/>
        <v>0.55555555555555558</v>
      </c>
      <c r="R32" s="1">
        <f t="shared" si="3"/>
        <v>5.9101654846335698</v>
      </c>
      <c r="S32" s="6">
        <f t="shared" si="4"/>
        <v>28.955082742316783</v>
      </c>
      <c r="T32" s="5">
        <f t="shared" si="5"/>
        <v>0.4</v>
      </c>
      <c r="U32" s="1">
        <f t="shared" si="6"/>
        <v>0.6</v>
      </c>
      <c r="V32" s="1">
        <f t="shared" si="7"/>
        <v>6.3829787234042561</v>
      </c>
      <c r="W32" s="6">
        <f t="shared" si="8"/>
        <v>29.191489361702128</v>
      </c>
      <c r="X32" s="5">
        <f t="shared" si="9"/>
        <v>0.36363636363636365</v>
      </c>
      <c r="Y32" s="1">
        <f t="shared" si="10"/>
        <v>0.63636363636363635</v>
      </c>
      <c r="Z32" s="1">
        <f t="shared" si="11"/>
        <v>6.7698259187620895</v>
      </c>
      <c r="AA32" s="6">
        <f t="shared" si="12"/>
        <v>29.384912959381044</v>
      </c>
      <c r="AB32" s="5">
        <f t="shared" si="13"/>
        <v>0.37</v>
      </c>
      <c r="AC32" s="1">
        <f t="shared" si="14"/>
        <v>0.63</v>
      </c>
      <c r="AD32" s="1">
        <f t="shared" si="15"/>
        <v>6.1994680851063828</v>
      </c>
      <c r="AE32" s="6">
        <f t="shared" si="16"/>
        <v>29.099734042553191</v>
      </c>
      <c r="AF32" s="5">
        <f t="shared" si="17"/>
        <v>0.4</v>
      </c>
      <c r="AG32" s="1">
        <f t="shared" si="18"/>
        <v>0.6</v>
      </c>
      <c r="AH32" s="1">
        <f t="shared" si="25"/>
        <v>6.3829787234042561</v>
      </c>
      <c r="AI32" s="6">
        <f t="shared" si="26"/>
        <v>29.191489361702128</v>
      </c>
      <c r="AJ32" s="5">
        <f t="shared" si="21"/>
        <v>0.5</v>
      </c>
      <c r="AK32" s="1">
        <f t="shared" si="22"/>
        <v>0.5</v>
      </c>
      <c r="AL32" s="1">
        <f t="shared" si="23"/>
        <v>6.6489361702127656</v>
      </c>
      <c r="AM32" s="6">
        <f t="shared" si="24"/>
        <v>29.324468085106382</v>
      </c>
    </row>
    <row r="33" spans="1:39">
      <c r="N33">
        <v>2.7E-2</v>
      </c>
      <c r="O33">
        <f t="shared" si="0"/>
        <v>27</v>
      </c>
      <c r="P33" s="5">
        <f t="shared" si="1"/>
        <v>0.44444444444444442</v>
      </c>
      <c r="Q33" s="1">
        <f t="shared" si="2"/>
        <v>0.55555555555555558</v>
      </c>
      <c r="R33" s="1">
        <f t="shared" si="3"/>
        <v>5.9101654846335698</v>
      </c>
      <c r="S33" s="6">
        <f t="shared" si="4"/>
        <v>29.955082742316783</v>
      </c>
      <c r="T33" s="5">
        <f t="shared" si="5"/>
        <v>0.4</v>
      </c>
      <c r="U33" s="1">
        <f t="shared" si="6"/>
        <v>0.6</v>
      </c>
      <c r="V33" s="1">
        <f t="shared" si="7"/>
        <v>6.3829787234042561</v>
      </c>
      <c r="W33" s="6">
        <f t="shared" si="8"/>
        <v>30.191489361702128</v>
      </c>
      <c r="X33" s="5">
        <f t="shared" si="9"/>
        <v>0.36363636363636365</v>
      </c>
      <c r="Y33" s="1">
        <f t="shared" si="10"/>
        <v>0.63636363636363635</v>
      </c>
      <c r="Z33" s="1">
        <f t="shared" si="11"/>
        <v>6.7698259187620895</v>
      </c>
      <c r="AA33" s="6">
        <f t="shared" si="12"/>
        <v>30.384912959381044</v>
      </c>
      <c r="AB33" s="5">
        <f t="shared" si="13"/>
        <v>0.37</v>
      </c>
      <c r="AC33" s="1">
        <f t="shared" si="14"/>
        <v>0.63</v>
      </c>
      <c r="AD33" s="1">
        <f t="shared" si="15"/>
        <v>6.1994680851063828</v>
      </c>
      <c r="AE33" s="6">
        <f t="shared" si="16"/>
        <v>30.099734042553191</v>
      </c>
      <c r="AF33" s="5">
        <f t="shared" si="17"/>
        <v>0.4</v>
      </c>
      <c r="AG33" s="1">
        <f t="shared" si="18"/>
        <v>0.6</v>
      </c>
      <c r="AH33" s="1">
        <f t="shared" si="25"/>
        <v>6.3829787234042561</v>
      </c>
      <c r="AI33" s="6">
        <f t="shared" si="26"/>
        <v>30.191489361702128</v>
      </c>
      <c r="AJ33" s="5">
        <f t="shared" si="21"/>
        <v>0.5</v>
      </c>
      <c r="AK33" s="1">
        <f t="shared" si="22"/>
        <v>0.5</v>
      </c>
      <c r="AL33" s="1">
        <f t="shared" si="23"/>
        <v>6.6489361702127656</v>
      </c>
      <c r="AM33" s="6">
        <f t="shared" si="24"/>
        <v>30.324468085106382</v>
      </c>
    </row>
    <row r="34" spans="1:39">
      <c r="N34">
        <v>2.8000000000000001E-2</v>
      </c>
      <c r="O34">
        <f t="shared" si="0"/>
        <v>28</v>
      </c>
      <c r="P34" s="5">
        <f t="shared" si="1"/>
        <v>0.44444444444444442</v>
      </c>
      <c r="Q34" s="1">
        <f t="shared" si="2"/>
        <v>0.55555555555555558</v>
      </c>
      <c r="R34" s="1">
        <f t="shared" si="3"/>
        <v>5.9101654846335698</v>
      </c>
      <c r="S34" s="6">
        <f t="shared" si="4"/>
        <v>30.955082742316783</v>
      </c>
      <c r="T34" s="5">
        <f t="shared" si="5"/>
        <v>0.4</v>
      </c>
      <c r="U34" s="1">
        <f t="shared" si="6"/>
        <v>0.6</v>
      </c>
      <c r="V34" s="1">
        <f t="shared" si="7"/>
        <v>6.3829787234042561</v>
      </c>
      <c r="W34" s="6">
        <f t="shared" si="8"/>
        <v>31.191489361702128</v>
      </c>
      <c r="X34" s="5">
        <f t="shared" si="9"/>
        <v>0.36363636363636365</v>
      </c>
      <c r="Y34" s="1">
        <f t="shared" si="10"/>
        <v>0.63636363636363635</v>
      </c>
      <c r="Z34" s="1">
        <f t="shared" si="11"/>
        <v>6.7698259187620895</v>
      </c>
      <c r="AA34" s="6">
        <f t="shared" si="12"/>
        <v>31.384912959381044</v>
      </c>
      <c r="AB34" s="5">
        <f t="shared" si="13"/>
        <v>0.37</v>
      </c>
      <c r="AC34" s="1">
        <f t="shared" si="14"/>
        <v>0.63</v>
      </c>
      <c r="AD34" s="1">
        <f t="shared" si="15"/>
        <v>6.1994680851063828</v>
      </c>
      <c r="AE34" s="6">
        <f t="shared" si="16"/>
        <v>31.099734042553191</v>
      </c>
      <c r="AF34" s="5">
        <f t="shared" si="17"/>
        <v>0.4</v>
      </c>
      <c r="AG34" s="1">
        <f t="shared" si="18"/>
        <v>0.6</v>
      </c>
      <c r="AH34" s="1">
        <f t="shared" si="25"/>
        <v>6.3829787234042561</v>
      </c>
      <c r="AI34" s="6">
        <f t="shared" si="26"/>
        <v>31.191489361702128</v>
      </c>
      <c r="AJ34" s="5">
        <f t="shared" si="21"/>
        <v>0.5</v>
      </c>
      <c r="AK34" s="1">
        <f t="shared" si="22"/>
        <v>0.5</v>
      </c>
      <c r="AL34" s="1">
        <f t="shared" si="23"/>
        <v>6.6489361702127656</v>
      </c>
      <c r="AM34" s="6">
        <f t="shared" si="24"/>
        <v>31.324468085106382</v>
      </c>
    </row>
    <row r="35" spans="1:39">
      <c r="A35" s="32" t="s">
        <v>148</v>
      </c>
      <c r="B35" s="53"/>
      <c r="C35" s="31"/>
      <c r="N35">
        <v>2.9000000000000001E-2</v>
      </c>
      <c r="O35">
        <f t="shared" si="0"/>
        <v>29</v>
      </c>
      <c r="P35" s="5">
        <f t="shared" si="1"/>
        <v>0.44444444444444442</v>
      </c>
      <c r="Q35" s="1">
        <f t="shared" si="2"/>
        <v>0.55555555555555558</v>
      </c>
      <c r="R35" s="1">
        <f t="shared" si="3"/>
        <v>5.9101654846335698</v>
      </c>
      <c r="S35" s="6">
        <f t="shared" si="4"/>
        <v>31.955082742316783</v>
      </c>
      <c r="T35" s="5">
        <f t="shared" si="5"/>
        <v>0.4</v>
      </c>
      <c r="U35" s="1">
        <f t="shared" si="6"/>
        <v>0.6</v>
      </c>
      <c r="V35" s="1">
        <f t="shared" si="7"/>
        <v>6.3829787234042561</v>
      </c>
      <c r="W35" s="6">
        <f t="shared" si="8"/>
        <v>32.191489361702125</v>
      </c>
      <c r="X35" s="5">
        <f t="shared" si="9"/>
        <v>0.36363636363636365</v>
      </c>
      <c r="Y35" s="1">
        <f t="shared" si="10"/>
        <v>0.63636363636363635</v>
      </c>
      <c r="Z35" s="1">
        <f t="shared" si="11"/>
        <v>6.7698259187620895</v>
      </c>
      <c r="AA35" s="6">
        <f t="shared" si="12"/>
        <v>32.384912959381047</v>
      </c>
      <c r="AB35" s="5">
        <f t="shared" si="13"/>
        <v>0.37</v>
      </c>
      <c r="AC35" s="1">
        <f t="shared" si="14"/>
        <v>0.63</v>
      </c>
      <c r="AD35" s="1">
        <f t="shared" si="15"/>
        <v>6.1994680851063828</v>
      </c>
      <c r="AE35" s="6">
        <f t="shared" si="16"/>
        <v>32.099734042553195</v>
      </c>
      <c r="AF35" s="5">
        <f t="shared" si="17"/>
        <v>0.4</v>
      </c>
      <c r="AG35" s="1">
        <f t="shared" si="18"/>
        <v>0.6</v>
      </c>
      <c r="AH35" s="1">
        <f t="shared" si="25"/>
        <v>6.3829787234042561</v>
      </c>
      <c r="AI35" s="6">
        <f t="shared" si="26"/>
        <v>32.191489361702125</v>
      </c>
      <c r="AJ35" s="5">
        <f t="shared" si="21"/>
        <v>0.5</v>
      </c>
      <c r="AK35" s="1">
        <f t="shared" si="22"/>
        <v>0.5</v>
      </c>
      <c r="AL35" s="1">
        <f t="shared" si="23"/>
        <v>6.6489361702127656</v>
      </c>
      <c r="AM35" s="6">
        <f t="shared" si="24"/>
        <v>32.324468085106382</v>
      </c>
    </row>
    <row r="36" spans="1:39">
      <c r="A36" s="31" t="s">
        <v>151</v>
      </c>
      <c r="B36" s="49">
        <f>Design_Converter!B35/100</f>
        <v>0.30599999999999999</v>
      </c>
      <c r="C36" s="31"/>
      <c r="E36" s="34" t="s">
        <v>202</v>
      </c>
      <c r="N36">
        <v>0.03</v>
      </c>
      <c r="O36">
        <f t="shared" si="0"/>
        <v>30</v>
      </c>
      <c r="P36" s="5">
        <f t="shared" si="1"/>
        <v>0.44444444444444442</v>
      </c>
      <c r="Q36" s="1">
        <f t="shared" si="2"/>
        <v>0.55555555555555558</v>
      </c>
      <c r="R36" s="1">
        <f t="shared" si="3"/>
        <v>5.9101654846335698</v>
      </c>
      <c r="S36" s="6">
        <f t="shared" si="4"/>
        <v>32.955082742316783</v>
      </c>
      <c r="T36" s="5">
        <f t="shared" si="5"/>
        <v>0.4</v>
      </c>
      <c r="U36" s="1">
        <f t="shared" si="6"/>
        <v>0.6</v>
      </c>
      <c r="V36" s="1">
        <f t="shared" si="7"/>
        <v>6.3829787234042561</v>
      </c>
      <c r="W36" s="6">
        <f t="shared" si="8"/>
        <v>33.191489361702125</v>
      </c>
      <c r="X36" s="5">
        <f t="shared" si="9"/>
        <v>0.36363636363636365</v>
      </c>
      <c r="Y36" s="1">
        <f t="shared" si="10"/>
        <v>0.63636363636363635</v>
      </c>
      <c r="Z36" s="1">
        <f t="shared" si="11"/>
        <v>6.7698259187620895</v>
      </c>
      <c r="AA36" s="6">
        <f t="shared" si="12"/>
        <v>33.384912959381047</v>
      </c>
      <c r="AB36" s="5">
        <f t="shared" si="13"/>
        <v>0.37</v>
      </c>
      <c r="AC36" s="1">
        <f t="shared" si="14"/>
        <v>0.63</v>
      </c>
      <c r="AD36" s="1">
        <f t="shared" si="15"/>
        <v>6.1994680851063828</v>
      </c>
      <c r="AE36" s="6">
        <f t="shared" si="16"/>
        <v>33.099734042553195</v>
      </c>
      <c r="AF36" s="5">
        <f t="shared" si="17"/>
        <v>0.4</v>
      </c>
      <c r="AG36" s="1">
        <f t="shared" si="18"/>
        <v>0.6</v>
      </c>
      <c r="AH36" s="1">
        <f t="shared" si="25"/>
        <v>6.3829787234042561</v>
      </c>
      <c r="AI36" s="6">
        <f t="shared" si="26"/>
        <v>33.191489361702125</v>
      </c>
      <c r="AJ36" s="5">
        <f t="shared" si="21"/>
        <v>0.5</v>
      </c>
      <c r="AK36" s="1">
        <f t="shared" si="22"/>
        <v>0.5</v>
      </c>
      <c r="AL36" s="1">
        <f t="shared" si="23"/>
        <v>6.6489361702127656</v>
      </c>
      <c r="AM36" s="6">
        <f t="shared" si="24"/>
        <v>33.324468085106382</v>
      </c>
    </row>
    <row r="37" spans="1:39">
      <c r="A37" s="31" t="s">
        <v>111</v>
      </c>
      <c r="B37" s="54">
        <f>(V48_Max-V12_Nom)*(V12_Nom/V48_Max)/((B25)*(B36)*Fsw)*(1000000)</f>
        <v>4.6213771703967783</v>
      </c>
      <c r="C37" s="31" t="s">
        <v>6</v>
      </c>
      <c r="E37" s="34" t="s">
        <v>193</v>
      </c>
      <c r="N37">
        <v>3.1E-2</v>
      </c>
      <c r="O37">
        <f t="shared" si="0"/>
        <v>31</v>
      </c>
      <c r="P37" s="5">
        <f t="shared" si="1"/>
        <v>0.44444444444444442</v>
      </c>
      <c r="Q37" s="1">
        <f t="shared" si="2"/>
        <v>0.55555555555555558</v>
      </c>
      <c r="R37" s="1">
        <f t="shared" si="3"/>
        <v>5.9101654846335698</v>
      </c>
      <c r="S37" s="6">
        <f t="shared" si="4"/>
        <v>33.955082742316783</v>
      </c>
      <c r="T37" s="5">
        <f t="shared" si="5"/>
        <v>0.4</v>
      </c>
      <c r="U37" s="1">
        <f t="shared" si="6"/>
        <v>0.6</v>
      </c>
      <c r="V37" s="1">
        <f t="shared" si="7"/>
        <v>6.3829787234042561</v>
      </c>
      <c r="W37" s="6">
        <f t="shared" si="8"/>
        <v>34.191489361702125</v>
      </c>
      <c r="X37" s="5">
        <f t="shared" si="9"/>
        <v>0.36363636363636365</v>
      </c>
      <c r="Y37" s="1">
        <f t="shared" si="10"/>
        <v>0.63636363636363635</v>
      </c>
      <c r="Z37" s="1">
        <f t="shared" si="11"/>
        <v>6.7698259187620895</v>
      </c>
      <c r="AA37" s="6">
        <f t="shared" si="12"/>
        <v>34.384912959381047</v>
      </c>
      <c r="AB37" s="5">
        <f t="shared" si="13"/>
        <v>0.37</v>
      </c>
      <c r="AC37" s="1">
        <f t="shared" si="14"/>
        <v>0.63</v>
      </c>
      <c r="AD37" s="1">
        <f t="shared" si="15"/>
        <v>6.1994680851063828</v>
      </c>
      <c r="AE37" s="6">
        <f t="shared" si="16"/>
        <v>34.099734042553195</v>
      </c>
      <c r="AF37" s="5">
        <f t="shared" si="17"/>
        <v>0.4</v>
      </c>
      <c r="AG37" s="1">
        <f t="shared" si="18"/>
        <v>0.6</v>
      </c>
      <c r="AH37" s="1">
        <f t="shared" si="25"/>
        <v>6.3829787234042561</v>
      </c>
      <c r="AI37" s="6">
        <f t="shared" si="26"/>
        <v>34.191489361702125</v>
      </c>
      <c r="AJ37" s="5">
        <f t="shared" si="21"/>
        <v>0.5</v>
      </c>
      <c r="AK37" s="1">
        <f t="shared" si="22"/>
        <v>0.5</v>
      </c>
      <c r="AL37" s="1">
        <f t="shared" si="23"/>
        <v>6.6489361702127656</v>
      </c>
      <c r="AM37" s="6">
        <f t="shared" si="24"/>
        <v>34.324468085106382</v>
      </c>
    </row>
    <row r="38" spans="1:39">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0.44444444444444442</v>
      </c>
      <c r="Q38" s="1">
        <f t="shared" ref="Q38:Q56" si="29">IF($O38&lt;((V48_Min-V12_Nom)*V12_Nom)/((2*Lm*Fsw)*V48_Min),SQRT((2*$O38*Lm*Fsw*V12_Nom)/(V48_Min*(V48_Min-V12_Nom)))*((V48_Min-V12_Nom)/(V12_Nom)),1-(V12_Nom/V48_Min))</f>
        <v>0.55555555555555558</v>
      </c>
      <c r="R38" s="1">
        <f t="shared" ref="R38:R56" si="30">IF($O38&lt;((V48_Min-V12_Nom)*V12_Nom)/((2*Lm*Fsw)*V48_Min),(P38/(Fsw*Lm))*(V48_Min-V12_Nom),((P38/(Fsw*Lm))*(V48_Min-V12_Nom)))</f>
        <v>5.9101654846335698</v>
      </c>
      <c r="S38" s="6">
        <f t="shared" ref="S38:S56" si="31">IF($O38&lt;((V48_Min-V12_Nom)*V12_Nom)/((2*Lm*Fsw)*V48_Min),(P38/(Fsw*Lm))*(V48_Min-V12_Nom),(R38/2)+$O38)</f>
        <v>34.955082742316783</v>
      </c>
      <c r="T38" s="5">
        <f t="shared" ref="T38:T56" si="32">IF($O38&lt;((V48_Nom-V12_Nom)*V12_Nom)/((2*Lm*Fsw)*V48_Nom),SQRT((2*$O38*Lm*Fsw*V12_Nom)/(V48_Nom*(V48_Nom-V12_Nom))),(V12_Nom/V48_Nom))</f>
        <v>0.4</v>
      </c>
      <c r="U38" s="1">
        <f t="shared" ref="U38:U56" si="33">IF($O38&lt;((V48_Nom-V12_Nom)*V12_Nom)/((2*Lm*Fsw)*V48_Nom),SQRT((2*$O38*Lm*Fsw*V12_Nom)/(V48_Nom*(V48_Nom-V12_Nom)))*((V48_Nom-V12_Nom)/(V12_Nom)),1-(V12_Nom/V48_Nom))</f>
        <v>0.6</v>
      </c>
      <c r="V38" s="1">
        <f t="shared" ref="V38:V56" si="34">IF($O38&lt;((V48_Nom-V12_Nom)*V12_Nom)/((2*Lm*Fsw)*V48_Nom),(T38/(Fsw*Lm))*(V48_Nom-V12_Nom),((T38/(Fsw*Lm))*(V48_Nom-V12_Nom)))</f>
        <v>6.3829787234042561</v>
      </c>
      <c r="W38" s="6">
        <f t="shared" ref="W38:W56" si="35">IF($O38&lt;((V48_Nom-V12_Nom)*V12_Nom)/((2*Lm*Fsw)*V48_Nom),(T38/(Fsw*Lm))*(V48_Nom-V12_Nom),(V38/2)+$O38)</f>
        <v>35.191489361702125</v>
      </c>
      <c r="X38" s="5">
        <f t="shared" ref="X38:X56" si="36">IF($O38&lt;((V48_Max-V12_Nom)*V12_Nom)/((2*Lm*Fsw)*V48_Max),SQRT((2*$O38*Lm*Fsw*V12_Nom)/(V48_Max*(V48_Max-V12_Nom))),(V12_Nom/V48_Max))</f>
        <v>0.36363636363636365</v>
      </c>
      <c r="Y38" s="1">
        <f t="shared" ref="Y38:Y56" si="37">IF($O38&lt;((V48_Max-V12_Nom)*V12_Nom)/((2*Lm*Fsw)*V48_Max),SQRT((2*$O38*Lm*Fsw*V12_Nom)/(V48_Max*(V48_Max-V12_Nom)))*((V48_Max-V12_Nom)/(V12_Nom)),1-(V12_Nom/V48_Max))</f>
        <v>0.63636363636363635</v>
      </c>
      <c r="Z38" s="1">
        <f t="shared" ref="Z38:Z56" si="38">IF($O38&lt;((V48_Max-V12_Nom)*V12_Nom)/((2*Lm*Fsw)*V48_Max),(X38/(Fsw*Lm))*(V48_Max-V12_Nom),((X38/(Fsw*Lm))*(V48_Max-V12_Nom)))</f>
        <v>6.7698259187620895</v>
      </c>
      <c r="AA38" s="6">
        <f t="shared" ref="AA38:AA56" si="39">IF($O38&lt;((V48_Max-V12_Nom)*V12_Nom)/((2*Lm*Fsw)*V48_Max),(X38/(Fsw*Lm))*(V48_Max-V12_Nom),(Z38/2)+$O38)</f>
        <v>35.384912959381047</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0.4</v>
      </c>
      <c r="AG38" s="1">
        <f t="shared" si="18"/>
        <v>0.6</v>
      </c>
      <c r="AH38" s="1">
        <f t="shared" si="25"/>
        <v>6.3829787234042561</v>
      </c>
      <c r="AI38" s="6">
        <f t="shared" si="26"/>
        <v>35.191489361702125</v>
      </c>
      <c r="AJ38" s="5">
        <f t="shared" ref="AJ38:AJ56" si="44">IF($O38&lt;((V48_Nom-V12_Max)*V12_Max)/((2*Lm*Fsw)*V48_Nom),SQRT((2*$O38*Lm*Fsw*V12_Max)/(V48_Nom*(V48_Nom-V12_Max))),(V12_Max/V48_Nom))</f>
        <v>0.5</v>
      </c>
      <c r="AK38" s="1">
        <f t="shared" ref="AK38:AK56" si="45">IF($O38&lt;((V48_Nom-V12_Max)*V12_Max)/((2*Lm*Fsw)*V48_Nom),SQRT((2*$O38*Lm*Fsw*V12_Max)/(V48_Nom*(V48_Nom-V12_Max)))*((V48_Nom-V12_Max)/(V12_Max)),1-(V12_Max/V48_Nom))</f>
        <v>0.5</v>
      </c>
      <c r="AL38" s="1">
        <f t="shared" ref="AL38:AL56" si="46">IF($O38&lt;((V48_Nom-V12_Max)*V12_Max)/((2*Lm*Fsw)*V48_Nom),(AJ38/(Fsw*Lm))*(V48_Nom-V12_Max),((AJ38/(Fsw*Lm))*(V48_Nom-V12_Max)))</f>
        <v>6.6489361702127656</v>
      </c>
      <c r="AM38" s="6">
        <f t="shared" ref="AM38:AM56" si="47">IF($O38&lt;((V48_Nom-V12_Max)*V12_Max)/((2*Lm*Fsw)*V48_Nom),(AJ38/(Fsw*Lm))*(V48_Nom-V12_Max),(AL38/2)+$O38)</f>
        <v>35.324468085106382</v>
      </c>
    </row>
    <row r="39" spans="1:39" ht="15">
      <c r="A39" s="31" t="s">
        <v>29</v>
      </c>
      <c r="B39" s="49">
        <f>Lm_DCR</f>
        <v>2.64E-3</v>
      </c>
      <c r="C39" s="67" t="s">
        <v>80</v>
      </c>
      <c r="N39">
        <v>3.3000000000000002E-2</v>
      </c>
      <c r="O39">
        <f t="shared" si="27"/>
        <v>33</v>
      </c>
      <c r="P39" s="5">
        <f t="shared" si="28"/>
        <v>0.44444444444444442</v>
      </c>
      <c r="Q39" s="1">
        <f t="shared" si="29"/>
        <v>0.55555555555555558</v>
      </c>
      <c r="R39" s="1">
        <f t="shared" si="30"/>
        <v>5.9101654846335698</v>
      </c>
      <c r="S39" s="6">
        <f t="shared" si="31"/>
        <v>35.955082742316783</v>
      </c>
      <c r="T39" s="5">
        <f t="shared" si="32"/>
        <v>0.4</v>
      </c>
      <c r="U39" s="1">
        <f t="shared" si="33"/>
        <v>0.6</v>
      </c>
      <c r="V39" s="1">
        <f t="shared" si="34"/>
        <v>6.3829787234042561</v>
      </c>
      <c r="W39" s="6">
        <f t="shared" si="35"/>
        <v>36.191489361702125</v>
      </c>
      <c r="X39" s="5">
        <f t="shared" si="36"/>
        <v>0.36363636363636365</v>
      </c>
      <c r="Y39" s="1">
        <f t="shared" si="37"/>
        <v>0.63636363636363635</v>
      </c>
      <c r="Z39" s="1">
        <f t="shared" si="38"/>
        <v>6.7698259187620895</v>
      </c>
      <c r="AA39" s="6">
        <f t="shared" si="39"/>
        <v>36.384912959381047</v>
      </c>
      <c r="AB39" s="5">
        <f t="shared" si="40"/>
        <v>0.37</v>
      </c>
      <c r="AC39" s="1">
        <f t="shared" si="41"/>
        <v>0.63</v>
      </c>
      <c r="AD39" s="1">
        <f t="shared" si="42"/>
        <v>6.1994680851063828</v>
      </c>
      <c r="AE39" s="6">
        <f t="shared" si="43"/>
        <v>36.099734042553195</v>
      </c>
      <c r="AF39" s="5">
        <f t="shared" si="17"/>
        <v>0.4</v>
      </c>
      <c r="AG39" s="1">
        <f t="shared" si="18"/>
        <v>0.6</v>
      </c>
      <c r="AH39" s="1">
        <f t="shared" si="25"/>
        <v>6.3829787234042561</v>
      </c>
      <c r="AI39" s="6">
        <f t="shared" si="26"/>
        <v>36.191489361702125</v>
      </c>
      <c r="AJ39" s="5">
        <f t="shared" si="44"/>
        <v>0.5</v>
      </c>
      <c r="AK39" s="1">
        <f t="shared" si="45"/>
        <v>0.5</v>
      </c>
      <c r="AL39" s="1">
        <f t="shared" si="46"/>
        <v>6.6489361702127656</v>
      </c>
      <c r="AM39" s="6">
        <f t="shared" si="47"/>
        <v>36.324468085106382</v>
      </c>
    </row>
    <row r="40" spans="1:39" ht="15" thickBot="1">
      <c r="A40" s="203" t="s">
        <v>10</v>
      </c>
      <c r="B40" s="204"/>
      <c r="C40" s="205"/>
      <c r="E40" s="34" t="s">
        <v>154</v>
      </c>
      <c r="N40">
        <v>3.4000000000000002E-2</v>
      </c>
      <c r="O40">
        <f t="shared" si="27"/>
        <v>34</v>
      </c>
      <c r="P40" s="5">
        <f t="shared" si="28"/>
        <v>0.44444444444444442</v>
      </c>
      <c r="Q40" s="1">
        <f t="shared" si="29"/>
        <v>0.55555555555555558</v>
      </c>
      <c r="R40" s="1">
        <f t="shared" si="30"/>
        <v>5.9101654846335698</v>
      </c>
      <c r="S40" s="6">
        <f t="shared" si="31"/>
        <v>36.955082742316783</v>
      </c>
      <c r="T40" s="5">
        <f t="shared" si="32"/>
        <v>0.4</v>
      </c>
      <c r="U40" s="1">
        <f t="shared" si="33"/>
        <v>0.6</v>
      </c>
      <c r="V40" s="1">
        <f t="shared" si="34"/>
        <v>6.3829787234042561</v>
      </c>
      <c r="W40" s="6">
        <f t="shared" si="35"/>
        <v>37.191489361702125</v>
      </c>
      <c r="X40" s="5">
        <f t="shared" si="36"/>
        <v>0.36363636363636365</v>
      </c>
      <c r="Y40" s="1">
        <f t="shared" si="37"/>
        <v>0.63636363636363635</v>
      </c>
      <c r="Z40" s="1">
        <f t="shared" si="38"/>
        <v>6.7698259187620895</v>
      </c>
      <c r="AA40" s="6">
        <f t="shared" si="39"/>
        <v>37.384912959381047</v>
      </c>
      <c r="AB40" s="5">
        <f t="shared" si="40"/>
        <v>0.37</v>
      </c>
      <c r="AC40" s="1">
        <f t="shared" si="41"/>
        <v>0.63</v>
      </c>
      <c r="AD40" s="1">
        <f t="shared" si="42"/>
        <v>6.1994680851063828</v>
      </c>
      <c r="AE40" s="6">
        <f t="shared" si="43"/>
        <v>37.099734042553195</v>
      </c>
      <c r="AF40" s="5">
        <f t="shared" si="17"/>
        <v>0.4</v>
      </c>
      <c r="AG40" s="1">
        <f t="shared" si="18"/>
        <v>0.6</v>
      </c>
      <c r="AH40" s="1">
        <f t="shared" si="25"/>
        <v>6.3829787234042561</v>
      </c>
      <c r="AI40" s="6">
        <f t="shared" si="26"/>
        <v>37.191489361702125</v>
      </c>
      <c r="AJ40" s="5">
        <f t="shared" si="44"/>
        <v>0.5</v>
      </c>
      <c r="AK40" s="1">
        <f t="shared" si="45"/>
        <v>0.5</v>
      </c>
      <c r="AL40" s="1">
        <f t="shared" si="46"/>
        <v>6.6489361702127656</v>
      </c>
      <c r="AM40" s="6">
        <f t="shared" si="47"/>
        <v>37.324468085106382</v>
      </c>
    </row>
    <row r="41" spans="1:39">
      <c r="A41" s="75" t="s">
        <v>82</v>
      </c>
      <c r="B41" s="76">
        <f>((V48_Min-V12_Nom)/(2*Lm*Fsw))*((V12_Nom*Rcs)/V48_Min)*1000</f>
        <v>2.9550827423167854</v>
      </c>
      <c r="C41" s="77" t="s">
        <v>72</v>
      </c>
      <c r="N41">
        <v>3.5000000000000003E-2</v>
      </c>
      <c r="O41">
        <f t="shared" si="27"/>
        <v>35</v>
      </c>
      <c r="P41" s="5">
        <f t="shared" si="28"/>
        <v>0.44444444444444442</v>
      </c>
      <c r="Q41" s="1">
        <f t="shared" si="29"/>
        <v>0.55555555555555558</v>
      </c>
      <c r="R41" s="1">
        <f t="shared" si="30"/>
        <v>5.9101654846335698</v>
      </c>
      <c r="S41" s="6">
        <f t="shared" si="31"/>
        <v>37.955082742316783</v>
      </c>
      <c r="T41" s="5">
        <f t="shared" si="32"/>
        <v>0.4</v>
      </c>
      <c r="U41" s="1">
        <f t="shared" si="33"/>
        <v>0.6</v>
      </c>
      <c r="V41" s="1">
        <f t="shared" si="34"/>
        <v>6.3829787234042561</v>
      </c>
      <c r="W41" s="6">
        <f t="shared" si="35"/>
        <v>38.191489361702125</v>
      </c>
      <c r="X41" s="5">
        <f t="shared" si="36"/>
        <v>0.36363636363636365</v>
      </c>
      <c r="Y41" s="1">
        <f t="shared" si="37"/>
        <v>0.63636363636363635</v>
      </c>
      <c r="Z41" s="1">
        <f t="shared" si="38"/>
        <v>6.7698259187620895</v>
      </c>
      <c r="AA41" s="6">
        <f t="shared" si="39"/>
        <v>38.384912959381047</v>
      </c>
      <c r="AB41" s="5">
        <f t="shared" si="40"/>
        <v>0.37</v>
      </c>
      <c r="AC41" s="1">
        <f t="shared" si="41"/>
        <v>0.63</v>
      </c>
      <c r="AD41" s="1">
        <f t="shared" si="42"/>
        <v>6.1994680851063828</v>
      </c>
      <c r="AE41" s="6">
        <f t="shared" si="43"/>
        <v>38.099734042553195</v>
      </c>
      <c r="AF41" s="5">
        <f t="shared" si="17"/>
        <v>0.4</v>
      </c>
      <c r="AG41" s="1">
        <f t="shared" si="18"/>
        <v>0.6</v>
      </c>
      <c r="AH41" s="1">
        <f t="shared" si="25"/>
        <v>6.3829787234042561</v>
      </c>
      <c r="AI41" s="6">
        <f t="shared" si="26"/>
        <v>38.191489361702125</v>
      </c>
      <c r="AJ41" s="5">
        <f t="shared" si="44"/>
        <v>0.5</v>
      </c>
      <c r="AK41" s="1">
        <f t="shared" si="45"/>
        <v>0.5</v>
      </c>
      <c r="AL41" s="1">
        <f t="shared" si="46"/>
        <v>6.6489361702127656</v>
      </c>
      <c r="AM41" s="6">
        <f t="shared" si="47"/>
        <v>38.324468085106382</v>
      </c>
    </row>
    <row r="42" spans="1:39">
      <c r="A42" s="78" t="s">
        <v>83</v>
      </c>
      <c r="B42" s="57">
        <f>(B41/1000)/Rcs</f>
        <v>2.9550827423167854</v>
      </c>
      <c r="C42" s="42" t="s">
        <v>4</v>
      </c>
      <c r="N42">
        <v>3.5999999999999997E-2</v>
      </c>
      <c r="O42">
        <f t="shared" si="27"/>
        <v>36</v>
      </c>
      <c r="P42" s="5">
        <f t="shared" si="28"/>
        <v>0.44444444444444442</v>
      </c>
      <c r="Q42" s="1">
        <f t="shared" si="29"/>
        <v>0.55555555555555558</v>
      </c>
      <c r="R42" s="1">
        <f t="shared" si="30"/>
        <v>5.9101654846335698</v>
      </c>
      <c r="S42" s="6">
        <f t="shared" si="31"/>
        <v>38.955082742316783</v>
      </c>
      <c r="T42" s="5">
        <f t="shared" si="32"/>
        <v>0.4</v>
      </c>
      <c r="U42" s="1">
        <f t="shared" si="33"/>
        <v>0.6</v>
      </c>
      <c r="V42" s="1">
        <f t="shared" si="34"/>
        <v>6.3829787234042561</v>
      </c>
      <c r="W42" s="6">
        <f t="shared" si="35"/>
        <v>39.191489361702125</v>
      </c>
      <c r="X42" s="5">
        <f t="shared" si="36"/>
        <v>0.36363636363636365</v>
      </c>
      <c r="Y42" s="1">
        <f t="shared" si="37"/>
        <v>0.63636363636363635</v>
      </c>
      <c r="Z42" s="1">
        <f t="shared" si="38"/>
        <v>6.7698259187620895</v>
      </c>
      <c r="AA42" s="6">
        <f t="shared" si="39"/>
        <v>39.384912959381047</v>
      </c>
      <c r="AB42" s="5">
        <f t="shared" si="40"/>
        <v>0.37</v>
      </c>
      <c r="AC42" s="1">
        <f t="shared" si="41"/>
        <v>0.63</v>
      </c>
      <c r="AD42" s="1">
        <f t="shared" si="42"/>
        <v>6.1994680851063828</v>
      </c>
      <c r="AE42" s="6">
        <f t="shared" si="43"/>
        <v>39.099734042553195</v>
      </c>
      <c r="AF42" s="5">
        <f t="shared" si="17"/>
        <v>0.4</v>
      </c>
      <c r="AG42" s="1">
        <f t="shared" si="18"/>
        <v>0.6</v>
      </c>
      <c r="AH42" s="1">
        <f t="shared" si="25"/>
        <v>6.3829787234042561</v>
      </c>
      <c r="AI42" s="6">
        <f t="shared" si="26"/>
        <v>39.191489361702125</v>
      </c>
      <c r="AJ42" s="5">
        <f t="shared" si="44"/>
        <v>0.5</v>
      </c>
      <c r="AK42" s="1">
        <f t="shared" si="45"/>
        <v>0.5</v>
      </c>
      <c r="AL42" s="1">
        <f t="shared" si="46"/>
        <v>6.6489361702127656</v>
      </c>
      <c r="AM42" s="6">
        <f t="shared" si="47"/>
        <v>39.324468085106382</v>
      </c>
    </row>
    <row r="43" spans="1:39">
      <c r="A43" s="78" t="s">
        <v>383</v>
      </c>
      <c r="B43" s="50">
        <f>(V12_Nom/V48_Min)</f>
        <v>0.44444444444444442</v>
      </c>
      <c r="C43" s="42"/>
      <c r="N43">
        <v>3.6999999999999998E-2</v>
      </c>
      <c r="O43">
        <f t="shared" si="27"/>
        <v>37</v>
      </c>
      <c r="P43" s="5">
        <f t="shared" si="28"/>
        <v>0.44444444444444442</v>
      </c>
      <c r="Q43" s="1">
        <f t="shared" si="29"/>
        <v>0.55555555555555558</v>
      </c>
      <c r="R43" s="1">
        <f t="shared" si="30"/>
        <v>5.9101654846335698</v>
      </c>
      <c r="S43" s="6">
        <f t="shared" si="31"/>
        <v>39.955082742316783</v>
      </c>
      <c r="T43" s="5">
        <f t="shared" si="32"/>
        <v>0.4</v>
      </c>
      <c r="U43" s="1">
        <f t="shared" si="33"/>
        <v>0.6</v>
      </c>
      <c r="V43" s="1">
        <f t="shared" si="34"/>
        <v>6.3829787234042561</v>
      </c>
      <c r="W43" s="6">
        <f t="shared" si="35"/>
        <v>40.191489361702125</v>
      </c>
      <c r="X43" s="5">
        <f t="shared" si="36"/>
        <v>0.36363636363636365</v>
      </c>
      <c r="Y43" s="1">
        <f t="shared" si="37"/>
        <v>0.63636363636363635</v>
      </c>
      <c r="Z43" s="1">
        <f t="shared" si="38"/>
        <v>6.7698259187620895</v>
      </c>
      <c r="AA43" s="6">
        <f t="shared" si="39"/>
        <v>40.384912959381047</v>
      </c>
      <c r="AB43" s="5">
        <f t="shared" si="40"/>
        <v>0.37</v>
      </c>
      <c r="AC43" s="1">
        <f t="shared" si="41"/>
        <v>0.63</v>
      </c>
      <c r="AD43" s="1">
        <f t="shared" si="42"/>
        <v>6.1994680851063828</v>
      </c>
      <c r="AE43" s="6">
        <f t="shared" si="43"/>
        <v>40.099734042553195</v>
      </c>
      <c r="AF43" s="5">
        <f t="shared" si="17"/>
        <v>0.4</v>
      </c>
      <c r="AG43" s="1">
        <f t="shared" si="18"/>
        <v>0.6</v>
      </c>
      <c r="AH43" s="1">
        <f t="shared" si="25"/>
        <v>6.3829787234042561</v>
      </c>
      <c r="AI43" s="6">
        <f t="shared" si="26"/>
        <v>40.191489361702125</v>
      </c>
      <c r="AJ43" s="5">
        <f t="shared" si="44"/>
        <v>0.5</v>
      </c>
      <c r="AK43" s="1">
        <f t="shared" si="45"/>
        <v>0.5</v>
      </c>
      <c r="AL43" s="1">
        <f t="shared" si="46"/>
        <v>6.6489361702127656</v>
      </c>
      <c r="AM43" s="6">
        <f t="shared" si="47"/>
        <v>40.324468085106382</v>
      </c>
    </row>
    <row r="44" spans="1:39">
      <c r="A44" s="78" t="s">
        <v>74</v>
      </c>
      <c r="B44" s="56">
        <f>((V48_Nom-V12_Nom)/(2*Lm*Fsw))*((V12_Nom*Rcs)/V48_Nom)*1000</f>
        <v>3.191489361702128</v>
      </c>
      <c r="C44" s="42" t="s">
        <v>72</v>
      </c>
      <c r="N44">
        <v>3.7999999999999999E-2</v>
      </c>
      <c r="O44">
        <f t="shared" si="27"/>
        <v>38</v>
      </c>
      <c r="P44" s="5">
        <f t="shared" si="28"/>
        <v>0.44444444444444442</v>
      </c>
      <c r="Q44" s="1">
        <f t="shared" si="29"/>
        <v>0.55555555555555558</v>
      </c>
      <c r="R44" s="1">
        <f t="shared" si="30"/>
        <v>5.9101654846335698</v>
      </c>
      <c r="S44" s="6">
        <f t="shared" si="31"/>
        <v>40.955082742316783</v>
      </c>
      <c r="T44" s="5">
        <f t="shared" si="32"/>
        <v>0.4</v>
      </c>
      <c r="U44" s="1">
        <f t="shared" si="33"/>
        <v>0.6</v>
      </c>
      <c r="V44" s="1">
        <f t="shared" si="34"/>
        <v>6.3829787234042561</v>
      </c>
      <c r="W44" s="6">
        <f t="shared" si="35"/>
        <v>41.191489361702125</v>
      </c>
      <c r="X44" s="5">
        <f t="shared" si="36"/>
        <v>0.36363636363636365</v>
      </c>
      <c r="Y44" s="1">
        <f t="shared" si="37"/>
        <v>0.63636363636363635</v>
      </c>
      <c r="Z44" s="1">
        <f t="shared" si="38"/>
        <v>6.7698259187620895</v>
      </c>
      <c r="AA44" s="6">
        <f t="shared" si="39"/>
        <v>41.384912959381047</v>
      </c>
      <c r="AB44" s="5">
        <f t="shared" si="40"/>
        <v>0.37</v>
      </c>
      <c r="AC44" s="1">
        <f t="shared" si="41"/>
        <v>0.63</v>
      </c>
      <c r="AD44" s="1">
        <f t="shared" si="42"/>
        <v>6.1994680851063828</v>
      </c>
      <c r="AE44" s="6">
        <f t="shared" si="43"/>
        <v>41.099734042553195</v>
      </c>
      <c r="AF44" s="5">
        <f t="shared" si="17"/>
        <v>0.4</v>
      </c>
      <c r="AG44" s="1">
        <f t="shared" si="18"/>
        <v>0.6</v>
      </c>
      <c r="AH44" s="1">
        <f t="shared" si="25"/>
        <v>6.3829787234042561</v>
      </c>
      <c r="AI44" s="6">
        <f t="shared" si="26"/>
        <v>41.191489361702125</v>
      </c>
      <c r="AJ44" s="5">
        <f t="shared" si="44"/>
        <v>0.5</v>
      </c>
      <c r="AK44" s="1">
        <f t="shared" si="45"/>
        <v>0.5</v>
      </c>
      <c r="AL44" s="1">
        <f t="shared" si="46"/>
        <v>6.6489361702127656</v>
      </c>
      <c r="AM44" s="6">
        <f t="shared" si="47"/>
        <v>41.324468085106382</v>
      </c>
    </row>
    <row r="45" spans="1:39">
      <c r="A45" s="78" t="s">
        <v>81</v>
      </c>
      <c r="B45" s="57">
        <f>(B44/1000)/Rcs</f>
        <v>3.191489361702128</v>
      </c>
      <c r="C45" s="42" t="s">
        <v>4</v>
      </c>
      <c r="N45">
        <v>3.9E-2</v>
      </c>
      <c r="O45">
        <f t="shared" si="27"/>
        <v>39</v>
      </c>
      <c r="P45" s="5">
        <f t="shared" si="28"/>
        <v>0.44444444444444442</v>
      </c>
      <c r="Q45" s="1">
        <f t="shared" si="29"/>
        <v>0.55555555555555558</v>
      </c>
      <c r="R45" s="1">
        <f t="shared" si="30"/>
        <v>5.9101654846335698</v>
      </c>
      <c r="S45" s="6">
        <f t="shared" si="31"/>
        <v>41.955082742316783</v>
      </c>
      <c r="T45" s="5">
        <f t="shared" si="32"/>
        <v>0.4</v>
      </c>
      <c r="U45" s="1">
        <f t="shared" si="33"/>
        <v>0.6</v>
      </c>
      <c r="V45" s="1">
        <f t="shared" si="34"/>
        <v>6.3829787234042561</v>
      </c>
      <c r="W45" s="6">
        <f t="shared" si="35"/>
        <v>42.191489361702125</v>
      </c>
      <c r="X45" s="5">
        <f t="shared" si="36"/>
        <v>0.36363636363636365</v>
      </c>
      <c r="Y45" s="1">
        <f t="shared" si="37"/>
        <v>0.63636363636363635</v>
      </c>
      <c r="Z45" s="1">
        <f t="shared" si="38"/>
        <v>6.7698259187620895</v>
      </c>
      <c r="AA45" s="6">
        <f t="shared" si="39"/>
        <v>42.384912959381047</v>
      </c>
      <c r="AB45" s="5">
        <f t="shared" si="40"/>
        <v>0.37</v>
      </c>
      <c r="AC45" s="1">
        <f t="shared" si="41"/>
        <v>0.63</v>
      </c>
      <c r="AD45" s="1">
        <f t="shared" si="42"/>
        <v>6.1994680851063828</v>
      </c>
      <c r="AE45" s="6">
        <f t="shared" si="43"/>
        <v>42.099734042553195</v>
      </c>
      <c r="AF45" s="5">
        <f t="shared" si="17"/>
        <v>0.4</v>
      </c>
      <c r="AG45" s="1">
        <f t="shared" si="18"/>
        <v>0.6</v>
      </c>
      <c r="AH45" s="1">
        <f t="shared" si="25"/>
        <v>6.3829787234042561</v>
      </c>
      <c r="AI45" s="6">
        <f t="shared" si="26"/>
        <v>42.191489361702125</v>
      </c>
      <c r="AJ45" s="5">
        <f t="shared" si="44"/>
        <v>0.5</v>
      </c>
      <c r="AK45" s="1">
        <f t="shared" si="45"/>
        <v>0.5</v>
      </c>
      <c r="AL45" s="1">
        <f t="shared" si="46"/>
        <v>6.6489361702127656</v>
      </c>
      <c r="AM45" s="6">
        <f t="shared" si="47"/>
        <v>42.324468085106382</v>
      </c>
    </row>
    <row r="46" spans="1:39">
      <c r="A46" s="78" t="s">
        <v>383</v>
      </c>
      <c r="B46" s="61">
        <f>(V12_Nom/V48_Nom)</f>
        <v>0.4</v>
      </c>
      <c r="C46" s="42"/>
      <c r="N46">
        <v>0.04</v>
      </c>
      <c r="O46">
        <f t="shared" si="27"/>
        <v>40</v>
      </c>
      <c r="P46" s="5">
        <f t="shared" si="28"/>
        <v>0.44444444444444442</v>
      </c>
      <c r="Q46" s="1">
        <f t="shared" si="29"/>
        <v>0.55555555555555558</v>
      </c>
      <c r="R46" s="1">
        <f t="shared" si="30"/>
        <v>5.9101654846335698</v>
      </c>
      <c r="S46" s="6">
        <f t="shared" si="31"/>
        <v>42.955082742316783</v>
      </c>
      <c r="T46" s="5">
        <f t="shared" si="32"/>
        <v>0.4</v>
      </c>
      <c r="U46" s="1">
        <f t="shared" si="33"/>
        <v>0.6</v>
      </c>
      <c r="V46" s="1">
        <f t="shared" si="34"/>
        <v>6.3829787234042561</v>
      </c>
      <c r="W46" s="6">
        <f t="shared" si="35"/>
        <v>43.191489361702125</v>
      </c>
      <c r="X46" s="5">
        <f t="shared" si="36"/>
        <v>0.36363636363636365</v>
      </c>
      <c r="Y46" s="1">
        <f t="shared" si="37"/>
        <v>0.63636363636363635</v>
      </c>
      <c r="Z46" s="1">
        <f t="shared" si="38"/>
        <v>6.7698259187620895</v>
      </c>
      <c r="AA46" s="6">
        <f t="shared" si="39"/>
        <v>43.384912959381047</v>
      </c>
      <c r="AB46" s="5">
        <f t="shared" si="40"/>
        <v>0.37</v>
      </c>
      <c r="AC46" s="1">
        <f t="shared" si="41"/>
        <v>0.63</v>
      </c>
      <c r="AD46" s="1">
        <f t="shared" si="42"/>
        <v>6.1994680851063828</v>
      </c>
      <c r="AE46" s="6">
        <f t="shared" si="43"/>
        <v>43.099734042553195</v>
      </c>
      <c r="AF46" s="5">
        <f t="shared" si="17"/>
        <v>0.4</v>
      </c>
      <c r="AG46" s="1">
        <f t="shared" si="18"/>
        <v>0.6</v>
      </c>
      <c r="AH46" s="1">
        <f t="shared" si="25"/>
        <v>6.3829787234042561</v>
      </c>
      <c r="AI46" s="6">
        <f t="shared" si="26"/>
        <v>43.191489361702125</v>
      </c>
      <c r="AJ46" s="5">
        <f t="shared" si="44"/>
        <v>0.5</v>
      </c>
      <c r="AK46" s="1">
        <f t="shared" si="45"/>
        <v>0.5</v>
      </c>
      <c r="AL46" s="1">
        <f t="shared" si="46"/>
        <v>6.6489361702127656</v>
      </c>
      <c r="AM46" s="6">
        <f t="shared" si="47"/>
        <v>43.324468085106382</v>
      </c>
    </row>
    <row r="47" spans="1:39">
      <c r="A47" s="78" t="s">
        <v>84</v>
      </c>
      <c r="B47" s="56">
        <f>((V48_Max-V12_Nom)/(2*Lm*Fsw))*((V12_Nom*Rcs)/V48_Max)*1000</f>
        <v>3.3849129593810452</v>
      </c>
      <c r="C47" s="42" t="s">
        <v>72</v>
      </c>
      <c r="N47">
        <v>4.1000000000000002E-2</v>
      </c>
      <c r="O47">
        <f t="shared" si="27"/>
        <v>41</v>
      </c>
      <c r="P47" s="5">
        <f t="shared" si="28"/>
        <v>0.44444444444444442</v>
      </c>
      <c r="Q47" s="1">
        <f t="shared" si="29"/>
        <v>0.55555555555555558</v>
      </c>
      <c r="R47" s="1">
        <f t="shared" si="30"/>
        <v>5.9101654846335698</v>
      </c>
      <c r="S47" s="6">
        <f t="shared" si="31"/>
        <v>43.955082742316783</v>
      </c>
      <c r="T47" s="5">
        <f t="shared" si="32"/>
        <v>0.4</v>
      </c>
      <c r="U47" s="1">
        <f t="shared" si="33"/>
        <v>0.6</v>
      </c>
      <c r="V47" s="1">
        <f t="shared" si="34"/>
        <v>6.3829787234042561</v>
      </c>
      <c r="W47" s="6">
        <f t="shared" si="35"/>
        <v>44.191489361702125</v>
      </c>
      <c r="X47" s="5">
        <f t="shared" si="36"/>
        <v>0.36363636363636365</v>
      </c>
      <c r="Y47" s="1">
        <f t="shared" si="37"/>
        <v>0.63636363636363635</v>
      </c>
      <c r="Z47" s="1">
        <f t="shared" si="38"/>
        <v>6.7698259187620895</v>
      </c>
      <c r="AA47" s="6">
        <f t="shared" si="39"/>
        <v>44.384912959381047</v>
      </c>
      <c r="AB47" s="5">
        <f t="shared" si="40"/>
        <v>0.37</v>
      </c>
      <c r="AC47" s="1">
        <f t="shared" si="41"/>
        <v>0.63</v>
      </c>
      <c r="AD47" s="1">
        <f t="shared" si="42"/>
        <v>6.1994680851063828</v>
      </c>
      <c r="AE47" s="6">
        <f t="shared" si="43"/>
        <v>44.099734042553195</v>
      </c>
      <c r="AF47" s="5">
        <f t="shared" si="17"/>
        <v>0.4</v>
      </c>
      <c r="AG47" s="1">
        <f t="shared" si="18"/>
        <v>0.6</v>
      </c>
      <c r="AH47" s="1">
        <f t="shared" si="25"/>
        <v>6.3829787234042561</v>
      </c>
      <c r="AI47" s="6">
        <f t="shared" si="26"/>
        <v>44.191489361702125</v>
      </c>
      <c r="AJ47" s="5">
        <f t="shared" si="44"/>
        <v>0.5</v>
      </c>
      <c r="AK47" s="1">
        <f t="shared" si="45"/>
        <v>0.5</v>
      </c>
      <c r="AL47" s="1">
        <f t="shared" si="46"/>
        <v>6.6489361702127656</v>
      </c>
      <c r="AM47" s="6">
        <f t="shared" si="47"/>
        <v>44.324468085106382</v>
      </c>
    </row>
    <row r="48" spans="1:39">
      <c r="A48" s="78" t="s">
        <v>85</v>
      </c>
      <c r="B48" s="57">
        <f>(B47/1000)/Rcs</f>
        <v>3.3849129593810448</v>
      </c>
      <c r="C48" s="42" t="s">
        <v>4</v>
      </c>
      <c r="N48">
        <v>4.2000000000000003E-2</v>
      </c>
      <c r="O48">
        <f t="shared" si="27"/>
        <v>42</v>
      </c>
      <c r="P48" s="5">
        <f t="shared" si="28"/>
        <v>0.44444444444444442</v>
      </c>
      <c r="Q48" s="1">
        <f t="shared" si="29"/>
        <v>0.55555555555555558</v>
      </c>
      <c r="R48" s="1">
        <f t="shared" si="30"/>
        <v>5.9101654846335698</v>
      </c>
      <c r="S48" s="6">
        <f t="shared" si="31"/>
        <v>44.955082742316783</v>
      </c>
      <c r="T48" s="5">
        <f t="shared" si="32"/>
        <v>0.4</v>
      </c>
      <c r="U48" s="1">
        <f t="shared" si="33"/>
        <v>0.6</v>
      </c>
      <c r="V48" s="1">
        <f t="shared" si="34"/>
        <v>6.3829787234042561</v>
      </c>
      <c r="W48" s="6">
        <f t="shared" si="35"/>
        <v>45.191489361702125</v>
      </c>
      <c r="X48" s="5">
        <f t="shared" si="36"/>
        <v>0.36363636363636365</v>
      </c>
      <c r="Y48" s="1">
        <f t="shared" si="37"/>
        <v>0.63636363636363635</v>
      </c>
      <c r="Z48" s="1">
        <f t="shared" si="38"/>
        <v>6.7698259187620895</v>
      </c>
      <c r="AA48" s="6">
        <f t="shared" si="39"/>
        <v>45.384912959381047</v>
      </c>
      <c r="AB48" s="5">
        <f t="shared" si="40"/>
        <v>0.37</v>
      </c>
      <c r="AC48" s="1">
        <f t="shared" si="41"/>
        <v>0.63</v>
      </c>
      <c r="AD48" s="1">
        <f t="shared" si="42"/>
        <v>6.1994680851063828</v>
      </c>
      <c r="AE48" s="6">
        <f t="shared" si="43"/>
        <v>45.099734042553195</v>
      </c>
      <c r="AF48" s="5">
        <f t="shared" si="17"/>
        <v>0.4</v>
      </c>
      <c r="AG48" s="1">
        <f t="shared" si="18"/>
        <v>0.6</v>
      </c>
      <c r="AH48" s="1">
        <f t="shared" si="25"/>
        <v>6.3829787234042561</v>
      </c>
      <c r="AI48" s="6">
        <f t="shared" si="26"/>
        <v>45.191489361702125</v>
      </c>
      <c r="AJ48" s="5">
        <f t="shared" si="44"/>
        <v>0.5</v>
      </c>
      <c r="AK48" s="1">
        <f t="shared" si="45"/>
        <v>0.5</v>
      </c>
      <c r="AL48" s="1">
        <f t="shared" si="46"/>
        <v>6.6489361702127656</v>
      </c>
      <c r="AM48" s="6">
        <f t="shared" si="47"/>
        <v>45.324468085106382</v>
      </c>
    </row>
    <row r="49" spans="1:42" ht="15" thickBot="1">
      <c r="A49" s="79" t="s">
        <v>383</v>
      </c>
      <c r="B49" s="57">
        <f>(V12_Nom/V48_Max)</f>
        <v>0.36363636363636365</v>
      </c>
      <c r="C49" s="80"/>
      <c r="N49">
        <v>4.2999999999999997E-2</v>
      </c>
      <c r="O49">
        <f t="shared" si="27"/>
        <v>42.999999999999993</v>
      </c>
      <c r="P49" s="5">
        <f t="shared" si="28"/>
        <v>0.44444444444444442</v>
      </c>
      <c r="Q49" s="1">
        <f t="shared" si="29"/>
        <v>0.55555555555555558</v>
      </c>
      <c r="R49" s="1">
        <f t="shared" si="30"/>
        <v>5.9101654846335698</v>
      </c>
      <c r="S49" s="6">
        <f t="shared" si="31"/>
        <v>45.955082742316776</v>
      </c>
      <c r="T49" s="5">
        <f t="shared" si="32"/>
        <v>0.4</v>
      </c>
      <c r="U49" s="1">
        <f t="shared" si="33"/>
        <v>0.6</v>
      </c>
      <c r="V49" s="1">
        <f t="shared" si="34"/>
        <v>6.3829787234042561</v>
      </c>
      <c r="W49" s="6">
        <f t="shared" si="35"/>
        <v>46.191489361702118</v>
      </c>
      <c r="X49" s="5">
        <f t="shared" si="36"/>
        <v>0.36363636363636365</v>
      </c>
      <c r="Y49" s="1">
        <f t="shared" si="37"/>
        <v>0.63636363636363635</v>
      </c>
      <c r="Z49" s="1">
        <f t="shared" si="38"/>
        <v>6.7698259187620895</v>
      </c>
      <c r="AA49" s="6">
        <f t="shared" si="39"/>
        <v>46.38491295938104</v>
      </c>
      <c r="AB49" s="5">
        <f t="shared" si="40"/>
        <v>0.37</v>
      </c>
      <c r="AC49" s="1">
        <f t="shared" si="41"/>
        <v>0.63</v>
      </c>
      <c r="AD49" s="1">
        <f t="shared" si="42"/>
        <v>6.1994680851063828</v>
      </c>
      <c r="AE49" s="6">
        <f t="shared" si="43"/>
        <v>46.099734042553187</v>
      </c>
      <c r="AF49" s="5">
        <f t="shared" si="17"/>
        <v>0.4</v>
      </c>
      <c r="AG49" s="1">
        <f t="shared" si="18"/>
        <v>0.6</v>
      </c>
      <c r="AH49" s="1">
        <f t="shared" si="25"/>
        <v>6.3829787234042561</v>
      </c>
      <c r="AI49" s="6">
        <f t="shared" si="26"/>
        <v>46.191489361702118</v>
      </c>
      <c r="AJ49" s="5">
        <f t="shared" si="44"/>
        <v>0.5</v>
      </c>
      <c r="AK49" s="1">
        <f t="shared" si="45"/>
        <v>0.5</v>
      </c>
      <c r="AL49" s="1">
        <f t="shared" si="46"/>
        <v>6.6489361702127656</v>
      </c>
      <c r="AM49" s="6">
        <f t="shared" si="47"/>
        <v>46.324468085106375</v>
      </c>
    </row>
    <row r="50" spans="1:42">
      <c r="A50" s="75" t="s">
        <v>382</v>
      </c>
      <c r="B50" s="76">
        <f>((V48_Nom-V12_Min)/(2*Lm*Fsw))*((V12_Min*Rcs)/V48_Nom)*1000</f>
        <v>3.0997340425531914</v>
      </c>
      <c r="C50" s="77" t="s">
        <v>72</v>
      </c>
      <c r="N50">
        <v>4.3999999999999997E-2</v>
      </c>
      <c r="O50">
        <f t="shared" si="27"/>
        <v>44</v>
      </c>
      <c r="P50" s="5">
        <f t="shared" si="28"/>
        <v>0.44444444444444442</v>
      </c>
      <c r="Q50" s="1">
        <f t="shared" si="29"/>
        <v>0.55555555555555558</v>
      </c>
      <c r="R50" s="1">
        <f t="shared" si="30"/>
        <v>5.9101654846335698</v>
      </c>
      <c r="S50" s="6">
        <f t="shared" si="31"/>
        <v>46.955082742316783</v>
      </c>
      <c r="T50" s="5">
        <f t="shared" si="32"/>
        <v>0.4</v>
      </c>
      <c r="U50" s="1">
        <f t="shared" si="33"/>
        <v>0.6</v>
      </c>
      <c r="V50" s="1">
        <f t="shared" si="34"/>
        <v>6.3829787234042561</v>
      </c>
      <c r="W50" s="6">
        <f t="shared" si="35"/>
        <v>47.191489361702125</v>
      </c>
      <c r="X50" s="5">
        <f t="shared" si="36"/>
        <v>0.36363636363636365</v>
      </c>
      <c r="Y50" s="1">
        <f t="shared" si="37"/>
        <v>0.63636363636363635</v>
      </c>
      <c r="Z50" s="1">
        <f t="shared" si="38"/>
        <v>6.7698259187620895</v>
      </c>
      <c r="AA50" s="6">
        <f t="shared" si="39"/>
        <v>47.384912959381047</v>
      </c>
      <c r="AB50" s="5">
        <f t="shared" si="40"/>
        <v>0.37</v>
      </c>
      <c r="AC50" s="1">
        <f t="shared" si="41"/>
        <v>0.63</v>
      </c>
      <c r="AD50" s="1">
        <f t="shared" si="42"/>
        <v>6.1994680851063828</v>
      </c>
      <c r="AE50" s="6">
        <f t="shared" si="43"/>
        <v>47.099734042553195</v>
      </c>
      <c r="AF50" s="5">
        <f t="shared" si="17"/>
        <v>0.4</v>
      </c>
      <c r="AG50" s="1">
        <f t="shared" si="18"/>
        <v>0.6</v>
      </c>
      <c r="AH50" s="1">
        <f t="shared" si="25"/>
        <v>6.3829787234042561</v>
      </c>
      <c r="AI50" s="6">
        <f t="shared" si="26"/>
        <v>47.191489361702125</v>
      </c>
      <c r="AJ50" s="5">
        <f t="shared" si="44"/>
        <v>0.5</v>
      </c>
      <c r="AK50" s="1">
        <f t="shared" si="45"/>
        <v>0.5</v>
      </c>
      <c r="AL50" s="1">
        <f t="shared" si="46"/>
        <v>6.6489361702127656</v>
      </c>
      <c r="AM50" s="6">
        <f t="shared" si="47"/>
        <v>47.324468085106382</v>
      </c>
    </row>
    <row r="51" spans="1:42">
      <c r="A51" s="78" t="s">
        <v>381</v>
      </c>
      <c r="B51" s="57">
        <f>(B50/1000)/Rcs</f>
        <v>3.0997340425531914</v>
      </c>
      <c r="C51" s="42" t="s">
        <v>4</v>
      </c>
      <c r="N51">
        <v>4.4999999999999998E-2</v>
      </c>
      <c r="O51">
        <f t="shared" si="27"/>
        <v>45</v>
      </c>
      <c r="P51" s="5">
        <f t="shared" si="28"/>
        <v>0.44444444444444442</v>
      </c>
      <c r="Q51" s="1">
        <f t="shared" si="29"/>
        <v>0.55555555555555558</v>
      </c>
      <c r="R51" s="1">
        <f t="shared" si="30"/>
        <v>5.9101654846335698</v>
      </c>
      <c r="S51" s="6">
        <f t="shared" si="31"/>
        <v>47.955082742316783</v>
      </c>
      <c r="T51" s="5">
        <f t="shared" si="32"/>
        <v>0.4</v>
      </c>
      <c r="U51" s="1">
        <f t="shared" si="33"/>
        <v>0.6</v>
      </c>
      <c r="V51" s="1">
        <f t="shared" si="34"/>
        <v>6.3829787234042561</v>
      </c>
      <c r="W51" s="6">
        <f t="shared" si="35"/>
        <v>48.191489361702125</v>
      </c>
      <c r="X51" s="5">
        <f t="shared" si="36"/>
        <v>0.36363636363636365</v>
      </c>
      <c r="Y51" s="1">
        <f t="shared" si="37"/>
        <v>0.63636363636363635</v>
      </c>
      <c r="Z51" s="1">
        <f t="shared" si="38"/>
        <v>6.7698259187620895</v>
      </c>
      <c r="AA51" s="6">
        <f t="shared" si="39"/>
        <v>48.384912959381047</v>
      </c>
      <c r="AB51" s="5">
        <f t="shared" si="40"/>
        <v>0.37</v>
      </c>
      <c r="AC51" s="1">
        <f t="shared" si="41"/>
        <v>0.63</v>
      </c>
      <c r="AD51" s="1">
        <f t="shared" si="42"/>
        <v>6.1994680851063828</v>
      </c>
      <c r="AE51" s="6">
        <f t="shared" si="43"/>
        <v>48.099734042553195</v>
      </c>
      <c r="AF51" s="5">
        <f t="shared" si="17"/>
        <v>0.4</v>
      </c>
      <c r="AG51" s="1">
        <f t="shared" si="18"/>
        <v>0.6</v>
      </c>
      <c r="AH51" s="1">
        <f t="shared" si="25"/>
        <v>6.3829787234042561</v>
      </c>
      <c r="AI51" s="6">
        <f t="shared" si="26"/>
        <v>48.191489361702125</v>
      </c>
      <c r="AJ51" s="5">
        <f t="shared" si="44"/>
        <v>0.5</v>
      </c>
      <c r="AK51" s="1">
        <f t="shared" si="45"/>
        <v>0.5</v>
      </c>
      <c r="AL51" s="1">
        <f t="shared" si="46"/>
        <v>6.6489361702127656</v>
      </c>
      <c r="AM51" s="6">
        <f t="shared" si="47"/>
        <v>48.324468085106382</v>
      </c>
    </row>
    <row r="52" spans="1:42">
      <c r="A52" s="78" t="s">
        <v>383</v>
      </c>
      <c r="B52" s="50">
        <f>1-(V12_Min/V48_Nom)</f>
        <v>0.63</v>
      </c>
      <c r="C52" s="42"/>
      <c r="N52">
        <v>4.5999999999999999E-2</v>
      </c>
      <c r="O52">
        <f t="shared" si="27"/>
        <v>46</v>
      </c>
      <c r="P52" s="5">
        <f t="shared" si="28"/>
        <v>0.44444444444444442</v>
      </c>
      <c r="Q52" s="1">
        <f t="shared" si="29"/>
        <v>0.55555555555555558</v>
      </c>
      <c r="R52" s="1">
        <f t="shared" si="30"/>
        <v>5.9101654846335698</v>
      </c>
      <c r="S52" s="6">
        <f t="shared" si="31"/>
        <v>48.955082742316783</v>
      </c>
      <c r="T52" s="5">
        <f t="shared" si="32"/>
        <v>0.4</v>
      </c>
      <c r="U52" s="1">
        <f t="shared" si="33"/>
        <v>0.6</v>
      </c>
      <c r="V52" s="1">
        <f t="shared" si="34"/>
        <v>6.3829787234042561</v>
      </c>
      <c r="W52" s="6">
        <f t="shared" si="35"/>
        <v>49.191489361702125</v>
      </c>
      <c r="X52" s="5">
        <f t="shared" si="36"/>
        <v>0.36363636363636365</v>
      </c>
      <c r="Y52" s="1">
        <f t="shared" si="37"/>
        <v>0.63636363636363635</v>
      </c>
      <c r="Z52" s="1">
        <f t="shared" si="38"/>
        <v>6.7698259187620895</v>
      </c>
      <c r="AA52" s="6">
        <f t="shared" si="39"/>
        <v>49.384912959381047</v>
      </c>
      <c r="AB52" s="5">
        <f t="shared" si="40"/>
        <v>0.37</v>
      </c>
      <c r="AC52" s="1">
        <f t="shared" si="41"/>
        <v>0.63</v>
      </c>
      <c r="AD52" s="1">
        <f t="shared" si="42"/>
        <v>6.1994680851063828</v>
      </c>
      <c r="AE52" s="6">
        <f t="shared" si="43"/>
        <v>49.099734042553195</v>
      </c>
      <c r="AF52" s="5">
        <f t="shared" si="17"/>
        <v>0.4</v>
      </c>
      <c r="AG52" s="1">
        <f t="shared" si="18"/>
        <v>0.6</v>
      </c>
      <c r="AH52" s="1">
        <f t="shared" si="25"/>
        <v>6.3829787234042561</v>
      </c>
      <c r="AI52" s="6">
        <f t="shared" si="26"/>
        <v>49.191489361702125</v>
      </c>
      <c r="AJ52" s="5">
        <f t="shared" si="44"/>
        <v>0.5</v>
      </c>
      <c r="AK52" s="1">
        <f t="shared" si="45"/>
        <v>0.5</v>
      </c>
      <c r="AL52" s="1">
        <f t="shared" si="46"/>
        <v>6.6489361702127656</v>
      </c>
      <c r="AM52" s="6">
        <f t="shared" si="47"/>
        <v>49.324468085106382</v>
      </c>
    </row>
    <row r="53" spans="1:42">
      <c r="A53" s="78" t="s">
        <v>74</v>
      </c>
      <c r="B53" s="56">
        <f>((V48_Nom-V12_Nom)/(2*Lm*Fsw))*((V12_Nom*Rcs)/V48_Nom)*1000</f>
        <v>3.191489361702128</v>
      </c>
      <c r="C53" s="42" t="s">
        <v>72</v>
      </c>
      <c r="N53">
        <v>4.7E-2</v>
      </c>
      <c r="O53">
        <f t="shared" si="27"/>
        <v>47</v>
      </c>
      <c r="P53" s="5">
        <f t="shared" si="28"/>
        <v>0.44444444444444442</v>
      </c>
      <c r="Q53" s="1">
        <f t="shared" si="29"/>
        <v>0.55555555555555558</v>
      </c>
      <c r="R53" s="1">
        <f t="shared" si="30"/>
        <v>5.9101654846335698</v>
      </c>
      <c r="S53" s="6">
        <f t="shared" si="31"/>
        <v>49.955082742316783</v>
      </c>
      <c r="T53" s="5">
        <f t="shared" si="32"/>
        <v>0.4</v>
      </c>
      <c r="U53" s="1">
        <f t="shared" si="33"/>
        <v>0.6</v>
      </c>
      <c r="V53" s="1">
        <f t="shared" si="34"/>
        <v>6.3829787234042561</v>
      </c>
      <c r="W53" s="6">
        <f t="shared" si="35"/>
        <v>50.191489361702125</v>
      </c>
      <c r="X53" s="5">
        <f t="shared" si="36"/>
        <v>0.36363636363636365</v>
      </c>
      <c r="Y53" s="1">
        <f t="shared" si="37"/>
        <v>0.63636363636363635</v>
      </c>
      <c r="Z53" s="1">
        <f t="shared" si="38"/>
        <v>6.7698259187620895</v>
      </c>
      <c r="AA53" s="6">
        <f t="shared" si="39"/>
        <v>50.384912959381047</v>
      </c>
      <c r="AB53" s="5">
        <f t="shared" si="40"/>
        <v>0.37</v>
      </c>
      <c r="AC53" s="1">
        <f t="shared" si="41"/>
        <v>0.63</v>
      </c>
      <c r="AD53" s="1">
        <f t="shared" si="42"/>
        <v>6.1994680851063828</v>
      </c>
      <c r="AE53" s="6">
        <f t="shared" si="43"/>
        <v>50.099734042553195</v>
      </c>
      <c r="AF53" s="5">
        <f t="shared" si="17"/>
        <v>0.4</v>
      </c>
      <c r="AG53" s="1">
        <f t="shared" si="18"/>
        <v>0.6</v>
      </c>
      <c r="AH53" s="1">
        <f t="shared" si="25"/>
        <v>6.3829787234042561</v>
      </c>
      <c r="AI53" s="6">
        <f t="shared" si="26"/>
        <v>50.191489361702125</v>
      </c>
      <c r="AJ53" s="5">
        <f t="shared" si="44"/>
        <v>0.5</v>
      </c>
      <c r="AK53" s="1">
        <f t="shared" si="45"/>
        <v>0.5</v>
      </c>
      <c r="AL53" s="1">
        <f t="shared" si="46"/>
        <v>6.6489361702127656</v>
      </c>
      <c r="AM53" s="6">
        <f t="shared" si="47"/>
        <v>50.324468085106382</v>
      </c>
    </row>
    <row r="54" spans="1:42">
      <c r="A54" s="78" t="s">
        <v>81</v>
      </c>
      <c r="B54" s="57">
        <f>(B53/1000)/Rcs</f>
        <v>3.191489361702128</v>
      </c>
      <c r="C54" s="42" t="s">
        <v>4</v>
      </c>
      <c r="N54">
        <v>4.8000000000000001E-2</v>
      </c>
      <c r="O54">
        <f t="shared" si="27"/>
        <v>48</v>
      </c>
      <c r="P54" s="5">
        <f t="shared" si="28"/>
        <v>0.44444444444444442</v>
      </c>
      <c r="Q54" s="1">
        <f t="shared" si="29"/>
        <v>0.55555555555555558</v>
      </c>
      <c r="R54" s="1">
        <f t="shared" si="30"/>
        <v>5.9101654846335698</v>
      </c>
      <c r="S54" s="6">
        <f t="shared" si="31"/>
        <v>50.955082742316783</v>
      </c>
      <c r="T54" s="5">
        <f t="shared" si="32"/>
        <v>0.4</v>
      </c>
      <c r="U54" s="1">
        <f t="shared" si="33"/>
        <v>0.6</v>
      </c>
      <c r="V54" s="1">
        <f t="shared" si="34"/>
        <v>6.3829787234042561</v>
      </c>
      <c r="W54" s="6">
        <f t="shared" si="35"/>
        <v>51.191489361702125</v>
      </c>
      <c r="X54" s="5">
        <f t="shared" si="36"/>
        <v>0.36363636363636365</v>
      </c>
      <c r="Y54" s="1">
        <f t="shared" si="37"/>
        <v>0.63636363636363635</v>
      </c>
      <c r="Z54" s="1">
        <f t="shared" si="38"/>
        <v>6.7698259187620895</v>
      </c>
      <c r="AA54" s="6">
        <f t="shared" si="39"/>
        <v>51.384912959381047</v>
      </c>
      <c r="AB54" s="5">
        <f t="shared" si="40"/>
        <v>0.37</v>
      </c>
      <c r="AC54" s="1">
        <f t="shared" si="41"/>
        <v>0.63</v>
      </c>
      <c r="AD54" s="1">
        <f t="shared" si="42"/>
        <v>6.1994680851063828</v>
      </c>
      <c r="AE54" s="6">
        <f t="shared" si="43"/>
        <v>51.099734042553195</v>
      </c>
      <c r="AF54" s="5">
        <f t="shared" si="17"/>
        <v>0.4</v>
      </c>
      <c r="AG54" s="1">
        <f t="shared" si="18"/>
        <v>0.6</v>
      </c>
      <c r="AH54" s="1">
        <f t="shared" si="25"/>
        <v>6.3829787234042561</v>
      </c>
      <c r="AI54" s="6">
        <f t="shared" si="26"/>
        <v>51.191489361702125</v>
      </c>
      <c r="AJ54" s="5">
        <f t="shared" si="44"/>
        <v>0.5</v>
      </c>
      <c r="AK54" s="1">
        <f t="shared" si="45"/>
        <v>0.5</v>
      </c>
      <c r="AL54" s="1">
        <f t="shared" si="46"/>
        <v>6.6489361702127656</v>
      </c>
      <c r="AM54" s="6">
        <f t="shared" si="47"/>
        <v>51.324468085106382</v>
      </c>
    </row>
    <row r="55" spans="1:42">
      <c r="A55" s="78" t="s">
        <v>383</v>
      </c>
      <c r="B55" s="57">
        <f>1-(V12_Nom/V48_Nom)</f>
        <v>0.6</v>
      </c>
      <c r="C55" s="42"/>
      <c r="N55">
        <v>4.9000000000000002E-2</v>
      </c>
      <c r="O55">
        <f t="shared" si="27"/>
        <v>49</v>
      </c>
      <c r="P55" s="5">
        <f t="shared" si="28"/>
        <v>0.44444444444444442</v>
      </c>
      <c r="Q55" s="1">
        <f t="shared" si="29"/>
        <v>0.55555555555555558</v>
      </c>
      <c r="R55" s="1">
        <f t="shared" si="30"/>
        <v>5.9101654846335698</v>
      </c>
      <c r="S55" s="6">
        <f t="shared" si="31"/>
        <v>51.955082742316783</v>
      </c>
      <c r="T55" s="5">
        <f t="shared" si="32"/>
        <v>0.4</v>
      </c>
      <c r="U55" s="1">
        <f t="shared" si="33"/>
        <v>0.6</v>
      </c>
      <c r="V55" s="1">
        <f t="shared" si="34"/>
        <v>6.3829787234042561</v>
      </c>
      <c r="W55" s="6">
        <f t="shared" si="35"/>
        <v>52.191489361702125</v>
      </c>
      <c r="X55" s="5">
        <f t="shared" si="36"/>
        <v>0.36363636363636365</v>
      </c>
      <c r="Y55" s="1">
        <f t="shared" si="37"/>
        <v>0.63636363636363635</v>
      </c>
      <c r="Z55" s="1">
        <f t="shared" si="38"/>
        <v>6.7698259187620895</v>
      </c>
      <c r="AA55" s="6">
        <f t="shared" si="39"/>
        <v>52.384912959381047</v>
      </c>
      <c r="AB55" s="5">
        <f t="shared" si="40"/>
        <v>0.37</v>
      </c>
      <c r="AC55" s="1">
        <f t="shared" si="41"/>
        <v>0.63</v>
      </c>
      <c r="AD55" s="1">
        <f t="shared" si="42"/>
        <v>6.1994680851063828</v>
      </c>
      <c r="AE55" s="6">
        <f t="shared" si="43"/>
        <v>52.099734042553195</v>
      </c>
      <c r="AF55" s="5">
        <f t="shared" si="17"/>
        <v>0.4</v>
      </c>
      <c r="AG55" s="1">
        <f t="shared" si="18"/>
        <v>0.6</v>
      </c>
      <c r="AH55" s="1">
        <f t="shared" si="25"/>
        <v>6.3829787234042561</v>
      </c>
      <c r="AI55" s="6">
        <f t="shared" si="26"/>
        <v>52.191489361702125</v>
      </c>
      <c r="AJ55" s="5">
        <f t="shared" si="44"/>
        <v>0.5</v>
      </c>
      <c r="AK55" s="1">
        <f t="shared" si="45"/>
        <v>0.5</v>
      </c>
      <c r="AL55" s="1">
        <f t="shared" si="46"/>
        <v>6.6489361702127656</v>
      </c>
      <c r="AM55" s="6">
        <f t="shared" si="47"/>
        <v>52.324468085106382</v>
      </c>
    </row>
    <row r="56" spans="1:42">
      <c r="A56" s="78" t="s">
        <v>380</v>
      </c>
      <c r="B56" s="56">
        <f>((V48_Nom-V12_Max)/(2*Lm*Fsw))*((V12_Max*Rcs)/V48_Nom)*1000</f>
        <v>3.3244680851063833</v>
      </c>
      <c r="C56" s="42" t="s">
        <v>72</v>
      </c>
      <c r="N56">
        <v>0.05</v>
      </c>
      <c r="O56">
        <f t="shared" si="27"/>
        <v>50</v>
      </c>
      <c r="P56" s="5">
        <f t="shared" si="28"/>
        <v>0.44444444444444442</v>
      </c>
      <c r="Q56" s="1">
        <f t="shared" si="29"/>
        <v>0.55555555555555558</v>
      </c>
      <c r="R56" s="1">
        <f t="shared" si="30"/>
        <v>5.9101654846335698</v>
      </c>
      <c r="S56" s="6">
        <f t="shared" si="31"/>
        <v>52.955082742316783</v>
      </c>
      <c r="T56" s="5">
        <f t="shared" si="32"/>
        <v>0.4</v>
      </c>
      <c r="U56" s="1">
        <f t="shared" si="33"/>
        <v>0.6</v>
      </c>
      <c r="V56" s="1">
        <f t="shared" si="34"/>
        <v>6.3829787234042561</v>
      </c>
      <c r="W56" s="6">
        <f t="shared" si="35"/>
        <v>53.191489361702125</v>
      </c>
      <c r="X56" s="5">
        <f t="shared" si="36"/>
        <v>0.36363636363636365</v>
      </c>
      <c r="Y56" s="1">
        <f t="shared" si="37"/>
        <v>0.63636363636363635</v>
      </c>
      <c r="Z56" s="1">
        <f t="shared" si="38"/>
        <v>6.7698259187620895</v>
      </c>
      <c r="AA56" s="6">
        <f t="shared" si="39"/>
        <v>53.384912959381047</v>
      </c>
      <c r="AB56" s="5">
        <f t="shared" si="40"/>
        <v>0.37</v>
      </c>
      <c r="AC56" s="1">
        <f t="shared" si="41"/>
        <v>0.63</v>
      </c>
      <c r="AD56" s="1">
        <f t="shared" si="42"/>
        <v>6.1994680851063828</v>
      </c>
      <c r="AE56" s="6">
        <f t="shared" si="43"/>
        <v>53.099734042553195</v>
      </c>
      <c r="AF56" s="5">
        <f t="shared" si="17"/>
        <v>0.4</v>
      </c>
      <c r="AG56" s="1">
        <f t="shared" si="18"/>
        <v>0.6</v>
      </c>
      <c r="AH56" s="1">
        <f t="shared" si="25"/>
        <v>6.3829787234042561</v>
      </c>
      <c r="AI56" s="6">
        <f t="shared" si="26"/>
        <v>53.191489361702125</v>
      </c>
      <c r="AJ56" s="5">
        <f t="shared" si="44"/>
        <v>0.5</v>
      </c>
      <c r="AK56" s="1">
        <f t="shared" si="45"/>
        <v>0.5</v>
      </c>
      <c r="AL56" s="1">
        <f t="shared" si="46"/>
        <v>6.6489361702127656</v>
      </c>
      <c r="AM56" s="6">
        <f t="shared" si="47"/>
        <v>53.324468085106382</v>
      </c>
    </row>
    <row r="57" spans="1:42">
      <c r="A57" s="78" t="s">
        <v>379</v>
      </c>
      <c r="B57" s="57">
        <f>(B56/1000)/Rcs</f>
        <v>3.3244680851063833</v>
      </c>
      <c r="C57" s="42" t="s">
        <v>4</v>
      </c>
    </row>
    <row r="58" spans="1:42" ht="15" thickBot="1">
      <c r="A58" s="79" t="s">
        <v>383</v>
      </c>
      <c r="B58" s="50">
        <f>1-(V12_Max/V48_Nom)</f>
        <v>0.5</v>
      </c>
      <c r="C58" s="80"/>
      <c r="N58" s="40"/>
      <c r="O58" s="40"/>
      <c r="P58" s="40" t="s">
        <v>79</v>
      </c>
      <c r="Q58" s="40"/>
      <c r="R58" s="40"/>
      <c r="S58" s="40"/>
      <c r="T58" s="40"/>
      <c r="U58" s="40"/>
      <c r="V58" s="40"/>
      <c r="W58" s="40"/>
      <c r="X58" s="40"/>
      <c r="Y58" s="40"/>
      <c r="Z58" s="40"/>
      <c r="AA58" s="40"/>
      <c r="AD58" s="195" t="s">
        <v>79</v>
      </c>
      <c r="AE58" s="195"/>
      <c r="AF58" s="195"/>
      <c r="AG58" s="195"/>
      <c r="AH58" s="195"/>
      <c r="AI58" s="195"/>
      <c r="AJ58" s="195"/>
      <c r="AK58" s="195"/>
      <c r="AL58" s="195"/>
      <c r="AM58" s="195"/>
      <c r="AN58" s="195"/>
      <c r="AO58" s="195"/>
    </row>
    <row r="59" spans="1:42" ht="15" thickBot="1">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31" thickBot="1">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c r="N61">
        <v>0</v>
      </c>
      <c r="O61">
        <f>V48_Min</f>
        <v>45</v>
      </c>
      <c r="P61" s="14">
        <f t="shared" ref="P61:P92" si="48">IF(I_Channel&lt;(($O61-V12_Min)*V12_Min)/((2*Lm*Fsw)*$O61),SQRT((2*I_Channel*Lm*Fsw*V12_Min)/($O61*($O61-V12_Min))),(V12_Min/$O61))</f>
        <v>0.41111111111111109</v>
      </c>
      <c r="Q61" s="15">
        <f t="shared" ref="Q61:Q92" si="49">IF(I_Channel&lt;(($O61-V12_Min)*V12_Min)/((2*Lm*Fsw)*$O61),SQRT((2*I_Channel*Lm*Fsw*V12_Min)/($O61*($O61-V12_Min)))*(($O61-V12_Min)/(V12_Min)),1-(V12_Min/$O61))</f>
        <v>0.58888888888888891</v>
      </c>
      <c r="R61" s="15">
        <f t="shared" ref="R61:R92" si="50">IF(I_Channel&lt;(($O61-V12_Min)*V12_Min)/((2*Lm*Fsw)*$O61),(P61/(Fsw*Lm))*($O61-V12_Min),((P61/(Fsw*Lm))*($O61-V12_Min)))</f>
        <v>5.7949172576832151</v>
      </c>
      <c r="S61" s="16">
        <f t="shared" ref="S61:S92" si="51">IF(I_Channel&lt;(($O61-V12_Min)*V12_Min)/((2*Lm*Fsw)*$O61),(P61/(Fsw*Lm))*($O61-V12_Min),(R61/2)+I_Channel)</f>
        <v>52.897458628841605</v>
      </c>
      <c r="T61" s="14">
        <f t="shared" ref="T61:T92" si="52">IF(I_Channel&lt;(($O61-V12_Nom)*V12_Nom)/((2*Lm*Fsw)*$O61),SQRT((2*I_Channel*Lm*Fsw*V12_Nom)/($O61*($O61-V12_Nom))),(V12_Nom/$O61))</f>
        <v>0.44444444444444442</v>
      </c>
      <c r="U61" s="15">
        <f t="shared" ref="U61:U92" si="53">IF(I_Channel&lt;(($O61-V12_Nom)*V12_Nom)/((2*Lm*Fsw)*$O61),SQRT((2*I_Channel*Lm*Fsw*V12_Nom)/($O61*($O61-V12_Nom)))*(($O61-V12_Nom)/(V12_Nom)),1-(V12_Nom/$O61))</f>
        <v>0.55555555555555558</v>
      </c>
      <c r="V61" s="15">
        <f t="shared" ref="V61:V92" si="54">IF(I_Channel&lt;(($O61-V12_Nom)*V12_Nom)/((2*Lm*Fsw)*$O61),(T61/(Fsw*Lm))*($O61-V12_Nom),((T61/(Fsw*Lm))*($O61-V12_Nom)))</f>
        <v>5.9101654846335698</v>
      </c>
      <c r="W61" s="16">
        <f t="shared" ref="W61:W92" si="55">IF(I_Channel&lt;(($O61-V12_Nom)*V12_Nom)/((2*Lm*Fsw)*$O61),(T61/(Fsw*Lm))*($O61-V12_Nom),(V61/2)+I_Channel)</f>
        <v>52.955082742316783</v>
      </c>
      <c r="X61" s="14">
        <f t="shared" ref="X61:X92" si="56">IF(I_Channel&lt;(($O61-V12_Max)*V12_Max)/((2*Lm*Fsw)*$O61),SQRT((2*I_Channel*Lm*Fsw*V12_Max)/($O61*($O61-V12_Max))),(V12_Max/$O61))</f>
        <v>0.55555555555555558</v>
      </c>
      <c r="Y61" s="15">
        <f t="shared" ref="Y61:Y92" si="57">IF(I_Channel&lt;(($O61-V12_Max)*V12_Max)/((2*Lm*Fsw)*$O61),SQRT((2*I_Channel*Lm*Fsw*V12_Max)/($O61*($O61-V12_Max)))*(($O61-V12_Max)/(V12_Max)),1-(V12_Max/$O61))</f>
        <v>0.44444444444444442</v>
      </c>
      <c r="Z61" s="15">
        <f t="shared" ref="Z61:Z92" si="58">IF(I_Channel&lt;(($O61-V12_Max)*V12_Max)/((2*Lm*Fsw)*$O61),(X61/(Fsw*Lm))*($O61-V12_Max),((X61/(Fsw*Lm))*($O61-V12_Max)))</f>
        <v>5.9101654846335707</v>
      </c>
      <c r="AA61" s="16">
        <f t="shared" ref="AA61:AA92" si="59">IF(I_Channel&lt;(($O61-V12_Max)*V12_Max)/((2*Lm*Fsw)*$O61),(X61/(Fsw*Lm))*($O61-V12_Max),(Z61/2)+I_Channel)</f>
        <v>52.955082742316783</v>
      </c>
      <c r="AC61">
        <v>0</v>
      </c>
      <c r="AD61">
        <f>V12_Min</f>
        <v>18.5</v>
      </c>
      <c r="AE61" s="14">
        <f t="shared" ref="AE61:AE92" si="60">IF(I_Channel&lt;((V48_Min-$AD61)*$AD61)/((2*Lm*Fsw)*V48_Min),SQRT((2*I_Channel*Lm*Fsw*$AD61)/(V48_Min*(V48_Min-$AD61))),($AD61/V48_Min))</f>
        <v>0.41111111111111109</v>
      </c>
      <c r="AF61" s="15">
        <f t="shared" ref="AF61:AF92" si="61">IF(I_Channel&lt;((V48_Min-$AD61)*$AD61)/((2*Lm*Fsw)*V48_Min),SQRT((2*I_Channel*Lm*Fsw*$AD61)/(V48_Min*(V48_Min-$AD61)))*((V48_Min-$AD61)/($AD61)),1-($AD61/V48_Min))</f>
        <v>0.58888888888888891</v>
      </c>
      <c r="AG61" s="15">
        <f t="shared" ref="AG61:AG92" si="62">IF(I_Channel&lt;((V48_Min-$AD61)*$AD61)/((2*Lm*Fsw)*V48_Min),(AE61/(Fsw*Lm))*(V48_Min-$AD61),((AE61/(Fsw*Lm))*(V48_Min-$AD61)))</f>
        <v>5.7949172576832151</v>
      </c>
      <c r="AH61" s="16">
        <f t="shared" ref="AH61:AH92" si="63">IF(I_Channel&lt;((V48_Min-$AD61)*$AD61)/((2*Lm*Fsw)*V48_Min),(AE61/(Fsw*Lm))*(V48_Min-$AD61),(AG61/2)+I_Channel)</f>
        <v>52.897458628841605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0.33636363636363636</v>
      </c>
      <c r="AN61" s="15">
        <f t="shared" ref="AN61:AN92" si="69">IF(I_Channel&lt;((V48_Max-$AD61)*$AD61)/((2*Lm*Fsw)*V48_Max),SQRT((2*I_Channel*Lm*Fsw*$AD61)/(V48_Max*(V48_Max-$AD61)))*((V48_Max-$AD61)/($AD61)),1-($AD61/V48_Max))</f>
        <v>0.66363636363636358</v>
      </c>
      <c r="AO61" s="15">
        <f t="shared" ref="AO61:AO92" si="70">IF(I_Channel&lt;((V48_Max-$AD61)*$AD61)/((2*Lm*Fsw)*V48_Max),(AM61/(Fsw*Lm))*(V48_Max-$AD61),((AM61/(Fsw*Lm))*(V48_Max-$AD61)))</f>
        <v>6.5304642166344307</v>
      </c>
      <c r="AP61" s="16">
        <f t="shared" ref="AP61:AP92" si="71">IF(I_Channel&lt;((V48_Max-$AD61)*$AD61)/((2*Lm*Fsw)*V48_Max),(AM61/(Fsw*Lm))*(V48_Max-$AD61),(AO61/2)+I_Channel)</f>
        <v>53.265232108317214</v>
      </c>
    </row>
    <row r="62" spans="1:42">
      <c r="N62">
        <v>1</v>
      </c>
      <c r="O62">
        <f t="shared" ref="O62:O93" si="72">((V48_Max-V48_Min)/50)*N62+V48_Min</f>
        <v>45.2</v>
      </c>
      <c r="P62" s="14">
        <f t="shared" si="48"/>
        <v>0.40929203539823006</v>
      </c>
      <c r="Q62" s="15">
        <f t="shared" si="49"/>
        <v>0.59070796460176989</v>
      </c>
      <c r="R62" s="15">
        <f t="shared" si="50"/>
        <v>5.8128177367727369</v>
      </c>
      <c r="S62" s="16">
        <f t="shared" si="51"/>
        <v>52.906408868386372</v>
      </c>
      <c r="T62" s="14">
        <f t="shared" si="52"/>
        <v>0.44247787610619466</v>
      </c>
      <c r="U62" s="15">
        <f t="shared" si="53"/>
        <v>0.55752212389380529</v>
      </c>
      <c r="V62" s="15">
        <f t="shared" si="54"/>
        <v>5.931086424402185</v>
      </c>
      <c r="W62" s="16">
        <f t="shared" si="55"/>
        <v>52.965543212201091</v>
      </c>
      <c r="X62" s="14">
        <f t="shared" si="56"/>
        <v>0.55309734513274333</v>
      </c>
      <c r="Y62" s="15">
        <f t="shared" si="57"/>
        <v>0.44690265486725667</v>
      </c>
      <c r="Z62" s="15">
        <f t="shared" si="58"/>
        <v>5.9428544530220302</v>
      </c>
      <c r="AA62" s="16">
        <f t="shared" si="59"/>
        <v>52.971427226511018</v>
      </c>
      <c r="AC62">
        <v>1</v>
      </c>
      <c r="AD62">
        <f t="shared" ref="AD62:AD93" si="73">((V12_Max-V12_Min)/50)*AC62+V12_Min</f>
        <v>18.63</v>
      </c>
      <c r="AE62" s="14">
        <f t="shared" si="60"/>
        <v>0.41399999999999998</v>
      </c>
      <c r="AF62" s="15">
        <f t="shared" si="61"/>
        <v>0.58600000000000008</v>
      </c>
      <c r="AG62" s="15">
        <f t="shared" si="62"/>
        <v>5.8070106382978732</v>
      </c>
      <c r="AH62" s="16">
        <f t="shared" si="63"/>
        <v>52.903505319148934</v>
      </c>
      <c r="AI62" s="14">
        <f t="shared" si="64"/>
        <v>0.37259999999999999</v>
      </c>
      <c r="AJ62" s="15">
        <f t="shared" si="65"/>
        <v>0.62739999999999996</v>
      </c>
      <c r="AK62" s="15">
        <f t="shared" si="66"/>
        <v>6.2172670212765961</v>
      </c>
      <c r="AL62" s="16">
        <f t="shared" si="67"/>
        <v>53.108633510638299</v>
      </c>
      <c r="AM62" s="14">
        <f t="shared" si="68"/>
        <v>0.33872727272727271</v>
      </c>
      <c r="AN62" s="15">
        <f t="shared" si="69"/>
        <v>0.66127272727272723</v>
      </c>
      <c r="AO62" s="15">
        <f t="shared" si="70"/>
        <v>6.5529313346228255</v>
      </c>
      <c r="AP62" s="16">
        <f t="shared" si="71"/>
        <v>53.276465667311413</v>
      </c>
    </row>
    <row r="63" spans="1:42">
      <c r="A63" s="200" t="s">
        <v>73</v>
      </c>
      <c r="B63" s="201"/>
      <c r="C63" s="202"/>
      <c r="E63" s="65" t="s">
        <v>152</v>
      </c>
      <c r="N63">
        <v>2</v>
      </c>
      <c r="O63">
        <f t="shared" si="72"/>
        <v>45.4</v>
      </c>
      <c r="P63" s="14">
        <f t="shared" si="48"/>
        <v>0.40748898678414097</v>
      </c>
      <c r="Q63" s="15">
        <f t="shared" si="49"/>
        <v>0.59251101321585908</v>
      </c>
      <c r="R63" s="15">
        <f t="shared" si="50"/>
        <v>5.8305605023901022</v>
      </c>
      <c r="S63" s="16">
        <f t="shared" si="51"/>
        <v>52.91528025119505</v>
      </c>
      <c r="T63" s="14">
        <f t="shared" si="52"/>
        <v>0.44052863436123352</v>
      </c>
      <c r="U63" s="15">
        <f t="shared" si="53"/>
        <v>0.55947136563876643</v>
      </c>
      <c r="V63" s="15">
        <f t="shared" si="54"/>
        <v>5.9518230387102831</v>
      </c>
      <c r="W63" s="16">
        <f t="shared" si="55"/>
        <v>52.975911519355144</v>
      </c>
      <c r="X63" s="14">
        <f t="shared" si="56"/>
        <v>0.55066079295154191</v>
      </c>
      <c r="Y63" s="15">
        <f t="shared" si="57"/>
        <v>0.44933920704845809</v>
      </c>
      <c r="Z63" s="15">
        <f t="shared" si="58"/>
        <v>5.9752554128784334</v>
      </c>
      <c r="AA63" s="16">
        <f t="shared" si="59"/>
        <v>52.98762770643922</v>
      </c>
      <c r="AC63">
        <v>2</v>
      </c>
      <c r="AD63">
        <f t="shared" si="73"/>
        <v>18.760000000000002</v>
      </c>
      <c r="AE63" s="14">
        <f t="shared" si="60"/>
        <v>0.41688888888888892</v>
      </c>
      <c r="AF63" s="15">
        <f t="shared" si="61"/>
        <v>0.58311111111111114</v>
      </c>
      <c r="AG63" s="15">
        <f t="shared" si="62"/>
        <v>5.8187044917257689</v>
      </c>
      <c r="AH63" s="16">
        <f t="shared" si="63"/>
        <v>52.909352245862884</v>
      </c>
      <c r="AI63" s="14">
        <f t="shared" si="64"/>
        <v>0.37520000000000003</v>
      </c>
      <c r="AJ63" s="15">
        <f t="shared" si="65"/>
        <v>0.62480000000000002</v>
      </c>
      <c r="AK63" s="15">
        <f t="shared" si="66"/>
        <v>6.2347063829787235</v>
      </c>
      <c r="AL63" s="16">
        <f t="shared" si="67"/>
        <v>53.117353191489364</v>
      </c>
      <c r="AM63" s="14">
        <f t="shared" si="68"/>
        <v>0.34109090909090911</v>
      </c>
      <c r="AN63" s="15">
        <f t="shared" si="69"/>
        <v>0.65890909090909089</v>
      </c>
      <c r="AO63" s="15">
        <f t="shared" si="70"/>
        <v>6.5750715667311415</v>
      </c>
      <c r="AP63" s="16">
        <f t="shared" si="71"/>
        <v>53.28753578336557</v>
      </c>
    </row>
    <row r="64" spans="1:42">
      <c r="A64" s="31" t="s">
        <v>71</v>
      </c>
      <c r="B64" s="57">
        <f>IF(V48_Max/2&gt;V12_Nom,((V48_Max-V12_Nom)*(V12_Nom/V48_Max))/(Lm*Fsw),((V48_Max-(V48_Max/2))*(V12_Nom/V48_Max))/(Lm*Fsw))</f>
        <v>6.7698259187620904</v>
      </c>
      <c r="C64" s="31" t="s">
        <v>4</v>
      </c>
      <c r="E64" s="34" t="s">
        <v>194</v>
      </c>
      <c r="N64">
        <v>3</v>
      </c>
      <c r="O64">
        <f t="shared" si="72"/>
        <v>45.6</v>
      </c>
      <c r="P64" s="14">
        <f t="shared" si="48"/>
        <v>0.4057017543859649</v>
      </c>
      <c r="Q64" s="15">
        <f t="shared" si="49"/>
        <v>0.5942982456140351</v>
      </c>
      <c r="R64" s="15">
        <f t="shared" si="50"/>
        <v>5.8481476297125798</v>
      </c>
      <c r="S64" s="16">
        <f t="shared" si="51"/>
        <v>52.924073814856293</v>
      </c>
      <c r="T64" s="14">
        <f t="shared" si="52"/>
        <v>0.43859649122807015</v>
      </c>
      <c r="U64" s="15">
        <f t="shared" si="53"/>
        <v>0.56140350877192979</v>
      </c>
      <c r="V64" s="15">
        <f t="shared" si="54"/>
        <v>5.9723777528928714</v>
      </c>
      <c r="W64" s="16">
        <f t="shared" si="55"/>
        <v>52.986188876446434</v>
      </c>
      <c r="X64" s="14">
        <f t="shared" si="56"/>
        <v>0.54824561403508765</v>
      </c>
      <c r="Y64" s="15">
        <f t="shared" si="57"/>
        <v>0.45175438596491235</v>
      </c>
      <c r="Z64" s="15">
        <f t="shared" si="58"/>
        <v>6.0073721537887268</v>
      </c>
      <c r="AA64" s="16">
        <f t="shared" si="59"/>
        <v>53.003686076894361</v>
      </c>
      <c r="AC64">
        <v>3</v>
      </c>
      <c r="AD64">
        <f t="shared" si="73"/>
        <v>18.89</v>
      </c>
      <c r="AE64" s="14">
        <f t="shared" si="60"/>
        <v>0.41977777777777781</v>
      </c>
      <c r="AF64" s="15">
        <f t="shared" si="61"/>
        <v>0.58022222222222219</v>
      </c>
      <c r="AG64" s="15">
        <f t="shared" si="62"/>
        <v>5.8299988179669038</v>
      </c>
      <c r="AH64" s="16">
        <f t="shared" si="63"/>
        <v>52.914999408983455</v>
      </c>
      <c r="AI64" s="14">
        <f t="shared" si="64"/>
        <v>0.37780000000000002</v>
      </c>
      <c r="AJ64" s="15">
        <f t="shared" si="65"/>
        <v>0.62219999999999998</v>
      </c>
      <c r="AK64" s="15">
        <f t="shared" si="66"/>
        <v>6.2517861702127666</v>
      </c>
      <c r="AL64" s="16">
        <f t="shared" si="67"/>
        <v>53.125893085106384</v>
      </c>
      <c r="AM64" s="14">
        <f t="shared" si="68"/>
        <v>0.34345454545454546</v>
      </c>
      <c r="AN64" s="15">
        <f t="shared" si="69"/>
        <v>0.65654545454545454</v>
      </c>
      <c r="AO64" s="15">
        <f t="shared" si="70"/>
        <v>6.5968849129593821</v>
      </c>
      <c r="AP64" s="16">
        <f t="shared" si="71"/>
        <v>53.298442456479691</v>
      </c>
    </row>
    <row r="65" spans="1:42">
      <c r="A65" s="31" t="s">
        <v>204</v>
      </c>
      <c r="B65" s="58">
        <f>(B64/2)+B25</f>
        <v>25.884912959381044</v>
      </c>
      <c r="C65" s="31" t="s">
        <v>4</v>
      </c>
      <c r="E65" s="34" t="s">
        <v>203</v>
      </c>
      <c r="N65">
        <v>4</v>
      </c>
      <c r="O65">
        <f t="shared" si="72"/>
        <v>45.8</v>
      </c>
      <c r="P65" s="14">
        <f t="shared" si="48"/>
        <v>0.40393013100436681</v>
      </c>
      <c r="Q65" s="15">
        <f t="shared" si="49"/>
        <v>0.59606986899563319</v>
      </c>
      <c r="R65" s="15">
        <f t="shared" si="50"/>
        <v>5.8655811576697943</v>
      </c>
      <c r="S65" s="16">
        <f t="shared" si="51"/>
        <v>52.932790578834897</v>
      </c>
      <c r="T65" s="14">
        <f t="shared" si="52"/>
        <v>0.4366812227074236</v>
      </c>
      <c r="U65" s="15">
        <f t="shared" si="53"/>
        <v>0.5633187772925764</v>
      </c>
      <c r="V65" s="15">
        <f t="shared" si="54"/>
        <v>5.9927529499210257</v>
      </c>
      <c r="W65" s="16">
        <f t="shared" si="55"/>
        <v>52.996376474960513</v>
      </c>
      <c r="X65" s="14">
        <f t="shared" si="56"/>
        <v>0.54585152838427953</v>
      </c>
      <c r="Y65" s="15">
        <f t="shared" si="57"/>
        <v>0.45414847161572047</v>
      </c>
      <c r="Z65" s="15">
        <f t="shared" si="58"/>
        <v>6.0392083991452195</v>
      </c>
      <c r="AA65" s="16">
        <f t="shared" si="59"/>
        <v>53.019604199572612</v>
      </c>
      <c r="AC65">
        <v>4</v>
      </c>
      <c r="AD65">
        <f t="shared" si="73"/>
        <v>19.02</v>
      </c>
      <c r="AE65" s="14">
        <f t="shared" si="60"/>
        <v>0.42266666666666663</v>
      </c>
      <c r="AF65" s="15">
        <f t="shared" si="61"/>
        <v>0.57733333333333337</v>
      </c>
      <c r="AG65" s="15">
        <f t="shared" si="62"/>
        <v>5.8408936170212762</v>
      </c>
      <c r="AH65" s="16">
        <f t="shared" si="63"/>
        <v>52.92044680851064</v>
      </c>
      <c r="AI65" s="14">
        <f t="shared" si="64"/>
        <v>0.38040000000000002</v>
      </c>
      <c r="AJ65" s="15">
        <f t="shared" si="65"/>
        <v>0.61959999999999993</v>
      </c>
      <c r="AK65" s="15">
        <f t="shared" si="66"/>
        <v>6.2685063829787246</v>
      </c>
      <c r="AL65" s="16">
        <f t="shared" si="67"/>
        <v>53.134253191489364</v>
      </c>
      <c r="AM65" s="14">
        <f t="shared" si="68"/>
        <v>0.3458181818181818</v>
      </c>
      <c r="AN65" s="15">
        <f t="shared" si="69"/>
        <v>0.6541818181818182</v>
      </c>
      <c r="AO65" s="15">
        <f t="shared" si="70"/>
        <v>6.6183713733075447</v>
      </c>
      <c r="AP65" s="16">
        <f t="shared" si="71"/>
        <v>53.30918568665377</v>
      </c>
    </row>
    <row r="66" spans="1:42">
      <c r="A66" s="34" t="s">
        <v>288</v>
      </c>
      <c r="B66" s="64">
        <f>Design_Converter!B44</f>
        <v>10</v>
      </c>
      <c r="C66" s="34" t="s">
        <v>26</v>
      </c>
      <c r="N66">
        <v>5</v>
      </c>
      <c r="O66">
        <f t="shared" si="72"/>
        <v>46</v>
      </c>
      <c r="P66" s="14">
        <f t="shared" si="48"/>
        <v>0.40217391304347827</v>
      </c>
      <c r="Q66" s="15">
        <f t="shared" si="49"/>
        <v>0.59782608695652173</v>
      </c>
      <c r="R66" s="15">
        <f t="shared" si="50"/>
        <v>5.8828630897317309</v>
      </c>
      <c r="S66" s="16">
        <f t="shared" si="51"/>
        <v>52.941431544865864</v>
      </c>
      <c r="T66" s="14">
        <f t="shared" si="52"/>
        <v>0.43478260869565216</v>
      </c>
      <c r="U66" s="15">
        <f t="shared" si="53"/>
        <v>0.56521739130434789</v>
      </c>
      <c r="V66" s="15">
        <f t="shared" si="54"/>
        <v>6.0129509713228488</v>
      </c>
      <c r="W66" s="16">
        <f t="shared" si="55"/>
        <v>53.006475485661426</v>
      </c>
      <c r="X66" s="14">
        <f t="shared" si="56"/>
        <v>0.54347826086956519</v>
      </c>
      <c r="Y66" s="15">
        <f t="shared" si="57"/>
        <v>0.45652173913043481</v>
      </c>
      <c r="Z66" s="15">
        <f t="shared" si="58"/>
        <v>6.0707678075855691</v>
      </c>
      <c r="AA66" s="16">
        <f t="shared" si="59"/>
        <v>53.035383903792784</v>
      </c>
      <c r="AC66">
        <v>5</v>
      </c>
      <c r="AD66">
        <f t="shared" si="73"/>
        <v>19.149999999999999</v>
      </c>
      <c r="AE66" s="14">
        <f t="shared" si="60"/>
        <v>0.42555555555555552</v>
      </c>
      <c r="AF66" s="15">
        <f t="shared" si="61"/>
        <v>0.57444444444444454</v>
      </c>
      <c r="AG66" s="15">
        <f t="shared" si="62"/>
        <v>5.8513888888888888</v>
      </c>
      <c r="AH66" s="16">
        <f t="shared" si="63"/>
        <v>52.925694444444446</v>
      </c>
      <c r="AI66" s="14">
        <f t="shared" si="64"/>
        <v>0.38299999999999995</v>
      </c>
      <c r="AJ66" s="15">
        <f t="shared" si="65"/>
        <v>0.61699999999999999</v>
      </c>
      <c r="AK66" s="15">
        <f t="shared" si="66"/>
        <v>6.2848670212765949</v>
      </c>
      <c r="AL66" s="16">
        <f t="shared" si="67"/>
        <v>53.142433510638298</v>
      </c>
      <c r="AM66" s="14">
        <f t="shared" si="68"/>
        <v>0.34818181818181815</v>
      </c>
      <c r="AN66" s="15">
        <f t="shared" si="69"/>
        <v>0.65181818181818185</v>
      </c>
      <c r="AO66" s="15">
        <f t="shared" si="70"/>
        <v>6.6395309477756284</v>
      </c>
      <c r="AP66" s="16">
        <f t="shared" si="71"/>
        <v>53.319765473887813</v>
      </c>
    </row>
    <row r="67" spans="1:42">
      <c r="A67" s="31" t="s">
        <v>205</v>
      </c>
      <c r="B67" s="54">
        <f>I_Channel_Peak_No_Ilimit*(1+(B66/100))</f>
        <v>28.473404255319149</v>
      </c>
      <c r="C67" s="31" t="s">
        <v>4</v>
      </c>
      <c r="E67" s="34" t="s">
        <v>153</v>
      </c>
      <c r="N67">
        <v>6</v>
      </c>
      <c r="O67">
        <f t="shared" si="72"/>
        <v>46.2</v>
      </c>
      <c r="P67" s="14">
        <f t="shared" si="48"/>
        <v>0.40043290043290042</v>
      </c>
      <c r="Q67" s="15">
        <f t="shared" si="49"/>
        <v>0.59956709956709964</v>
      </c>
      <c r="R67" s="15">
        <f t="shared" si="50"/>
        <v>5.899995394676246</v>
      </c>
      <c r="S67" s="16">
        <f t="shared" si="51"/>
        <v>52.949997697338119</v>
      </c>
      <c r="T67" s="14">
        <f t="shared" si="52"/>
        <v>0.4329004329004329</v>
      </c>
      <c r="U67" s="15">
        <f t="shared" si="53"/>
        <v>0.5670995670995671</v>
      </c>
      <c r="V67" s="15">
        <f t="shared" si="54"/>
        <v>6.0329741180805021</v>
      </c>
      <c r="W67" s="16">
        <f t="shared" si="55"/>
        <v>53.016487059040251</v>
      </c>
      <c r="X67" s="14">
        <f t="shared" si="56"/>
        <v>0.54112554112554112</v>
      </c>
      <c r="Y67" s="15">
        <f t="shared" si="57"/>
        <v>0.45887445887445888</v>
      </c>
      <c r="Z67" s="15">
        <f t="shared" si="58"/>
        <v>6.1020539743944013</v>
      </c>
      <c r="AA67" s="16">
        <f t="shared" si="59"/>
        <v>53.051026987197204</v>
      </c>
      <c r="AC67">
        <v>6</v>
      </c>
      <c r="AD67">
        <f t="shared" si="73"/>
        <v>19.28</v>
      </c>
      <c r="AE67" s="14">
        <f t="shared" si="60"/>
        <v>0.42844444444444446</v>
      </c>
      <c r="AF67" s="15">
        <f t="shared" si="61"/>
        <v>0.57155555555555559</v>
      </c>
      <c r="AG67" s="15">
        <f t="shared" si="62"/>
        <v>5.8614846335697406</v>
      </c>
      <c r="AH67" s="16">
        <f t="shared" si="63"/>
        <v>52.930742316784873</v>
      </c>
      <c r="AI67" s="14">
        <f t="shared" si="64"/>
        <v>0.3856</v>
      </c>
      <c r="AJ67" s="15">
        <f t="shared" si="65"/>
        <v>0.61440000000000006</v>
      </c>
      <c r="AK67" s="15">
        <f t="shared" si="66"/>
        <v>6.3008680851063827</v>
      </c>
      <c r="AL67" s="16">
        <f t="shared" si="67"/>
        <v>53.150434042553194</v>
      </c>
      <c r="AM67" s="14">
        <f t="shared" si="68"/>
        <v>0.35054545454545455</v>
      </c>
      <c r="AN67" s="15">
        <f t="shared" si="69"/>
        <v>0.64945454545454551</v>
      </c>
      <c r="AO67" s="15">
        <f t="shared" si="70"/>
        <v>6.6603636363636367</v>
      </c>
      <c r="AP67" s="16">
        <f t="shared" si="71"/>
        <v>53.330181818181821</v>
      </c>
    </row>
    <row r="68" spans="1:42" ht="15">
      <c r="A68" s="31" t="s">
        <v>206</v>
      </c>
      <c r="B68" s="54">
        <f>((Rcs*I_Channel_Peak_Select))/(Constants!C22*1000)</f>
        <v>25.884912959381044</v>
      </c>
      <c r="C68" s="67" t="s">
        <v>104</v>
      </c>
      <c r="E68" s="34" t="s">
        <v>155</v>
      </c>
      <c r="N68">
        <v>7</v>
      </c>
      <c r="O68">
        <f t="shared" si="72"/>
        <v>46.4</v>
      </c>
      <c r="P68" s="14">
        <f t="shared" si="48"/>
        <v>0.39870689655172414</v>
      </c>
      <c r="Q68" s="15">
        <f t="shared" si="49"/>
        <v>0.6012931034482758</v>
      </c>
      <c r="R68" s="15">
        <f t="shared" si="50"/>
        <v>5.9169800073367576</v>
      </c>
      <c r="S68" s="16">
        <f t="shared" si="51"/>
        <v>52.958490003668381</v>
      </c>
      <c r="T68" s="14">
        <f t="shared" si="52"/>
        <v>0.43103448275862072</v>
      </c>
      <c r="U68" s="15">
        <f t="shared" si="53"/>
        <v>0.56896551724137923</v>
      </c>
      <c r="V68" s="15">
        <f t="shared" si="54"/>
        <v>6.0528246515040358</v>
      </c>
      <c r="W68" s="16">
        <f t="shared" si="55"/>
        <v>53.02641232575202</v>
      </c>
      <c r="X68" s="14">
        <f t="shared" si="56"/>
        <v>0.53879310344827591</v>
      </c>
      <c r="Y68" s="15">
        <f t="shared" si="57"/>
        <v>0.46120689655172409</v>
      </c>
      <c r="Z68" s="15">
        <f t="shared" si="58"/>
        <v>6.1330704328686734</v>
      </c>
      <c r="AA68" s="16">
        <f t="shared" si="59"/>
        <v>53.066535216434339</v>
      </c>
      <c r="AC68">
        <v>7</v>
      </c>
      <c r="AD68">
        <f t="shared" si="73"/>
        <v>19.41</v>
      </c>
      <c r="AE68" s="14">
        <f t="shared" si="60"/>
        <v>0.43133333333333335</v>
      </c>
      <c r="AF68" s="15">
        <f t="shared" si="61"/>
        <v>0.56866666666666665</v>
      </c>
      <c r="AG68" s="15">
        <f t="shared" si="62"/>
        <v>5.8711808510638308</v>
      </c>
      <c r="AH68" s="16">
        <f t="shared" si="63"/>
        <v>52.935590425531913</v>
      </c>
      <c r="AI68" s="14">
        <f t="shared" si="64"/>
        <v>0.38819999999999999</v>
      </c>
      <c r="AJ68" s="15">
        <f t="shared" si="65"/>
        <v>0.61180000000000001</v>
      </c>
      <c r="AK68" s="15">
        <f t="shared" si="66"/>
        <v>6.3165095744680855</v>
      </c>
      <c r="AL68" s="16">
        <f t="shared" si="67"/>
        <v>53.158254787234043</v>
      </c>
      <c r="AM68" s="14">
        <f t="shared" si="68"/>
        <v>0.35290909090909089</v>
      </c>
      <c r="AN68" s="15">
        <f t="shared" si="69"/>
        <v>0.64709090909090916</v>
      </c>
      <c r="AO68" s="15">
        <f t="shared" si="70"/>
        <v>6.6808694390715671</v>
      </c>
      <c r="AP68" s="16">
        <f t="shared" si="71"/>
        <v>53.340434719535786</v>
      </c>
    </row>
    <row r="69" spans="1:42" ht="15">
      <c r="A69" s="31" t="s">
        <v>190</v>
      </c>
      <c r="B69" s="60">
        <f>Design_Converter!B47</f>
        <v>26</v>
      </c>
      <c r="C69" s="67" t="s">
        <v>104</v>
      </c>
      <c r="N69">
        <v>8</v>
      </c>
      <c r="O69">
        <f t="shared" si="72"/>
        <v>46.6</v>
      </c>
      <c r="P69" s="14">
        <f t="shared" si="48"/>
        <v>0.39699570815450641</v>
      </c>
      <c r="Q69" s="15">
        <f t="shared" si="49"/>
        <v>0.60300429184549365</v>
      </c>
      <c r="R69" s="15">
        <f t="shared" si="50"/>
        <v>5.9338188293306553</v>
      </c>
      <c r="S69" s="16">
        <f t="shared" si="51"/>
        <v>52.966909414665331</v>
      </c>
      <c r="T69" s="14">
        <f t="shared" si="52"/>
        <v>0.42918454935622319</v>
      </c>
      <c r="U69" s="15">
        <f t="shared" si="53"/>
        <v>0.57081545064377681</v>
      </c>
      <c r="V69" s="15">
        <f t="shared" si="54"/>
        <v>6.0725047940827332</v>
      </c>
      <c r="W69" s="16">
        <f t="shared" si="55"/>
        <v>53.036252397041366</v>
      </c>
      <c r="X69" s="14">
        <f t="shared" si="56"/>
        <v>0.53648068669527893</v>
      </c>
      <c r="Y69" s="15">
        <f t="shared" si="57"/>
        <v>0.46351931330472107</v>
      </c>
      <c r="Z69" s="15">
        <f t="shared" si="58"/>
        <v>6.1638206556478856</v>
      </c>
      <c r="AA69" s="16">
        <f t="shared" si="59"/>
        <v>53.081910327823941</v>
      </c>
      <c r="AC69">
        <v>8</v>
      </c>
      <c r="AD69">
        <f t="shared" si="73"/>
        <v>19.54</v>
      </c>
      <c r="AE69" s="14">
        <f t="shared" si="60"/>
        <v>0.43422222222222218</v>
      </c>
      <c r="AF69" s="15">
        <f t="shared" si="61"/>
        <v>0.56577777777777782</v>
      </c>
      <c r="AG69" s="15">
        <f t="shared" si="62"/>
        <v>5.8804775413711585</v>
      </c>
      <c r="AH69" s="16">
        <f t="shared" si="63"/>
        <v>52.940238770685582</v>
      </c>
      <c r="AI69" s="14">
        <f t="shared" si="64"/>
        <v>0.39079999999999998</v>
      </c>
      <c r="AJ69" s="15">
        <f t="shared" si="65"/>
        <v>0.60919999999999996</v>
      </c>
      <c r="AK69" s="15">
        <f t="shared" si="66"/>
        <v>6.3317914893617022</v>
      </c>
      <c r="AL69" s="16">
        <f t="shared" si="67"/>
        <v>53.165895744680853</v>
      </c>
      <c r="AM69" s="14">
        <f t="shared" si="68"/>
        <v>0.35527272727272724</v>
      </c>
      <c r="AN69" s="15">
        <f t="shared" si="69"/>
        <v>0.64472727272727282</v>
      </c>
      <c r="AO69" s="15">
        <f t="shared" si="70"/>
        <v>6.7010483558994194</v>
      </c>
      <c r="AP69" s="16">
        <f t="shared" si="71"/>
        <v>53.350524177949708</v>
      </c>
    </row>
    <row r="70" spans="1:42" ht="15">
      <c r="A70" s="31" t="s">
        <v>191</v>
      </c>
      <c r="B70" s="60">
        <f>(B69*1000*Constants!C22)/(Calculations!B28*(10^-3))</f>
        <v>28.6</v>
      </c>
      <c r="C70" s="67" t="s">
        <v>4</v>
      </c>
      <c r="D70" s="31">
        <f>IF(B70&lt;I_Channel_Peak_No_Ilimit,1,0)</f>
        <v>0</v>
      </c>
      <c r="E70" s="34" t="s">
        <v>156</v>
      </c>
      <c r="N70">
        <v>9</v>
      </c>
      <c r="O70">
        <f t="shared" si="72"/>
        <v>46.8</v>
      </c>
      <c r="P70" s="14">
        <f t="shared" si="48"/>
        <v>0.39529914529914534</v>
      </c>
      <c r="Q70" s="15">
        <f t="shared" si="49"/>
        <v>0.60470085470085466</v>
      </c>
      <c r="R70" s="15">
        <f t="shared" si="50"/>
        <v>5.9505137297690487</v>
      </c>
      <c r="S70" s="16">
        <f t="shared" si="51"/>
        <v>52.975256864884521</v>
      </c>
      <c r="T70" s="14">
        <f t="shared" si="52"/>
        <v>0.42735042735042739</v>
      </c>
      <c r="U70" s="15">
        <f t="shared" si="53"/>
        <v>0.57264957264957261</v>
      </c>
      <c r="V70" s="15">
        <f t="shared" si="54"/>
        <v>6.0920167303146027</v>
      </c>
      <c r="W70" s="16">
        <f t="shared" si="55"/>
        <v>53.046008365157299</v>
      </c>
      <c r="X70" s="14">
        <f t="shared" si="56"/>
        <v>0.53418803418803418</v>
      </c>
      <c r="Y70" s="15">
        <f t="shared" si="57"/>
        <v>0.46581196581196582</v>
      </c>
      <c r="Z70" s="15">
        <f t="shared" si="58"/>
        <v>6.1943080560101826</v>
      </c>
      <c r="AA70" s="16">
        <f t="shared" si="59"/>
        <v>53.097154028005093</v>
      </c>
      <c r="AC70">
        <v>9</v>
      </c>
      <c r="AD70">
        <f t="shared" si="73"/>
        <v>19.670000000000002</v>
      </c>
      <c r="AE70" s="14">
        <f t="shared" si="60"/>
        <v>0.43711111111111117</v>
      </c>
      <c r="AF70" s="15">
        <f t="shared" si="61"/>
        <v>0.56288888888888877</v>
      </c>
      <c r="AG70" s="15">
        <f t="shared" si="62"/>
        <v>5.8893747044917264</v>
      </c>
      <c r="AH70" s="16">
        <f t="shared" si="63"/>
        <v>52.944687352245865</v>
      </c>
      <c r="AI70" s="14">
        <f t="shared" si="64"/>
        <v>0.39340000000000003</v>
      </c>
      <c r="AJ70" s="15">
        <f t="shared" si="65"/>
        <v>0.60660000000000003</v>
      </c>
      <c r="AK70" s="15">
        <f t="shared" si="66"/>
        <v>6.3467138297872348</v>
      </c>
      <c r="AL70" s="16">
        <f t="shared" si="67"/>
        <v>53.173356914893617</v>
      </c>
      <c r="AM70" s="14">
        <f t="shared" si="68"/>
        <v>0.35763636363636364</v>
      </c>
      <c r="AN70" s="15">
        <f t="shared" si="69"/>
        <v>0.64236363636363636</v>
      </c>
      <c r="AO70" s="15">
        <f t="shared" si="70"/>
        <v>6.7209003868471955</v>
      </c>
      <c r="AP70" s="16">
        <f t="shared" si="71"/>
        <v>53.360450193423596</v>
      </c>
    </row>
    <row r="71" spans="1:42">
      <c r="N71">
        <v>10</v>
      </c>
      <c r="O71">
        <f t="shared" si="72"/>
        <v>47</v>
      </c>
      <c r="P71" s="14">
        <f t="shared" si="48"/>
        <v>0.39361702127659576</v>
      </c>
      <c r="Q71" s="15">
        <f t="shared" si="49"/>
        <v>0.6063829787234043</v>
      </c>
      <c r="R71" s="15">
        <f t="shared" si="50"/>
        <v>5.9670665459483931</v>
      </c>
      <c r="S71" s="16">
        <f t="shared" si="51"/>
        <v>52.983533272974199</v>
      </c>
      <c r="T71" s="14">
        <f t="shared" si="52"/>
        <v>0.42553191489361702</v>
      </c>
      <c r="U71" s="15">
        <f t="shared" si="53"/>
        <v>0.57446808510638303</v>
      </c>
      <c r="V71" s="15">
        <f t="shared" si="54"/>
        <v>6.1113626075147129</v>
      </c>
      <c r="W71" s="16">
        <f t="shared" si="55"/>
        <v>53.055681303757353</v>
      </c>
      <c r="X71" s="14">
        <f t="shared" si="56"/>
        <v>0.53191489361702127</v>
      </c>
      <c r="Y71" s="15">
        <f t="shared" si="57"/>
        <v>0.46808510638297873</v>
      </c>
      <c r="Z71" s="15">
        <f t="shared" si="58"/>
        <v>6.2245359891353562</v>
      </c>
      <c r="AA71" s="16">
        <f t="shared" si="59"/>
        <v>53.112267994567681</v>
      </c>
      <c r="AC71">
        <v>10</v>
      </c>
      <c r="AD71">
        <f t="shared" si="73"/>
        <v>19.8</v>
      </c>
      <c r="AE71" s="14">
        <f t="shared" si="60"/>
        <v>0.44</v>
      </c>
      <c r="AF71" s="15">
        <f t="shared" si="61"/>
        <v>0.56000000000000005</v>
      </c>
      <c r="AG71" s="15">
        <f t="shared" si="62"/>
        <v>5.8978723404255318</v>
      </c>
      <c r="AH71" s="16">
        <f t="shared" si="63"/>
        <v>52.948936170212768</v>
      </c>
      <c r="AI71" s="14">
        <f t="shared" si="64"/>
        <v>0.39600000000000002</v>
      </c>
      <c r="AJ71" s="15">
        <f t="shared" si="65"/>
        <v>0.60399999999999998</v>
      </c>
      <c r="AK71" s="15">
        <f t="shared" si="66"/>
        <v>6.3612765957446813</v>
      </c>
      <c r="AL71" s="16">
        <f t="shared" si="67"/>
        <v>53.180638297872342</v>
      </c>
      <c r="AM71" s="14">
        <f t="shared" si="68"/>
        <v>0.36</v>
      </c>
      <c r="AN71" s="15">
        <f t="shared" si="69"/>
        <v>0.64</v>
      </c>
      <c r="AO71" s="15">
        <f t="shared" si="70"/>
        <v>6.7404255319148945</v>
      </c>
      <c r="AP71" s="16">
        <f t="shared" si="71"/>
        <v>53.370212765957447</v>
      </c>
    </row>
    <row r="72" spans="1:42">
      <c r="N72">
        <v>11</v>
      </c>
      <c r="O72">
        <f t="shared" si="72"/>
        <v>47.2</v>
      </c>
      <c r="P72" s="14">
        <f t="shared" si="48"/>
        <v>0.39194915254237284</v>
      </c>
      <c r="Q72" s="15">
        <f t="shared" si="49"/>
        <v>0.60805084745762716</v>
      </c>
      <c r="R72" s="15">
        <f t="shared" si="50"/>
        <v>5.9834790840245224</v>
      </c>
      <c r="S72" s="16">
        <f t="shared" si="51"/>
        <v>52.991739542012262</v>
      </c>
      <c r="T72" s="14">
        <f t="shared" si="52"/>
        <v>0.42372881355932202</v>
      </c>
      <c r="U72" s="15">
        <f t="shared" si="53"/>
        <v>0.57627118644067798</v>
      </c>
      <c r="V72" s="15">
        <f t="shared" si="54"/>
        <v>6.1305445366029572</v>
      </c>
      <c r="W72" s="16">
        <f t="shared" si="55"/>
        <v>53.065272268301477</v>
      </c>
      <c r="X72" s="14">
        <f t="shared" si="56"/>
        <v>0.52966101694915246</v>
      </c>
      <c r="Y72" s="15">
        <f t="shared" si="57"/>
        <v>0.47033898305084754</v>
      </c>
      <c r="Z72" s="15">
        <f t="shared" si="58"/>
        <v>6.2545077533357381</v>
      </c>
      <c r="AA72" s="16">
        <f t="shared" si="59"/>
        <v>53.127253876667872</v>
      </c>
      <c r="AC72">
        <v>11</v>
      </c>
      <c r="AD72">
        <f t="shared" si="73"/>
        <v>19.93</v>
      </c>
      <c r="AE72" s="14">
        <f t="shared" si="60"/>
        <v>0.44288888888888889</v>
      </c>
      <c r="AF72" s="15">
        <f t="shared" si="61"/>
        <v>0.55711111111111111</v>
      </c>
      <c r="AG72" s="15">
        <f t="shared" si="62"/>
        <v>5.9059704491725773</v>
      </c>
      <c r="AH72" s="16">
        <f t="shared" si="63"/>
        <v>52.952985224586286</v>
      </c>
      <c r="AI72" s="14">
        <f t="shared" si="64"/>
        <v>0.39860000000000001</v>
      </c>
      <c r="AJ72" s="15">
        <f t="shared" si="65"/>
        <v>0.60139999999999993</v>
      </c>
      <c r="AK72" s="15">
        <f t="shared" si="66"/>
        <v>6.3754797872340427</v>
      </c>
      <c r="AL72" s="16">
        <f t="shared" si="67"/>
        <v>53.187739893617021</v>
      </c>
      <c r="AM72" s="14">
        <f t="shared" si="68"/>
        <v>0.36236363636363633</v>
      </c>
      <c r="AN72" s="15">
        <f t="shared" si="69"/>
        <v>0.63763636363636367</v>
      </c>
      <c r="AO72" s="15">
        <f t="shared" si="70"/>
        <v>6.7596237911025145</v>
      </c>
      <c r="AP72" s="16">
        <f t="shared" si="71"/>
        <v>53.379811895551256</v>
      </c>
    </row>
    <row r="73" spans="1:42">
      <c r="N73">
        <v>12</v>
      </c>
      <c r="O73">
        <f t="shared" si="72"/>
        <v>47.4</v>
      </c>
      <c r="P73" s="14">
        <f t="shared" si="48"/>
        <v>0.39029535864978904</v>
      </c>
      <c r="Q73" s="15">
        <f t="shared" si="49"/>
        <v>0.60970464135021096</v>
      </c>
      <c r="R73" s="15">
        <f t="shared" si="50"/>
        <v>5.999753119669629</v>
      </c>
      <c r="S73" s="16">
        <f t="shared" si="51"/>
        <v>52.999876559834817</v>
      </c>
      <c r="T73" s="14">
        <f t="shared" si="52"/>
        <v>0.4219409282700422</v>
      </c>
      <c r="U73" s="15">
        <f t="shared" si="53"/>
        <v>0.57805907172995785</v>
      </c>
      <c r="V73" s="15">
        <f t="shared" si="54"/>
        <v>6.1495645928718918</v>
      </c>
      <c r="W73" s="16">
        <f t="shared" si="55"/>
        <v>53.074782296435949</v>
      </c>
      <c r="X73" s="14">
        <f t="shared" si="56"/>
        <v>0.52742616033755274</v>
      </c>
      <c r="Y73" s="15">
        <f t="shared" si="57"/>
        <v>0.47257383966244726</v>
      </c>
      <c r="Z73" s="15">
        <f t="shared" si="58"/>
        <v>6.2842265912559476</v>
      </c>
      <c r="AA73" s="16">
        <f t="shared" si="59"/>
        <v>53.142113295627972</v>
      </c>
      <c r="AC73">
        <v>12</v>
      </c>
      <c r="AD73">
        <f t="shared" si="73"/>
        <v>20.059999999999999</v>
      </c>
      <c r="AE73" s="14">
        <f t="shared" si="60"/>
        <v>0.44577777777777777</v>
      </c>
      <c r="AF73" s="15">
        <f t="shared" si="61"/>
        <v>0.55422222222222217</v>
      </c>
      <c r="AG73" s="15">
        <f t="shared" si="62"/>
        <v>5.9136690307328612</v>
      </c>
      <c r="AH73" s="16">
        <f t="shared" si="63"/>
        <v>52.956834515366431</v>
      </c>
      <c r="AI73" s="14">
        <f t="shared" si="64"/>
        <v>0.4012</v>
      </c>
      <c r="AJ73" s="15">
        <f t="shared" si="65"/>
        <v>0.5988</v>
      </c>
      <c r="AK73" s="15">
        <f t="shared" si="66"/>
        <v>6.38932340425532</v>
      </c>
      <c r="AL73" s="16">
        <f t="shared" si="67"/>
        <v>53.194661702127661</v>
      </c>
      <c r="AM73" s="14">
        <f t="shared" si="68"/>
        <v>0.36472727272727268</v>
      </c>
      <c r="AN73" s="15">
        <f t="shared" si="69"/>
        <v>0.63527272727272732</v>
      </c>
      <c r="AO73" s="15">
        <f t="shared" si="70"/>
        <v>6.7784951644100566</v>
      </c>
      <c r="AP73" s="16">
        <f t="shared" si="71"/>
        <v>53.38924758220503</v>
      </c>
    </row>
    <row r="74" spans="1:42">
      <c r="A74" s="47" t="s">
        <v>99</v>
      </c>
      <c r="B74" s="47"/>
      <c r="C74" s="47"/>
      <c r="N74">
        <v>13</v>
      </c>
      <c r="O74">
        <f t="shared" si="72"/>
        <v>47.6</v>
      </c>
      <c r="P74" s="14">
        <f t="shared" si="48"/>
        <v>0.38865546218487396</v>
      </c>
      <c r="Q74" s="15">
        <f t="shared" si="49"/>
        <v>0.6113445378151261</v>
      </c>
      <c r="R74" s="15">
        <f t="shared" si="50"/>
        <v>6.0158903987126777</v>
      </c>
      <c r="S74" s="16">
        <f t="shared" si="51"/>
        <v>53.007945199356342</v>
      </c>
      <c r="T74" s="14">
        <f t="shared" si="52"/>
        <v>0.42016806722689076</v>
      </c>
      <c r="U74" s="15">
        <f t="shared" si="53"/>
        <v>0.57983193277310918</v>
      </c>
      <c r="V74" s="15">
        <f t="shared" si="54"/>
        <v>6.1684248167352056</v>
      </c>
      <c r="W74" s="16">
        <f t="shared" si="55"/>
        <v>53.084212408367605</v>
      </c>
      <c r="X74" s="14">
        <f t="shared" si="56"/>
        <v>0.52521008403361347</v>
      </c>
      <c r="Y74" s="15">
        <f t="shared" si="57"/>
        <v>0.47478991596638653</v>
      </c>
      <c r="Z74" s="15">
        <f t="shared" si="58"/>
        <v>6.3136956910423754</v>
      </c>
      <c r="AA74" s="16">
        <f t="shared" si="59"/>
        <v>53.156847845521185</v>
      </c>
      <c r="AC74">
        <v>13</v>
      </c>
      <c r="AD74">
        <f t="shared" si="73"/>
        <v>20.190000000000001</v>
      </c>
      <c r="AE74" s="14">
        <f t="shared" si="60"/>
        <v>0.44866666666666671</v>
      </c>
      <c r="AF74" s="15">
        <f t="shared" si="61"/>
        <v>0.55133333333333323</v>
      </c>
      <c r="AG74" s="15">
        <f t="shared" si="62"/>
        <v>5.9209680851063835</v>
      </c>
      <c r="AH74" s="16">
        <f t="shared" si="63"/>
        <v>52.96048404255319</v>
      </c>
      <c r="AI74" s="14">
        <f t="shared" si="64"/>
        <v>0.40380000000000005</v>
      </c>
      <c r="AJ74" s="15">
        <f t="shared" si="65"/>
        <v>0.59619999999999995</v>
      </c>
      <c r="AK74" s="15">
        <f t="shared" si="66"/>
        <v>6.4028074468085112</v>
      </c>
      <c r="AL74" s="16">
        <f t="shared" si="67"/>
        <v>53.201403723404255</v>
      </c>
      <c r="AM74" s="14">
        <f t="shared" si="68"/>
        <v>0.36709090909090913</v>
      </c>
      <c r="AN74" s="15">
        <f t="shared" si="69"/>
        <v>0.63290909090909087</v>
      </c>
      <c r="AO74" s="15">
        <f t="shared" si="70"/>
        <v>6.7970396518375251</v>
      </c>
      <c r="AP74" s="16">
        <f t="shared" si="71"/>
        <v>53.398519825918761</v>
      </c>
    </row>
    <row r="75" spans="1:42">
      <c r="A75" s="31" t="s">
        <v>207</v>
      </c>
      <c r="B75" s="49">
        <f>Design_Converter!B62</f>
        <v>1</v>
      </c>
      <c r="C75" s="31" t="s">
        <v>40</v>
      </c>
      <c r="N75">
        <v>14</v>
      </c>
      <c r="O75">
        <f t="shared" si="72"/>
        <v>47.8</v>
      </c>
      <c r="P75" s="14">
        <f t="shared" si="48"/>
        <v>0.38702928870292891</v>
      </c>
      <c r="Q75" s="15">
        <f t="shared" si="49"/>
        <v>0.61297071129707104</v>
      </c>
      <c r="R75" s="15">
        <f t="shared" si="50"/>
        <v>6.0318926377637325</v>
      </c>
      <c r="S75" s="16">
        <f t="shared" si="51"/>
        <v>53.015946318881866</v>
      </c>
      <c r="T75" s="14">
        <f t="shared" si="52"/>
        <v>0.41841004184100422</v>
      </c>
      <c r="U75" s="15">
        <f t="shared" si="53"/>
        <v>0.58158995815899583</v>
      </c>
      <c r="V75" s="15">
        <f t="shared" si="54"/>
        <v>6.1871272144574023</v>
      </c>
      <c r="W75" s="16">
        <f t="shared" si="55"/>
        <v>53.093563607228702</v>
      </c>
      <c r="X75" s="14">
        <f t="shared" si="56"/>
        <v>0.52301255230125521</v>
      </c>
      <c r="Y75" s="15">
        <f t="shared" si="57"/>
        <v>0.47698744769874479</v>
      </c>
      <c r="Z75" s="15">
        <f t="shared" si="58"/>
        <v>6.3429181874833072</v>
      </c>
      <c r="AA75" s="16">
        <f t="shared" si="59"/>
        <v>53.171459093741653</v>
      </c>
      <c r="AC75">
        <v>14</v>
      </c>
      <c r="AD75">
        <f t="shared" si="73"/>
        <v>20.32</v>
      </c>
      <c r="AE75" s="14">
        <f t="shared" si="60"/>
        <v>0.45155555555555554</v>
      </c>
      <c r="AF75" s="15">
        <f t="shared" si="61"/>
        <v>0.54844444444444451</v>
      </c>
      <c r="AG75" s="15">
        <f t="shared" si="62"/>
        <v>5.9278676122931442</v>
      </c>
      <c r="AH75" s="16">
        <f t="shared" si="63"/>
        <v>52.963933806146571</v>
      </c>
      <c r="AI75" s="14">
        <f t="shared" si="64"/>
        <v>0.40639999999999998</v>
      </c>
      <c r="AJ75" s="15">
        <f t="shared" si="65"/>
        <v>0.59360000000000002</v>
      </c>
      <c r="AK75" s="15">
        <f t="shared" si="66"/>
        <v>6.4159319148936165</v>
      </c>
      <c r="AL75" s="16">
        <f t="shared" si="67"/>
        <v>53.20796595744681</v>
      </c>
      <c r="AM75" s="14">
        <f t="shared" si="68"/>
        <v>0.36945454545454548</v>
      </c>
      <c r="AN75" s="15">
        <f t="shared" si="69"/>
        <v>0.63054545454545452</v>
      </c>
      <c r="AO75" s="15">
        <f t="shared" si="70"/>
        <v>6.8152572533849129</v>
      </c>
      <c r="AP75" s="16">
        <f t="shared" si="71"/>
        <v>53.407628626692457</v>
      </c>
    </row>
    <row r="76" spans="1:42" ht="15">
      <c r="A76" s="31" t="s">
        <v>157</v>
      </c>
      <c r="B76" s="56">
        <f>9.6/(((B75*10^-9)*Fsw)*1000)</f>
        <v>23.999999999999996</v>
      </c>
      <c r="C76" s="67" t="s">
        <v>104</v>
      </c>
      <c r="E76" s="34" t="s">
        <v>488</v>
      </c>
      <c r="N76">
        <v>15</v>
      </c>
      <c r="O76">
        <f t="shared" si="72"/>
        <v>48</v>
      </c>
      <c r="P76" s="14">
        <f t="shared" si="48"/>
        <v>0.38541666666666669</v>
      </c>
      <c r="Q76" s="15">
        <f t="shared" si="49"/>
        <v>0.61458333333333326</v>
      </c>
      <c r="R76" s="15">
        <f t="shared" si="50"/>
        <v>6.0477615248226959</v>
      </c>
      <c r="S76" s="16">
        <f t="shared" si="51"/>
        <v>53.023880762411345</v>
      </c>
      <c r="T76" s="14">
        <f t="shared" si="52"/>
        <v>0.41666666666666669</v>
      </c>
      <c r="U76" s="15">
        <f t="shared" si="53"/>
        <v>0.58333333333333326</v>
      </c>
      <c r="V76" s="15">
        <f t="shared" si="54"/>
        <v>6.2056737588652489</v>
      </c>
      <c r="W76" s="16">
        <f t="shared" si="55"/>
        <v>53.102836879432623</v>
      </c>
      <c r="X76" s="14">
        <f t="shared" si="56"/>
        <v>0.52083333333333337</v>
      </c>
      <c r="Y76" s="15">
        <f t="shared" si="57"/>
        <v>0.47916666666666663</v>
      </c>
      <c r="Z76" s="15">
        <f t="shared" si="58"/>
        <v>6.3718971631205683</v>
      </c>
      <c r="AA76" s="16">
        <f t="shared" si="59"/>
        <v>53.185948581560282</v>
      </c>
      <c r="AC76">
        <v>15</v>
      </c>
      <c r="AD76">
        <f t="shared" si="73"/>
        <v>20.45</v>
      </c>
      <c r="AE76" s="14">
        <f t="shared" si="60"/>
        <v>0.45444444444444443</v>
      </c>
      <c r="AF76" s="15">
        <f t="shared" si="61"/>
        <v>0.54555555555555557</v>
      </c>
      <c r="AG76" s="15">
        <f t="shared" si="62"/>
        <v>5.934367612293145</v>
      </c>
      <c r="AH76" s="16">
        <f t="shared" si="63"/>
        <v>52.967183806146572</v>
      </c>
      <c r="AI76" s="14">
        <f t="shared" si="64"/>
        <v>0.40899999999999997</v>
      </c>
      <c r="AJ76" s="15">
        <f t="shared" si="65"/>
        <v>0.59099999999999997</v>
      </c>
      <c r="AK76" s="15">
        <f t="shared" si="66"/>
        <v>6.4286968085106384</v>
      </c>
      <c r="AL76" s="16">
        <f t="shared" si="67"/>
        <v>53.214348404255318</v>
      </c>
      <c r="AM76" s="14">
        <f t="shared" si="68"/>
        <v>0.37181818181818183</v>
      </c>
      <c r="AN76" s="15">
        <f t="shared" si="69"/>
        <v>0.62818181818181817</v>
      </c>
      <c r="AO76" s="15">
        <f t="shared" si="70"/>
        <v>6.8331479690522245</v>
      </c>
      <c r="AP76" s="16">
        <f t="shared" si="71"/>
        <v>53.41657398452611</v>
      </c>
    </row>
    <row r="77" spans="1:42" ht="15">
      <c r="A77" s="34" t="s">
        <v>208</v>
      </c>
      <c r="B77" s="49">
        <v>96</v>
      </c>
      <c r="C77" s="67" t="s">
        <v>104</v>
      </c>
      <c r="E77" s="34" t="s">
        <v>100</v>
      </c>
      <c r="N77">
        <v>16</v>
      </c>
      <c r="O77">
        <f t="shared" si="72"/>
        <v>48.2</v>
      </c>
      <c r="P77" s="14">
        <f t="shared" si="48"/>
        <v>0.38381742738589208</v>
      </c>
      <c r="Q77" s="15">
        <f t="shared" si="49"/>
        <v>0.61618257261410792</v>
      </c>
      <c r="R77" s="15">
        <f t="shared" si="50"/>
        <v>6.0634987198728707</v>
      </c>
      <c r="S77" s="16">
        <f t="shared" si="51"/>
        <v>53.031749359936434</v>
      </c>
      <c r="T77" s="14">
        <f t="shared" si="52"/>
        <v>0.41493775933609955</v>
      </c>
      <c r="U77" s="15">
        <f t="shared" si="53"/>
        <v>0.58506224066390045</v>
      </c>
      <c r="V77" s="15">
        <f t="shared" si="54"/>
        <v>6.2240663900414939</v>
      </c>
      <c r="W77" s="16">
        <f t="shared" si="55"/>
        <v>53.11203319502075</v>
      </c>
      <c r="X77" s="14">
        <f t="shared" si="56"/>
        <v>0.51867219917012441</v>
      </c>
      <c r="Y77" s="15">
        <f t="shared" si="57"/>
        <v>0.48132780082987559</v>
      </c>
      <c r="Z77" s="15">
        <f t="shared" si="58"/>
        <v>6.4006356493334513</v>
      </c>
      <c r="AA77" s="16">
        <f t="shared" si="59"/>
        <v>53.200317824666726</v>
      </c>
      <c r="AC77">
        <v>16</v>
      </c>
      <c r="AD77">
        <f t="shared" si="73"/>
        <v>20.58</v>
      </c>
      <c r="AE77" s="14">
        <f t="shared" si="60"/>
        <v>0.45733333333333331</v>
      </c>
      <c r="AF77" s="15">
        <f t="shared" si="61"/>
        <v>0.54266666666666663</v>
      </c>
      <c r="AG77" s="15">
        <f t="shared" si="62"/>
        <v>5.9404680851063834</v>
      </c>
      <c r="AH77" s="16">
        <f t="shared" si="63"/>
        <v>52.970234042553194</v>
      </c>
      <c r="AI77" s="14">
        <f t="shared" si="64"/>
        <v>0.41159999999999997</v>
      </c>
      <c r="AJ77" s="15">
        <f t="shared" si="65"/>
        <v>0.58840000000000003</v>
      </c>
      <c r="AK77" s="15">
        <f t="shared" si="66"/>
        <v>6.4411021276595752</v>
      </c>
      <c r="AL77" s="16">
        <f t="shared" si="67"/>
        <v>53.220551063829788</v>
      </c>
      <c r="AM77" s="14">
        <f t="shared" si="68"/>
        <v>0.37418181818181817</v>
      </c>
      <c r="AN77" s="15">
        <f t="shared" si="69"/>
        <v>0.62581818181818183</v>
      </c>
      <c r="AO77" s="15">
        <f t="shared" si="70"/>
        <v>6.850711798839459</v>
      </c>
      <c r="AP77" s="16">
        <f t="shared" si="71"/>
        <v>53.425355899419728</v>
      </c>
    </row>
    <row r="78" spans="1:42">
      <c r="A78" s="31" t="s">
        <v>101</v>
      </c>
      <c r="B78" s="61">
        <f>(V48_Min)/(Ramp_C*Ramp_R*Fsw)</f>
        <v>4.6875</v>
      </c>
      <c r="C78" s="31" t="s">
        <v>1</v>
      </c>
      <c r="D78" s="34">
        <f>IF(B78&lt;Constants!$C$44,1,IF(B78&gt;Constants!$C$43,1,0))</f>
        <v>0</v>
      </c>
      <c r="E78" s="34" t="s">
        <v>209</v>
      </c>
      <c r="N78">
        <v>17</v>
      </c>
      <c r="O78">
        <f t="shared" si="72"/>
        <v>48.4</v>
      </c>
      <c r="P78" s="14">
        <f t="shared" si="48"/>
        <v>0.38223140495867769</v>
      </c>
      <c r="Q78" s="15">
        <f t="shared" si="49"/>
        <v>0.61776859504132231</v>
      </c>
      <c r="R78" s="15">
        <f t="shared" si="50"/>
        <v>6.0791058554598205</v>
      </c>
      <c r="S78" s="16">
        <f t="shared" si="51"/>
        <v>53.039552927729908</v>
      </c>
      <c r="T78" s="14">
        <f t="shared" si="52"/>
        <v>0.41322314049586778</v>
      </c>
      <c r="U78" s="15">
        <f t="shared" si="53"/>
        <v>0.58677685950413228</v>
      </c>
      <c r="V78" s="15">
        <f t="shared" si="54"/>
        <v>6.2423070160014067</v>
      </c>
      <c r="W78" s="16">
        <f t="shared" si="55"/>
        <v>53.121153508000702</v>
      </c>
      <c r="X78" s="14">
        <f t="shared" si="56"/>
        <v>0.51652892561983477</v>
      </c>
      <c r="Y78" s="15">
        <f t="shared" si="57"/>
        <v>0.48347107438016523</v>
      </c>
      <c r="Z78" s="15">
        <f t="shared" si="58"/>
        <v>6.4291366273958159</v>
      </c>
      <c r="AA78" s="16">
        <f t="shared" si="59"/>
        <v>53.21456831369791</v>
      </c>
      <c r="AC78">
        <v>17</v>
      </c>
      <c r="AD78">
        <f t="shared" si="73"/>
        <v>20.71</v>
      </c>
      <c r="AE78" s="14">
        <f t="shared" si="60"/>
        <v>0.46022222222222225</v>
      </c>
      <c r="AF78" s="15">
        <f t="shared" si="61"/>
        <v>0.53977777777777769</v>
      </c>
      <c r="AG78" s="15">
        <f t="shared" si="62"/>
        <v>5.946169030732861</v>
      </c>
      <c r="AH78" s="16">
        <f t="shared" si="63"/>
        <v>52.97308451536643</v>
      </c>
      <c r="AI78" s="14">
        <f t="shared" si="64"/>
        <v>0.41420000000000001</v>
      </c>
      <c r="AJ78" s="15">
        <f t="shared" si="65"/>
        <v>0.58579999999999999</v>
      </c>
      <c r="AK78" s="15">
        <f t="shared" si="66"/>
        <v>6.4531478723404261</v>
      </c>
      <c r="AL78" s="16">
        <f t="shared" si="67"/>
        <v>53.226573936170212</v>
      </c>
      <c r="AM78" s="14">
        <f t="shared" si="68"/>
        <v>0.37654545454545457</v>
      </c>
      <c r="AN78" s="15">
        <f t="shared" si="69"/>
        <v>0.62345454545454548</v>
      </c>
      <c r="AO78" s="15">
        <f t="shared" si="70"/>
        <v>6.8679487427466164</v>
      </c>
      <c r="AP78" s="16">
        <f t="shared" si="71"/>
        <v>53.43397437137331</v>
      </c>
    </row>
    <row r="79" spans="1:42">
      <c r="A79" s="31" t="s">
        <v>102</v>
      </c>
      <c r="B79" s="50">
        <f>(V48_Nom)/(Ramp_C*Ramp_R*Fsw)</f>
        <v>5.2083333333333339</v>
      </c>
      <c r="C79" s="31" t="s">
        <v>1</v>
      </c>
      <c r="D79" s="34">
        <f>IF(B79&lt;Constants!$C$44,1,IF(B79&gt;Constants!$C$43,1,0))</f>
        <v>0</v>
      </c>
      <c r="E79" s="34" t="s">
        <v>209</v>
      </c>
      <c r="N79">
        <v>18</v>
      </c>
      <c r="O79">
        <f t="shared" si="72"/>
        <v>48.6</v>
      </c>
      <c r="P79" s="14">
        <f t="shared" si="48"/>
        <v>0.38065843621399176</v>
      </c>
      <c r="Q79" s="15">
        <f t="shared" si="49"/>
        <v>0.61934156378600824</v>
      </c>
      <c r="R79" s="15">
        <f t="shared" si="50"/>
        <v>6.0945845372559324</v>
      </c>
      <c r="S79" s="16">
        <f t="shared" si="51"/>
        <v>53.047292268627963</v>
      </c>
      <c r="T79" s="14">
        <f t="shared" si="52"/>
        <v>0.41152263374485598</v>
      </c>
      <c r="U79" s="15">
        <f t="shared" si="53"/>
        <v>0.58847736625514402</v>
      </c>
      <c r="V79" s="15">
        <f t="shared" si="54"/>
        <v>6.2603975133525962</v>
      </c>
      <c r="W79" s="16">
        <f t="shared" si="55"/>
        <v>53.1301987566763</v>
      </c>
      <c r="X79" s="14">
        <f t="shared" si="56"/>
        <v>0.51440329218106995</v>
      </c>
      <c r="Y79" s="15">
        <f t="shared" si="57"/>
        <v>0.48559670781893005</v>
      </c>
      <c r="Z79" s="15">
        <f t="shared" si="58"/>
        <v>6.4574030295070495</v>
      </c>
      <c r="AA79" s="16">
        <f t="shared" si="59"/>
        <v>53.228701514753524</v>
      </c>
      <c r="AC79">
        <v>18</v>
      </c>
      <c r="AD79">
        <f t="shared" si="73"/>
        <v>20.84</v>
      </c>
      <c r="AE79" s="14">
        <f t="shared" si="60"/>
        <v>0.46311111111111108</v>
      </c>
      <c r="AF79" s="15">
        <f t="shared" si="61"/>
        <v>0.53688888888888897</v>
      </c>
      <c r="AG79" s="15">
        <f t="shared" si="62"/>
        <v>5.9514704491725769</v>
      </c>
      <c r="AH79" s="16">
        <f t="shared" si="63"/>
        <v>52.975735224586288</v>
      </c>
      <c r="AI79" s="14">
        <f t="shared" si="64"/>
        <v>0.4168</v>
      </c>
      <c r="AJ79" s="15">
        <f t="shared" si="65"/>
        <v>0.58319999999999994</v>
      </c>
      <c r="AK79" s="15">
        <f t="shared" si="66"/>
        <v>6.4648340425531918</v>
      </c>
      <c r="AL79" s="16">
        <f t="shared" si="67"/>
        <v>53.232417021276596</v>
      </c>
      <c r="AM79" s="14">
        <f t="shared" si="68"/>
        <v>0.37890909090909092</v>
      </c>
      <c r="AN79" s="15">
        <f t="shared" si="69"/>
        <v>0.62109090909090914</v>
      </c>
      <c r="AO79" s="15">
        <f t="shared" si="70"/>
        <v>6.8848588007736948</v>
      </c>
      <c r="AP79" s="16">
        <f t="shared" si="71"/>
        <v>53.44242940038685</v>
      </c>
    </row>
    <row r="80" spans="1:42">
      <c r="A80" s="31" t="s">
        <v>103</v>
      </c>
      <c r="B80" s="61">
        <f>(V48_Max)/(Ramp_C*Ramp_R*Fsw)</f>
        <v>5.729166666666667</v>
      </c>
      <c r="C80" s="31" t="s">
        <v>1</v>
      </c>
      <c r="D80" s="34">
        <f>IF(B80&lt;Constants!$C$44,1,IF(B80&gt;Constants!$C$43,1,0))</f>
        <v>0</v>
      </c>
      <c r="E80" s="34" t="s">
        <v>209</v>
      </c>
      <c r="N80">
        <v>19</v>
      </c>
      <c r="O80">
        <f t="shared" si="72"/>
        <v>48.8</v>
      </c>
      <c r="P80" s="14">
        <f t="shared" si="48"/>
        <v>0.37909836065573771</v>
      </c>
      <c r="Q80" s="15">
        <f t="shared" si="49"/>
        <v>0.62090163934426235</v>
      </c>
      <c r="R80" s="15">
        <f t="shared" si="50"/>
        <v>6.109936344611091</v>
      </c>
      <c r="S80" s="16">
        <f t="shared" si="51"/>
        <v>53.054968172305543</v>
      </c>
      <c r="T80" s="14">
        <f t="shared" si="52"/>
        <v>0.4098360655737705</v>
      </c>
      <c r="U80" s="15">
        <f t="shared" si="53"/>
        <v>0.5901639344262295</v>
      </c>
      <c r="V80" s="15">
        <f t="shared" si="54"/>
        <v>6.2783397279386124</v>
      </c>
      <c r="W80" s="16">
        <f t="shared" si="55"/>
        <v>53.139169863969308</v>
      </c>
      <c r="X80" s="14">
        <f t="shared" si="56"/>
        <v>0.51229508196721318</v>
      </c>
      <c r="Y80" s="15">
        <f t="shared" si="57"/>
        <v>0.48770491803278682</v>
      </c>
      <c r="Z80" s="15">
        <f t="shared" si="58"/>
        <v>6.4854377397976988</v>
      </c>
      <c r="AA80" s="16">
        <f t="shared" si="59"/>
        <v>53.242718869898852</v>
      </c>
      <c r="AC80">
        <v>19</v>
      </c>
      <c r="AD80">
        <f t="shared" si="73"/>
        <v>20.97</v>
      </c>
      <c r="AE80" s="14">
        <f t="shared" si="60"/>
        <v>0.46599999999999997</v>
      </c>
      <c r="AF80" s="15">
        <f t="shared" si="61"/>
        <v>0.53400000000000003</v>
      </c>
      <c r="AG80" s="15">
        <f t="shared" si="62"/>
        <v>5.9563723404255322</v>
      </c>
      <c r="AH80" s="16">
        <f t="shared" si="63"/>
        <v>52.978186170212766</v>
      </c>
      <c r="AI80" s="14">
        <f t="shared" si="64"/>
        <v>0.4194</v>
      </c>
      <c r="AJ80" s="15">
        <f t="shared" si="65"/>
        <v>0.5806</v>
      </c>
      <c r="AK80" s="15">
        <f t="shared" si="66"/>
        <v>6.4761606382978734</v>
      </c>
      <c r="AL80" s="16">
        <f t="shared" si="67"/>
        <v>53.238080319148935</v>
      </c>
      <c r="AM80" s="14">
        <f t="shared" si="68"/>
        <v>0.38127272727272726</v>
      </c>
      <c r="AN80" s="15">
        <f t="shared" si="69"/>
        <v>0.61872727272727279</v>
      </c>
      <c r="AO80" s="15">
        <f t="shared" si="70"/>
        <v>6.9014419729206971</v>
      </c>
      <c r="AP80" s="16">
        <f t="shared" si="71"/>
        <v>53.450720986460347</v>
      </c>
    </row>
    <row r="81" spans="1:42">
      <c r="N81">
        <v>20</v>
      </c>
      <c r="O81">
        <f t="shared" si="72"/>
        <v>49</v>
      </c>
      <c r="P81" s="14">
        <f t="shared" si="48"/>
        <v>0.37755102040816324</v>
      </c>
      <c r="Q81" s="15">
        <f t="shared" si="49"/>
        <v>0.62244897959183676</v>
      </c>
      <c r="R81" s="15">
        <f t="shared" si="50"/>
        <v>6.1251628310898827</v>
      </c>
      <c r="S81" s="16">
        <f t="shared" si="51"/>
        <v>53.06258141554494</v>
      </c>
      <c r="T81" s="14">
        <f t="shared" si="52"/>
        <v>0.40816326530612246</v>
      </c>
      <c r="U81" s="15">
        <f t="shared" si="53"/>
        <v>0.59183673469387754</v>
      </c>
      <c r="V81" s="15">
        <f t="shared" si="54"/>
        <v>6.2961354754667829</v>
      </c>
      <c r="W81" s="16">
        <f t="shared" si="55"/>
        <v>53.148067737733392</v>
      </c>
      <c r="X81" s="14">
        <f t="shared" si="56"/>
        <v>0.51020408163265307</v>
      </c>
      <c r="Y81" s="15">
        <f t="shared" si="57"/>
        <v>0.48979591836734693</v>
      </c>
      <c r="Z81" s="15">
        <f t="shared" si="58"/>
        <v>6.513243595310465</v>
      </c>
      <c r="AA81" s="16">
        <f t="shared" si="59"/>
        <v>53.256621797655235</v>
      </c>
      <c r="AC81">
        <v>20</v>
      </c>
      <c r="AD81">
        <f t="shared" si="73"/>
        <v>21.1</v>
      </c>
      <c r="AE81" s="14">
        <f t="shared" si="60"/>
        <v>0.46888888888888891</v>
      </c>
      <c r="AF81" s="15">
        <f t="shared" si="61"/>
        <v>0.53111111111111109</v>
      </c>
      <c r="AG81" s="15">
        <f t="shared" si="62"/>
        <v>5.9608747044917259</v>
      </c>
      <c r="AH81" s="16">
        <f t="shared" si="63"/>
        <v>52.980437352245865</v>
      </c>
      <c r="AI81" s="14">
        <f t="shared" si="64"/>
        <v>0.42200000000000004</v>
      </c>
      <c r="AJ81" s="15">
        <f t="shared" si="65"/>
        <v>0.57799999999999996</v>
      </c>
      <c r="AK81" s="15">
        <f t="shared" si="66"/>
        <v>6.4871276595744689</v>
      </c>
      <c r="AL81" s="16">
        <f t="shared" si="67"/>
        <v>53.243563829787234</v>
      </c>
      <c r="AM81" s="14">
        <f t="shared" si="68"/>
        <v>0.38363636363636366</v>
      </c>
      <c r="AN81" s="15">
        <f t="shared" si="69"/>
        <v>0.61636363636363634</v>
      </c>
      <c r="AO81" s="15">
        <f t="shared" si="70"/>
        <v>6.9176982591876213</v>
      </c>
      <c r="AP81" s="16">
        <f t="shared" si="71"/>
        <v>53.458849129593808</v>
      </c>
    </row>
    <row r="82" spans="1:42">
      <c r="A82" s="44" t="s">
        <v>112</v>
      </c>
      <c r="B82" s="45"/>
      <c r="C82" s="46"/>
      <c r="N82">
        <v>21</v>
      </c>
      <c r="O82">
        <f t="shared" si="72"/>
        <v>49.2</v>
      </c>
      <c r="P82" s="14">
        <f t="shared" si="48"/>
        <v>0.37601626016260159</v>
      </c>
      <c r="Q82" s="15">
        <f t="shared" si="49"/>
        <v>0.62398373983739841</v>
      </c>
      <c r="R82" s="15">
        <f t="shared" si="50"/>
        <v>6.1402655249956757</v>
      </c>
      <c r="S82" s="16">
        <f t="shared" si="51"/>
        <v>53.070132762497835</v>
      </c>
      <c r="T82" s="14">
        <f t="shared" si="52"/>
        <v>0.4065040650406504</v>
      </c>
      <c r="U82" s="15">
        <f t="shared" si="53"/>
        <v>0.5934959349593496</v>
      </c>
      <c r="V82" s="15">
        <f t="shared" si="54"/>
        <v>6.3137865421207415</v>
      </c>
      <c r="W82" s="16">
        <f t="shared" si="55"/>
        <v>53.156893271060369</v>
      </c>
      <c r="X82" s="14">
        <f t="shared" si="56"/>
        <v>0.50813008130081294</v>
      </c>
      <c r="Y82" s="15">
        <f t="shared" si="57"/>
        <v>0.49186991869918706</v>
      </c>
      <c r="Z82" s="15">
        <f t="shared" si="58"/>
        <v>6.5408233869572738</v>
      </c>
      <c r="AA82" s="16">
        <f t="shared" si="59"/>
        <v>53.270411693478636</v>
      </c>
      <c r="AC82">
        <v>21</v>
      </c>
      <c r="AD82">
        <f t="shared" si="73"/>
        <v>21.23</v>
      </c>
      <c r="AE82" s="14">
        <f t="shared" si="60"/>
        <v>0.4717777777777778</v>
      </c>
      <c r="AF82" s="15">
        <f t="shared" si="61"/>
        <v>0.52822222222222215</v>
      </c>
      <c r="AG82" s="15">
        <f t="shared" si="62"/>
        <v>5.9649775413711579</v>
      </c>
      <c r="AH82" s="16">
        <f t="shared" si="63"/>
        <v>52.982488770685578</v>
      </c>
      <c r="AI82" s="14">
        <f t="shared" si="64"/>
        <v>0.42460000000000003</v>
      </c>
      <c r="AJ82" s="15">
        <f t="shared" si="65"/>
        <v>0.57539999999999991</v>
      </c>
      <c r="AK82" s="15">
        <f t="shared" si="66"/>
        <v>6.4977351063829794</v>
      </c>
      <c r="AL82" s="16">
        <f t="shared" si="67"/>
        <v>53.248867553191488</v>
      </c>
      <c r="AM82" s="14">
        <f t="shared" si="68"/>
        <v>0.38600000000000001</v>
      </c>
      <c r="AN82" s="15">
        <f t="shared" si="69"/>
        <v>0.61399999999999999</v>
      </c>
      <c r="AO82" s="15">
        <f t="shared" si="70"/>
        <v>6.9336276595744675</v>
      </c>
      <c r="AP82" s="16">
        <f t="shared" si="71"/>
        <v>53.466813829787235</v>
      </c>
    </row>
    <row r="83" spans="1:42">
      <c r="A83" s="31" t="s">
        <v>210</v>
      </c>
      <c r="B83" s="49">
        <f>Design_Converter!B72*(10^-3)</f>
        <v>2E-3</v>
      </c>
      <c r="C83" s="31" t="s">
        <v>23</v>
      </c>
      <c r="N83">
        <v>22</v>
      </c>
      <c r="O83">
        <f t="shared" si="72"/>
        <v>49.4</v>
      </c>
      <c r="P83" s="14">
        <f t="shared" si="48"/>
        <v>0.37449392712550611</v>
      </c>
      <c r="Q83" s="15">
        <f t="shared" si="49"/>
        <v>0.62550607287449389</v>
      </c>
      <c r="R83" s="15">
        <f t="shared" si="50"/>
        <v>6.1552459298819882</v>
      </c>
      <c r="S83" s="16">
        <f t="shared" si="51"/>
        <v>53.077622964940993</v>
      </c>
      <c r="T83" s="14">
        <f t="shared" si="52"/>
        <v>0.40485829959514169</v>
      </c>
      <c r="U83" s="15">
        <f t="shared" si="53"/>
        <v>0.59514170040485825</v>
      </c>
      <c r="V83" s="15">
        <f t="shared" si="54"/>
        <v>6.3312946851580669</v>
      </c>
      <c r="W83" s="16">
        <f t="shared" si="55"/>
        <v>53.165647342579035</v>
      </c>
      <c r="X83" s="14">
        <f t="shared" si="56"/>
        <v>0.50607287449392713</v>
      </c>
      <c r="Y83" s="15">
        <f t="shared" si="57"/>
        <v>0.49392712550607287</v>
      </c>
      <c r="Z83" s="15">
        <f t="shared" si="58"/>
        <v>6.5681798604530961</v>
      </c>
      <c r="AA83" s="16">
        <f t="shared" si="59"/>
        <v>53.28408993022655</v>
      </c>
      <c r="AC83">
        <v>22</v>
      </c>
      <c r="AD83">
        <f t="shared" si="73"/>
        <v>21.36</v>
      </c>
      <c r="AE83" s="14">
        <f t="shared" si="60"/>
        <v>0.47466666666666668</v>
      </c>
      <c r="AF83" s="15">
        <f t="shared" si="61"/>
        <v>0.52533333333333332</v>
      </c>
      <c r="AG83" s="15">
        <f t="shared" si="62"/>
        <v>5.9686808510638309</v>
      </c>
      <c r="AH83" s="16">
        <f t="shared" si="63"/>
        <v>52.984340425531919</v>
      </c>
      <c r="AI83" s="14">
        <f t="shared" si="64"/>
        <v>0.42719999999999997</v>
      </c>
      <c r="AJ83" s="15">
        <f t="shared" si="65"/>
        <v>0.57279999999999998</v>
      </c>
      <c r="AK83" s="15">
        <f t="shared" si="66"/>
        <v>6.5079829787234047</v>
      </c>
      <c r="AL83" s="16">
        <f t="shared" si="67"/>
        <v>53.253991489361702</v>
      </c>
      <c r="AM83" s="14">
        <f t="shared" si="68"/>
        <v>0.38836363636363636</v>
      </c>
      <c r="AN83" s="15">
        <f t="shared" si="69"/>
        <v>0.61163636363636364</v>
      </c>
      <c r="AO83" s="15">
        <f t="shared" si="70"/>
        <v>6.9492301740812383</v>
      </c>
      <c r="AP83" s="16">
        <f t="shared" si="71"/>
        <v>53.474615087040618</v>
      </c>
    </row>
    <row r="84" spans="1:42">
      <c r="A84" s="31" t="s">
        <v>115</v>
      </c>
      <c r="B84" s="50">
        <f>(Constants!C33*Calculations!B83/(Constants!C34))*(10^6)</f>
        <v>0.01</v>
      </c>
      <c r="C84" s="31" t="s">
        <v>32</v>
      </c>
      <c r="N84">
        <v>23</v>
      </c>
      <c r="O84">
        <f t="shared" si="72"/>
        <v>49.6</v>
      </c>
      <c r="P84" s="14">
        <f t="shared" si="48"/>
        <v>0.37298387096774194</v>
      </c>
      <c r="Q84" s="15">
        <f t="shared" si="49"/>
        <v>0.62701612903225801</v>
      </c>
      <c r="R84" s="15">
        <f t="shared" si="50"/>
        <v>6.1701055250514756</v>
      </c>
      <c r="S84" s="16">
        <f t="shared" si="51"/>
        <v>53.085052762525734</v>
      </c>
      <c r="T84" s="14">
        <f t="shared" si="52"/>
        <v>0.40322580645161288</v>
      </c>
      <c r="U84" s="15">
        <f t="shared" si="53"/>
        <v>0.59677419354838712</v>
      </c>
      <c r="V84" s="15">
        <f t="shared" si="54"/>
        <v>6.3486616334934798</v>
      </c>
      <c r="W84" s="16">
        <f t="shared" si="55"/>
        <v>53.174330816746739</v>
      </c>
      <c r="X84" s="14">
        <f t="shared" si="56"/>
        <v>0.50403225806451613</v>
      </c>
      <c r="Y84" s="15">
        <f t="shared" si="57"/>
        <v>0.49596774193548387</v>
      </c>
      <c r="Z84" s="15">
        <f t="shared" si="58"/>
        <v>6.5953157172271792</v>
      </c>
      <c r="AA84" s="16">
        <f t="shared" si="59"/>
        <v>53.29765785861359</v>
      </c>
      <c r="AC84">
        <v>23</v>
      </c>
      <c r="AD84">
        <f t="shared" si="73"/>
        <v>21.490000000000002</v>
      </c>
      <c r="AE84" s="14">
        <f t="shared" si="60"/>
        <v>0.47755555555555562</v>
      </c>
      <c r="AF84" s="15">
        <f t="shared" si="61"/>
        <v>0.52244444444444438</v>
      </c>
      <c r="AG84" s="15">
        <f t="shared" si="62"/>
        <v>5.9719846335697406</v>
      </c>
      <c r="AH84" s="16">
        <f t="shared" si="63"/>
        <v>52.985992316784873</v>
      </c>
      <c r="AI84" s="14">
        <f t="shared" si="64"/>
        <v>0.42980000000000002</v>
      </c>
      <c r="AJ84" s="15">
        <f t="shared" si="65"/>
        <v>0.57020000000000004</v>
      </c>
      <c r="AK84" s="15">
        <f t="shared" si="66"/>
        <v>6.5178712765957449</v>
      </c>
      <c r="AL84" s="16">
        <f t="shared" si="67"/>
        <v>53.258935638297871</v>
      </c>
      <c r="AM84" s="14">
        <f t="shared" si="68"/>
        <v>0.39072727272727276</v>
      </c>
      <c r="AN84" s="15">
        <f t="shared" si="69"/>
        <v>0.60927272727272719</v>
      </c>
      <c r="AO84" s="15">
        <f t="shared" si="70"/>
        <v>6.9645058027079312</v>
      </c>
      <c r="AP84" s="16">
        <f t="shared" si="71"/>
        <v>53.482252901353966</v>
      </c>
    </row>
    <row r="85" spans="1:42">
      <c r="A85" s="31" t="s">
        <v>181</v>
      </c>
      <c r="B85" s="49">
        <f>Design_Converter!B74</f>
        <v>0.01</v>
      </c>
      <c r="C85" s="31" t="s">
        <v>32</v>
      </c>
      <c r="N85">
        <v>24</v>
      </c>
      <c r="O85">
        <f t="shared" si="72"/>
        <v>49.8</v>
      </c>
      <c r="P85" s="14">
        <f t="shared" si="48"/>
        <v>0.37148594377510041</v>
      </c>
      <c r="Q85" s="15">
        <f t="shared" si="49"/>
        <v>0.62851405622489964</v>
      </c>
      <c r="R85" s="15">
        <f t="shared" si="50"/>
        <v>6.184845766042895</v>
      </c>
      <c r="S85" s="16">
        <f t="shared" si="51"/>
        <v>53.092422883021449</v>
      </c>
      <c r="T85" s="14">
        <f t="shared" si="52"/>
        <v>0.40160642570281124</v>
      </c>
      <c r="U85" s="15">
        <f t="shared" si="53"/>
        <v>0.59839357429718876</v>
      </c>
      <c r="V85" s="15">
        <f t="shared" si="54"/>
        <v>6.3658890882679646</v>
      </c>
      <c r="W85" s="16">
        <f t="shared" si="55"/>
        <v>53.182944544133981</v>
      </c>
      <c r="X85" s="14">
        <f t="shared" si="56"/>
        <v>0.50200803212851408</v>
      </c>
      <c r="Y85" s="15">
        <f t="shared" si="57"/>
        <v>0.49799196787148592</v>
      </c>
      <c r="Z85" s="15">
        <f t="shared" si="58"/>
        <v>6.6222336153123136</v>
      </c>
      <c r="AA85" s="16">
        <f t="shared" si="59"/>
        <v>53.311116807656155</v>
      </c>
      <c r="AC85">
        <v>24</v>
      </c>
      <c r="AD85">
        <f t="shared" si="73"/>
        <v>21.62</v>
      </c>
      <c r="AE85" s="14">
        <f t="shared" si="60"/>
        <v>0.48044444444444445</v>
      </c>
      <c r="AF85" s="15">
        <f t="shared" si="61"/>
        <v>0.51955555555555555</v>
      </c>
      <c r="AG85" s="15">
        <f t="shared" si="62"/>
        <v>5.9748888888888896</v>
      </c>
      <c r="AH85" s="16">
        <f t="shared" si="63"/>
        <v>52.987444444444442</v>
      </c>
      <c r="AI85" s="14">
        <f t="shared" si="64"/>
        <v>0.43240000000000001</v>
      </c>
      <c r="AJ85" s="15">
        <f t="shared" si="65"/>
        <v>0.56759999999999999</v>
      </c>
      <c r="AK85" s="15">
        <f t="shared" si="66"/>
        <v>6.5274000000000001</v>
      </c>
      <c r="AL85" s="16">
        <f t="shared" si="67"/>
        <v>53.2637</v>
      </c>
      <c r="AM85" s="14">
        <f t="shared" si="68"/>
        <v>0.3930909090909091</v>
      </c>
      <c r="AN85" s="15">
        <f t="shared" si="69"/>
        <v>0.60690909090909084</v>
      </c>
      <c r="AO85" s="15">
        <f t="shared" si="70"/>
        <v>6.9794545454545451</v>
      </c>
      <c r="AP85" s="16">
        <f t="shared" si="71"/>
        <v>53.489727272727272</v>
      </c>
    </row>
    <row r="86" spans="1:42">
      <c r="A86" s="31" t="s">
        <v>183</v>
      </c>
      <c r="B86" s="50">
        <f>1000*(Constants!C34*(B85*10^-6)/(Constants!C33))</f>
        <v>2</v>
      </c>
      <c r="C86" s="31" t="s">
        <v>114</v>
      </c>
      <c r="N86">
        <v>25</v>
      </c>
      <c r="O86">
        <f t="shared" si="72"/>
        <v>50</v>
      </c>
      <c r="P86" s="14">
        <f t="shared" si="48"/>
        <v>0.37</v>
      </c>
      <c r="Q86" s="15">
        <f t="shared" si="49"/>
        <v>0.63</v>
      </c>
      <c r="R86" s="15">
        <f t="shared" si="50"/>
        <v>6.1994680851063828</v>
      </c>
      <c r="S86" s="16">
        <f t="shared" si="51"/>
        <v>53.099734042553195</v>
      </c>
      <c r="T86" s="14">
        <f t="shared" si="52"/>
        <v>0.4</v>
      </c>
      <c r="U86" s="15">
        <f t="shared" si="53"/>
        <v>0.6</v>
      </c>
      <c r="V86" s="15">
        <f t="shared" si="54"/>
        <v>6.3829787234042561</v>
      </c>
      <c r="W86" s="16">
        <f t="shared" si="55"/>
        <v>53.191489361702125</v>
      </c>
      <c r="X86" s="14">
        <f t="shared" si="56"/>
        <v>0.5</v>
      </c>
      <c r="Y86" s="15">
        <f t="shared" si="57"/>
        <v>0.5</v>
      </c>
      <c r="Z86" s="15">
        <f t="shared" si="58"/>
        <v>6.6489361702127656</v>
      </c>
      <c r="AA86" s="16">
        <f t="shared" si="59"/>
        <v>53.324468085106382</v>
      </c>
      <c r="AC86">
        <v>25</v>
      </c>
      <c r="AD86">
        <f t="shared" si="73"/>
        <v>21.75</v>
      </c>
      <c r="AE86" s="14">
        <f t="shared" si="60"/>
        <v>0.48333333333333334</v>
      </c>
      <c r="AF86" s="15">
        <f t="shared" si="61"/>
        <v>0.51666666666666661</v>
      </c>
      <c r="AG86" s="15">
        <f t="shared" si="62"/>
        <v>5.9773936170212769</v>
      </c>
      <c r="AH86" s="16">
        <f t="shared" si="63"/>
        <v>52.988696808510639</v>
      </c>
      <c r="AI86" s="14">
        <f t="shared" si="64"/>
        <v>0.435</v>
      </c>
      <c r="AJ86" s="15">
        <f t="shared" si="65"/>
        <v>0.56499999999999995</v>
      </c>
      <c r="AK86" s="15">
        <f t="shared" si="66"/>
        <v>6.536569148936171</v>
      </c>
      <c r="AL86" s="16">
        <f t="shared" si="67"/>
        <v>53.268284574468083</v>
      </c>
      <c r="AM86" s="14">
        <f t="shared" si="68"/>
        <v>0.39545454545454545</v>
      </c>
      <c r="AN86" s="15">
        <f t="shared" si="69"/>
        <v>0.6045454545454545</v>
      </c>
      <c r="AO86" s="15">
        <f t="shared" si="70"/>
        <v>6.9940764023210829</v>
      </c>
      <c r="AP86" s="16">
        <f t="shared" si="71"/>
        <v>53.497038201160542</v>
      </c>
    </row>
    <row r="87" spans="1:42">
      <c r="N87">
        <v>26</v>
      </c>
      <c r="O87">
        <f t="shared" si="72"/>
        <v>50.2</v>
      </c>
      <c r="P87" s="14">
        <f t="shared" si="48"/>
        <v>0.36852589641434264</v>
      </c>
      <c r="Q87" s="15">
        <f t="shared" si="49"/>
        <v>0.63147410358565736</v>
      </c>
      <c r="R87" s="15">
        <f t="shared" si="50"/>
        <v>6.2139738916673739</v>
      </c>
      <c r="S87" s="16">
        <f t="shared" si="51"/>
        <v>53.10698694583369</v>
      </c>
      <c r="T87" s="14">
        <f t="shared" si="52"/>
        <v>0.39840637450199201</v>
      </c>
      <c r="U87" s="15">
        <f t="shared" si="53"/>
        <v>0.60159362549800799</v>
      </c>
      <c r="V87" s="15">
        <f t="shared" si="54"/>
        <v>6.3999321861490222</v>
      </c>
      <c r="W87" s="16">
        <f t="shared" si="55"/>
        <v>53.199966093074508</v>
      </c>
      <c r="X87" s="14">
        <f t="shared" si="56"/>
        <v>0.49800796812748999</v>
      </c>
      <c r="Y87" s="15">
        <f t="shared" si="57"/>
        <v>0.50199203187250996</v>
      </c>
      <c r="Z87" s="15">
        <f t="shared" si="58"/>
        <v>6.6754259557514626</v>
      </c>
      <c r="AA87" s="16">
        <f t="shared" si="59"/>
        <v>53.337712977875732</v>
      </c>
      <c r="AC87">
        <v>26</v>
      </c>
      <c r="AD87">
        <f t="shared" si="73"/>
        <v>21.88</v>
      </c>
      <c r="AE87" s="14">
        <f t="shared" si="60"/>
        <v>0.48622222222222222</v>
      </c>
      <c r="AF87" s="15">
        <f t="shared" si="61"/>
        <v>0.51377777777777778</v>
      </c>
      <c r="AG87" s="15">
        <f t="shared" si="62"/>
        <v>5.9794988179669044</v>
      </c>
      <c r="AH87" s="16">
        <f t="shared" si="63"/>
        <v>52.98974940898345</v>
      </c>
      <c r="AI87" s="14">
        <f t="shared" si="64"/>
        <v>0.43759999999999999</v>
      </c>
      <c r="AJ87" s="15">
        <f t="shared" si="65"/>
        <v>0.56240000000000001</v>
      </c>
      <c r="AK87" s="15">
        <f t="shared" si="66"/>
        <v>6.545378723404256</v>
      </c>
      <c r="AL87" s="16">
        <f t="shared" si="67"/>
        <v>53.272689361702128</v>
      </c>
      <c r="AM87" s="14">
        <f t="shared" si="68"/>
        <v>0.39781818181818179</v>
      </c>
      <c r="AN87" s="15">
        <f t="shared" si="69"/>
        <v>0.60218181818181815</v>
      </c>
      <c r="AO87" s="15">
        <f t="shared" si="70"/>
        <v>7.0083713733075443</v>
      </c>
      <c r="AP87" s="16">
        <f t="shared" si="71"/>
        <v>53.50418568665377</v>
      </c>
    </row>
    <row r="88" spans="1:42">
      <c r="A88" s="31" t="s">
        <v>160</v>
      </c>
      <c r="B88" s="53"/>
      <c r="C88" s="31"/>
      <c r="N88">
        <v>27</v>
      </c>
      <c r="O88">
        <f t="shared" si="72"/>
        <v>50.4</v>
      </c>
      <c r="P88" s="14">
        <f t="shared" si="48"/>
        <v>0.36706349206349209</v>
      </c>
      <c r="Q88" s="15">
        <f t="shared" si="49"/>
        <v>0.63293650793650791</v>
      </c>
      <c r="R88" s="15">
        <f t="shared" si="50"/>
        <v>6.2283645727794665</v>
      </c>
      <c r="S88" s="16">
        <f t="shared" si="51"/>
        <v>53.114182286389735</v>
      </c>
      <c r="T88" s="14">
        <f t="shared" si="52"/>
        <v>0.39682539682539686</v>
      </c>
      <c r="U88" s="15">
        <f t="shared" si="53"/>
        <v>0.60317460317460314</v>
      </c>
      <c r="V88" s="15">
        <f t="shared" si="54"/>
        <v>6.4167510976021616</v>
      </c>
      <c r="W88" s="16">
        <f t="shared" si="55"/>
        <v>53.208375548801079</v>
      </c>
      <c r="X88" s="14">
        <f t="shared" si="56"/>
        <v>0.49603174603174605</v>
      </c>
      <c r="Y88" s="15">
        <f t="shared" si="57"/>
        <v>0.50396825396825395</v>
      </c>
      <c r="Z88" s="15">
        <f t="shared" si="58"/>
        <v>6.7017055048969949</v>
      </c>
      <c r="AA88" s="16">
        <f t="shared" si="59"/>
        <v>53.350852752448496</v>
      </c>
      <c r="AC88">
        <v>27</v>
      </c>
      <c r="AD88">
        <f t="shared" si="73"/>
        <v>22.01</v>
      </c>
      <c r="AE88" s="14">
        <f t="shared" si="60"/>
        <v>0.48911111111111116</v>
      </c>
      <c r="AF88" s="15">
        <f t="shared" si="61"/>
        <v>0.51088888888888884</v>
      </c>
      <c r="AG88" s="15">
        <f t="shared" si="62"/>
        <v>5.9812044917257685</v>
      </c>
      <c r="AH88" s="16">
        <f t="shared" si="63"/>
        <v>52.990602245862881</v>
      </c>
      <c r="AI88" s="14">
        <f t="shared" si="64"/>
        <v>0.44020000000000004</v>
      </c>
      <c r="AJ88" s="15">
        <f t="shared" si="65"/>
        <v>0.55979999999999996</v>
      </c>
      <c r="AK88" s="15">
        <f t="shared" si="66"/>
        <v>6.5538287234042558</v>
      </c>
      <c r="AL88" s="16">
        <f t="shared" si="67"/>
        <v>53.276914361702126</v>
      </c>
      <c r="AM88" s="14">
        <f t="shared" si="68"/>
        <v>0.40018181818181819</v>
      </c>
      <c r="AN88" s="15">
        <f t="shared" si="69"/>
        <v>0.59981818181818181</v>
      </c>
      <c r="AO88" s="15">
        <f t="shared" si="70"/>
        <v>7.022339458413926</v>
      </c>
      <c r="AP88" s="16">
        <f t="shared" si="71"/>
        <v>53.511169729206962</v>
      </c>
    </row>
    <row r="89" spans="1:42">
      <c r="A89" s="31" t="s">
        <v>161</v>
      </c>
      <c r="B89" s="49">
        <f>Design_Converter!B80</f>
        <v>60</v>
      </c>
      <c r="C89" s="31" t="s">
        <v>1</v>
      </c>
      <c r="N89">
        <v>28</v>
      </c>
      <c r="O89">
        <f t="shared" si="72"/>
        <v>50.6</v>
      </c>
      <c r="P89" s="14">
        <f t="shared" si="48"/>
        <v>0.36561264822134387</v>
      </c>
      <c r="Q89" s="15">
        <f t="shared" si="49"/>
        <v>0.63438735177865613</v>
      </c>
      <c r="R89" s="15">
        <f t="shared" si="50"/>
        <v>6.2426414935665635</v>
      </c>
      <c r="S89" s="16">
        <f t="shared" si="51"/>
        <v>53.121320746783283</v>
      </c>
      <c r="T89" s="14">
        <f t="shared" si="52"/>
        <v>0.39525691699604742</v>
      </c>
      <c r="U89" s="15">
        <f t="shared" si="53"/>
        <v>0.60474308300395263</v>
      </c>
      <c r="V89" s="15">
        <f t="shared" si="54"/>
        <v>6.4334370532335381</v>
      </c>
      <c r="W89" s="16">
        <f t="shared" si="55"/>
        <v>53.216718526616766</v>
      </c>
      <c r="X89" s="14">
        <f t="shared" si="56"/>
        <v>0.49407114624505927</v>
      </c>
      <c r="Y89" s="15">
        <f t="shared" si="57"/>
        <v>0.50592885375494068</v>
      </c>
      <c r="Z89" s="15">
        <f t="shared" si="58"/>
        <v>6.7277773105710201</v>
      </c>
      <c r="AA89" s="16">
        <f t="shared" si="59"/>
        <v>53.363888655285507</v>
      </c>
      <c r="AC89">
        <v>28</v>
      </c>
      <c r="AD89">
        <f t="shared" si="73"/>
        <v>22.14</v>
      </c>
      <c r="AE89" s="14">
        <f t="shared" si="60"/>
        <v>0.49199999999999999</v>
      </c>
      <c r="AF89" s="15">
        <f t="shared" si="61"/>
        <v>0.50800000000000001</v>
      </c>
      <c r="AG89" s="15">
        <f t="shared" si="62"/>
        <v>5.9825106382978719</v>
      </c>
      <c r="AH89" s="16">
        <f t="shared" si="63"/>
        <v>52.991255319148934</v>
      </c>
      <c r="AI89" s="14">
        <f t="shared" si="64"/>
        <v>0.44280000000000003</v>
      </c>
      <c r="AJ89" s="15">
        <f t="shared" si="65"/>
        <v>0.55719999999999992</v>
      </c>
      <c r="AK89" s="15">
        <f t="shared" si="66"/>
        <v>6.5619191489361706</v>
      </c>
      <c r="AL89" s="16">
        <f t="shared" si="67"/>
        <v>53.280959574468085</v>
      </c>
      <c r="AM89" s="14">
        <f t="shared" si="68"/>
        <v>0.40254545454545454</v>
      </c>
      <c r="AN89" s="15">
        <f t="shared" si="69"/>
        <v>0.59745454545454546</v>
      </c>
      <c r="AO89" s="15">
        <f t="shared" si="70"/>
        <v>7.0359806576402315</v>
      </c>
      <c r="AP89" s="16">
        <f t="shared" si="71"/>
        <v>53.517990328820119</v>
      </c>
    </row>
    <row r="90" spans="1:42" ht="15">
      <c r="A90" s="31" t="s">
        <v>162</v>
      </c>
      <c r="B90" s="54">
        <f>Constants!C19*Constants!C18/(B89-Constants!C18)/1000-1</f>
        <v>59.443764345830147</v>
      </c>
      <c r="C90" s="67" t="s">
        <v>104</v>
      </c>
      <c r="N90">
        <v>29</v>
      </c>
      <c r="O90">
        <f t="shared" si="72"/>
        <v>50.8</v>
      </c>
      <c r="P90" s="14">
        <f t="shared" si="48"/>
        <v>0.36417322834645671</v>
      </c>
      <c r="Q90" s="15">
        <f t="shared" si="49"/>
        <v>0.63582677165354329</v>
      </c>
      <c r="R90" s="15">
        <f t="shared" si="50"/>
        <v>6.2568059976545483</v>
      </c>
      <c r="S90" s="16">
        <f t="shared" si="51"/>
        <v>53.128402998827276</v>
      </c>
      <c r="T90" s="14">
        <f t="shared" si="52"/>
        <v>0.39370078740157483</v>
      </c>
      <c r="U90" s="15">
        <f t="shared" si="53"/>
        <v>0.60629921259842523</v>
      </c>
      <c r="V90" s="15">
        <f t="shared" si="54"/>
        <v>6.4499916233875023</v>
      </c>
      <c r="W90" s="16">
        <f t="shared" si="55"/>
        <v>53.224995811693752</v>
      </c>
      <c r="X90" s="14">
        <f t="shared" si="56"/>
        <v>0.49212598425196852</v>
      </c>
      <c r="Y90" s="15">
        <f t="shared" si="57"/>
        <v>0.50787401574803148</v>
      </c>
      <c r="Z90" s="15">
        <f t="shared" si="58"/>
        <v>6.7536438264365888</v>
      </c>
      <c r="AA90" s="16">
        <f t="shared" si="59"/>
        <v>53.376821913218294</v>
      </c>
      <c r="AC90">
        <v>29</v>
      </c>
      <c r="AD90">
        <f t="shared" si="73"/>
        <v>22.27</v>
      </c>
      <c r="AE90" s="14">
        <f t="shared" si="60"/>
        <v>0.49488888888888888</v>
      </c>
      <c r="AF90" s="15">
        <f t="shared" si="61"/>
        <v>0.50511111111111107</v>
      </c>
      <c r="AG90" s="15">
        <f t="shared" si="62"/>
        <v>5.9834172576832154</v>
      </c>
      <c r="AH90" s="16">
        <f t="shared" si="63"/>
        <v>52.991708628841607</v>
      </c>
      <c r="AI90" s="14">
        <f t="shared" si="64"/>
        <v>0.44540000000000002</v>
      </c>
      <c r="AJ90" s="15">
        <f t="shared" si="65"/>
        <v>0.55459999999999998</v>
      </c>
      <c r="AK90" s="15">
        <f t="shared" si="66"/>
        <v>6.5696500000000011</v>
      </c>
      <c r="AL90" s="16">
        <f t="shared" si="67"/>
        <v>53.284824999999998</v>
      </c>
      <c r="AM90" s="14">
        <f t="shared" si="68"/>
        <v>0.40490909090909089</v>
      </c>
      <c r="AN90" s="15">
        <f t="shared" si="69"/>
        <v>0.59509090909090911</v>
      </c>
      <c r="AO90" s="15">
        <f t="shared" si="70"/>
        <v>7.0492949709864607</v>
      </c>
      <c r="AP90" s="16">
        <f t="shared" si="71"/>
        <v>53.524647485493233</v>
      </c>
    </row>
    <row r="91" spans="1:42" ht="15">
      <c r="A91" s="31" t="s">
        <v>164</v>
      </c>
      <c r="B91" s="49">
        <f>Design_Converter!B82</f>
        <v>60</v>
      </c>
      <c r="C91" s="67" t="s">
        <v>104</v>
      </c>
      <c r="N91">
        <v>30</v>
      </c>
      <c r="O91">
        <f t="shared" si="72"/>
        <v>51</v>
      </c>
      <c r="P91" s="14">
        <f t="shared" si="48"/>
        <v>0.36274509803921567</v>
      </c>
      <c r="Q91" s="15">
        <f t="shared" si="49"/>
        <v>0.63725490196078427</v>
      </c>
      <c r="R91" s="15">
        <f t="shared" si="50"/>
        <v>6.270859407592825</v>
      </c>
      <c r="S91" s="16">
        <f t="shared" si="51"/>
        <v>53.135429703796412</v>
      </c>
      <c r="T91" s="14">
        <f t="shared" si="52"/>
        <v>0.39215686274509803</v>
      </c>
      <c r="U91" s="15">
        <f t="shared" si="53"/>
        <v>0.60784313725490202</v>
      </c>
      <c r="V91" s="15">
        <f t="shared" si="54"/>
        <v>6.4664163537755526</v>
      </c>
      <c r="W91" s="16">
        <f t="shared" si="55"/>
        <v>53.233208176887779</v>
      </c>
      <c r="X91" s="14">
        <f t="shared" si="56"/>
        <v>0.49019607843137253</v>
      </c>
      <c r="Y91" s="15">
        <f t="shared" si="57"/>
        <v>0.50980392156862742</v>
      </c>
      <c r="Z91" s="15">
        <f t="shared" si="58"/>
        <v>6.7793074676679179</v>
      </c>
      <c r="AA91" s="16">
        <f t="shared" si="59"/>
        <v>53.38965373383396</v>
      </c>
      <c r="AC91">
        <v>30</v>
      </c>
      <c r="AD91">
        <f t="shared" si="73"/>
        <v>22.4</v>
      </c>
      <c r="AE91" s="14">
        <f t="shared" si="60"/>
        <v>0.49777777777777776</v>
      </c>
      <c r="AF91" s="15">
        <f t="shared" si="61"/>
        <v>0.50222222222222224</v>
      </c>
      <c r="AG91" s="15">
        <f t="shared" si="62"/>
        <v>5.9839243498817973</v>
      </c>
      <c r="AH91" s="16">
        <f t="shared" si="63"/>
        <v>52.991962174940902</v>
      </c>
      <c r="AI91" s="14">
        <f t="shared" si="64"/>
        <v>0.44799999999999995</v>
      </c>
      <c r="AJ91" s="15">
        <f t="shared" si="65"/>
        <v>0.55200000000000005</v>
      </c>
      <c r="AK91" s="15">
        <f t="shared" si="66"/>
        <v>6.5770212765957448</v>
      </c>
      <c r="AL91" s="16">
        <f t="shared" si="67"/>
        <v>53.288510638297872</v>
      </c>
      <c r="AM91" s="14">
        <f t="shared" si="68"/>
        <v>0.40727272727272723</v>
      </c>
      <c r="AN91" s="15">
        <f t="shared" si="69"/>
        <v>0.59272727272727277</v>
      </c>
      <c r="AO91" s="15">
        <f t="shared" si="70"/>
        <v>7.0622823984526111</v>
      </c>
      <c r="AP91" s="16">
        <f t="shared" si="71"/>
        <v>53.531141199226305</v>
      </c>
    </row>
    <row r="92" spans="1:42" ht="15">
      <c r="A92" s="31" t="s">
        <v>163</v>
      </c>
      <c r="B92" s="54">
        <f>((B91*1000+Constants!C19)/((B91+1)*1000))*Constants!C18</f>
        <v>59.44426229508197</v>
      </c>
      <c r="C92" s="67" t="s">
        <v>1</v>
      </c>
      <c r="N92">
        <v>31</v>
      </c>
      <c r="O92">
        <f t="shared" si="72"/>
        <v>51.2</v>
      </c>
      <c r="P92" s="14">
        <f t="shared" si="48"/>
        <v>0.361328125</v>
      </c>
      <c r="Q92" s="15">
        <f t="shared" si="49"/>
        <v>0.638671875</v>
      </c>
      <c r="R92" s="15">
        <f t="shared" si="50"/>
        <v>6.2848030252659584</v>
      </c>
      <c r="S92" s="16">
        <f t="shared" si="51"/>
        <v>53.142401512632979</v>
      </c>
      <c r="T92" s="14">
        <f t="shared" si="52"/>
        <v>0.390625</v>
      </c>
      <c r="U92" s="15">
        <f t="shared" si="53"/>
        <v>0.609375</v>
      </c>
      <c r="V92" s="15">
        <f t="shared" si="54"/>
        <v>6.4827127659574479</v>
      </c>
      <c r="W92" s="16">
        <f t="shared" si="55"/>
        <v>53.241356382978722</v>
      </c>
      <c r="X92" s="14">
        <f t="shared" si="56"/>
        <v>0.48828125</v>
      </c>
      <c r="Y92" s="15">
        <f t="shared" si="57"/>
        <v>0.51171875</v>
      </c>
      <c r="Z92" s="15">
        <f t="shared" si="58"/>
        <v>6.8047706117021294</v>
      </c>
      <c r="AA92" s="16">
        <f t="shared" si="59"/>
        <v>53.402385305851062</v>
      </c>
      <c r="AC92">
        <v>31</v>
      </c>
      <c r="AD92">
        <f t="shared" si="73"/>
        <v>22.53</v>
      </c>
      <c r="AE92" s="14">
        <f t="shared" si="60"/>
        <v>0.5006666666666667</v>
      </c>
      <c r="AF92" s="15">
        <f t="shared" si="61"/>
        <v>0.4993333333333333</v>
      </c>
      <c r="AG92" s="15">
        <f t="shared" si="62"/>
        <v>5.9840319148936176</v>
      </c>
      <c r="AH92" s="16">
        <f t="shared" si="63"/>
        <v>52.99201595744681</v>
      </c>
      <c r="AI92" s="14">
        <f t="shared" si="64"/>
        <v>0.4506</v>
      </c>
      <c r="AJ92" s="15">
        <f t="shared" si="65"/>
        <v>0.5494</v>
      </c>
      <c r="AK92" s="15">
        <f t="shared" si="66"/>
        <v>6.5840329787234042</v>
      </c>
      <c r="AL92" s="16">
        <f t="shared" si="67"/>
        <v>53.2920164893617</v>
      </c>
      <c r="AM92" s="14">
        <f t="shared" si="68"/>
        <v>0.40963636363636363</v>
      </c>
      <c r="AN92" s="15">
        <f t="shared" si="69"/>
        <v>0.59036363636363642</v>
      </c>
      <c r="AO92" s="15">
        <f t="shared" si="70"/>
        <v>7.0749429400386852</v>
      </c>
      <c r="AP92" s="16">
        <f t="shared" si="71"/>
        <v>53.537471470019341</v>
      </c>
    </row>
    <row r="93" spans="1:42">
      <c r="A93" s="31" t="s">
        <v>165</v>
      </c>
      <c r="B93" s="49">
        <f>Design_Converter!B85</f>
        <v>28</v>
      </c>
      <c r="C93" s="31" t="s">
        <v>1</v>
      </c>
      <c r="N93">
        <v>32</v>
      </c>
      <c r="O93">
        <f t="shared" si="72"/>
        <v>51.4</v>
      </c>
      <c r="P93" s="14">
        <f t="shared" ref="P93:P111" si="74">IF(I_Channel&lt;(($O93-V12_Min)*V12_Min)/((2*Lm*Fsw)*$O93),SQRT((2*I_Channel*Lm*Fsw*V12_Min)/($O93*($O93-V12_Min))),(V12_Min/$O93))</f>
        <v>0.35992217898832685</v>
      </c>
      <c r="Q93" s="15">
        <f t="shared" ref="Q93:Q111" si="75">IF(I_Channel&lt;(($O93-V12_Min)*V12_Min)/((2*Lm*Fsw)*$O93),SQRT((2*I_Channel*Lm*Fsw*V12_Min)/($O93*($O93-V12_Min)))*(($O93-V12_Min)/(V12_Min)),1-(V12_Min/$O93))</f>
        <v>0.6400778210116731</v>
      </c>
      <c r="R93" s="15">
        <f t="shared" ref="R93:R111" si="76">IF(I_Channel&lt;(($O93-V12_Min)*V12_Min)/((2*Lm*Fsw)*$O93),(P93/(Fsw*Lm))*($O93-V12_Min),((P93/(Fsw*Lm))*($O93-V12_Min)))</f>
        <v>6.2986381322957197</v>
      </c>
      <c r="S93" s="16">
        <f t="shared" ref="S93:S111" si="77">IF(I_Channel&lt;(($O93-V12_Min)*V12_Min)/((2*Lm*Fsw)*$O93),(P93/(Fsw*Lm))*($O93-V12_Min),(R93/2)+I_Channel)</f>
        <v>53.149319066147861</v>
      </c>
      <c r="T93" s="14">
        <f t="shared" ref="T93:T111" si="78">IF(I_Channel&lt;(($O93-V12_Nom)*V12_Nom)/((2*Lm*Fsw)*$O93),SQRT((2*I_Channel*Lm*Fsw*V12_Nom)/($O93*($O93-V12_Nom))),(V12_Nom/$O93))</f>
        <v>0.38910505836575876</v>
      </c>
      <c r="U93" s="15">
        <f t="shared" ref="U93:U111" si="79">IF(I_Channel&lt;(($O93-V12_Nom)*V12_Nom)/((2*Lm*Fsw)*$O93),SQRT((2*I_Channel*Lm*Fsw*V12_Nom)/($O93*($O93-V12_Nom)))*(($O93-V12_Nom)/(V12_Nom)),1-(V12_Nom/$O93))</f>
        <v>0.6108949416342413</v>
      </c>
      <c r="V93" s="15">
        <f t="shared" ref="V93:V111" si="80">IF(I_Channel&lt;(($O93-V12_Nom)*V12_Nom)/((2*Lm*Fsw)*$O93),(T93/(Fsw*Lm))*($O93-V12_Nom),((T93/(Fsw*Lm))*($O93-V12_Nom)))</f>
        <v>6.4988823578110768</v>
      </c>
      <c r="W93" s="16">
        <f t="shared" ref="W93:W111" si="81">IF(I_Channel&lt;(($O93-V12_Nom)*V12_Nom)/((2*Lm*Fsw)*$O93),(T93/(Fsw*Lm))*($O93-V12_Nom),(V93/2)+I_Channel)</f>
        <v>53.249441178905542</v>
      </c>
      <c r="X93" s="14">
        <f t="shared" ref="X93:X111" si="82">IF(I_Channel&lt;(($O93-V12_Max)*V12_Max)/((2*Lm*Fsw)*$O93),SQRT((2*I_Channel*Lm*Fsw*V12_Max)/($O93*($O93-V12_Max))),(V12_Max/$O93))</f>
        <v>0.48638132295719844</v>
      </c>
      <c r="Y93" s="15">
        <f t="shared" ref="Y93:Y111" si="83">IF(I_Channel&lt;(($O93-V12_Max)*V12_Max)/((2*Lm*Fsw)*$O93),SQRT((2*I_Channel*Lm*Fsw*V12_Max)/($O93*($O93-V12_Max)))*(($O93-V12_Max)/(V12_Max)),1-(V12_Max/$O93))</f>
        <v>0.51361867704280151</v>
      </c>
      <c r="Z93" s="15">
        <f t="shared" ref="Z93:Z111" si="84">IF(I_Channel&lt;(($O93-V12_Max)*V12_Max)/((2*Lm*Fsw)*$O93),(X93/(Fsw*Lm))*($O93-V12_Max),((X93/(Fsw*Lm))*($O93-V12_Max)))</f>
        <v>6.8300355989734243</v>
      </c>
      <c r="AA93" s="16">
        <f t="shared" ref="AA93:AA111" si="85">IF(I_Channel&lt;(($O93-V12_Max)*V12_Max)/((2*Lm*Fsw)*$O93),(X93/(Fsw*Lm))*($O93-V12_Max),(Z93/2)+I_Channel)</f>
        <v>53.415017799486712</v>
      </c>
      <c r="AC93">
        <v>32</v>
      </c>
      <c r="AD93">
        <f t="shared" si="73"/>
        <v>22.66</v>
      </c>
      <c r="AE93" s="14">
        <f t="shared" ref="AE93:AE111" si="86">IF(I_Channel&lt;((V48_Min-$AD93)*$AD93)/((2*Lm*Fsw)*V48_Min),SQRT((2*I_Channel*Lm*Fsw*$AD93)/(V48_Min*(V48_Min-$AD93))),($AD93/V48_Min))</f>
        <v>0.50355555555555553</v>
      </c>
      <c r="AF93" s="15">
        <f t="shared" ref="AF93:AF111" si="87">IF(I_Channel&lt;((V48_Min-$AD93)*$AD93)/((2*Lm*Fsw)*V48_Min),SQRT((2*I_Channel*Lm*Fsw*$AD93)/(V48_Min*(V48_Min-$AD93)))*((V48_Min-$AD93)/($AD93)),1-($AD93/V48_Min))</f>
        <v>0.49644444444444447</v>
      </c>
      <c r="AG93" s="15">
        <f t="shared" ref="AG93:AG111" si="88">IF(I_Channel&lt;((V48_Min-$AD93)*$AD93)/((2*Lm*Fsw)*V48_Min),(AE93/(Fsw*Lm))*(V48_Min-$AD93),((AE93/(Fsw*Lm))*(V48_Min-$AD93)))</f>
        <v>5.9837399527186763</v>
      </c>
      <c r="AH93" s="16">
        <f t="shared" ref="AH93:AH111" si="89">IF(I_Channel&lt;((V48_Min-$AD93)*$AD93)/((2*Lm*Fsw)*V48_Min),(AE93/(Fsw*Lm))*(V48_Min-$AD93),(AG93/2)+I_Channel)</f>
        <v>52.991869976359339</v>
      </c>
      <c r="AI93" s="14">
        <f t="shared" ref="AI93:AI111" si="90">IF(I_Channel&lt;((V48_Nom-$AD93)*$AD93)/((2*Lm*Fsw)*V48_Nom),SQRT((2*I_Channel*Lm*Fsw*$AD93)/(V48_Nom*(V48_Nom-$AD93))),($AD93/V48_Nom))</f>
        <v>0.45319999999999999</v>
      </c>
      <c r="AJ93" s="15">
        <f t="shared" ref="AJ93:AJ111" si="91">IF(I_Channel&lt;((V48_Nom-$AD93)*$AD93)/((2*Lm*Fsw)*V48_Nom),SQRT((2*I_Channel*Lm*Fsw*$AD93)/(V48_Nom*(V48_Nom-$AD93)))*((V48_Nom-$AD93)/($AD93)),1-($AD93/V48_Nom))</f>
        <v>0.54679999999999995</v>
      </c>
      <c r="AK93" s="15">
        <f t="shared" ref="AK93:AK111" si="92">IF(I_Channel&lt;((V48_Nom-$AD93)*$AD93)/((2*Lm*Fsw)*V48_Nom),(AI93/(Fsw*Lm))*(V48_Nom-$AD93),((AI93/(Fsw*Lm))*(V48_Nom-$AD93)))</f>
        <v>6.5906851063829794</v>
      </c>
      <c r="AL93" s="16">
        <f t="shared" ref="AL93:AL111" si="93">IF(I_Channel&lt;((V48_Nom-$AD93)*$AD93)/((2*Lm*Fsw)*V48_Nom),(AI93/(Fsw*Lm))*(V48_Nom-$AD93),(AK93/2)+I_Channel)</f>
        <v>53.295342553191489</v>
      </c>
      <c r="AM93" s="14">
        <f t="shared" ref="AM93:AM111" si="94">IF(I_Channel&lt;((V48_Max-$AD93)*$AD93)/((2*Lm*Fsw)*V48_Max),SQRT((2*I_Channel*Lm*Fsw*$AD93)/(V48_Max*(V48_Max-$AD93))),($AD93/V48_Max))</f>
        <v>0.41199999999999998</v>
      </c>
      <c r="AN93" s="15">
        <f t="shared" ref="AN93:AN111" si="95">IF(I_Channel&lt;((V48_Max-$AD93)*$AD93)/((2*Lm*Fsw)*V48_Max),SQRT((2*I_Channel*Lm*Fsw*$AD93)/(V48_Max*(V48_Max-$AD93)))*((V48_Max-$AD93)/($AD93)),1-($AD93/V48_Max))</f>
        <v>0.58800000000000008</v>
      </c>
      <c r="AO93" s="15">
        <f t="shared" ref="AO93:AO111" si="96">IF(I_Channel&lt;((V48_Max-$AD93)*$AD93)/((2*Lm*Fsw)*V48_Max),(AM93/(Fsw*Lm))*(V48_Max-$AD93),((AM93/(Fsw*Lm))*(V48_Max-$AD93)))</f>
        <v>7.0872765957446822</v>
      </c>
      <c r="AP93" s="16">
        <f t="shared" ref="AP93:AP111" si="97">IF(I_Channel&lt;((V48_Max-$AD93)*$AD93)/((2*Lm*Fsw)*V48_Max),(AM93/(Fsw*Lm))*(V48_Max-$AD93),(AO93/2)+I_Channel)</f>
        <v>53.543638297872342</v>
      </c>
    </row>
    <row r="94" spans="1:42" ht="15">
      <c r="A94" s="31" t="s">
        <v>166</v>
      </c>
      <c r="B94" s="54">
        <f>Constants!C20*Constants!C18/(B93-Constants!C18)/1000-1</f>
        <v>43.191683759090061</v>
      </c>
      <c r="C94" s="67" t="s">
        <v>104</v>
      </c>
      <c r="N94">
        <v>33</v>
      </c>
      <c r="O94">
        <f t="shared" ref="O94:O111" si="98">((V48_Max-V48_Min)/50)*N94+V48_Min</f>
        <v>51.6</v>
      </c>
      <c r="P94" s="14">
        <f t="shared" si="74"/>
        <v>0.35852713178294571</v>
      </c>
      <c r="Q94" s="15">
        <f t="shared" si="75"/>
        <v>0.64147286821705429</v>
      </c>
      <c r="R94" s="15">
        <f t="shared" si="76"/>
        <v>6.3123659904337792</v>
      </c>
      <c r="S94" s="16">
        <f t="shared" si="77"/>
        <v>53.156182995216888</v>
      </c>
      <c r="T94" s="14">
        <f t="shared" si="78"/>
        <v>0.38759689922480617</v>
      </c>
      <c r="U94" s="15">
        <f t="shared" si="79"/>
        <v>0.61240310077519378</v>
      </c>
      <c r="V94" s="15">
        <f t="shared" si="80"/>
        <v>6.5149266039914231</v>
      </c>
      <c r="W94" s="16">
        <f t="shared" si="81"/>
        <v>53.257463301995713</v>
      </c>
      <c r="X94" s="14">
        <f t="shared" si="82"/>
        <v>0.48449612403100772</v>
      </c>
      <c r="Y94" s="15">
        <f t="shared" si="83"/>
        <v>0.51550387596899228</v>
      </c>
      <c r="Z94" s="15">
        <f t="shared" si="84"/>
        <v>6.8551047336302169</v>
      </c>
      <c r="AA94" s="16">
        <f t="shared" si="85"/>
        <v>53.427552366815107</v>
      </c>
      <c r="AC94">
        <v>33</v>
      </c>
      <c r="AD94">
        <f t="shared" ref="AD94:AD111" si="99">((V12_Max-V12_Min)/50)*AC94+V12_Min</f>
        <v>22.79</v>
      </c>
      <c r="AE94" s="14">
        <f t="shared" si="86"/>
        <v>0.50644444444444447</v>
      </c>
      <c r="AF94" s="15">
        <f t="shared" si="87"/>
        <v>0.49355555555555553</v>
      </c>
      <c r="AG94" s="15">
        <f t="shared" si="88"/>
        <v>5.9830484633569752</v>
      </c>
      <c r="AH94" s="16">
        <f t="shared" si="89"/>
        <v>52.99152423167849</v>
      </c>
      <c r="AI94" s="14">
        <f t="shared" si="90"/>
        <v>0.45579999999999998</v>
      </c>
      <c r="AJ94" s="15">
        <f t="shared" si="91"/>
        <v>0.54420000000000002</v>
      </c>
      <c r="AK94" s="15">
        <f t="shared" si="92"/>
        <v>6.5969776595744678</v>
      </c>
      <c r="AL94" s="16">
        <f t="shared" si="93"/>
        <v>53.298488829787232</v>
      </c>
      <c r="AM94" s="14">
        <f t="shared" si="94"/>
        <v>0.41436363636363632</v>
      </c>
      <c r="AN94" s="15">
        <f t="shared" si="95"/>
        <v>0.58563636363636373</v>
      </c>
      <c r="AO94" s="15">
        <f t="shared" si="96"/>
        <v>7.0992833655706002</v>
      </c>
      <c r="AP94" s="16">
        <f t="shared" si="97"/>
        <v>53.5496416827853</v>
      </c>
    </row>
    <row r="95" spans="1:42" ht="15">
      <c r="A95" s="31" t="s">
        <v>167</v>
      </c>
      <c r="B95" s="49">
        <f>Design_Converter!B87</f>
        <v>43</v>
      </c>
      <c r="C95" s="67" t="s">
        <v>104</v>
      </c>
      <c r="N95">
        <v>34</v>
      </c>
      <c r="O95">
        <f t="shared" si="98"/>
        <v>51.8</v>
      </c>
      <c r="P95" s="14">
        <f t="shared" si="74"/>
        <v>0.35714285714285715</v>
      </c>
      <c r="Q95" s="15">
        <f t="shared" si="75"/>
        <v>0.64285714285714279</v>
      </c>
      <c r="R95" s="15">
        <f t="shared" si="76"/>
        <v>6.3259878419452891</v>
      </c>
      <c r="S95" s="16">
        <f t="shared" si="77"/>
        <v>53.162993920972646</v>
      </c>
      <c r="T95" s="14">
        <f t="shared" si="78"/>
        <v>0.38610038610038611</v>
      </c>
      <c r="U95" s="15">
        <f t="shared" si="79"/>
        <v>0.61389961389961389</v>
      </c>
      <c r="V95" s="15">
        <f t="shared" si="80"/>
        <v>6.5308469563788716</v>
      </c>
      <c r="W95" s="16">
        <f t="shared" si="81"/>
        <v>53.265423478189433</v>
      </c>
      <c r="X95" s="14">
        <f t="shared" si="82"/>
        <v>0.48262548262548266</v>
      </c>
      <c r="Y95" s="15">
        <f t="shared" si="83"/>
        <v>0.51737451737451734</v>
      </c>
      <c r="Z95" s="15">
        <f t="shared" si="84"/>
        <v>6.8799802842356037</v>
      </c>
      <c r="AA95" s="16">
        <f t="shared" si="85"/>
        <v>53.4399901421178</v>
      </c>
      <c r="AC95">
        <v>34</v>
      </c>
      <c r="AD95">
        <f t="shared" si="99"/>
        <v>22.92</v>
      </c>
      <c r="AE95" s="14">
        <f t="shared" si="86"/>
        <v>0.50933333333333342</v>
      </c>
      <c r="AF95" s="15">
        <f t="shared" si="87"/>
        <v>0.49066666666666658</v>
      </c>
      <c r="AG95" s="15">
        <f t="shared" si="88"/>
        <v>5.9819574468085115</v>
      </c>
      <c r="AH95" s="16">
        <f t="shared" si="89"/>
        <v>52.990978723404254</v>
      </c>
      <c r="AI95" s="14">
        <f t="shared" si="90"/>
        <v>0.45840000000000003</v>
      </c>
      <c r="AJ95" s="15">
        <f t="shared" si="91"/>
        <v>0.54159999999999997</v>
      </c>
      <c r="AK95" s="15">
        <f t="shared" si="92"/>
        <v>6.6029106382978728</v>
      </c>
      <c r="AL95" s="16">
        <f t="shared" si="93"/>
        <v>53.301455319148936</v>
      </c>
      <c r="AM95" s="14">
        <f t="shared" si="94"/>
        <v>0.41672727272727278</v>
      </c>
      <c r="AN95" s="15">
        <f t="shared" si="95"/>
        <v>0.58327272727272717</v>
      </c>
      <c r="AO95" s="15">
        <f t="shared" si="96"/>
        <v>7.1109632495164421</v>
      </c>
      <c r="AP95" s="16">
        <f t="shared" si="97"/>
        <v>53.555481624758222</v>
      </c>
    </row>
    <row r="96" spans="1:42" ht="15">
      <c r="A96" s="31" t="s">
        <v>168</v>
      </c>
      <c r="B96" s="54">
        <f>(Constants!C18*(Constants!C20+(Calculations!B95*1000)))/(Calculations!B95*1000)</f>
        <v>28.743139534883721</v>
      </c>
      <c r="C96" s="67" t="s">
        <v>1</v>
      </c>
      <c r="N96">
        <v>35</v>
      </c>
      <c r="O96">
        <f t="shared" si="98"/>
        <v>52</v>
      </c>
      <c r="P96" s="14">
        <f t="shared" si="74"/>
        <v>0.35576923076923078</v>
      </c>
      <c r="Q96" s="15">
        <f t="shared" si="75"/>
        <v>0.64423076923076916</v>
      </c>
      <c r="R96" s="15">
        <f t="shared" si="76"/>
        <v>6.339504909983634</v>
      </c>
      <c r="S96" s="16">
        <f t="shared" si="77"/>
        <v>53.169752454991816</v>
      </c>
      <c r="T96" s="14">
        <f t="shared" si="78"/>
        <v>0.38461538461538464</v>
      </c>
      <c r="U96" s="15">
        <f t="shared" si="79"/>
        <v>0.61538461538461542</v>
      </c>
      <c r="V96" s="15">
        <f t="shared" si="80"/>
        <v>6.5466448445171856</v>
      </c>
      <c r="W96" s="16">
        <f t="shared" si="81"/>
        <v>53.273322422258595</v>
      </c>
      <c r="X96" s="14">
        <f t="shared" si="82"/>
        <v>0.48076923076923078</v>
      </c>
      <c r="Y96" s="15">
        <f t="shared" si="83"/>
        <v>0.51923076923076916</v>
      </c>
      <c r="Z96" s="15">
        <f t="shared" si="84"/>
        <v>6.9046644844517182</v>
      </c>
      <c r="AA96" s="16">
        <f t="shared" si="85"/>
        <v>53.452332242225857</v>
      </c>
      <c r="AC96">
        <v>35</v>
      </c>
      <c r="AD96">
        <f t="shared" si="99"/>
        <v>23.05</v>
      </c>
      <c r="AE96" s="14">
        <f t="shared" si="86"/>
        <v>0.51222222222222225</v>
      </c>
      <c r="AF96" s="15">
        <f t="shared" si="87"/>
        <v>0.48777777777777775</v>
      </c>
      <c r="AG96" s="15">
        <f t="shared" si="88"/>
        <v>5.9804669030732862</v>
      </c>
      <c r="AH96" s="16">
        <f t="shared" si="89"/>
        <v>52.990233451536646</v>
      </c>
      <c r="AI96" s="14">
        <f t="shared" si="90"/>
        <v>0.46100000000000002</v>
      </c>
      <c r="AJ96" s="15">
        <f t="shared" si="91"/>
        <v>0.53899999999999992</v>
      </c>
      <c r="AK96" s="15">
        <f t="shared" si="92"/>
        <v>6.6084840425531919</v>
      </c>
      <c r="AL96" s="16">
        <f t="shared" si="93"/>
        <v>53.304242021276593</v>
      </c>
      <c r="AM96" s="14">
        <f t="shared" si="94"/>
        <v>0.41909090909090913</v>
      </c>
      <c r="AN96" s="15">
        <f t="shared" si="95"/>
        <v>0.58090909090909082</v>
      </c>
      <c r="AO96" s="15">
        <f t="shared" si="96"/>
        <v>7.1223162475822059</v>
      </c>
      <c r="AP96" s="16">
        <f t="shared" si="97"/>
        <v>53.561158123791103</v>
      </c>
    </row>
    <row r="97" spans="1:42">
      <c r="N97">
        <v>36</v>
      </c>
      <c r="O97">
        <f t="shared" si="98"/>
        <v>52.2</v>
      </c>
      <c r="P97" s="14">
        <f t="shared" si="74"/>
        <v>0.35440613026819923</v>
      </c>
      <c r="Q97" s="15">
        <f t="shared" si="75"/>
        <v>0.64559386973180077</v>
      </c>
      <c r="R97" s="15">
        <f t="shared" si="76"/>
        <v>6.3529183989565512</v>
      </c>
      <c r="S97" s="16">
        <f t="shared" si="77"/>
        <v>53.176459199478273</v>
      </c>
      <c r="T97" s="14">
        <f t="shared" si="78"/>
        <v>0.38314176245210724</v>
      </c>
      <c r="U97" s="15">
        <f t="shared" si="79"/>
        <v>0.61685823754789282</v>
      </c>
      <c r="V97" s="15">
        <f t="shared" si="80"/>
        <v>6.562321676041412</v>
      </c>
      <c r="W97" s="16">
        <f t="shared" si="81"/>
        <v>53.281160838020703</v>
      </c>
      <c r="X97" s="14">
        <f t="shared" si="82"/>
        <v>0.47892720306513409</v>
      </c>
      <c r="Y97" s="15">
        <f t="shared" si="83"/>
        <v>0.52107279693486586</v>
      </c>
      <c r="Z97" s="15">
        <f t="shared" si="84"/>
        <v>6.9291595337083232</v>
      </c>
      <c r="AA97" s="16">
        <f t="shared" si="85"/>
        <v>53.464579766854165</v>
      </c>
      <c r="AC97">
        <v>36</v>
      </c>
      <c r="AD97">
        <f t="shared" si="99"/>
        <v>23.18</v>
      </c>
      <c r="AE97" s="14">
        <f t="shared" si="86"/>
        <v>0.51511111111111108</v>
      </c>
      <c r="AF97" s="15">
        <f t="shared" si="87"/>
        <v>0.48488888888888892</v>
      </c>
      <c r="AG97" s="15">
        <f t="shared" si="88"/>
        <v>5.9785768321513002</v>
      </c>
      <c r="AH97" s="16">
        <f t="shared" si="89"/>
        <v>52.989288416075652</v>
      </c>
      <c r="AI97" s="14">
        <f t="shared" si="90"/>
        <v>0.46360000000000001</v>
      </c>
      <c r="AJ97" s="15">
        <f t="shared" si="91"/>
        <v>0.53639999999999999</v>
      </c>
      <c r="AK97" s="15">
        <f t="shared" si="92"/>
        <v>6.6136978723404258</v>
      </c>
      <c r="AL97" s="16">
        <f t="shared" si="93"/>
        <v>53.306848936170212</v>
      </c>
      <c r="AM97" s="14">
        <f t="shared" si="94"/>
        <v>0.42145454545454547</v>
      </c>
      <c r="AN97" s="15">
        <f t="shared" si="95"/>
        <v>0.57854545454545447</v>
      </c>
      <c r="AO97" s="15">
        <f t="shared" si="96"/>
        <v>7.1333423597678927</v>
      </c>
      <c r="AP97" s="16">
        <f t="shared" si="97"/>
        <v>53.566671179883947</v>
      </c>
    </row>
    <row r="98" spans="1:42">
      <c r="A98" s="32" t="s">
        <v>169</v>
      </c>
      <c r="B98" s="53"/>
      <c r="C98" s="31"/>
      <c r="N98">
        <v>37</v>
      </c>
      <c r="O98">
        <f t="shared" si="98"/>
        <v>52.4</v>
      </c>
      <c r="P98" s="14">
        <f t="shared" si="74"/>
        <v>0.35305343511450382</v>
      </c>
      <c r="Q98" s="15">
        <f t="shared" si="75"/>
        <v>0.64694656488549618</v>
      </c>
      <c r="R98" s="15">
        <f t="shared" si="76"/>
        <v>6.3662294948838722</v>
      </c>
      <c r="S98" s="16">
        <f t="shared" si="77"/>
        <v>53.183114747441934</v>
      </c>
      <c r="T98" s="14">
        <f t="shared" si="78"/>
        <v>0.38167938931297712</v>
      </c>
      <c r="U98" s="15">
        <f t="shared" si="79"/>
        <v>0.61832061068702293</v>
      </c>
      <c r="V98" s="15">
        <f t="shared" si="80"/>
        <v>6.5778788370959882</v>
      </c>
      <c r="W98" s="16">
        <f t="shared" si="81"/>
        <v>53.288939418547997</v>
      </c>
      <c r="X98" s="14">
        <f t="shared" si="82"/>
        <v>0.47709923664122139</v>
      </c>
      <c r="Y98" s="15">
        <f t="shared" si="83"/>
        <v>0.52290076335877855</v>
      </c>
      <c r="Z98" s="15">
        <f t="shared" si="84"/>
        <v>6.9534675978560996</v>
      </c>
      <c r="AA98" s="16">
        <f t="shared" si="85"/>
        <v>53.476733798928052</v>
      </c>
      <c r="AC98">
        <v>37</v>
      </c>
      <c r="AD98">
        <f t="shared" si="99"/>
        <v>23.310000000000002</v>
      </c>
      <c r="AE98" s="14">
        <f t="shared" si="86"/>
        <v>0.51800000000000002</v>
      </c>
      <c r="AF98" s="15">
        <f t="shared" si="87"/>
        <v>0.48199999999999998</v>
      </c>
      <c r="AG98" s="15">
        <f t="shared" si="88"/>
        <v>5.9762872340425535</v>
      </c>
      <c r="AH98" s="16">
        <f t="shared" si="89"/>
        <v>52.988143617021279</v>
      </c>
      <c r="AI98" s="14">
        <f t="shared" si="90"/>
        <v>0.46620000000000006</v>
      </c>
      <c r="AJ98" s="15">
        <f t="shared" si="91"/>
        <v>0.53379999999999994</v>
      </c>
      <c r="AK98" s="15">
        <f t="shared" si="92"/>
        <v>6.6185521276595747</v>
      </c>
      <c r="AL98" s="16">
        <f t="shared" si="93"/>
        <v>53.309276063829785</v>
      </c>
      <c r="AM98" s="14">
        <f t="shared" si="94"/>
        <v>0.42381818181818187</v>
      </c>
      <c r="AN98" s="15">
        <f t="shared" si="95"/>
        <v>0.57618181818181813</v>
      </c>
      <c r="AO98" s="15">
        <f t="shared" si="96"/>
        <v>7.1440415860735014</v>
      </c>
      <c r="AP98" s="16">
        <f t="shared" si="97"/>
        <v>53.572020793036749</v>
      </c>
    </row>
    <row r="99" spans="1:42">
      <c r="A99" s="31" t="s">
        <v>170</v>
      </c>
      <c r="B99" s="49">
        <f>IF(Design_Converter!B93=Lists!A2,0,1)</f>
        <v>0</v>
      </c>
      <c r="C99" s="31"/>
      <c r="E99" s="34" t="s">
        <v>220</v>
      </c>
      <c r="N99">
        <v>38</v>
      </c>
      <c r="O99">
        <f t="shared" si="98"/>
        <v>52.6</v>
      </c>
      <c r="P99" s="14">
        <f t="shared" si="74"/>
        <v>0.35171102661596959</v>
      </c>
      <c r="Q99" s="15">
        <f t="shared" si="75"/>
        <v>0.64828897338403046</v>
      </c>
      <c r="R99" s="15">
        <f t="shared" si="76"/>
        <v>6.3794393657471087</v>
      </c>
      <c r="S99" s="16">
        <f t="shared" si="77"/>
        <v>53.189719682873552</v>
      </c>
      <c r="T99" s="14">
        <f t="shared" si="78"/>
        <v>0.38022813688212925</v>
      </c>
      <c r="U99" s="15">
        <f t="shared" si="79"/>
        <v>0.6197718631178708</v>
      </c>
      <c r="V99" s="15">
        <f t="shared" si="80"/>
        <v>6.5933176927433061</v>
      </c>
      <c r="W99" s="16">
        <f t="shared" si="81"/>
        <v>53.296658846371656</v>
      </c>
      <c r="X99" s="14">
        <f t="shared" si="82"/>
        <v>0.47528517110266161</v>
      </c>
      <c r="Y99" s="15">
        <f t="shared" si="83"/>
        <v>0.52471482889733845</v>
      </c>
      <c r="Z99" s="15">
        <f t="shared" si="84"/>
        <v>6.9775908098050321</v>
      </c>
      <c r="AA99" s="16">
        <f t="shared" si="85"/>
        <v>53.488795404902518</v>
      </c>
      <c r="AC99">
        <v>38</v>
      </c>
      <c r="AD99">
        <f t="shared" si="99"/>
        <v>23.44</v>
      </c>
      <c r="AE99" s="14">
        <f t="shared" si="86"/>
        <v>0.52088888888888896</v>
      </c>
      <c r="AF99" s="15">
        <f t="shared" si="87"/>
        <v>0.47911111111111104</v>
      </c>
      <c r="AG99" s="15">
        <f t="shared" si="88"/>
        <v>5.973598108747046</v>
      </c>
      <c r="AH99" s="16">
        <f t="shared" si="89"/>
        <v>52.98679905437352</v>
      </c>
      <c r="AI99" s="14">
        <f t="shared" si="90"/>
        <v>0.46880000000000005</v>
      </c>
      <c r="AJ99" s="15">
        <f t="shared" si="91"/>
        <v>0.53119999999999989</v>
      </c>
      <c r="AK99" s="15">
        <f t="shared" si="92"/>
        <v>6.6230468085106393</v>
      </c>
      <c r="AL99" s="16">
        <f t="shared" si="93"/>
        <v>53.311523404255318</v>
      </c>
      <c r="AM99" s="14">
        <f t="shared" si="94"/>
        <v>0.42618181818181822</v>
      </c>
      <c r="AN99" s="15">
        <f t="shared" si="95"/>
        <v>0.57381818181818178</v>
      </c>
      <c r="AO99" s="15">
        <f t="shared" si="96"/>
        <v>7.1544139264990338</v>
      </c>
      <c r="AP99" s="16">
        <f t="shared" si="97"/>
        <v>53.577206963249516</v>
      </c>
    </row>
    <row r="100" spans="1:42">
      <c r="A100" s="31" t="s">
        <v>174</v>
      </c>
      <c r="B100" s="49">
        <f>Design_Converter!B94</f>
        <v>24</v>
      </c>
      <c r="C100" s="31" t="s">
        <v>1</v>
      </c>
      <c r="N100">
        <v>39</v>
      </c>
      <c r="O100">
        <f t="shared" si="98"/>
        <v>52.8</v>
      </c>
      <c r="P100" s="14">
        <f t="shared" si="74"/>
        <v>0.3503787878787879</v>
      </c>
      <c r="Q100" s="15">
        <f t="shared" si="75"/>
        <v>0.64962121212121215</v>
      </c>
      <c r="R100" s="15">
        <f t="shared" si="76"/>
        <v>6.3925491618310772</v>
      </c>
      <c r="S100" s="16">
        <f t="shared" si="77"/>
        <v>53.196274580915542</v>
      </c>
      <c r="T100" s="14">
        <f t="shared" si="78"/>
        <v>0.37878787878787878</v>
      </c>
      <c r="U100" s="15">
        <f t="shared" si="79"/>
        <v>0.62121212121212122</v>
      </c>
      <c r="V100" s="15">
        <f t="shared" si="80"/>
        <v>6.6086395873629913</v>
      </c>
      <c r="W100" s="16">
        <f t="shared" si="81"/>
        <v>53.304319793681493</v>
      </c>
      <c r="X100" s="14">
        <f t="shared" si="82"/>
        <v>0.47348484848484851</v>
      </c>
      <c r="Y100" s="15">
        <f t="shared" si="83"/>
        <v>0.52651515151515149</v>
      </c>
      <c r="Z100" s="15">
        <f t="shared" si="84"/>
        <v>7.0015312701482912</v>
      </c>
      <c r="AA100" s="16">
        <f t="shared" si="85"/>
        <v>53.500765635074146</v>
      </c>
      <c r="AC100">
        <v>39</v>
      </c>
      <c r="AD100">
        <f t="shared" si="99"/>
        <v>23.57</v>
      </c>
      <c r="AE100" s="14">
        <f t="shared" si="86"/>
        <v>0.52377777777777779</v>
      </c>
      <c r="AF100" s="15">
        <f t="shared" si="87"/>
        <v>0.47622222222222221</v>
      </c>
      <c r="AG100" s="15">
        <f t="shared" si="88"/>
        <v>5.970509456264776</v>
      </c>
      <c r="AH100" s="16">
        <f t="shared" si="89"/>
        <v>52.985254728132389</v>
      </c>
      <c r="AI100" s="14">
        <f t="shared" si="90"/>
        <v>0.47139999999999999</v>
      </c>
      <c r="AJ100" s="15">
        <f t="shared" si="91"/>
        <v>0.52859999999999996</v>
      </c>
      <c r="AK100" s="15">
        <f t="shared" si="92"/>
        <v>6.6271819148936171</v>
      </c>
      <c r="AL100" s="16">
        <f t="shared" si="93"/>
        <v>53.313590957446806</v>
      </c>
      <c r="AM100" s="14">
        <f t="shared" si="94"/>
        <v>0.42854545454545456</v>
      </c>
      <c r="AN100" s="15">
        <f t="shared" si="95"/>
        <v>0.57145454545454544</v>
      </c>
      <c r="AO100" s="15">
        <f t="shared" si="96"/>
        <v>7.1644593810444883</v>
      </c>
      <c r="AP100" s="16">
        <f t="shared" si="97"/>
        <v>53.582229690522247</v>
      </c>
    </row>
    <row r="101" spans="1:42" ht="15">
      <c r="A101" s="31" t="s">
        <v>175</v>
      </c>
      <c r="B101" s="49">
        <f>Design_Converter!B95</f>
        <v>10</v>
      </c>
      <c r="C101" s="67" t="s">
        <v>104</v>
      </c>
      <c r="N101">
        <v>40</v>
      </c>
      <c r="O101">
        <f t="shared" si="98"/>
        <v>53</v>
      </c>
      <c r="P101" s="14">
        <f t="shared" si="74"/>
        <v>0.34905660377358488</v>
      </c>
      <c r="Q101" s="15">
        <f t="shared" si="75"/>
        <v>0.65094339622641506</v>
      </c>
      <c r="R101" s="15">
        <f t="shared" si="76"/>
        <v>6.4055600160578079</v>
      </c>
      <c r="S101" s="16">
        <f t="shared" si="77"/>
        <v>53.202780008028903</v>
      </c>
      <c r="T101" s="14">
        <f t="shared" si="78"/>
        <v>0.37735849056603776</v>
      </c>
      <c r="U101" s="15">
        <f t="shared" si="79"/>
        <v>0.62264150943396224</v>
      </c>
      <c r="V101" s="15">
        <f t="shared" si="80"/>
        <v>6.6238458450421529</v>
      </c>
      <c r="W101" s="16">
        <f t="shared" si="81"/>
        <v>53.311922922521077</v>
      </c>
      <c r="X101" s="14">
        <f t="shared" si="82"/>
        <v>0.47169811320754718</v>
      </c>
      <c r="Y101" s="15">
        <f t="shared" si="83"/>
        <v>0.52830188679245282</v>
      </c>
      <c r="Z101" s="15">
        <f t="shared" si="84"/>
        <v>7.0252910477719794</v>
      </c>
      <c r="AA101" s="16">
        <f t="shared" si="85"/>
        <v>53.512645523885993</v>
      </c>
      <c r="AC101">
        <v>40</v>
      </c>
      <c r="AD101">
        <f t="shared" si="99"/>
        <v>23.7</v>
      </c>
      <c r="AE101" s="14">
        <f t="shared" si="86"/>
        <v>0.52666666666666662</v>
      </c>
      <c r="AF101" s="15">
        <f t="shared" si="87"/>
        <v>0.47333333333333338</v>
      </c>
      <c r="AG101" s="15">
        <f t="shared" si="88"/>
        <v>5.9670212765957453</v>
      </c>
      <c r="AH101" s="16">
        <f t="shared" si="89"/>
        <v>52.983510638297872</v>
      </c>
      <c r="AI101" s="14">
        <f t="shared" si="90"/>
        <v>0.47399999999999998</v>
      </c>
      <c r="AJ101" s="15">
        <f t="shared" si="91"/>
        <v>0.52600000000000002</v>
      </c>
      <c r="AK101" s="15">
        <f t="shared" si="92"/>
        <v>6.6309574468085106</v>
      </c>
      <c r="AL101" s="16">
        <f t="shared" si="93"/>
        <v>53.315478723404254</v>
      </c>
      <c r="AM101" s="14">
        <f t="shared" si="94"/>
        <v>0.43090909090909091</v>
      </c>
      <c r="AN101" s="15">
        <f t="shared" si="95"/>
        <v>0.56909090909090909</v>
      </c>
      <c r="AO101" s="15">
        <f t="shared" si="96"/>
        <v>7.1741779497098648</v>
      </c>
      <c r="AP101" s="16">
        <f t="shared" si="97"/>
        <v>53.587088974854936</v>
      </c>
    </row>
    <row r="102" spans="1:42" ht="15">
      <c r="A102" s="31" t="s">
        <v>176</v>
      </c>
      <c r="B102" s="53">
        <f>((B100-Constants!C11)/(Constants!C11))*B101</f>
        <v>86</v>
      </c>
      <c r="C102" s="67" t="s">
        <v>104</v>
      </c>
      <c r="N102">
        <v>41</v>
      </c>
      <c r="O102">
        <f t="shared" si="98"/>
        <v>53.2</v>
      </c>
      <c r="P102" s="14">
        <f t="shared" si="74"/>
        <v>0.34774436090225563</v>
      </c>
      <c r="Q102" s="15">
        <f t="shared" si="75"/>
        <v>0.65225563909774431</v>
      </c>
      <c r="R102" s="15">
        <f t="shared" si="76"/>
        <v>6.4184730443129112</v>
      </c>
      <c r="S102" s="16">
        <f t="shared" si="77"/>
        <v>53.209236522156459</v>
      </c>
      <c r="T102" s="14">
        <f t="shared" si="78"/>
        <v>0.37593984962406013</v>
      </c>
      <c r="U102" s="15">
        <f t="shared" si="79"/>
        <v>0.62406015037593987</v>
      </c>
      <c r="V102" s="15">
        <f t="shared" si="80"/>
        <v>6.6389377699568071</v>
      </c>
      <c r="W102" s="16">
        <f t="shared" si="81"/>
        <v>53.319468884978406</v>
      </c>
      <c r="X102" s="14">
        <f t="shared" si="82"/>
        <v>0.46992481203007519</v>
      </c>
      <c r="Y102" s="15">
        <f t="shared" si="83"/>
        <v>0.53007518796992481</v>
      </c>
      <c r="Z102" s="15">
        <f t="shared" si="84"/>
        <v>7.048872180451129</v>
      </c>
      <c r="AA102" s="16">
        <f t="shared" si="85"/>
        <v>53.524436090225564</v>
      </c>
      <c r="AC102">
        <v>41</v>
      </c>
      <c r="AD102">
        <f t="shared" si="99"/>
        <v>23.83</v>
      </c>
      <c r="AE102" s="14">
        <f t="shared" si="86"/>
        <v>0.52955555555555556</v>
      </c>
      <c r="AF102" s="15">
        <f t="shared" si="87"/>
        <v>0.47044444444444444</v>
      </c>
      <c r="AG102" s="15">
        <f t="shared" si="88"/>
        <v>5.963133569739953</v>
      </c>
      <c r="AH102" s="16">
        <f t="shared" si="89"/>
        <v>52.981566784869976</v>
      </c>
      <c r="AI102" s="14">
        <f t="shared" si="90"/>
        <v>0.47659999999999997</v>
      </c>
      <c r="AJ102" s="15">
        <f t="shared" si="91"/>
        <v>0.52340000000000009</v>
      </c>
      <c r="AK102" s="15">
        <f t="shared" si="92"/>
        <v>6.63437340425532</v>
      </c>
      <c r="AL102" s="16">
        <f t="shared" si="93"/>
        <v>53.317186702127657</v>
      </c>
      <c r="AM102" s="14">
        <f t="shared" si="94"/>
        <v>0.43327272727272725</v>
      </c>
      <c r="AN102" s="15">
        <f t="shared" si="95"/>
        <v>0.56672727272727275</v>
      </c>
      <c r="AO102" s="15">
        <f t="shared" si="96"/>
        <v>7.183569632495165</v>
      </c>
      <c r="AP102" s="16">
        <f t="shared" si="97"/>
        <v>53.591784816247582</v>
      </c>
    </row>
    <row r="103" spans="1:42" ht="15">
      <c r="A103" s="31" t="s">
        <v>177</v>
      </c>
      <c r="B103" s="49">
        <f>Design_Converter!B97</f>
        <v>86.6</v>
      </c>
      <c r="C103" s="67" t="s">
        <v>104</v>
      </c>
      <c r="N103">
        <v>42</v>
      </c>
      <c r="O103">
        <f t="shared" si="98"/>
        <v>53.4</v>
      </c>
      <c r="P103" s="14">
        <f t="shared" si="74"/>
        <v>0.34644194756554308</v>
      </c>
      <c r="Q103" s="15">
        <f t="shared" si="75"/>
        <v>0.65355805243445686</v>
      </c>
      <c r="R103" s="15">
        <f t="shared" si="76"/>
        <v>6.4312893457646032</v>
      </c>
      <c r="S103" s="16">
        <f t="shared" si="77"/>
        <v>53.215644672882298</v>
      </c>
      <c r="T103" s="14">
        <f t="shared" si="78"/>
        <v>0.37453183520599254</v>
      </c>
      <c r="U103" s="15">
        <f t="shared" si="79"/>
        <v>0.62546816479400746</v>
      </c>
      <c r="V103" s="15">
        <f t="shared" si="80"/>
        <v>6.6539166467447615</v>
      </c>
      <c r="W103" s="16">
        <f t="shared" si="81"/>
        <v>53.326958323372381</v>
      </c>
      <c r="X103" s="14">
        <f t="shared" si="82"/>
        <v>0.46816479400749067</v>
      </c>
      <c r="Y103" s="15">
        <f t="shared" si="83"/>
        <v>0.53183520599250933</v>
      </c>
      <c r="Z103" s="15">
        <f t="shared" si="84"/>
        <v>7.0722766754323061</v>
      </c>
      <c r="AA103" s="16">
        <f t="shared" si="85"/>
        <v>53.536138337716153</v>
      </c>
      <c r="AC103">
        <v>42</v>
      </c>
      <c r="AD103">
        <f t="shared" si="99"/>
        <v>23.96</v>
      </c>
      <c r="AE103" s="14">
        <f t="shared" si="86"/>
        <v>0.5324444444444445</v>
      </c>
      <c r="AF103" s="15">
        <f t="shared" si="87"/>
        <v>0.4675555555555555</v>
      </c>
      <c r="AG103" s="15">
        <f t="shared" si="88"/>
        <v>5.9588463356974</v>
      </c>
      <c r="AH103" s="16">
        <f t="shared" si="89"/>
        <v>52.979423167848701</v>
      </c>
      <c r="AI103" s="14">
        <f t="shared" si="90"/>
        <v>0.47920000000000001</v>
      </c>
      <c r="AJ103" s="15">
        <f t="shared" si="91"/>
        <v>0.52079999999999993</v>
      </c>
      <c r="AK103" s="15">
        <f t="shared" si="92"/>
        <v>6.6374297872340424</v>
      </c>
      <c r="AL103" s="16">
        <f t="shared" si="93"/>
        <v>53.31871489361702</v>
      </c>
      <c r="AM103" s="14">
        <f t="shared" si="94"/>
        <v>0.43563636363636365</v>
      </c>
      <c r="AN103" s="15">
        <f t="shared" si="95"/>
        <v>0.5643636363636364</v>
      </c>
      <c r="AO103" s="15">
        <f t="shared" si="96"/>
        <v>7.1926344294003872</v>
      </c>
      <c r="AP103" s="16">
        <f t="shared" si="97"/>
        <v>53.596317214700193</v>
      </c>
    </row>
    <row r="104" spans="1:42">
      <c r="A104" s="31" t="s">
        <v>240</v>
      </c>
      <c r="B104" s="49">
        <f>IF(Design_Converter!B98=Lists!C2,0,1)</f>
        <v>0</v>
      </c>
      <c r="C104" s="31"/>
      <c r="E104" s="34" t="s">
        <v>239</v>
      </c>
      <c r="N104">
        <v>43</v>
      </c>
      <c r="O104">
        <f t="shared" si="98"/>
        <v>53.6</v>
      </c>
      <c r="P104" s="14">
        <f t="shared" si="74"/>
        <v>0.34514925373134325</v>
      </c>
      <c r="Q104" s="15">
        <f t="shared" si="75"/>
        <v>0.6548507462686568</v>
      </c>
      <c r="R104" s="15">
        <f t="shared" si="76"/>
        <v>6.4440100031756113</v>
      </c>
      <c r="S104" s="16">
        <f t="shared" si="77"/>
        <v>53.222005001587803</v>
      </c>
      <c r="T104" s="14">
        <f t="shared" si="78"/>
        <v>0.37313432835820892</v>
      </c>
      <c r="U104" s="15">
        <f t="shared" si="79"/>
        <v>0.62686567164179108</v>
      </c>
      <c r="V104" s="15">
        <f t="shared" si="80"/>
        <v>6.6687837408701176</v>
      </c>
      <c r="W104" s="16">
        <f t="shared" si="81"/>
        <v>53.334391870435056</v>
      </c>
      <c r="X104" s="14">
        <f t="shared" si="82"/>
        <v>0.46641791044776121</v>
      </c>
      <c r="Y104" s="15">
        <f t="shared" si="83"/>
        <v>0.53358208955223874</v>
      </c>
      <c r="Z104" s="15">
        <f t="shared" si="84"/>
        <v>7.095506510003176</v>
      </c>
      <c r="AA104" s="16">
        <f t="shared" si="85"/>
        <v>53.547753255001588</v>
      </c>
      <c r="AC104">
        <v>43</v>
      </c>
      <c r="AD104">
        <f t="shared" si="99"/>
        <v>24.09</v>
      </c>
      <c r="AE104" s="14">
        <f t="shared" si="86"/>
        <v>0.53533333333333333</v>
      </c>
      <c r="AF104" s="15">
        <f t="shared" si="87"/>
        <v>0.46466666666666667</v>
      </c>
      <c r="AG104" s="15">
        <f t="shared" si="88"/>
        <v>5.9541595744680853</v>
      </c>
      <c r="AH104" s="16">
        <f t="shared" si="89"/>
        <v>52.97707978723404</v>
      </c>
      <c r="AI104" s="14">
        <f t="shared" si="90"/>
        <v>0.48180000000000001</v>
      </c>
      <c r="AJ104" s="15">
        <f t="shared" si="91"/>
        <v>0.51819999999999999</v>
      </c>
      <c r="AK104" s="15">
        <f t="shared" si="92"/>
        <v>6.6401265957446816</v>
      </c>
      <c r="AL104" s="16">
        <f t="shared" si="93"/>
        <v>53.320063297872338</v>
      </c>
      <c r="AM104" s="14">
        <f t="shared" si="94"/>
        <v>0.438</v>
      </c>
      <c r="AN104" s="15">
        <f t="shared" si="95"/>
        <v>0.56200000000000006</v>
      </c>
      <c r="AO104" s="15">
        <f t="shared" si="96"/>
        <v>7.2013723404255323</v>
      </c>
      <c r="AP104" s="16">
        <f t="shared" si="97"/>
        <v>53.600686170212768</v>
      </c>
    </row>
    <row r="105" spans="1:42">
      <c r="A105" s="31" t="s">
        <v>242</v>
      </c>
      <c r="B105" s="49">
        <f>Design_Converter!B99</f>
        <v>2.4</v>
      </c>
      <c r="C105" s="31" t="s">
        <v>1</v>
      </c>
      <c r="N105">
        <v>44</v>
      </c>
      <c r="O105">
        <f t="shared" si="98"/>
        <v>53.8</v>
      </c>
      <c r="P105" s="14">
        <f t="shared" si="74"/>
        <v>0.34386617100371747</v>
      </c>
      <c r="Q105" s="15">
        <f t="shared" si="75"/>
        <v>0.65613382899628259</v>
      </c>
      <c r="R105" s="15">
        <f t="shared" si="76"/>
        <v>6.4566360832080996</v>
      </c>
      <c r="S105" s="16">
        <f t="shared" si="77"/>
        <v>53.228318041604048</v>
      </c>
      <c r="T105" s="14">
        <f t="shared" si="78"/>
        <v>0.37174721189591081</v>
      </c>
      <c r="U105" s="15">
        <f t="shared" si="79"/>
        <v>0.62825278810408913</v>
      </c>
      <c r="V105" s="15">
        <f t="shared" si="80"/>
        <v>6.6835402989796728</v>
      </c>
      <c r="W105" s="16">
        <f t="shared" si="81"/>
        <v>53.34177014948984</v>
      </c>
      <c r="X105" s="14">
        <f t="shared" si="82"/>
        <v>0.46468401486988847</v>
      </c>
      <c r="Y105" s="15">
        <f t="shared" si="83"/>
        <v>0.53531598513011147</v>
      </c>
      <c r="Z105" s="15">
        <f t="shared" si="84"/>
        <v>7.118563632049355</v>
      </c>
      <c r="AA105" s="16">
        <f t="shared" si="85"/>
        <v>53.559281816024679</v>
      </c>
      <c r="AC105">
        <v>44</v>
      </c>
      <c r="AD105">
        <f t="shared" si="99"/>
        <v>24.22</v>
      </c>
      <c r="AE105" s="14">
        <f t="shared" si="86"/>
        <v>0.53822222222222216</v>
      </c>
      <c r="AF105" s="15">
        <f t="shared" si="87"/>
        <v>0.46177777777777784</v>
      </c>
      <c r="AG105" s="15">
        <f t="shared" si="88"/>
        <v>5.949073286052009</v>
      </c>
      <c r="AH105" s="16">
        <f t="shared" si="89"/>
        <v>52.974536643026006</v>
      </c>
      <c r="AI105" s="14">
        <f t="shared" si="90"/>
        <v>0.4844</v>
      </c>
      <c r="AJ105" s="15">
        <f t="shared" si="91"/>
        <v>0.51560000000000006</v>
      </c>
      <c r="AK105" s="15">
        <f t="shared" si="92"/>
        <v>6.6424638297872347</v>
      </c>
      <c r="AL105" s="16">
        <f t="shared" si="93"/>
        <v>53.321231914893616</v>
      </c>
      <c r="AM105" s="14">
        <f t="shared" si="94"/>
        <v>0.44036363636363635</v>
      </c>
      <c r="AN105" s="15">
        <f t="shared" si="95"/>
        <v>0.55963636363636371</v>
      </c>
      <c r="AO105" s="15">
        <f t="shared" si="96"/>
        <v>7.2097833655705994</v>
      </c>
      <c r="AP105" s="16">
        <f t="shared" si="97"/>
        <v>53.604891682785301</v>
      </c>
    </row>
    <row r="106" spans="1:42" ht="15">
      <c r="A106" s="31" t="s">
        <v>243</v>
      </c>
      <c r="B106" s="63">
        <f>((B105/Constants!C13)-(B103*1000))/(1+(B103/B101))/1000</f>
        <v>0.97308488612836441</v>
      </c>
      <c r="C106" s="67" t="s">
        <v>104</v>
      </c>
      <c r="N106">
        <v>45</v>
      </c>
      <c r="O106">
        <f t="shared" si="98"/>
        <v>54</v>
      </c>
      <c r="P106" s="14">
        <f t="shared" si="74"/>
        <v>0.34259259259259262</v>
      </c>
      <c r="Q106" s="15">
        <f t="shared" si="75"/>
        <v>0.65740740740740744</v>
      </c>
      <c r="R106" s="15">
        <f t="shared" si="76"/>
        <v>6.4691686367218288</v>
      </c>
      <c r="S106" s="16">
        <f t="shared" si="77"/>
        <v>53.234584318360916</v>
      </c>
      <c r="T106" s="14">
        <f t="shared" si="78"/>
        <v>0.37037037037037035</v>
      </c>
      <c r="U106" s="15">
        <f t="shared" si="79"/>
        <v>0.62962962962962965</v>
      </c>
      <c r="V106" s="15">
        <f t="shared" si="80"/>
        <v>6.6981875492513794</v>
      </c>
      <c r="W106" s="16">
        <f t="shared" si="81"/>
        <v>53.349093774625686</v>
      </c>
      <c r="X106" s="14">
        <f t="shared" si="82"/>
        <v>0.46296296296296297</v>
      </c>
      <c r="Y106" s="15">
        <f t="shared" si="83"/>
        <v>0.53703703703703698</v>
      </c>
      <c r="Z106" s="15">
        <f t="shared" si="84"/>
        <v>7.141449960598897</v>
      </c>
      <c r="AA106" s="16">
        <f t="shared" si="85"/>
        <v>53.570724980299445</v>
      </c>
      <c r="AC106">
        <v>45</v>
      </c>
      <c r="AD106">
        <f t="shared" si="99"/>
        <v>24.35</v>
      </c>
      <c r="AE106" s="14">
        <f t="shared" si="86"/>
        <v>0.5411111111111111</v>
      </c>
      <c r="AF106" s="15">
        <f t="shared" si="87"/>
        <v>0.4588888888888889</v>
      </c>
      <c r="AG106" s="15">
        <f t="shared" si="88"/>
        <v>5.943587470449172</v>
      </c>
      <c r="AH106" s="16">
        <f t="shared" si="89"/>
        <v>52.971793735224587</v>
      </c>
      <c r="AI106" s="14">
        <f t="shared" si="90"/>
        <v>0.48700000000000004</v>
      </c>
      <c r="AJ106" s="15">
        <f t="shared" si="91"/>
        <v>0.5129999999999999</v>
      </c>
      <c r="AK106" s="15">
        <f t="shared" si="92"/>
        <v>6.6444414893617028</v>
      </c>
      <c r="AL106" s="16">
        <f t="shared" si="93"/>
        <v>53.322220744680848</v>
      </c>
      <c r="AM106" s="14">
        <f t="shared" si="94"/>
        <v>0.44272727272727275</v>
      </c>
      <c r="AN106" s="15">
        <f t="shared" si="95"/>
        <v>0.55727272727272725</v>
      </c>
      <c r="AO106" s="15">
        <f t="shared" si="96"/>
        <v>7.2178675048355911</v>
      </c>
      <c r="AP106" s="16">
        <f t="shared" si="97"/>
        <v>53.608933752417798</v>
      </c>
    </row>
    <row r="107" spans="1:42" ht="15">
      <c r="A107" s="31" t="s">
        <v>244</v>
      </c>
      <c r="B107" s="49">
        <f>Design_Converter!B101</f>
        <v>0.97299999999999998</v>
      </c>
      <c r="C107" s="67" t="s">
        <v>104</v>
      </c>
      <c r="N107">
        <v>46</v>
      </c>
      <c r="O107">
        <f t="shared" si="98"/>
        <v>54.2</v>
      </c>
      <c r="P107" s="14">
        <f t="shared" si="74"/>
        <v>0.34132841328413283</v>
      </c>
      <c r="Q107" s="15">
        <f t="shared" si="75"/>
        <v>0.65867158671586723</v>
      </c>
      <c r="R107" s="15">
        <f t="shared" si="76"/>
        <v>6.4816086990657142</v>
      </c>
      <c r="S107" s="16">
        <f t="shared" si="77"/>
        <v>53.240804349532858</v>
      </c>
      <c r="T107" s="14">
        <f t="shared" si="78"/>
        <v>0.36900369003690037</v>
      </c>
      <c r="U107" s="15">
        <f t="shared" si="79"/>
        <v>0.63099630996309963</v>
      </c>
      <c r="V107" s="15">
        <f t="shared" si="80"/>
        <v>6.7127267017351029</v>
      </c>
      <c r="W107" s="16">
        <f t="shared" si="81"/>
        <v>53.356363350867554</v>
      </c>
      <c r="X107" s="14">
        <f t="shared" si="82"/>
        <v>0.46125461254612543</v>
      </c>
      <c r="Y107" s="15">
        <f t="shared" si="83"/>
        <v>0.53874538745387457</v>
      </c>
      <c r="Z107" s="15">
        <f t="shared" si="84"/>
        <v>7.1641673863547153</v>
      </c>
      <c r="AA107" s="16">
        <f t="shared" si="85"/>
        <v>53.58208369317736</v>
      </c>
      <c r="AC107">
        <v>46</v>
      </c>
      <c r="AD107">
        <f t="shared" si="99"/>
        <v>24.48</v>
      </c>
      <c r="AE107" s="14">
        <f t="shared" si="86"/>
        <v>0.54400000000000004</v>
      </c>
      <c r="AF107" s="15">
        <f t="shared" si="87"/>
        <v>0.45599999999999996</v>
      </c>
      <c r="AG107" s="15">
        <f t="shared" si="88"/>
        <v>5.9377021276595752</v>
      </c>
      <c r="AH107" s="16">
        <f t="shared" si="89"/>
        <v>52.968851063829788</v>
      </c>
      <c r="AI107" s="14">
        <f t="shared" si="90"/>
        <v>0.48960000000000004</v>
      </c>
      <c r="AJ107" s="15">
        <f t="shared" si="91"/>
        <v>0.51039999999999996</v>
      </c>
      <c r="AK107" s="15">
        <f t="shared" si="92"/>
        <v>6.6460595744680857</v>
      </c>
      <c r="AL107" s="16">
        <f t="shared" si="93"/>
        <v>53.323029787234042</v>
      </c>
      <c r="AM107" s="14">
        <f t="shared" si="94"/>
        <v>0.44509090909090909</v>
      </c>
      <c r="AN107" s="15">
        <f t="shared" si="95"/>
        <v>0.55490909090909091</v>
      </c>
      <c r="AO107" s="15">
        <f t="shared" si="96"/>
        <v>7.225624758220504</v>
      </c>
      <c r="AP107" s="16">
        <f t="shared" si="97"/>
        <v>53.612812379110252</v>
      </c>
    </row>
    <row r="108" spans="1:42" ht="15">
      <c r="A108" s="1" t="s">
        <v>179</v>
      </c>
      <c r="B108" s="63">
        <f>IF(B104=0,Constants!C13*Calculations!B103*1000,((B103*1000)+(B107*1000)*(1+(B103/B101)))*Constants!C13)</f>
        <v>2.165</v>
      </c>
      <c r="C108" s="67" t="s">
        <v>1</v>
      </c>
      <c r="N108">
        <v>47</v>
      </c>
      <c r="O108">
        <f t="shared" si="98"/>
        <v>54.4</v>
      </c>
      <c r="P108" s="14">
        <f t="shared" si="74"/>
        <v>0.34007352941176472</v>
      </c>
      <c r="Q108" s="15">
        <f t="shared" si="75"/>
        <v>0.65992647058823528</v>
      </c>
      <c r="R108" s="15">
        <f t="shared" si="76"/>
        <v>6.4939572903629532</v>
      </c>
      <c r="S108" s="16">
        <f t="shared" si="77"/>
        <v>53.246978645181478</v>
      </c>
      <c r="T108" s="14">
        <f t="shared" si="78"/>
        <v>0.36764705882352944</v>
      </c>
      <c r="U108" s="15">
        <f t="shared" si="79"/>
        <v>0.63235294117647056</v>
      </c>
      <c r="V108" s="15">
        <f t="shared" si="80"/>
        <v>6.7271589486858572</v>
      </c>
      <c r="W108" s="16">
        <f t="shared" si="81"/>
        <v>53.363579474342927</v>
      </c>
      <c r="X108" s="14">
        <f t="shared" si="82"/>
        <v>0.4595588235294118</v>
      </c>
      <c r="Y108" s="15">
        <f t="shared" si="83"/>
        <v>0.5404411764705882</v>
      </c>
      <c r="Z108" s="15">
        <f t="shared" si="84"/>
        <v>7.1867177722152693</v>
      </c>
      <c r="AA108" s="16">
        <f t="shared" si="85"/>
        <v>53.593358886107637</v>
      </c>
      <c r="AC108">
        <v>47</v>
      </c>
      <c r="AD108">
        <f t="shared" si="99"/>
        <v>24.61</v>
      </c>
      <c r="AE108" s="14">
        <f t="shared" si="86"/>
        <v>0.54688888888888887</v>
      </c>
      <c r="AF108" s="15">
        <f t="shared" si="87"/>
        <v>0.45311111111111113</v>
      </c>
      <c r="AG108" s="15">
        <f t="shared" si="88"/>
        <v>5.9314172576832149</v>
      </c>
      <c r="AH108" s="16">
        <f t="shared" si="89"/>
        <v>52.965708628841611</v>
      </c>
      <c r="AI108" s="14">
        <f t="shared" si="90"/>
        <v>0.49219999999999997</v>
      </c>
      <c r="AJ108" s="15">
        <f t="shared" si="91"/>
        <v>0.50780000000000003</v>
      </c>
      <c r="AK108" s="15">
        <f t="shared" si="92"/>
        <v>6.6473180851063827</v>
      </c>
      <c r="AL108" s="16">
        <f t="shared" si="93"/>
        <v>53.323659042553189</v>
      </c>
      <c r="AM108" s="14">
        <f t="shared" si="94"/>
        <v>0.44745454545454544</v>
      </c>
      <c r="AN108" s="15">
        <f t="shared" si="95"/>
        <v>0.55254545454545456</v>
      </c>
      <c r="AO108" s="15">
        <f t="shared" si="96"/>
        <v>7.2330551257253388</v>
      </c>
      <c r="AP108" s="16">
        <f t="shared" si="97"/>
        <v>53.616527562862672</v>
      </c>
    </row>
    <row r="109" spans="1:42" ht="15">
      <c r="A109" s="1" t="s">
        <v>245</v>
      </c>
      <c r="B109" s="53">
        <f>Constants!C11*((Calculations!B101+Calculations!B103)/Calculations!B101)</f>
        <v>24.15</v>
      </c>
      <c r="C109" s="67" t="s">
        <v>1</v>
      </c>
      <c r="N109">
        <v>48</v>
      </c>
      <c r="O109">
        <f t="shared" si="98"/>
        <v>54.6</v>
      </c>
      <c r="P109" s="14">
        <f t="shared" si="74"/>
        <v>0.33882783882783885</v>
      </c>
      <c r="Q109" s="15">
        <f t="shared" si="75"/>
        <v>0.66117216117216115</v>
      </c>
      <c r="R109" s="15">
        <f t="shared" si="76"/>
        <v>6.5062154157898853</v>
      </c>
      <c r="S109" s="16">
        <f t="shared" si="77"/>
        <v>53.253107707894941</v>
      </c>
      <c r="T109" s="14">
        <f t="shared" si="78"/>
        <v>0.36630036630036628</v>
      </c>
      <c r="U109" s="15">
        <f t="shared" si="79"/>
        <v>0.63369963369963367</v>
      </c>
      <c r="V109" s="15">
        <f t="shared" si="80"/>
        <v>6.7414854648897204</v>
      </c>
      <c r="W109" s="16">
        <f t="shared" si="81"/>
        <v>53.37074273244486</v>
      </c>
      <c r="X109" s="14">
        <f t="shared" si="82"/>
        <v>0.45787545787545786</v>
      </c>
      <c r="Y109" s="15">
        <f t="shared" si="83"/>
        <v>0.5421245421245422</v>
      </c>
      <c r="Z109" s="15">
        <f t="shared" si="84"/>
        <v>7.2091029537838054</v>
      </c>
      <c r="AA109" s="16">
        <f t="shared" si="85"/>
        <v>53.604551476891899</v>
      </c>
      <c r="AC109">
        <v>48</v>
      </c>
      <c r="AD109">
        <f t="shared" si="99"/>
        <v>24.740000000000002</v>
      </c>
      <c r="AE109" s="14">
        <f t="shared" si="86"/>
        <v>0.54977777777777781</v>
      </c>
      <c r="AF109" s="15">
        <f t="shared" si="87"/>
        <v>0.45022222222222219</v>
      </c>
      <c r="AG109" s="15">
        <f t="shared" si="88"/>
        <v>5.9247328605200948</v>
      </c>
      <c r="AH109" s="16">
        <f t="shared" si="89"/>
        <v>52.962366430260047</v>
      </c>
      <c r="AI109" s="14">
        <f t="shared" si="90"/>
        <v>0.49480000000000002</v>
      </c>
      <c r="AJ109" s="15">
        <f t="shared" si="91"/>
        <v>0.50519999999999998</v>
      </c>
      <c r="AK109" s="15">
        <f t="shared" si="92"/>
        <v>6.6482170212765963</v>
      </c>
      <c r="AL109" s="16">
        <f t="shared" si="93"/>
        <v>53.324108510638297</v>
      </c>
      <c r="AM109" s="14">
        <f t="shared" si="94"/>
        <v>0.44981818181818184</v>
      </c>
      <c r="AN109" s="15">
        <f t="shared" si="95"/>
        <v>0.55018181818181811</v>
      </c>
      <c r="AO109" s="15">
        <f t="shared" si="96"/>
        <v>7.2401586073500974</v>
      </c>
      <c r="AP109" s="16">
        <f t="shared" si="97"/>
        <v>53.620079303675048</v>
      </c>
    </row>
    <row r="110" spans="1:42" ht="15">
      <c r="A110" s="1" t="s">
        <v>246</v>
      </c>
      <c r="B110" s="62">
        <f>B109-B108</f>
        <v>21.984999999999999</v>
      </c>
      <c r="C110" s="68" t="s">
        <v>1</v>
      </c>
      <c r="N110">
        <v>49</v>
      </c>
      <c r="O110">
        <f t="shared" si="98"/>
        <v>54.8</v>
      </c>
      <c r="P110" s="14">
        <f t="shared" si="74"/>
        <v>0.33759124087591241</v>
      </c>
      <c r="Q110" s="15">
        <f t="shared" si="75"/>
        <v>0.66240875912408759</v>
      </c>
      <c r="R110" s="15">
        <f t="shared" si="76"/>
        <v>6.5183840658487346</v>
      </c>
      <c r="S110" s="16">
        <f t="shared" si="77"/>
        <v>53.259192032924368</v>
      </c>
      <c r="T110" s="14">
        <f t="shared" si="78"/>
        <v>0.36496350364963503</v>
      </c>
      <c r="U110" s="15">
        <f t="shared" si="79"/>
        <v>0.63503649635036497</v>
      </c>
      <c r="V110" s="15">
        <f t="shared" si="80"/>
        <v>6.7557074079826052</v>
      </c>
      <c r="W110" s="16">
        <f t="shared" si="81"/>
        <v>53.377853703991306</v>
      </c>
      <c r="X110" s="14">
        <f t="shared" si="82"/>
        <v>0.45620437956204379</v>
      </c>
      <c r="Y110" s="15">
        <f t="shared" si="83"/>
        <v>0.54379562043795615</v>
      </c>
      <c r="Z110" s="15">
        <f t="shared" si="84"/>
        <v>7.2313247398664382</v>
      </c>
      <c r="AA110" s="16">
        <f t="shared" si="85"/>
        <v>53.615662369933219</v>
      </c>
      <c r="AC110">
        <v>49</v>
      </c>
      <c r="AD110">
        <f t="shared" si="99"/>
        <v>24.87</v>
      </c>
      <c r="AE110" s="14">
        <f t="shared" si="86"/>
        <v>0.55266666666666664</v>
      </c>
      <c r="AF110" s="15">
        <f t="shared" si="87"/>
        <v>0.44733333333333336</v>
      </c>
      <c r="AG110" s="15">
        <f t="shared" si="88"/>
        <v>5.9176489361702123</v>
      </c>
      <c r="AH110" s="16">
        <f t="shared" si="89"/>
        <v>52.958824468085105</v>
      </c>
      <c r="AI110" s="14">
        <f t="shared" si="90"/>
        <v>0.49740000000000001</v>
      </c>
      <c r="AJ110" s="15">
        <f t="shared" si="91"/>
        <v>0.50259999999999994</v>
      </c>
      <c r="AK110" s="15">
        <f t="shared" si="92"/>
        <v>6.648756382978724</v>
      </c>
      <c r="AL110" s="16">
        <f t="shared" si="93"/>
        <v>53.324378191489359</v>
      </c>
      <c r="AM110" s="14">
        <f t="shared" si="94"/>
        <v>0.45218181818181818</v>
      </c>
      <c r="AN110" s="15">
        <f t="shared" si="95"/>
        <v>0.54781818181818176</v>
      </c>
      <c r="AO110" s="15">
        <f t="shared" si="96"/>
        <v>7.246935203094778</v>
      </c>
      <c r="AP110" s="16">
        <f t="shared" si="97"/>
        <v>53.623467601547389</v>
      </c>
    </row>
    <row r="111" spans="1:42" ht="15">
      <c r="A111" s="1" t="s">
        <v>178</v>
      </c>
      <c r="B111" s="53">
        <f>Constants!C12*(Calculations!B101+Calculations!B103)/Calculations!B101</f>
        <v>12.074999999999999</v>
      </c>
      <c r="C111" s="67" t="s">
        <v>1</v>
      </c>
      <c r="N111">
        <v>50</v>
      </c>
      <c r="O111">
        <f t="shared" si="98"/>
        <v>55</v>
      </c>
      <c r="P111" s="14">
        <f t="shared" si="74"/>
        <v>0.33636363636363636</v>
      </c>
      <c r="Q111" s="15">
        <f t="shared" si="75"/>
        <v>0.66363636363636358</v>
      </c>
      <c r="R111" s="15">
        <f t="shared" si="76"/>
        <v>6.5304642166344307</v>
      </c>
      <c r="S111" s="16">
        <f t="shared" si="77"/>
        <v>53.265232108317214</v>
      </c>
      <c r="T111" s="14">
        <f t="shared" si="78"/>
        <v>0.36363636363636365</v>
      </c>
      <c r="U111" s="15">
        <f t="shared" si="79"/>
        <v>0.63636363636363635</v>
      </c>
      <c r="V111" s="15">
        <f t="shared" si="80"/>
        <v>6.7698259187620895</v>
      </c>
      <c r="W111" s="16">
        <f t="shared" si="81"/>
        <v>53.384912959381047</v>
      </c>
      <c r="X111" s="14">
        <f t="shared" si="82"/>
        <v>0.45454545454545453</v>
      </c>
      <c r="Y111" s="15">
        <f t="shared" si="83"/>
        <v>0.54545454545454541</v>
      </c>
      <c r="Z111" s="15">
        <f t="shared" si="84"/>
        <v>7.2533849129593815</v>
      </c>
      <c r="AA111" s="16">
        <f t="shared" si="85"/>
        <v>53.626692456479688</v>
      </c>
      <c r="AC111">
        <v>50</v>
      </c>
      <c r="AD111">
        <f t="shared" si="99"/>
        <v>25</v>
      </c>
      <c r="AE111" s="14">
        <f t="shared" si="86"/>
        <v>0.55555555555555558</v>
      </c>
      <c r="AF111" s="15">
        <f t="shared" si="87"/>
        <v>0.44444444444444442</v>
      </c>
      <c r="AG111" s="15">
        <f t="shared" si="88"/>
        <v>5.9101654846335707</v>
      </c>
      <c r="AH111" s="16">
        <f t="shared" si="89"/>
        <v>52.955082742316783</v>
      </c>
      <c r="AI111" s="14">
        <f t="shared" si="90"/>
        <v>0.5</v>
      </c>
      <c r="AJ111" s="15">
        <f t="shared" si="91"/>
        <v>0.5</v>
      </c>
      <c r="AK111" s="15">
        <f t="shared" si="92"/>
        <v>6.6489361702127656</v>
      </c>
      <c r="AL111" s="16">
        <f t="shared" si="93"/>
        <v>53.324468085106382</v>
      </c>
      <c r="AM111" s="14">
        <f t="shared" si="94"/>
        <v>0.45454545454545453</v>
      </c>
      <c r="AN111" s="15">
        <f t="shared" si="95"/>
        <v>0.54545454545454541</v>
      </c>
      <c r="AO111" s="15">
        <f t="shared" si="96"/>
        <v>7.2533849129593815</v>
      </c>
      <c r="AP111" s="16">
        <f t="shared" si="97"/>
        <v>53.626692456479688</v>
      </c>
    </row>
    <row r="114" spans="1:28" ht="15.75" customHeight="1">
      <c r="A114" s="40" t="s">
        <v>184</v>
      </c>
    </row>
    <row r="115" spans="1:28">
      <c r="A115" s="31" t="s">
        <v>211</v>
      </c>
      <c r="B115" s="49">
        <f>Design_Converter!B110</f>
        <v>3.3</v>
      </c>
      <c r="C115" s="31" t="s">
        <v>1</v>
      </c>
      <c r="D115" s="34">
        <f>IF(B115&gt;Constants!C48,1,0)</f>
        <v>0</v>
      </c>
      <c r="E115" s="34" t="s">
        <v>188</v>
      </c>
    </row>
    <row r="116" spans="1:28" ht="15">
      <c r="A116" s="31" t="s">
        <v>212</v>
      </c>
      <c r="B116" s="54">
        <f>(B115/((Constants!C6/Constants!C16)+(Constants!C15)))/1000</f>
        <v>11.999999999999998</v>
      </c>
      <c r="C116" s="67" t="s">
        <v>104</v>
      </c>
    </row>
    <row r="117" spans="1:28" s="21" customFormat="1" ht="15">
      <c r="A117" s="31" t="s">
        <v>186</v>
      </c>
      <c r="B117" s="59">
        <f>Design_Converter!B112</f>
        <v>12</v>
      </c>
      <c r="C117" s="67" t="s">
        <v>104</v>
      </c>
      <c r="D117" s="34"/>
      <c r="E117" s="34"/>
      <c r="F117"/>
      <c r="G117"/>
      <c r="H117"/>
      <c r="AB117"/>
    </row>
    <row r="118" spans="1:28">
      <c r="A118" s="31" t="s">
        <v>213</v>
      </c>
      <c r="B118" s="50">
        <f>((Constants!C6/Constants!C16)+(Constants!C15))*B117*1000</f>
        <v>3.3</v>
      </c>
      <c r="C118" s="31" t="s">
        <v>1</v>
      </c>
      <c r="D118" s="34">
        <f>IF(B118&gt;Constants!C48,1,0)</f>
        <v>0</v>
      </c>
      <c r="E118" s="34" t="s">
        <v>188</v>
      </c>
    </row>
    <row r="119" spans="1:28">
      <c r="A119" s="31" t="s">
        <v>214</v>
      </c>
      <c r="B119" s="50">
        <f>(Constants!C15)*B117*1000</f>
        <v>0.3</v>
      </c>
      <c r="C119" s="31" t="s">
        <v>1</v>
      </c>
    </row>
    <row r="120" spans="1:28">
      <c r="A120" s="31" t="s">
        <v>215</v>
      </c>
      <c r="B120" s="54">
        <f>((100*10^-6)/(B117*1000))*(10^9)</f>
        <v>8.3333333333333321</v>
      </c>
      <c r="C120" s="31" t="s">
        <v>40</v>
      </c>
      <c r="E120" s="34" t="s">
        <v>217</v>
      </c>
    </row>
    <row r="121" spans="1:28">
      <c r="A121" s="31" t="s">
        <v>216</v>
      </c>
      <c r="B121" s="49">
        <f>Design_Converter!B116</f>
        <v>8.1999999999999993</v>
      </c>
      <c r="C121" s="31" t="s">
        <v>40</v>
      </c>
    </row>
    <row r="122" spans="1:28">
      <c r="A122" s="31" t="s">
        <v>218</v>
      </c>
      <c r="B122" s="57">
        <f>(1/(2*PI()*B117*1000*(B121*10^-9)))*(1/1000)</f>
        <v>1.6174282834542213</v>
      </c>
      <c r="C122" s="31" t="s">
        <v>3</v>
      </c>
    </row>
    <row r="123" spans="1:28">
      <c r="A123" s="31" t="s">
        <v>219</v>
      </c>
      <c r="B123" s="54">
        <f>((B64*Rcs/(Constants!C16))*(B117*1000)*(10^(-(LOG10(Fsw/(B122*1000))))))*1000</f>
        <v>1.6424561872600889</v>
      </c>
      <c r="C123" s="31" t="s">
        <v>72</v>
      </c>
    </row>
    <row r="126" spans="1:28">
      <c r="A126" s="34" t="s">
        <v>223</v>
      </c>
    </row>
    <row r="127" spans="1:28">
      <c r="A127" s="31" t="s">
        <v>227</v>
      </c>
      <c r="B127" s="49">
        <f>IF(Design_Converter!B123=Lists!G2,0,1)</f>
        <v>1</v>
      </c>
      <c r="C127" s="31"/>
      <c r="E127" s="34" t="s">
        <v>228</v>
      </c>
    </row>
    <row r="128" spans="1:28">
      <c r="A128" s="31" t="s">
        <v>229</v>
      </c>
      <c r="B128" s="49">
        <f>Design_Converter!B124*(10^-9)</f>
        <v>5.5000000000000003E-8</v>
      </c>
      <c r="C128" s="31" t="s">
        <v>23</v>
      </c>
      <c r="D128" s="34">
        <f>IF(B128&lt;Constants!C31,1,IF(B128&gt;Constants!C32,1,0))</f>
        <v>0</v>
      </c>
      <c r="E128" s="34" t="s">
        <v>247</v>
      </c>
    </row>
    <row r="129" spans="1:8" ht="15">
      <c r="A129" s="31" t="s">
        <v>231</v>
      </c>
      <c r="B129" s="53">
        <f>(B128-Constants!C27)/(Constants!C26*1000)</f>
        <v>9.75</v>
      </c>
      <c r="C129" s="67" t="s">
        <v>104</v>
      </c>
    </row>
    <row r="130" spans="1:8" ht="15">
      <c r="A130" s="31" t="s">
        <v>232</v>
      </c>
      <c r="B130" s="49">
        <f>Design_Converter!B126</f>
        <v>10</v>
      </c>
      <c r="C130" s="67" t="s">
        <v>104</v>
      </c>
    </row>
    <row r="131" spans="1:8">
      <c r="A131" s="31" t="s">
        <v>233</v>
      </c>
      <c r="B131" s="53">
        <f>IF(B127=1,(((B130*1000)*Constants!C26)+Constants!C27)*(10^9),(Constants!C29*(10^9)))</f>
        <v>56</v>
      </c>
      <c r="C131" s="31" t="s">
        <v>97</v>
      </c>
    </row>
    <row r="132" spans="1:8">
      <c r="A132" s="31" t="s">
        <v>234</v>
      </c>
      <c r="B132" s="53">
        <f>IF(B127=1,(((B130*1000)*Constants!C26)+Constants!C27)*(10^9),(Constants!C30*(10^9)))</f>
        <v>56</v>
      </c>
      <c r="C132" s="31" t="s">
        <v>97</v>
      </c>
    </row>
    <row r="133" spans="1:8">
      <c r="H133" s="21"/>
    </row>
    <row r="134" spans="1:8">
      <c r="A134" s="47" t="s">
        <v>252</v>
      </c>
      <c r="B134" s="47"/>
      <c r="C134" s="47"/>
    </row>
    <row r="135" spans="1:8">
      <c r="A135" s="31" t="s">
        <v>250</v>
      </c>
      <c r="B135" s="49">
        <f>Design_Converter!B134</f>
        <v>25</v>
      </c>
      <c r="C135" s="31" t="s">
        <v>251</v>
      </c>
    </row>
    <row r="136" spans="1:8">
      <c r="A136" s="31" t="s">
        <v>254</v>
      </c>
      <c r="B136" s="63">
        <f>1/(Ramp_C*Ramp_R*Fsw)</f>
        <v>0.10416666666666667</v>
      </c>
      <c r="C136" s="31" t="s">
        <v>255</v>
      </c>
    </row>
    <row r="137" spans="1:8">
      <c r="A137" s="31" t="s">
        <v>253</v>
      </c>
      <c r="B137" s="63">
        <f>(Rcs+(B135/1000))/(2*PI()*Lm*1000)</f>
        <v>0.88043160008282539</v>
      </c>
      <c r="C137" s="31" t="s">
        <v>3</v>
      </c>
    </row>
    <row r="138" spans="1:8">
      <c r="A138" s="31" t="s">
        <v>256</v>
      </c>
      <c r="B138" s="60">
        <f>1/(B136*(Rcs+(B135/1000)))</f>
        <v>369.23076923076917</v>
      </c>
      <c r="C138" s="31" t="s">
        <v>42</v>
      </c>
    </row>
    <row r="139" spans="1:8">
      <c r="A139" s="31" t="s">
        <v>257</v>
      </c>
      <c r="B139" s="53">
        <f>Fsw/10</f>
        <v>40000</v>
      </c>
      <c r="C139" s="31" t="s">
        <v>87</v>
      </c>
    </row>
    <row r="140" spans="1:8">
      <c r="A140" s="31" t="s">
        <v>258</v>
      </c>
      <c r="B140" s="49">
        <f>Design_Converter!B137*1000</f>
        <v>10000</v>
      </c>
      <c r="C140" s="31" t="s">
        <v>87</v>
      </c>
    </row>
    <row r="141" spans="1:8">
      <c r="A141" s="31" t="s">
        <v>265</v>
      </c>
      <c r="B141" s="60">
        <f>B137*1000</f>
        <v>880.43160008282541</v>
      </c>
      <c r="C141" s="31" t="s">
        <v>87</v>
      </c>
    </row>
    <row r="142" spans="1:8">
      <c r="A142" s="31" t="s">
        <v>266</v>
      </c>
      <c r="B142" s="53">
        <f>IF(B140*100&gt;=Fsw/2,Fsw/2,B140*100)</f>
        <v>200000</v>
      </c>
      <c r="C142" s="31" t="s">
        <v>87</v>
      </c>
    </row>
    <row r="143" spans="1:8" ht="15">
      <c r="A143" s="31" t="s">
        <v>259</v>
      </c>
      <c r="B143" s="63">
        <f>((B136/(Rcs*gm*Acs))*IMABS(COMPLEX(Rcs+(B135/1000),2*PI()*B140*Lm)))/1000</f>
        <v>0.61760846047597262</v>
      </c>
      <c r="C143" s="67" t="s">
        <v>104</v>
      </c>
    </row>
    <row r="144" spans="1:8" ht="15">
      <c r="A144" s="31" t="s">
        <v>260</v>
      </c>
      <c r="B144" s="49">
        <f>Design_Converter!B139</f>
        <v>0.63400000000000001</v>
      </c>
      <c r="C144" s="67" t="s">
        <v>104</v>
      </c>
    </row>
    <row r="145" spans="1:7">
      <c r="A145" s="31" t="s">
        <v>261</v>
      </c>
      <c r="B145" s="60">
        <f>(Lm/((Rcs+(B135/1000))*(B143*1000)))*(10^9)</f>
        <v>292.69228376489087</v>
      </c>
      <c r="C145" s="31" t="s">
        <v>40</v>
      </c>
    </row>
    <row r="146" spans="1:7">
      <c r="A146" s="31" t="s">
        <v>262</v>
      </c>
      <c r="B146" s="49">
        <f>Design_Converter!B141</f>
        <v>680</v>
      </c>
      <c r="C146" s="31" t="s">
        <v>40</v>
      </c>
    </row>
    <row r="147" spans="1:7" ht="15">
      <c r="A147" s="31" t="s">
        <v>263</v>
      </c>
      <c r="B147" s="70">
        <f>B145/100</f>
        <v>2.9269228376489087</v>
      </c>
      <c r="C147" s="69" t="s">
        <v>40</v>
      </c>
      <c r="D147" s="35"/>
      <c r="E147" s="66" t="s">
        <v>267</v>
      </c>
      <c r="F147" s="21"/>
      <c r="G147" s="21"/>
    </row>
    <row r="148" spans="1:7">
      <c r="A148" s="31" t="s">
        <v>264</v>
      </c>
      <c r="B148" s="49">
        <f>Design_Converter!B143</f>
        <v>4.7</v>
      </c>
      <c r="C148" s="31" t="s">
        <v>40</v>
      </c>
    </row>
    <row r="149" spans="1:7">
      <c r="A149" s="31" t="s">
        <v>268</v>
      </c>
      <c r="B149" s="63">
        <f>(1/(2*PI()*B144*1000*B146*(10^-9)))/1000</f>
        <v>0.36916622539407895</v>
      </c>
      <c r="C149" s="31" t="s">
        <v>3</v>
      </c>
    </row>
    <row r="150" spans="1:7">
      <c r="A150" s="31" t="s">
        <v>269</v>
      </c>
      <c r="B150" s="60">
        <f>(1/(2*PI()*B144*1000*B148*(10^-9)))/1000</f>
        <v>53.411283674036959</v>
      </c>
      <c r="C150" s="31" t="s">
        <v>3</v>
      </c>
    </row>
    <row r="151" spans="1:7">
      <c r="A151" s="34" t="s">
        <v>278</v>
      </c>
      <c r="E151" s="34" t="s">
        <v>280</v>
      </c>
    </row>
    <row r="152" spans="1:7">
      <c r="A152" s="34" t="s">
        <v>279</v>
      </c>
      <c r="E152" s="34" t="s">
        <v>280</v>
      </c>
    </row>
    <row r="156" spans="1:7">
      <c r="A156" s="34" t="s">
        <v>399</v>
      </c>
    </row>
    <row r="157" spans="1:7">
      <c r="A157" s="31" t="s">
        <v>433</v>
      </c>
      <c r="B157" s="49">
        <f>Design_Converter!B152</f>
        <v>2</v>
      </c>
      <c r="C157" s="31" t="s">
        <v>1</v>
      </c>
    </row>
    <row r="158" spans="1:7">
      <c r="A158" s="31" t="s">
        <v>419</v>
      </c>
      <c r="B158" s="49">
        <f>Design_Converter!B153*1000</f>
        <v>4420</v>
      </c>
      <c r="C158" s="31" t="s">
        <v>56</v>
      </c>
    </row>
    <row r="159" spans="1:7">
      <c r="A159" s="31" t="s">
        <v>434</v>
      </c>
      <c r="B159" s="53">
        <f>(B158*V12_Nom/B157)-B158</f>
        <v>39780</v>
      </c>
      <c r="C159" s="31" t="s">
        <v>56</v>
      </c>
    </row>
    <row r="160" spans="1:7">
      <c r="A160" s="31" t="s">
        <v>418</v>
      </c>
      <c r="B160" s="49">
        <f>Design_Converter!B155*1000</f>
        <v>26700</v>
      </c>
      <c r="C160" s="31" t="s">
        <v>56</v>
      </c>
    </row>
    <row r="161" spans="1:5">
      <c r="A161" s="31" t="s">
        <v>410</v>
      </c>
      <c r="B161" s="63">
        <f>V12_Nom/(I_Channel_Design*np)</f>
        <v>0.44444444444444442</v>
      </c>
      <c r="C161" s="31" t="s">
        <v>56</v>
      </c>
    </row>
    <row r="162" spans="1:5">
      <c r="A162" s="31" t="s">
        <v>411</v>
      </c>
      <c r="B162" s="60">
        <f>1/(2*PI()*Zo_Buck_Cout*B161)</f>
        <v>484.70306166318966</v>
      </c>
      <c r="C162" s="31" t="s">
        <v>87</v>
      </c>
      <c r="E162" s="34" t="s">
        <v>437</v>
      </c>
    </row>
    <row r="163" spans="1:5">
      <c r="A163" s="31" t="s">
        <v>438</v>
      </c>
      <c r="B163" s="103">
        <f>1/(2*PI()*Zo_Buck_Resr*Zo_Buck_Cout)</f>
        <v>1923.4248478698005</v>
      </c>
      <c r="C163" s="31" t="s">
        <v>87</v>
      </c>
      <c r="E163" s="34" t="s">
        <v>441</v>
      </c>
    </row>
    <row r="164" spans="1:5">
      <c r="A164" s="31" t="s">
        <v>439</v>
      </c>
      <c r="B164" s="53">
        <f>B140/10</f>
        <v>1000</v>
      </c>
      <c r="C164" s="31" t="s">
        <v>87</v>
      </c>
      <c r="E164" s="34" t="s">
        <v>442</v>
      </c>
    </row>
    <row r="165" spans="1:5">
      <c r="A165" s="31" t="s">
        <v>440</v>
      </c>
      <c r="B165" s="53">
        <f>Design_Converter!B157*1000</f>
        <v>1000</v>
      </c>
      <c r="C165" s="31" t="s">
        <v>87</v>
      </c>
    </row>
    <row r="166" spans="1:5">
      <c r="A166" s="32" t="s">
        <v>404</v>
      </c>
      <c r="B166" s="53"/>
      <c r="C166" s="31"/>
    </row>
    <row r="167" spans="1:5">
      <c r="A167" s="31" t="s">
        <v>408</v>
      </c>
      <c r="B167" s="63">
        <f>10^(Compensation!S134/20)</f>
        <v>3.535081860503023</v>
      </c>
      <c r="C167" s="31" t="s">
        <v>42</v>
      </c>
    </row>
    <row r="168" spans="1:5">
      <c r="A168" s="31" t="s">
        <v>414</v>
      </c>
      <c r="B168" s="60">
        <f>B162</f>
        <v>484.70306166318966</v>
      </c>
      <c r="C168" s="31" t="s">
        <v>87</v>
      </c>
    </row>
    <row r="169" spans="1:5">
      <c r="A169" s="31" t="s">
        <v>417</v>
      </c>
      <c r="B169" s="103">
        <f>IF(B163&gt;(Fsw/2),Fsw/2,B163)</f>
        <v>1923.4248478698005</v>
      </c>
      <c r="C169" s="31" t="s">
        <v>87</v>
      </c>
    </row>
    <row r="170" spans="1:5">
      <c r="A170" s="31" t="s">
        <v>413</v>
      </c>
      <c r="B170" s="63">
        <f>((B160*B165)/(B168*B167))*SQRT(((1+((B165^2)/(B169^2)))/(1+((B165^2)/(B168^2)))))</f>
        <v>7660.2491838980441</v>
      </c>
      <c r="C170" s="104" t="s">
        <v>56</v>
      </c>
    </row>
    <row r="171" spans="1:5">
      <c r="A171" s="31" t="s">
        <v>420</v>
      </c>
      <c r="B171" s="105">
        <f>Design_Converter!B159*1000</f>
        <v>6200</v>
      </c>
      <c r="C171" s="31" t="s">
        <v>56</v>
      </c>
    </row>
    <row r="172" spans="1:5">
      <c r="A172" s="31" t="s">
        <v>422</v>
      </c>
      <c r="B172" s="53">
        <f>1/(2*PI()*B168*B170)</f>
        <v>4.2864866099364466E-8</v>
      </c>
      <c r="C172" s="31" t="s">
        <v>425</v>
      </c>
    </row>
    <row r="173" spans="1:5">
      <c r="A173" s="31" t="s">
        <v>421</v>
      </c>
      <c r="B173" s="49">
        <f>Design_Converter!B161*(10^-9)</f>
        <v>3.3000000000000004E-8</v>
      </c>
      <c r="C173" s="31" t="s">
        <v>425</v>
      </c>
    </row>
    <row r="174" spans="1:5">
      <c r="A174" s="31" t="s">
        <v>423</v>
      </c>
      <c r="B174" s="53">
        <f>1/(2*PI()*B169*B170)</f>
        <v>1.0801946257039843E-8</v>
      </c>
      <c r="C174" s="31"/>
    </row>
    <row r="175" spans="1:5">
      <c r="A175" s="31" t="s">
        <v>424</v>
      </c>
      <c r="B175" s="49">
        <f>Design_Converter!B163*(10^-9)</f>
        <v>6E-10</v>
      </c>
      <c r="C175" s="31"/>
    </row>
    <row r="176" spans="1:5">
      <c r="A176" s="31" t="s">
        <v>435</v>
      </c>
      <c r="B176" s="63">
        <f>1/(2*PI()*B171*B173)/1000</f>
        <v>0.77788339732109146</v>
      </c>
      <c r="C176" s="31" t="s">
        <v>3</v>
      </c>
    </row>
    <row r="177" spans="1:5">
      <c r="A177" s="31" t="s">
        <v>436</v>
      </c>
      <c r="B177" s="63">
        <f>1/(2*PI()*B171*B175)/1000</f>
        <v>42.783586852660036</v>
      </c>
      <c r="C177" s="31" t="s">
        <v>3</v>
      </c>
    </row>
    <row r="180" spans="1:5">
      <c r="A180" s="34" t="s">
        <v>396</v>
      </c>
    </row>
    <row r="181" spans="1:5">
      <c r="A181" s="31" t="s">
        <v>433</v>
      </c>
      <c r="B181" s="49">
        <f>Design_Converter!B171</f>
        <v>2</v>
      </c>
      <c r="C181" s="31" t="s">
        <v>1</v>
      </c>
    </row>
    <row r="182" spans="1:5">
      <c r="A182" s="31" t="s">
        <v>419</v>
      </c>
      <c r="B182" s="49">
        <f>Design_Converter!B172*1000</f>
        <v>2100</v>
      </c>
      <c r="C182" s="31" t="s">
        <v>56</v>
      </c>
    </row>
    <row r="183" spans="1:5">
      <c r="A183" s="31" t="s">
        <v>434</v>
      </c>
      <c r="B183" s="53">
        <f>(B182*V48_Nom/B181)-B182</f>
        <v>50400</v>
      </c>
      <c r="C183" s="31" t="s">
        <v>56</v>
      </c>
    </row>
    <row r="184" spans="1:5">
      <c r="A184" s="31" t="s">
        <v>418</v>
      </c>
      <c r="B184" s="49">
        <f>Design_Converter!B174*1000</f>
        <v>49900</v>
      </c>
      <c r="C184" s="31" t="s">
        <v>56</v>
      </c>
    </row>
    <row r="185" spans="1:5">
      <c r="A185" s="31" t="s">
        <v>410</v>
      </c>
      <c r="B185" s="53">
        <f>(V48_Nom^2)/(V12_Min*I_Channel_Design*np)</f>
        <v>3.0030030030030028</v>
      </c>
      <c r="C185" s="31" t="s">
        <v>56</v>
      </c>
      <c r="E185" s="34" t="s">
        <v>406</v>
      </c>
    </row>
    <row r="186" spans="1:5">
      <c r="A186" s="31" t="s">
        <v>400</v>
      </c>
      <c r="B186" s="103">
        <f>2/(((V48_Nom^2)/(V12_Min*I_Channel_Design*np))*(2*PI()*Zo_Boost_Cout))</f>
        <v>166.40061554034898</v>
      </c>
      <c r="C186" s="31" t="s">
        <v>87</v>
      </c>
      <c r="E186" s="34" t="s">
        <v>405</v>
      </c>
    </row>
    <row r="187" spans="1:5">
      <c r="A187" s="31" t="s">
        <v>397</v>
      </c>
      <c r="B187" s="103">
        <f>(((V12_Min/V48_Nom)^2)*B185)/(2*PI()*(Lm/np))</f>
        <v>27842.708720567978</v>
      </c>
      <c r="C187" s="31" t="s">
        <v>87</v>
      </c>
      <c r="E187" s="34" t="s">
        <v>405</v>
      </c>
    </row>
    <row r="188" spans="1:5">
      <c r="A188" s="31" t="s">
        <v>402</v>
      </c>
      <c r="B188" s="63">
        <f>B187/5</f>
        <v>5568.541744113596</v>
      </c>
      <c r="C188" s="31" t="s">
        <v>87</v>
      </c>
      <c r="E188" s="34" t="s">
        <v>412</v>
      </c>
    </row>
    <row r="189" spans="1:5">
      <c r="A189" s="31" t="s">
        <v>401</v>
      </c>
      <c r="B189" s="49">
        <f>Design_Converter!B176*1000</f>
        <v>2000</v>
      </c>
      <c r="C189" s="31" t="s">
        <v>87</v>
      </c>
    </row>
    <row r="190" spans="1:5">
      <c r="A190" s="32" t="s">
        <v>404</v>
      </c>
      <c r="B190" s="32"/>
      <c r="C190" s="32"/>
    </row>
    <row r="191" spans="1:5">
      <c r="A191" s="31" t="s">
        <v>408</v>
      </c>
      <c r="B191" s="63">
        <f>10^(Compensation!S224/20)</f>
        <v>1.8575561701849865</v>
      </c>
      <c r="C191" s="31" t="s">
        <v>409</v>
      </c>
    </row>
    <row r="192" spans="1:5">
      <c r="A192" s="31" t="s">
        <v>414</v>
      </c>
      <c r="B192" s="63">
        <f>2/(2*PI()*B185*Zo_Boost_Cout)</f>
        <v>166.40061554034898</v>
      </c>
      <c r="C192" s="31" t="s">
        <v>416</v>
      </c>
    </row>
    <row r="193" spans="1:5">
      <c r="A193" s="31" t="s">
        <v>417</v>
      </c>
      <c r="B193" s="53">
        <f>Fsw/2</f>
        <v>200000</v>
      </c>
      <c r="C193" s="31" t="s">
        <v>403</v>
      </c>
      <c r="E193" s="34" t="s">
        <v>415</v>
      </c>
    </row>
    <row r="194" spans="1:5">
      <c r="A194" s="31" t="s">
        <v>413</v>
      </c>
      <c r="B194" s="63">
        <f>((B184*B189)/(B191*B192))*SQRT((1+((B189/B193)^2))/(1+((B189/B192)^2)))</f>
        <v>26772.093089664981</v>
      </c>
      <c r="C194" s="31" t="s">
        <v>56</v>
      </c>
    </row>
    <row r="195" spans="1:5">
      <c r="A195" s="31" t="s">
        <v>420</v>
      </c>
      <c r="B195" s="49">
        <f>Design_Converter!B178*1000</f>
        <v>49900</v>
      </c>
      <c r="C195" s="31" t="s">
        <v>56</v>
      </c>
    </row>
    <row r="196" spans="1:5">
      <c r="A196" s="31" t="s">
        <v>422</v>
      </c>
      <c r="B196" s="53">
        <f>1/(2*PI()*B194*B192)</f>
        <v>3.5725875195977267E-8</v>
      </c>
      <c r="C196" s="31" t="s">
        <v>425</v>
      </c>
    </row>
    <row r="197" spans="1:5">
      <c r="A197" s="31" t="s">
        <v>421</v>
      </c>
      <c r="B197" s="49">
        <f>Design_Converter!B180*(10^-9)</f>
        <v>4.7000000000000007E-9</v>
      </c>
      <c r="C197" s="31" t="s">
        <v>425</v>
      </c>
    </row>
    <row r="198" spans="1:5">
      <c r="A198" s="31" t="s">
        <v>423</v>
      </c>
      <c r="B198" s="53">
        <f>1/(2*PI()*B194*B193)</f>
        <v>2.9724038116641514E-11</v>
      </c>
      <c r="C198" s="31" t="s">
        <v>425</v>
      </c>
    </row>
    <row r="199" spans="1:5">
      <c r="A199" s="31" t="s">
        <v>424</v>
      </c>
      <c r="B199" s="49">
        <f>Design_Converter!B182*(10^-9)</f>
        <v>1.0000000000000002E-10</v>
      </c>
      <c r="C199" s="31" t="s">
        <v>425</v>
      </c>
    </row>
    <row r="200" spans="1:5">
      <c r="A200" s="31" t="s">
        <v>435</v>
      </c>
      <c r="B200" s="60">
        <f>1/(2*PI()*B195*B197)</f>
        <v>678.61230158996841</v>
      </c>
      <c r="C200" s="31" t="s">
        <v>87</v>
      </c>
    </row>
    <row r="201" spans="1:5">
      <c r="A201" s="31" t="s">
        <v>436</v>
      </c>
      <c r="B201" s="103">
        <f>1/(2*PI()*B195*B199)</f>
        <v>31894.778174728515</v>
      </c>
      <c r="C201" s="31" t="s">
        <v>87</v>
      </c>
    </row>
  </sheetData>
  <mergeCells count="13">
    <mergeCell ref="A14:C14"/>
    <mergeCell ref="A6:C6"/>
    <mergeCell ref="A10:C10"/>
    <mergeCell ref="A63:C63"/>
    <mergeCell ref="A40:C40"/>
    <mergeCell ref="A21:C21"/>
    <mergeCell ref="AD58:AO58"/>
    <mergeCell ref="AB4:AE4"/>
    <mergeCell ref="AF4:AI4"/>
    <mergeCell ref="AJ4:AM4"/>
    <mergeCell ref="P4:S4"/>
    <mergeCell ref="T4:W4"/>
    <mergeCell ref="X4:AA4"/>
  </mergeCells>
  <phoneticPr fontId="31"/>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baseColWidth="10" defaultColWidth="8.83203125" defaultRowHeight="14"/>
  <cols>
    <col min="1" max="1" width="27.5" customWidth="1"/>
    <col min="2" max="2" width="11.6640625" customWidth="1"/>
    <col min="3" max="3" width="12" customWidth="1"/>
    <col min="4" max="4" width="11.83203125" customWidth="1"/>
    <col min="7" max="7" width="10.5" customWidth="1"/>
    <col min="8" max="8" width="9.5" customWidth="1"/>
    <col min="10" max="10" width="17.5" customWidth="1"/>
    <col min="13" max="13" width="16.33203125" customWidth="1"/>
    <col min="14" max="14" width="16" bestFit="1" customWidth="1"/>
    <col min="15" max="15" width="13.83203125" customWidth="1"/>
    <col min="18" max="18" width="17.5" customWidth="1"/>
    <col min="21" max="21" width="12" customWidth="1"/>
    <col min="32" max="32" width="13.5" bestFit="1" customWidth="1"/>
  </cols>
  <sheetData>
    <row r="3" spans="2:30">
      <c r="B3" t="s">
        <v>270</v>
      </c>
    </row>
    <row r="4" spans="2:30">
      <c r="B4" t="s">
        <v>271</v>
      </c>
    </row>
    <row r="5" spans="2:30">
      <c r="B5" s="206" t="s">
        <v>33</v>
      </c>
      <c r="C5" s="206"/>
      <c r="D5" s="195" t="s">
        <v>272</v>
      </c>
      <c r="E5" s="195"/>
      <c r="F5" s="195"/>
      <c r="G5" s="195" t="s">
        <v>276</v>
      </c>
      <c r="H5" s="195"/>
      <c r="I5" s="195"/>
      <c r="J5" s="195" t="s">
        <v>277</v>
      </c>
      <c r="K5" s="195"/>
      <c r="L5" s="195"/>
    </row>
    <row r="6" spans="2:30">
      <c r="B6" s="206"/>
      <c r="C6" s="206"/>
      <c r="D6" s="195"/>
      <c r="E6" s="195"/>
      <c r="F6" s="195"/>
      <c r="G6" s="195"/>
      <c r="H6" s="195"/>
      <c r="I6" s="195"/>
      <c r="J6" s="195"/>
      <c r="K6" s="195"/>
      <c r="L6" s="195"/>
    </row>
    <row r="7" spans="2:30" s="2" customFormat="1" ht="30">
      <c r="B7" s="71" t="s">
        <v>35</v>
      </c>
      <c r="C7" s="71" t="s">
        <v>34</v>
      </c>
      <c r="D7" s="72" t="s">
        <v>273</v>
      </c>
      <c r="E7" s="72" t="s">
        <v>274</v>
      </c>
      <c r="F7" s="72" t="s">
        <v>275</v>
      </c>
      <c r="G7" s="72" t="s">
        <v>273</v>
      </c>
      <c r="H7" s="72" t="s">
        <v>274</v>
      </c>
      <c r="I7" s="72" t="s">
        <v>275</v>
      </c>
      <c r="J7" s="72" t="s">
        <v>273</v>
      </c>
      <c r="K7" s="72" t="s">
        <v>274</v>
      </c>
      <c r="L7" s="72" t="s">
        <v>275</v>
      </c>
    </row>
    <row r="8" spans="2:30">
      <c r="B8" s="1">
        <v>1</v>
      </c>
      <c r="C8" s="1">
        <f>2*PI()*B8</f>
        <v>6.2831853071795862</v>
      </c>
      <c r="D8" s="73" t="str">
        <f>IMPRODUCT(COMPLEX(1/(Calculations!$B$136*(Rcs+(Calculations!$B$135/1000))),0),IMDIV(COMPLEX(1,0),COMPLEX(1,(C8*Lm)/(Rcs+(Calculations!$B$135/1000)))))</f>
        <v>369.230292902802-0.419374194279338i</v>
      </c>
      <c r="E8" s="1">
        <f>20*LOG10(IMABS(D8))</f>
        <v>51.345952098734102</v>
      </c>
      <c r="F8" s="1">
        <f>IMARGUMENT(D8)*(180/PI())</f>
        <v>-6.5076895092640766E-2</v>
      </c>
      <c r="G8" s="1" t="str">
        <f t="shared" ref="G8:G39" si="0">IMPRODUCT(COMPLEX(-(gm*Acs*Rcs)/(IL_Comp_Ccomp+IL_Comp_Chf),0),IMDIV(COMPLEX(1,C8*IL_Comp_Rcomp*IL_Comp_Ccomp),IMPRODUCT(COMPLEX(0,C8),COMPLEX(1,C8*IL_Comp_Rcomp*((IL_Comp_Ccomp*IL_Comp_Chf)/(IL_Comp_Ccomp+IL_Comp_Chf))))))</f>
        <v>-0.031266295761145+11.6222397439145i</v>
      </c>
      <c r="H8" s="1">
        <f>20*LOG(IMABS(G8))</f>
        <v>21.30582802753522</v>
      </c>
      <c r="I8" s="1">
        <f>IMARGUMENT(G8)*(180/PI())</f>
        <v>90.154137455942077</v>
      </c>
      <c r="J8" s="1" t="str">
        <f>IMPRODUCT(D8,G8)</f>
        <v>-6.67039611354776+4291.29609710973i</v>
      </c>
      <c r="K8" s="1">
        <f>20*LOG(IMABS(J8))</f>
        <v>72.651780126269315</v>
      </c>
      <c r="L8" s="1">
        <f>IMARGUMENT(J8)*(180/PI())</f>
        <v>90.089060560849433</v>
      </c>
      <c r="AA8" t="s">
        <v>87</v>
      </c>
      <c r="AB8" t="s">
        <v>293</v>
      </c>
      <c r="AC8" t="s">
        <v>294</v>
      </c>
      <c r="AD8" t="s">
        <v>274</v>
      </c>
    </row>
    <row r="9" spans="2:30">
      <c r="B9" s="1">
        <v>2</v>
      </c>
      <c r="C9" s="1">
        <f t="shared" ref="C9:C62" si="1">2*PI()*B9</f>
        <v>12.566370614359172</v>
      </c>
      <c r="D9" s="73" t="str">
        <f>IMPRODUCT(COMPLEX(1/(Calculations!$B$136*(Rcs+(Calculations!$B$135/1000))),0),IMDIV(COMPLEX(1,0),COMPLEX(1,(C9*Lm)/(Rcs+(Calculations!$B$135/1000)))))</f>
        <v>369.228863926274-0.838745142476802i</v>
      </c>
      <c r="E9" s="1">
        <f t="shared" ref="E9:E62" si="2">20*LOG10(IMABS(D9))</f>
        <v>51.34593529085474</v>
      </c>
      <c r="F9" s="1">
        <f t="shared" ref="F9:F62" si="3">IMARGUMENT(D9)*(180/PI())</f>
        <v>-0.13015362228010594</v>
      </c>
      <c r="G9" s="1" t="str">
        <f t="shared" si="0"/>
        <v>-0.0312662957287149+5.81112074401098i</v>
      </c>
      <c r="H9" s="1">
        <f t="shared" ref="H9:H62" si="4">20*LOG(IMABS(G9))</f>
        <v>15.285323708823109</v>
      </c>
      <c r="I9" s="1">
        <f t="shared" ref="I9:I62" si="5">IMARGUMENT(G9)*(180/PI())</f>
        <v>90.308272634286325</v>
      </c>
      <c r="J9" s="1" t="str">
        <f t="shared" ref="J9:J62" si="6">IMPRODUCT(D9,G9)</f>
        <v>-6.67036955471093+2145.65973490324i</v>
      </c>
      <c r="K9" s="1">
        <f t="shared" ref="K9:K62" si="7">20*LOG(IMABS(J9))</f>
        <v>66.63125899967784</v>
      </c>
      <c r="L9" s="1">
        <f t="shared" ref="L9:L62" si="8">IMARGUMENT(J9)*(180/PI())</f>
        <v>90.178119012006221</v>
      </c>
      <c r="Y9" t="s">
        <v>290</v>
      </c>
      <c r="AA9">
        <f>Calculations!B137*1000</f>
        <v>880.43160008282541</v>
      </c>
      <c r="AB9">
        <f>2*PI()*AA9</f>
        <v>5531.9148936170222</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-3.23918477529025+8.30220051828837i</v>
      </c>
      <c r="AD9">
        <f>20*LOG10(IMABS(AC9))</f>
        <v>18.999236020599056</v>
      </c>
    </row>
    <row r="10" spans="2:30">
      <c r="B10" s="1">
        <v>3</v>
      </c>
      <c r="C10" s="1">
        <f t="shared" si="1"/>
        <v>18.849555921538759</v>
      </c>
      <c r="D10" s="73" t="str">
        <f>IMPRODUCT(COMPLEX(1/(Calculations!$B$136*(Rcs+(Calculations!$B$135/1000))),0),IMDIV(COMPLEX(1,0),COMPLEX(1,(C10*Lm)/(Rcs+(Calculations!$B$135/1000)))))</f>
        <v>369.226482323307-1.25810959859428i</v>
      </c>
      <c r="E10" s="1">
        <f t="shared" si="2"/>
        <v>51.345907277867028</v>
      </c>
      <c r="F10" s="1">
        <f t="shared" si="3"/>
        <v>-0.19523001365982051</v>
      </c>
      <c r="G10" s="1" t="str">
        <f t="shared" si="0"/>
        <v>-0.0312662956746647+3.87408146495594i</v>
      </c>
      <c r="H10" s="1">
        <f t="shared" si="4"/>
        <v>11.763657847312514</v>
      </c>
      <c r="I10" s="1">
        <f t="shared" si="5"/>
        <v>90.462403257635387</v>
      </c>
      <c r="J10" s="1" t="str">
        <f t="shared" si="6"/>
        <v>-6.67032529043962+1430.45280796631i</v>
      </c>
      <c r="K10" s="1">
        <f t="shared" si="7"/>
        <v>63.109565125179572</v>
      </c>
      <c r="L10" s="1">
        <f t="shared" si="8"/>
        <v>90.267173243975563</v>
      </c>
      <c r="Y10" t="s">
        <v>291</v>
      </c>
      <c r="AA10">
        <f>Calculations!B149*1000</f>
        <v>369.16622539407894</v>
      </c>
      <c r="AB10">
        <f t="shared" ref="AB10:AB11" si="9">2*PI()*AA10</f>
        <v>2319.5398033030242</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-5.64429138300776+14.0701718451445i</v>
      </c>
      <c r="AD10">
        <f t="shared" ref="AD10:AD11" si="10">20*LOG10(IMABS(AC10))</f>
        <v>23.614024860890751</v>
      </c>
    </row>
    <row r="11" spans="2:30">
      <c r="B11" s="1">
        <v>4</v>
      </c>
      <c r="C11" s="1">
        <f t="shared" si="1"/>
        <v>25.132741228718345</v>
      </c>
      <c r="D11" s="73" t="str">
        <f>IMPRODUCT(COMPLEX(1/(Calculations!$B$136*(Rcs+(Calculations!$B$135/1000))),0),IMDIV(COMPLEX(1,0),COMPLEX(1,(C11*Lm)/(Rcs+(Calculations!$B$135/1000)))))</f>
        <v>369.223148130769-1.67746431680115i</v>
      </c>
      <c r="E11" s="1">
        <f t="shared" si="2"/>
        <v>51.345868059987822</v>
      </c>
      <c r="F11" s="1">
        <f t="shared" si="3"/>
        <v>-0.26030590133440634</v>
      </c>
      <c r="G11" s="1" t="str">
        <f t="shared" si="0"/>
        <v>-0.0312662955989946+2.90556211611301i</v>
      </c>
      <c r="H11" s="1">
        <f t="shared" si="4"/>
        <v>9.265106152771402</v>
      </c>
      <c r="I11" s="1">
        <f t="shared" si="5"/>
        <v>90.616527048993021</v>
      </c>
      <c r="J11" s="1" t="str">
        <f t="shared" si="6"/>
        <v>-6.67026332141918+1072.85323969593i</v>
      </c>
      <c r="K11" s="1">
        <f t="shared" si="7"/>
        <v>60.610974212759217</v>
      </c>
      <c r="L11" s="1">
        <f t="shared" si="8"/>
        <v>90.356221147658616</v>
      </c>
      <c r="Y11" t="s">
        <v>292</v>
      </c>
      <c r="AA11">
        <f>Calculations!B150*1000</f>
        <v>53411.28367403696</v>
      </c>
      <c r="AB11">
        <f t="shared" si="9"/>
        <v>335592.99281830993</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0.0948667018985544+0.09736875288159i</v>
      </c>
      <c r="AD11">
        <f t="shared" si="10"/>
        <v>-17.332894514941394</v>
      </c>
    </row>
    <row r="12" spans="2:30">
      <c r="B12" s="1">
        <v>5</v>
      </c>
      <c r="C12" s="1">
        <f t="shared" si="1"/>
        <v>31.415926535897931</v>
      </c>
      <c r="D12" s="73" t="str">
        <f>IMPRODUCT(COMPLEX(1/(Calculations!$B$136*(Rcs+(Calculations!$B$135/1000))),0),IMDIV(COMPLEX(1,0),COMPLEX(1,(C12*Lm)/(Rcs+(Calculations!$B$135/1000)))))</f>
        <v>369.218861400273-2.09680605151802i</v>
      </c>
      <c r="E12" s="1">
        <f t="shared" si="2"/>
        <v>51.345817637520632</v>
      </c>
      <c r="F12" s="1">
        <f t="shared" si="3"/>
        <v>-0.32538111741428183</v>
      </c>
      <c r="G12" s="1" t="str">
        <f t="shared" si="0"/>
        <v>-0.031266295501704+2.32445073935491i</v>
      </c>
      <c r="H12" s="1">
        <f t="shared" si="4"/>
        <v>7.3271926384393193</v>
      </c>
      <c r="I12" s="1">
        <f t="shared" si="5"/>
        <v>90.770641731964304</v>
      </c>
      <c r="J12" s="1" t="str">
        <f t="shared" si="6"/>
        <v>-6.67018364860872+858.296614723259i</v>
      </c>
      <c r="K12" s="1">
        <f t="shared" si="7"/>
        <v>58.67301027595996</v>
      </c>
      <c r="L12" s="1">
        <f t="shared" si="8"/>
        <v>90.445260614550023</v>
      </c>
    </row>
    <row r="13" spans="2:30">
      <c r="B13" s="1">
        <v>6</v>
      </c>
      <c r="C13" s="1">
        <f t="shared" si="1"/>
        <v>37.699111843077517</v>
      </c>
      <c r="D13" s="73" t="str">
        <f>IMPRODUCT(COMPLEX(1/(Calculations!$B$136*(Rcs+(Calculations!$B$135/1000))),0),IMDIV(COMPLEX(1,0),COMPLEX(1,(C13*Lm)/(Rcs+(Calculations!$B$135/1000)))))</f>
        <v>369.213622198173-2.51613155750048i</v>
      </c>
      <c r="E13" s="1">
        <f t="shared" si="2"/>
        <v>51.345756010855709</v>
      </c>
      <c r="F13" s="1">
        <f t="shared" si="3"/>
        <v>-0.39045549402026641</v>
      </c>
      <c r="G13" s="1" t="str">
        <f t="shared" si="0"/>
        <v>-0.0312662953827936+1.93704334863922i</v>
      </c>
      <c r="H13" s="1">
        <f t="shared" si="4"/>
        <v>5.743918158899799</v>
      </c>
      <c r="I13" s="1">
        <f t="shared" si="5"/>
        <v>90.924745030956146</v>
      </c>
      <c r="J13" s="1" t="str">
        <f t="shared" si="6"/>
        <v>-6.67008627324169+715.261461218464i</v>
      </c>
      <c r="K13" s="1">
        <f t="shared" si="7"/>
        <v>57.089674169755511</v>
      </c>
      <c r="L13" s="1">
        <f t="shared" si="8"/>
        <v>90.534289536935887</v>
      </c>
    </row>
    <row r="14" spans="2:30">
      <c r="B14" s="1">
        <v>7</v>
      </c>
      <c r="C14" s="1">
        <f t="shared" si="1"/>
        <v>43.982297150257104</v>
      </c>
      <c r="D14" s="73" t="str">
        <f>IMPRODUCT(COMPLEX(1/(Calculations!$B$136*(Rcs+(Calculations!$B$135/1000))),0),IMDIV(COMPLEX(1,0),COMPLEX(1,(C14*Lm)/(Rcs+(Calculations!$B$135/1000)))))</f>
        <v>369.207430605568-2.93543758992277i</v>
      </c>
      <c r="E14" s="1">
        <f t="shared" si="2"/>
        <v>51.345683180470054</v>
      </c>
      <c r="F14" s="1">
        <f t="shared" si="3"/>
        <v>-0.4555288632861676</v>
      </c>
      <c r="G14" s="1" t="str">
        <f t="shared" si="0"/>
        <v>-0.0312662952422628+1.66032394994777i</v>
      </c>
      <c r="H14" s="1">
        <f t="shared" si="4"/>
        <v>4.4053964878635403</v>
      </c>
      <c r="I14" s="1">
        <f t="shared" si="5"/>
        <v>91.078834671377166</v>
      </c>
      <c r="J14" s="1" t="str">
        <f t="shared" si="6"/>
        <v>-6.66997119682521+613.095719791456i</v>
      </c>
      <c r="K14" s="1">
        <f t="shared" si="7"/>
        <v>55.751079668333603</v>
      </c>
      <c r="L14" s="1">
        <f t="shared" si="8"/>
        <v>90.623305808091004</v>
      </c>
    </row>
    <row r="15" spans="2:30">
      <c r="B15" s="1">
        <v>8</v>
      </c>
      <c r="C15" s="1">
        <f t="shared" si="1"/>
        <v>50.26548245743669</v>
      </c>
      <c r="D15" s="73" t="str">
        <f>IMPRODUCT(COMPLEX(1/(Calculations!$B$136*(Rcs+(Calculations!$B$135/1000))),0),IMDIV(COMPLEX(1,0),COMPLEX(1,(C15*Lm)/(Rcs+(Calculations!$B$135/1000)))))</f>
        <v>369.200286718291-3.35472090446148i</v>
      </c>
      <c r="E15" s="1">
        <f t="shared" si="2"/>
        <v>51.345599146927306</v>
      </c>
      <c r="F15" s="1">
        <f t="shared" si="3"/>
        <v>-0.52060105736138751</v>
      </c>
      <c r="G15" s="1" t="str">
        <f t="shared" si="0"/>
        <v>-0.0312662950801122+1.45278454627145i</v>
      </c>
      <c r="H15" s="1">
        <f t="shared" si="4"/>
        <v>3.2460353318293262</v>
      </c>
      <c r="I15" s="1">
        <f t="shared" si="5"/>
        <v>91.232908379837681</v>
      </c>
      <c r="J15" s="1" t="str">
        <f t="shared" si="6"/>
        <v>-6.6698384211407+536.473360717032i</v>
      </c>
      <c r="K15" s="1">
        <f t="shared" si="7"/>
        <v>54.591634478756639</v>
      </c>
      <c r="L15" s="1">
        <f t="shared" si="8"/>
        <v>90.712307322476292</v>
      </c>
    </row>
    <row r="16" spans="2:30">
      <c r="B16" s="1">
        <v>9</v>
      </c>
      <c r="C16" s="1">
        <f t="shared" si="1"/>
        <v>56.548667764616276</v>
      </c>
      <c r="D16" s="73" t="str">
        <f>IMPRODUCT(COMPLEX(1/(Calculations!$B$136*(Rcs+(Calculations!$B$135/1000))),0),IMDIV(COMPLEX(1,0),COMPLEX(1,(C16*Lm)/(Rcs+(Calculations!$B$135/1000)))))</f>
        <v>369.192190646909-3.77397825737922i</v>
      </c>
      <c r="E16" s="1">
        <f t="shared" si="2"/>
        <v>51.345503910877795</v>
      </c>
      <c r="F16" s="1">
        <f t="shared" si="3"/>
        <v>-0.58567190841351979</v>
      </c>
      <c r="G16" s="1" t="str">
        <f t="shared" si="0"/>
        <v>-0.0312662948963414+1.2913651392719i</v>
      </c>
      <c r="H16" s="1">
        <f t="shared" si="4"/>
        <v>2.2235263073296787</v>
      </c>
      <c r="I16" s="1">
        <f t="shared" si="5"/>
        <v>91.386963884349271</v>
      </c>
      <c r="J16" s="1" t="str">
        <f t="shared" si="6"/>
        <v>-6.66968794824291+476.879923009971i</v>
      </c>
      <c r="K16" s="1">
        <f t="shared" si="7"/>
        <v>53.56903021820748</v>
      </c>
      <c r="L16" s="1">
        <f t="shared" si="8"/>
        <v>90.801291975935754</v>
      </c>
    </row>
    <row r="17" spans="2:12">
      <c r="B17" s="1">
        <v>10</v>
      </c>
      <c r="C17" s="1">
        <f t="shared" si="1"/>
        <v>62.831853071795862</v>
      </c>
      <c r="D17" s="73" t="str">
        <f>IMPRODUCT(COMPLEX(1/(Calculations!$B$136*(Rcs+(Calculations!$B$135/1000))),0),IMDIV(COMPLEX(1,0),COMPLEX(1,(C17*Lm)/(Rcs+(Calculations!$B$135/1000)))))</f>
        <v>369.183142516721-4.19320640560826i</v>
      </c>
      <c r="E17" s="1">
        <f t="shared" si="2"/>
        <v>51.345397473058554</v>
      </c>
      <c r="F17" s="1">
        <f t="shared" si="3"/>
        <v>-0.65074124863094418</v>
      </c>
      <c r="G17" s="1" t="str">
        <f t="shared" si="0"/>
        <v>-0.0312662946909505+1.16222972994608i</v>
      </c>
      <c r="H17" s="1">
        <f t="shared" si="4"/>
        <v>1.3089815376846508</v>
      </c>
      <c r="I17" s="1">
        <f t="shared" si="5"/>
        <v>91.540998914524138</v>
      </c>
      <c r="J17" s="1" t="str">
        <f t="shared" si="6"/>
        <v>-6.66951978046071+429.206730055032i</v>
      </c>
      <c r="K17" s="1">
        <f t="shared" si="7"/>
        <v>52.65437901074322</v>
      </c>
      <c r="L17" s="1">
        <f t="shared" si="8"/>
        <v>90.890257665893188</v>
      </c>
    </row>
    <row r="18" spans="2:12">
      <c r="B18" s="1">
        <v>20</v>
      </c>
      <c r="C18" s="1">
        <f t="shared" si="1"/>
        <v>125.66370614359172</v>
      </c>
      <c r="D18" s="73" t="str">
        <f>IMPRODUCT(COMPLEX(1/(Calculations!$B$136*(Rcs+(Calculations!$B$135/1000))),0),IMDIV(COMPLEX(1,0),COMPLEX(1,(C18*Lm)/(Rcs+(Calculations!$B$135/1000)))))</f>
        <v>369.040336065937-8.38316880110207i</v>
      </c>
      <c r="E18" s="1">
        <f t="shared" si="2"/>
        <v>51.343717221586516</v>
      </c>
      <c r="F18" s="1">
        <f t="shared" si="3"/>
        <v>-1.3013146563941138</v>
      </c>
      <c r="G18" s="1" t="str">
        <f t="shared" si="0"/>
        <v>-0.0312662914479371+0.581123585509149i</v>
      </c>
      <c r="H18" s="1">
        <f t="shared" si="4"/>
        <v>-4.702076244618933</v>
      </c>
      <c r="I18" s="1">
        <f t="shared" si="5"/>
        <v>93.079725183815086</v>
      </c>
      <c r="J18" s="1" t="str">
        <f t="shared" si="6"/>
        <v>-6.66686559185737+214.720153891131i</v>
      </c>
      <c r="K18" s="1">
        <f t="shared" si="7"/>
        <v>46.641640976967579</v>
      </c>
      <c r="L18" s="1">
        <f t="shared" si="8"/>
        <v>91.778410527420974</v>
      </c>
    </row>
    <row r="19" spans="2:12">
      <c r="B19" s="1">
        <v>30</v>
      </c>
      <c r="C19" s="1">
        <f t="shared" si="1"/>
        <v>188.49555921538757</v>
      </c>
      <c r="D19" s="73" t="str">
        <f>IMPRODUCT(COMPLEX(1/(Calculations!$B$136*(Rcs+(Calculations!$B$135/1000))),0),IMDIV(COMPLEX(1,0),COMPLEX(1,(C19*Lm)/(Rcs+(Calculations!$B$135/1000)))))</f>
        <v>368.802570667631-12.5666515365737i</v>
      </c>
      <c r="E19" s="1">
        <f t="shared" si="2"/>
        <v>51.34091824627339</v>
      </c>
      <c r="F19" s="1">
        <f t="shared" si="3"/>
        <v>-1.9515526420164087</v>
      </c>
      <c r="G19" s="1" t="str">
        <f t="shared" si="0"/>
        <v>-0.0312662860429161+0.387425413154656i</v>
      </c>
      <c r="H19" s="1">
        <f t="shared" si="4"/>
        <v>-8.2080443212685097</v>
      </c>
      <c r="I19" s="1">
        <f t="shared" si="5"/>
        <v>94.61392607142443</v>
      </c>
      <c r="J19" s="1" t="str">
        <f t="shared" si="6"/>
        <v>-6.66244650432927+143.27640083495i</v>
      </c>
      <c r="K19" s="1">
        <f t="shared" si="7"/>
        <v>43.132873925004851</v>
      </c>
      <c r="L19" s="1">
        <f t="shared" si="8"/>
        <v>92.662373429408035</v>
      </c>
    </row>
    <row r="20" spans="2:12">
      <c r="B20" s="1">
        <v>40</v>
      </c>
      <c r="C20" s="1">
        <f t="shared" si="1"/>
        <v>251.32741228718345</v>
      </c>
      <c r="D20" s="73" t="str">
        <f>IMPRODUCT(COMPLEX(1/(Calculations!$B$136*(Rcs+(Calculations!$B$135/1000))),0),IMDIV(COMPLEX(1,0),COMPLEX(1,(C20*Lm)/(Rcs+(Calculations!$B$135/1000)))))</f>
        <v>368.470213356321-16.7404356373241i</v>
      </c>
      <c r="E20" s="1">
        <f t="shared" si="2"/>
        <v>51.337002708924729</v>
      </c>
      <c r="F20" s="1">
        <f t="shared" si="3"/>
        <v>-2.601288142411057</v>
      </c>
      <c r="G20" s="1" t="str">
        <f t="shared" si="0"/>
        <v>-0.0312662784758902+0.290579233817756i</v>
      </c>
      <c r="H20" s="1">
        <f t="shared" si="4"/>
        <v>-10.684715937366844</v>
      </c>
      <c r="I20" s="1">
        <f t="shared" si="5"/>
        <v>96.141388224467946</v>
      </c>
      <c r="J20" s="1" t="str">
        <f t="shared" si="6"/>
        <v>-6.65626933960031+107.593203404189i</v>
      </c>
      <c r="K20" s="1">
        <f t="shared" si="7"/>
        <v>40.652286771557868</v>
      </c>
      <c r="L20" s="1">
        <f t="shared" si="8"/>
        <v>93.540100082056895</v>
      </c>
    </row>
    <row r="21" spans="2:12">
      <c r="B21" s="1">
        <v>50</v>
      </c>
      <c r="C21" s="1">
        <f t="shared" si="1"/>
        <v>314.15926535897933</v>
      </c>
      <c r="D21" s="73" t="str">
        <f>IMPRODUCT(COMPLEX(1/(Calculations!$B$136*(Rcs+(Calculations!$B$135/1000))),0),IMDIV(COMPLEX(1,0),COMPLEX(1,(C21*Lm)/(Rcs+(Calculations!$B$135/1000)))))</f>
        <v>368.043775997739-20.9013270288752i</v>
      </c>
      <c r="E21" s="1">
        <f t="shared" si="2"/>
        <v>51.331973628280451</v>
      </c>
      <c r="F21" s="1">
        <f t="shared" si="3"/>
        <v>-3.2503548692706445</v>
      </c>
      <c r="G21" s="1" t="str">
        <f t="shared" si="0"/>
        <v>-0.0312662687468618+0.232473851684515i</v>
      </c>
      <c r="H21" s="1">
        <f t="shared" si="4"/>
        <v>-12.594662220896158</v>
      </c>
      <c r="I21" s="1">
        <f t="shared" si="5"/>
        <v>97.659956297948312</v>
      </c>
      <c r="J21" s="1" t="str">
        <f t="shared" si="6"/>
        <v>-6.64834361123483+86.2140607027581i</v>
      </c>
      <c r="K21" s="1">
        <f t="shared" si="7"/>
        <v>38.737311407384297</v>
      </c>
      <c r="L21" s="1">
        <f t="shared" si="8"/>
        <v>94.409601428677675</v>
      </c>
    </row>
    <row r="22" spans="2:12">
      <c r="B22" s="1">
        <v>60</v>
      </c>
      <c r="C22" s="1">
        <f t="shared" si="1"/>
        <v>376.99111843077515</v>
      </c>
      <c r="D22" s="73" t="str">
        <f>IMPRODUCT(COMPLEX(1/(Calculations!$B$136*(Rcs+(Calculations!$B$135/1000))),0),IMDIV(COMPLEX(1,0),COMPLEX(1,(C22*Lm)/(Rcs+(Calculations!$B$135/1000)))))</f>
        <v>367.523913323347-25.0461646280374i</v>
      </c>
      <c r="E22" s="1">
        <f t="shared" si="2"/>
        <v>51.325834872277312</v>
      </c>
      <c r="F22" s="1">
        <f t="shared" si="3"/>
        <v>-3.8985875626800706</v>
      </c>
      <c r="G22" s="1" t="str">
        <f t="shared" si="0"/>
        <v>-0.0312662568558355+0.193738868149486i</v>
      </c>
      <c r="H22" s="1">
        <f t="shared" si="4"/>
        <v>-14.14400229970105</v>
      </c>
      <c r="I22" s="1">
        <f t="shared" si="5"/>
        <v>99.167550346147678</v>
      </c>
      <c r="J22" s="1" t="str">
        <f t="shared" si="6"/>
        <v>-6.63868148810793+71.9867668016488i</v>
      </c>
      <c r="K22" s="1">
        <f t="shared" si="7"/>
        <v>37.181832572576262</v>
      </c>
      <c r="L22" s="1">
        <f t="shared" si="8"/>
        <v>95.2689627834676</v>
      </c>
    </row>
    <row r="23" spans="2:12">
      <c r="B23" s="1">
        <v>70</v>
      </c>
      <c r="C23" s="1">
        <f t="shared" si="1"/>
        <v>439.82297150257102</v>
      </c>
      <c r="D23" s="73" t="str">
        <f>IMPRODUCT(COMPLEX(1/(Calculations!$B$136*(Rcs+(Calculations!$B$135/1000))),0),IMDIV(COMPLEX(1,0),COMPLEX(1,(C23*Lm)/(Rcs+(Calculations!$B$135/1000)))))</f>
        <v>366.911420427501-29.1718282573103i</v>
      </c>
      <c r="E23" s="1">
        <f t="shared" si="2"/>
        <v>51.31859114817216</v>
      </c>
      <c r="F23" s="1">
        <f t="shared" si="3"/>
        <v>-4.545822240789585</v>
      </c>
      <c r="G23" s="1" t="str">
        <f t="shared" si="0"/>
        <v>-0.031266242802816+0.166072683809645i</v>
      </c>
      <c r="H23" s="1">
        <f t="shared" si="4"/>
        <v>-15.442765563409894</v>
      </c>
      <c r="I23" s="1">
        <f t="shared" si="5"/>
        <v>100.66218164685397</v>
      </c>
      <c r="J23" s="1" t="str">
        <f t="shared" si="6"/>
        <v>-6.62729774788679+61.8460577760992i</v>
      </c>
      <c r="K23" s="1">
        <f t="shared" si="7"/>
        <v>35.875825584762254</v>
      </c>
      <c r="L23" s="1">
        <f t="shared" si="8"/>
        <v>96.11635940606439</v>
      </c>
    </row>
    <row r="24" spans="2:12">
      <c r="B24" s="1">
        <v>80</v>
      </c>
      <c r="C24" s="1">
        <f t="shared" si="1"/>
        <v>502.6548245743669</v>
      </c>
      <c r="D24" s="73" t="str">
        <f>IMPRODUCT(COMPLEX(1/(Calculations!$B$136*(Rcs+(Calculations!$B$135/1000))),0),IMDIV(COMPLEX(1,0),COMPLEX(1,(C24*Lm)/(Rcs+(Calculations!$B$135/1000)))))</f>
        <v>366.207229745055-33.2752463415084i</v>
      </c>
      <c r="E24" s="1">
        <f t="shared" si="2"/>
        <v>51.310247990578823</v>
      </c>
      <c r="F24" s="1">
        <f t="shared" si="3"/>
        <v>-5.1918964446156428</v>
      </c>
      <c r="G24" s="1" t="str">
        <f t="shared" si="0"/>
        <v>-0.0312662265878094+0.145324498962877i</v>
      </c>
      <c r="H24" s="1">
        <f t="shared" si="4"/>
        <v>-16.556708721379604</v>
      </c>
      <c r="I24" s="1">
        <f t="shared" si="5"/>
        <v>102.1419666837028</v>
      </c>
      <c r="J24" s="1" t="str">
        <f t="shared" si="6"/>
        <v>-6.61420972085685+54.2592735711621i</v>
      </c>
      <c r="K24" s="1">
        <f t="shared" si="7"/>
        <v>34.753539269199223</v>
      </c>
      <c r="L24" s="1">
        <f t="shared" si="8"/>
        <v>96.950070239087154</v>
      </c>
    </row>
    <row r="25" spans="2:12">
      <c r="B25" s="1">
        <v>90</v>
      </c>
      <c r="C25" s="1">
        <f t="shared" si="1"/>
        <v>565.48667764616278</v>
      </c>
      <c r="D25" s="73" t="str">
        <f>IMPRODUCT(COMPLEX(1/(Calculations!$B$136*(Rcs+(Calculations!$B$135/1000))),0),IMDIV(COMPLEX(1,0),COMPLEX(1,(C25*Lm)/(Rcs+(Calculations!$B$135/1000)))))</f>
        <v>365.412407530715-37.353403347484i</v>
      </c>
      <c r="E25" s="1">
        <f t="shared" si="2"/>
        <v>51.300811747482122</v>
      </c>
      <c r="F25" s="1">
        <f t="shared" si="3"/>
        <v>-5.8366494770724833</v>
      </c>
      <c r="G25" s="1" t="str">
        <f t="shared" si="0"/>
        <v>-0.0312662082108222+0.129188313774138i</v>
      </c>
      <c r="H25" s="1">
        <f t="shared" si="4"/>
        <v>-17.528323681557652</v>
      </c>
      <c r="I25" s="1">
        <f t="shared" si="5"/>
        <v>103.60513907915809</v>
      </c>
      <c r="J25" s="1" t="str">
        <f t="shared" si="6"/>
        <v>-6.59943722448645+48.3749120474864i</v>
      </c>
      <c r="K25" s="1">
        <f t="shared" si="7"/>
        <v>33.772488065924456</v>
      </c>
      <c r="L25" s="1">
        <f t="shared" si="8"/>
        <v>97.768489602085609</v>
      </c>
    </row>
    <row r="26" spans="2:12">
      <c r="B26" s="1">
        <v>100</v>
      </c>
      <c r="C26" s="1">
        <f t="shared" si="1"/>
        <v>628.31853071795865</v>
      </c>
      <c r="D26" s="73" t="str">
        <f>IMPRODUCT(COMPLEX(1/(Calculations!$B$136*(Rcs+(Calculations!$B$135/1000))),0),IMDIV(COMPLEX(1,0),COMPLEX(1,(C26*Lm)/(Rcs+(Calculations!$B$135/1000)))))</f>
        <v>364.528149864741-41.403346930125i</v>
      </c>
      <c r="E26" s="1">
        <f t="shared" si="2"/>
        <v>51.290289564302178</v>
      </c>
      <c r="F26" s="1">
        <f t="shared" si="3"/>
        <v>-6.4799226353771768</v>
      </c>
      <c r="G26" s="1" t="str">
        <f t="shared" si="0"/>
        <v>-0.0312661876718619+0.116280528341918i</v>
      </c>
      <c r="H26" s="1">
        <f t="shared" si="4"/>
        <v>-18.386698650123709</v>
      </c>
      <c r="I26" s="1">
        <f t="shared" si="5"/>
        <v>105.05005934182329</v>
      </c>
      <c r="J26" s="1" t="str">
        <f t="shared" si="6"/>
        <v>-6.58300248918893+43.6820506771344i</v>
      </c>
      <c r="K26" s="1">
        <f t="shared" si="7"/>
        <v>32.903590914178466</v>
      </c>
      <c r="L26" s="1">
        <f t="shared" si="8"/>
        <v>98.570136706446121</v>
      </c>
    </row>
    <row r="27" spans="2:12">
      <c r="B27" s="1">
        <v>200</v>
      </c>
      <c r="C27" s="1">
        <f t="shared" si="1"/>
        <v>1256.6370614359173</v>
      </c>
      <c r="D27" s="73" t="str">
        <f>IMPRODUCT(COMPLEX(1/(Calculations!$B$136*(Rcs+(Calculations!$B$135/1000))),0),IMDIV(COMPLEX(1,0),COMPLEX(1,(C27*Lm)/(Rcs+(Calculations!$B$135/1000)))))</f>
        <v>351.112566241239-79.759192243488i</v>
      </c>
      <c r="E27" s="1">
        <f t="shared" si="2"/>
        <v>51.127442581158924</v>
      </c>
      <c r="F27" s="1">
        <f t="shared" si="3"/>
        <v>-12.79819599264974</v>
      </c>
      <c r="G27" s="1" t="str">
        <f t="shared" si="0"/>
        <v>-0.0312658633760672+0.0582274680396584i</v>
      </c>
      <c r="H27" s="1">
        <f t="shared" si="4"/>
        <v>-23.597181411607664</v>
      </c>
      <c r="I27" s="1">
        <f t="shared" si="5"/>
        <v>118.23405176052094</v>
      </c>
      <c r="J27" s="1" t="str">
        <f t="shared" si="6"/>
        <v>-6.33366170849226+22.9381357368046i</v>
      </c>
      <c r="K27" s="1">
        <f t="shared" si="7"/>
        <v>27.530261169551274</v>
      </c>
      <c r="L27" s="1">
        <f t="shared" si="8"/>
        <v>105.43585576787119</v>
      </c>
    </row>
    <row r="28" spans="2:12">
      <c r="B28" s="1">
        <v>300</v>
      </c>
      <c r="C28" s="1">
        <f t="shared" si="1"/>
        <v>1884.9555921538758</v>
      </c>
      <c r="D28" s="73" t="str">
        <f>IMPRODUCT(COMPLEX(1/(Calculations!$B$136*(Rcs+(Calculations!$B$135/1000))),0),IMDIV(COMPLEX(1,0),COMPLEX(1,(C28*Lm)/(Rcs+(Calculations!$B$135/1000)))))</f>
        <v>330.820790938148-112.724528824395i</v>
      </c>
      <c r="E28" s="1">
        <f t="shared" si="2"/>
        <v>50.868906807073373</v>
      </c>
      <c r="F28" s="1">
        <f t="shared" si="3"/>
        <v>-18.816131350201932</v>
      </c>
      <c r="G28" s="1" t="str">
        <f t="shared" si="0"/>
        <v>-0.0312653228980252+0.0389152025339687i</v>
      </c>
      <c r="H28" s="1">
        <f t="shared" si="4"/>
        <v>-26.034670538031083</v>
      </c>
      <c r="I28" s="1">
        <f t="shared" si="5"/>
        <v>128.7791551632229</v>
      </c>
      <c r="J28" s="1" t="str">
        <f t="shared" si="6"/>
        <v>-5.95652098031376+16.3983268740282i</v>
      </c>
      <c r="K28" s="1">
        <f t="shared" si="7"/>
        <v>24.834236269042293</v>
      </c>
      <c r="L28" s="1">
        <f t="shared" si="8"/>
        <v>109.96302381302095</v>
      </c>
    </row>
    <row r="29" spans="2:12">
      <c r="B29" s="1">
        <v>400</v>
      </c>
      <c r="C29" s="1">
        <f t="shared" si="1"/>
        <v>2513.2741228718346</v>
      </c>
      <c r="D29" s="73" t="str">
        <f>IMPRODUCT(COMPLEX(1/(Calculations!$B$136*(Rcs+(Calculations!$B$135/1000))),0),IMDIV(COMPLEX(1,0),COMPLEX(1,(C29*Lm)/(Rcs+(Calculations!$B$135/1000)))))</f>
        <v>306.057691299312-139.048935213375i</v>
      </c>
      <c r="E29" s="1">
        <f t="shared" si="2"/>
        <v>50.531011829600857</v>
      </c>
      <c r="F29" s="1">
        <f t="shared" si="3"/>
        <v>-24.433373095750845</v>
      </c>
      <c r="G29" s="1" t="str">
        <f t="shared" si="0"/>
        <v>-0.0312645662601583+0.0292881327127372i</v>
      </c>
      <c r="H29" s="1">
        <f t="shared" si="4"/>
        <v>-27.363005500510464</v>
      </c>
      <c r="I29" s="1">
        <f t="shared" si="5"/>
        <v>136.86946435113433</v>
      </c>
      <c r="J29" s="1" t="str">
        <f t="shared" si="6"/>
        <v>-5.49627730096429+13.3111629289112i</v>
      </c>
      <c r="K29" s="1">
        <f t="shared" si="7"/>
        <v>23.168006329090382</v>
      </c>
      <c r="L29" s="1">
        <f t="shared" si="8"/>
        <v>112.43609125538353</v>
      </c>
    </row>
    <row r="30" spans="2:12">
      <c r="B30" s="1">
        <v>500</v>
      </c>
      <c r="C30" s="1">
        <f t="shared" si="1"/>
        <v>3141.5926535897929</v>
      </c>
      <c r="D30" s="73" t="str">
        <f>IMPRODUCT(COMPLEX(1/(Calculations!$B$136*(Rcs+(Calculations!$B$135/1000))),0),IMDIV(COMPLEX(1,0),COMPLEX(1,(C30*Lm)/(Rcs+(Calculations!$B$135/1000)))))</f>
        <v>279.188522071455-158.552079483057i</v>
      </c>
      <c r="E30" s="1">
        <f t="shared" si="2"/>
        <v>50.131954447809903</v>
      </c>
      <c r="F30" s="1">
        <f t="shared" si="3"/>
        <v>-29.592385294176545</v>
      </c>
      <c r="G30" s="1" t="str">
        <f t="shared" si="0"/>
        <v>-0.0312635934938537+0.0235351377891925i</v>
      </c>
      <c r="H30" s="1">
        <f t="shared" si="4"/>
        <v>-28.149354664716441</v>
      </c>
      <c r="I30" s="1">
        <f t="shared" si="5"/>
        <v>143.02767782220934</v>
      </c>
      <c r="J30" s="1" t="str">
        <f t="shared" si="6"/>
        <v>-4.99689142479502+11.5276480966762i</v>
      </c>
      <c r="K30" s="1">
        <f t="shared" si="7"/>
        <v>21.982599783093477</v>
      </c>
      <c r="L30" s="1">
        <f t="shared" si="8"/>
        <v>113.43529252803275</v>
      </c>
    </row>
    <row r="31" spans="2:12">
      <c r="B31" s="1">
        <v>600</v>
      </c>
      <c r="C31" s="1">
        <f t="shared" si="1"/>
        <v>3769.9111843077517</v>
      </c>
      <c r="D31" s="73" t="str">
        <f>IMPRODUCT(COMPLEX(1/(Calculations!$B$136*(Rcs+(Calculations!$B$135/1000))),0),IMDIV(COMPLEX(1,0),COMPLEX(1,(C31*Lm)/(Rcs+(Calculations!$B$135/1000)))))</f>
        <v>252.134412718507-171.825554213266i</v>
      </c>
      <c r="E31" s="1">
        <f t="shared" si="2"/>
        <v>49.689300097368758</v>
      </c>
      <c r="F31" s="1">
        <f t="shared" si="3"/>
        <v>-34.273801914058431</v>
      </c>
      <c r="G31" s="1" t="str">
        <f t="shared" si="0"/>
        <v>-0.031262404639462+0.0197191766977456i</v>
      </c>
      <c r="H31" s="1">
        <f t="shared" si="4"/>
        <v>-28.644908454107384</v>
      </c>
      <c r="I31" s="1">
        <f t="shared" si="5"/>
        <v>147.75777632467106</v>
      </c>
      <c r="J31" s="1" t="str">
        <f t="shared" si="6"/>
        <v>-4.49406956921962+10.3435630391935i</v>
      </c>
      <c r="K31" s="1">
        <f t="shared" si="7"/>
        <v>21.044391643261378</v>
      </c>
      <c r="L31" s="1">
        <f t="shared" si="8"/>
        <v>113.4839744106126</v>
      </c>
    </row>
    <row r="32" spans="2:12">
      <c r="B32" s="1">
        <v>700</v>
      </c>
      <c r="C32" s="1">
        <f t="shared" si="1"/>
        <v>4398.22971502571</v>
      </c>
      <c r="D32" s="73" t="str">
        <f>IMPRODUCT(COMPLEX(1/(Calculations!$B$136*(Rcs+(Calculations!$B$135/1000))),0),IMDIV(COMPLEX(1,0),COMPLEX(1,(C32*Lm)/(Rcs+(Calculations!$B$135/1000)))))</f>
        <v>226.226639178283-179.864792915089i</v>
      </c>
      <c r="E32" s="1">
        <f t="shared" si="2"/>
        <v>49.21841628748102</v>
      </c>
      <c r="F32" s="1">
        <f t="shared" si="3"/>
        <v>-38.486967382384705</v>
      </c>
      <c r="G32" s="1" t="str">
        <f t="shared" si="0"/>
        <v>-0.0312609997462912+0.017010088293466i</v>
      </c>
      <c r="H32" s="1">
        <f t="shared" si="4"/>
        <v>-28.973628448653752</v>
      </c>
      <c r="I32" s="1">
        <f t="shared" si="5"/>
        <v>151.44800476263302</v>
      </c>
      <c r="J32" s="1" t="str">
        <f t="shared" si="6"/>
        <v>-4.01255490158497+9.47088835244199i</v>
      </c>
      <c r="K32" s="1">
        <f t="shared" si="7"/>
        <v>20.244787838827278</v>
      </c>
      <c r="L32" s="1">
        <f t="shared" si="8"/>
        <v>112.96103738024826</v>
      </c>
    </row>
    <row r="33" spans="2:12">
      <c r="B33" s="1">
        <v>800</v>
      </c>
      <c r="C33" s="1">
        <f t="shared" si="1"/>
        <v>5026.5482457436692</v>
      </c>
      <c r="D33" s="73" t="str">
        <f>IMPRODUCT(COMPLEX(1/(Calculations!$B$136*(Rcs+(Calculations!$B$135/1000))),0),IMDIV(COMPLEX(1,0),COMPLEX(1,(C33*Lm)/(Rcs+(Calculations!$B$135/1000)))))</f>
        <v>202.247724699079-183.771436354672i</v>
      </c>
      <c r="E33" s="1">
        <f t="shared" si="2"/>
        <v>48.731815295375192</v>
      </c>
      <c r="F33" s="1">
        <f t="shared" si="3"/>
        <v>-42.259705847696146</v>
      </c>
      <c r="G33" s="1" t="str">
        <f t="shared" si="0"/>
        <v>-0.031259378872603+0.0149927914020147i</v>
      </c>
      <c r="H33" s="1">
        <f t="shared" si="4"/>
        <v>-29.201198992043985</v>
      </c>
      <c r="I33" s="1">
        <f t="shared" si="5"/>
        <v>154.3764416780285</v>
      </c>
      <c r="J33" s="1" t="str">
        <f t="shared" si="6"/>
        <v>-3.5668914415762+8.77683890291853i</v>
      </c>
      <c r="K33" s="1">
        <f t="shared" si="7"/>
        <v>19.530616303331211</v>
      </c>
      <c r="L33" s="1">
        <f t="shared" si="8"/>
        <v>112.11673583033236</v>
      </c>
    </row>
    <row r="34" spans="2:12">
      <c r="B34" s="1">
        <v>900</v>
      </c>
      <c r="C34" s="1">
        <f t="shared" si="1"/>
        <v>5654.8667764616275</v>
      </c>
      <c r="D34" s="73" t="str">
        <f>IMPRODUCT(COMPLEX(1/(Calculations!$B$136*(Rcs+(Calculations!$B$135/1000))),0),IMDIV(COMPLEX(1,0),COMPLEX(1,(C34*Lm)/(Rcs+(Calculations!$B$135/1000)))))</f>
        <v>180.557726538478-184.57078763341i</v>
      </c>
      <c r="E34" s="1">
        <f t="shared" si="2"/>
        <v>48.239139628286985</v>
      </c>
      <c r="F34" s="1">
        <f t="shared" si="3"/>
        <v>-45.629702137707604</v>
      </c>
      <c r="G34" s="1" t="str">
        <f t="shared" si="0"/>
        <v>-0.0312575420856055+0.0134366848363422i</v>
      </c>
      <c r="H34" s="1">
        <f t="shared" si="4"/>
        <v>-29.364495718528897</v>
      </c>
      <c r="I34" s="1">
        <f t="shared" si="5"/>
        <v>156.73857355388387</v>
      </c>
      <c r="J34" s="1" t="str">
        <f t="shared" si="6"/>
        <v>-3.16377123273215+8.19532642848866i</v>
      </c>
      <c r="K34" s="1">
        <f t="shared" si="7"/>
        <v>18.874643909758092</v>
      </c>
      <c r="L34" s="1">
        <f t="shared" si="8"/>
        <v>111.10887141617627</v>
      </c>
    </row>
    <row r="35" spans="2:12">
      <c r="B35" s="1">
        <v>1000</v>
      </c>
      <c r="C35" s="1">
        <f t="shared" si="1"/>
        <v>6283.1853071795858</v>
      </c>
      <c r="D35" s="73" t="str">
        <f>IMPRODUCT(COMPLEX(1/(Calculations!$B$136*(Rcs+(Calculations!$B$135/1000))),0),IMDIV(COMPLEX(1,0),COMPLEX(1,(C35*Lm)/(Rcs+(Calculations!$B$135/1000)))))</f>
        <v>161.232160470872-183.128547925477i</v>
      </c>
      <c r="E35" s="1">
        <f t="shared" si="2"/>
        <v>47.747495585300932</v>
      </c>
      <c r="F35" s="1">
        <f t="shared" si="3"/>
        <v>-48.638289298201457</v>
      </c>
      <c r="G35" s="1" t="str">
        <f t="shared" si="0"/>
        <v>-0.0312554894614471+0.0122034074034189i</v>
      </c>
      <c r="H35" s="1">
        <f t="shared" si="4"/>
        <v>-29.485276559140473</v>
      </c>
      <c r="I35" s="1">
        <f t="shared" si="5"/>
        <v>158.67231531152024</v>
      </c>
      <c r="J35" s="1" t="str">
        <f t="shared" si="6"/>
        <v>-2.80459781491257+7.69135414053432i</v>
      </c>
      <c r="K35" s="1">
        <f t="shared" si="7"/>
        <v>18.262219026160459</v>
      </c>
      <c r="L35" s="1">
        <f t="shared" si="8"/>
        <v>110.03402601331881</v>
      </c>
    </row>
    <row r="36" spans="2:12">
      <c r="B36" s="1">
        <v>2000</v>
      </c>
      <c r="C36" s="1">
        <f t="shared" si="1"/>
        <v>12566.370614359172</v>
      </c>
      <c r="D36" s="73" t="str">
        <f>IMPRODUCT(COMPLEX(1/(Calculations!$B$136*(Rcs+(Calculations!$B$135/1000))),0),IMDIV(COMPLEX(1,0),COMPLEX(1,(C36*Lm)/(Rcs+(Calculations!$B$135/1000)))))</f>
        <v>59.9378579918145-136.155626368194i</v>
      </c>
      <c r="E36" s="1">
        <f t="shared" si="2"/>
        <v>43.449991035089141</v>
      </c>
      <c r="F36" s="1">
        <f t="shared" si="3"/>
        <v>-66.240147390567344</v>
      </c>
      <c r="G36" s="1" t="str">
        <f t="shared" si="0"/>
        <v>-0.0312231153022459+0.00697225212518526i</v>
      </c>
      <c r="H36" s="1">
        <f t="shared" si="4"/>
        <v>-29.899141775039766</v>
      </c>
      <c r="I36" s="1">
        <f t="shared" si="5"/>
        <v>167.41213154214734</v>
      </c>
      <c r="J36" s="1" t="str">
        <f t="shared" si="6"/>
        <v>-0.922135295746494+4.66910467890611i</v>
      </c>
      <c r="K36" s="1">
        <f t="shared" si="7"/>
        <v>13.550849260049368</v>
      </c>
      <c r="L36" s="1">
        <f t="shared" si="8"/>
        <v>101.17198415158001</v>
      </c>
    </row>
    <row r="37" spans="2:12">
      <c r="B37" s="1">
        <v>3000</v>
      </c>
      <c r="C37" s="1">
        <f t="shared" si="1"/>
        <v>18849.555921538758</v>
      </c>
      <c r="D37" s="73" t="str">
        <f>IMPRODUCT(COMPLEX(1/(Calculations!$B$136*(Rcs+(Calculations!$B$135/1000))),0),IMDIV(COMPLEX(1,0),COMPLEX(1,(C37*Lm)/(Rcs+(Calculations!$B$135/1000)))))</f>
        <v>29.2796083041986-99.7679148548647i</v>
      </c>
      <c r="E37" s="1">
        <f t="shared" si="2"/>
        <v>40.338631476032248</v>
      </c>
      <c r="F37" s="1">
        <f t="shared" si="3"/>
        <v>-73.64423886080391</v>
      </c>
      <c r="G37" s="1" t="str">
        <f t="shared" si="0"/>
        <v>-0.0311693071483719+0.0056127769913245i</v>
      </c>
      <c r="H37" s="1">
        <f t="shared" si="4"/>
        <v>-29.986865216948289</v>
      </c>
      <c r="I37" s="1">
        <f t="shared" si="5"/>
        <v>169.79192809397355</v>
      </c>
      <c r="J37" s="1" t="str">
        <f t="shared" si="6"/>
        <v>-0.35265004744778+3.27403669346869i</v>
      </c>
      <c r="K37" s="1">
        <f t="shared" si="7"/>
        <v>10.351766259083954</v>
      </c>
      <c r="L37" s="1">
        <f t="shared" si="8"/>
        <v>96.147689233169658</v>
      </c>
    </row>
    <row r="38" spans="2:12">
      <c r="B38" s="1">
        <v>4000</v>
      </c>
      <c r="C38" s="1">
        <f t="shared" si="1"/>
        <v>25132.741228718343</v>
      </c>
      <c r="D38" s="73" t="str">
        <f>IMPRODUCT(COMPLEX(1/(Calculations!$B$136*(Rcs+(Calculations!$B$135/1000))),0),IMDIV(COMPLEX(1,0),COMPLEX(1,(C38*Lm)/(Rcs+(Calculations!$B$135/1000)))))</f>
        <v>17.0617063263128-77.5151928881597i</v>
      </c>
      <c r="E38" s="1">
        <f t="shared" si="2"/>
        <v>37.993203474831944</v>
      </c>
      <c r="F38" s="1">
        <f t="shared" si="3"/>
        <v>-77.586684795950404</v>
      </c>
      <c r="G38" s="1" t="str">
        <f t="shared" si="0"/>
        <v>-0.0310942865556111+0.00521824305109675i</v>
      </c>
      <c r="H38" s="1">
        <f t="shared" si="4"/>
        <v>-30.025766029940382</v>
      </c>
      <c r="I38" s="1">
        <f t="shared" si="5"/>
        <v>170.47339489847894</v>
      </c>
      <c r="J38" s="1" t="str">
        <f t="shared" si="6"/>
        <v>-0.126028468994989+2.49931175055504i</v>
      </c>
      <c r="K38" s="1">
        <f t="shared" si="7"/>
        <v>7.9674374448915515</v>
      </c>
      <c r="L38" s="1">
        <f t="shared" si="8"/>
        <v>92.886710102528568</v>
      </c>
    </row>
    <row r="39" spans="2:12">
      <c r="B39" s="1">
        <v>5000</v>
      </c>
      <c r="C39" s="1">
        <f t="shared" si="1"/>
        <v>31415.926535897932</v>
      </c>
      <c r="D39" s="73" t="str">
        <f>IMPRODUCT(COMPLEX(1/(Calculations!$B$136*(Rcs+(Calculations!$B$135/1000))),0),IMDIV(COMPLEX(1,0),COMPLEX(1,(C39*Lm)/(Rcs+(Calculations!$B$135/1000)))))</f>
        <v>11.1042124401888-63.0611874854566i</v>
      </c>
      <c r="E39" s="1">
        <f t="shared" si="2"/>
        <v>36.127856469618727</v>
      </c>
      <c r="F39" s="1">
        <f t="shared" si="3"/>
        <v>-80.013373607633923</v>
      </c>
      <c r="G39" s="1" t="str">
        <f t="shared" si="0"/>
        <v>-0.0309983605110668+0.00520638360740808i</v>
      </c>
      <c r="H39" s="1">
        <f t="shared" si="4"/>
        <v>-30.052409522358609</v>
      </c>
      <c r="I39" s="1">
        <f t="shared" si="5"/>
        <v>170.46577478275927</v>
      </c>
      <c r="J39" s="1" t="str">
        <f t="shared" si="6"/>
        <v>-0.0158916476244764+2.01260621355193i</v>
      </c>
      <c r="K39" s="1">
        <f t="shared" si="7"/>
        <v>6.0754469472601036</v>
      </c>
      <c r="L39" s="1">
        <f t="shared" si="8"/>
        <v>90.45240117512536</v>
      </c>
    </row>
    <row r="40" spans="2:12">
      <c r="B40" s="1">
        <v>6000</v>
      </c>
      <c r="C40" s="1">
        <f t="shared" si="1"/>
        <v>37699.111843077517</v>
      </c>
      <c r="D40" s="73" t="str">
        <f>IMPRODUCT(COMPLEX(1/(Calculations!$B$136*(Rcs+(Calculations!$B$135/1000))),0),IMDIV(COMPLEX(1,0),COMPLEX(1,(C40*Lm)/(Rcs+(Calculations!$B$135/1000)))))</f>
        <v>7.78277651718225-53.0383724285915i</v>
      </c>
      <c r="E40" s="1">
        <f t="shared" si="2"/>
        <v>34.584324449087553</v>
      </c>
      <c r="F40" s="1">
        <f t="shared" si="3"/>
        <v>-81.652073771038275</v>
      </c>
      <c r="G40" s="1" t="str">
        <f t="shared" ref="G40:G62" si="11">IMPRODUCT(COMPLEX(-(gm*Acs*Rcs)/(IL_Comp_Ccomp+IL_Comp_Chf),0),IMDIV(COMPLEX(1,C40*IL_Comp_Rcomp*IL_Comp_Ccomp),IMPRODUCT(COMPLEX(0,C40),COMPLEX(1,C40*IL_Comp_Rcomp*((IL_Comp_Ccomp*IL_Comp_Chf)/(IL_Comp_Ccomp+IL_Comp_Chf))))))</f>
        <v>-0.0308819183154066+0.00538237195115483i</v>
      </c>
      <c r="H40" s="1">
        <f t="shared" si="4"/>
        <v>-30.075954814853731</v>
      </c>
      <c r="I40" s="1">
        <f t="shared" si="5"/>
        <v>170.11329813326535</v>
      </c>
      <c r="J40" s="1" t="str">
        <f t="shared" si="6"/>
        <v>0.0451251794238677+1.67981648295006i</v>
      </c>
      <c r="K40" s="1">
        <f t="shared" si="7"/>
        <v>4.5083696342337944</v>
      </c>
      <c r="L40" s="1">
        <f t="shared" si="8"/>
        <v>88.4612243622271</v>
      </c>
    </row>
    <row r="41" spans="2:12">
      <c r="B41" s="1">
        <v>7000</v>
      </c>
      <c r="C41" s="1">
        <f t="shared" si="1"/>
        <v>43982.297150257102</v>
      </c>
      <c r="D41" s="73" t="str">
        <f>IMPRODUCT(COMPLEX(1/(Calculations!$B$136*(Rcs+(Calculations!$B$135/1000))),0),IMDIV(COMPLEX(1,0),COMPLEX(1,(C41*Lm)/(Rcs+(Calculations!$B$135/1000)))))</f>
        <v>5.75011413849832-45.717122108863i</v>
      </c>
      <c r="E41" s="1">
        <f t="shared" si="2"/>
        <v>33.269743504936862</v>
      </c>
      <c r="F41" s="1">
        <f t="shared" si="3"/>
        <v>-82.831213561251147</v>
      </c>
      <c r="G41" s="1" t="str">
        <f t="shared" si="11"/>
        <v>-0.0307454276764303+0.00566210852544686i</v>
      </c>
      <c r="H41" s="1">
        <f t="shared" si="4"/>
        <v>-30.099539726194898</v>
      </c>
      <c r="I41" s="1">
        <f t="shared" si="5"/>
        <v>169.56526951683352</v>
      </c>
      <c r="J41" s="1" t="str">
        <f t="shared" si="6"/>
        <v>0.0820655884750689+1.43815024165846i</v>
      </c>
      <c r="K41" s="1">
        <f t="shared" si="7"/>
        <v>3.1702037787419446</v>
      </c>
      <c r="L41" s="1">
        <f t="shared" si="8"/>
        <v>86.734055955582392</v>
      </c>
    </row>
    <row r="42" spans="2:12">
      <c r="B42" s="1">
        <v>8000</v>
      </c>
      <c r="C42" s="1">
        <f t="shared" si="1"/>
        <v>50265.482457436687</v>
      </c>
      <c r="D42" s="73" t="str">
        <f>IMPRODUCT(COMPLEX(1/(Calculations!$B$136*(Rcs+(Calculations!$B$135/1000))),0),IMDIV(COMPLEX(1,0),COMPLEX(1,(C42*Lm)/(Rcs+(Calculations!$B$135/1000)))))</f>
        <v>4.41855876541152-40.1490247737208i</v>
      </c>
      <c r="E42" s="1">
        <f t="shared" si="2"/>
        <v>32.125785204136839</v>
      </c>
      <c r="F42" s="1">
        <f t="shared" si="3"/>
        <v>-83.719647375662532</v>
      </c>
      <c r="G42" s="1" t="str">
        <f t="shared" si="11"/>
        <v>-0.0305894300862741+0.00600304753249503i</v>
      </c>
      <c r="H42" s="1">
        <f t="shared" si="4"/>
        <v>-30.124455344135541</v>
      </c>
      <c r="I42" s="1">
        <f t="shared" si="5"/>
        <v>168.89704216225374</v>
      </c>
      <c r="J42" s="1" t="str">
        <f t="shared" si="6"/>
        <v>0.105855309663317+1.25466060464171i</v>
      </c>
      <c r="K42" s="1">
        <f t="shared" si="7"/>
        <v>2.0013298600013214</v>
      </c>
      <c r="L42" s="1">
        <f t="shared" si="8"/>
        <v>85.177394786591222</v>
      </c>
    </row>
    <row r="43" spans="2:12">
      <c r="B43" s="1">
        <v>9000</v>
      </c>
      <c r="C43" s="1">
        <f t="shared" si="1"/>
        <v>56548.667764616279</v>
      </c>
      <c r="D43" s="73" t="str">
        <f>IMPRODUCT(COMPLEX(1/(Calculations!$B$136*(Rcs+(Calculations!$B$135/1000))),0),IMDIV(COMPLEX(1,0),COMPLEX(1,(C43*Lm)/(Rcs+(Calculations!$B$135/1000)))))</f>
        <v>3.49999744197928-35.77788095617i</v>
      </c>
      <c r="E43" s="1">
        <f t="shared" si="2"/>
        <v>31.113656120091147</v>
      </c>
      <c r="F43" s="1">
        <f t="shared" si="3"/>
        <v>-84.412776104330575</v>
      </c>
      <c r="G43" s="1" t="str">
        <f t="shared" si="11"/>
        <v>-0.0304145355660928+0.00638114291558385i</v>
      </c>
      <c r="H43" s="1">
        <f t="shared" si="4"/>
        <v>-30.151294557794056</v>
      </c>
      <c r="I43" s="1">
        <f t="shared" si="5"/>
        <v>168.15088367181721</v>
      </c>
      <c r="J43" s="1" t="str">
        <f t="shared" si="6"/>
        <v>0.121852974917754+1.11050161670231i</v>
      </c>
      <c r="K43" s="1">
        <f t="shared" si="7"/>
        <v>0.96236156229705672</v>
      </c>
      <c r="L43" s="1">
        <f t="shared" si="8"/>
        <v>83.738107567486622</v>
      </c>
    </row>
    <row r="44" spans="2:12">
      <c r="B44" s="1">
        <v>10000</v>
      </c>
      <c r="C44" s="1">
        <f t="shared" si="1"/>
        <v>62831.853071795864</v>
      </c>
      <c r="D44" s="73" t="str">
        <f>IMPRODUCT(COMPLEX(1/(Calculations!$B$136*(Rcs+(Calculations!$B$135/1000))),0),IMDIV(COMPLEX(1,0),COMPLEX(1,(C44*Lm)/(Rcs+(Calculations!$B$135/1000)))))</f>
        <v>2.84011308627115-32.2581911644696i</v>
      </c>
      <c r="E44" s="1">
        <f t="shared" si="2"/>
        <v>30.206335179910543</v>
      </c>
      <c r="F44" s="1">
        <f t="shared" si="3"/>
        <v>-84.968472544019519</v>
      </c>
      <c r="G44" s="1" t="str">
        <f t="shared" si="11"/>
        <v>-0.0302214168712254+0.00678162965342096i</v>
      </c>
      <c r="H44" s="1">
        <f t="shared" si="4"/>
        <v>-30.180344466154931</v>
      </c>
      <c r="I44" s="1">
        <f t="shared" si="5"/>
        <v>167.35244328495818</v>
      </c>
      <c r="J44" s="1" t="str">
        <f t="shared" si="6"/>
        <v>0.132930864225066+0.994148837818041i</v>
      </c>
      <c r="K44" s="1">
        <f t="shared" si="7"/>
        <v>2.5990713755611353E-2</v>
      </c>
      <c r="L44" s="1">
        <f t="shared" si="8"/>
        <v>82.383970740938679</v>
      </c>
    </row>
    <row r="45" spans="2:12">
      <c r="B45" s="1">
        <v>20000</v>
      </c>
      <c r="C45" s="1">
        <f t="shared" si="1"/>
        <v>125663.70614359173</v>
      </c>
      <c r="D45" s="73" t="str">
        <f>IMPRODUCT(COMPLEX(1/(Calculations!$B$136*(Rcs+(Calculations!$B$135/1000))),0),IMDIV(COMPLEX(1,0),COMPLEX(1,(C45*Lm)/(Rcs+(Calculations!$B$135/1000)))))</f>
        <v>0.714148177913604-16.2226839165341i</v>
      </c>
      <c r="E45" s="1">
        <f t="shared" si="2"/>
        <v>24.210862175361015</v>
      </c>
      <c r="F45" s="1">
        <f t="shared" si="3"/>
        <v>-87.479376655932839</v>
      </c>
      <c r="G45" s="1" t="str">
        <f t="shared" si="11"/>
        <v>-0.0274676205144581+0.0107958351766285i</v>
      </c>
      <c r="H45" s="1">
        <f t="shared" si="4"/>
        <v>-30.599717561708736</v>
      </c>
      <c r="I45" s="1">
        <f t="shared" si="5"/>
        <v>158.54325744435505</v>
      </c>
      <c r="J45" s="1" t="str">
        <f t="shared" si="6"/>
        <v>0.155521470543422+0.453308351565806i</v>
      </c>
      <c r="K45" s="1">
        <f t="shared" si="7"/>
        <v>-6.3888553863477213</v>
      </c>
      <c r="L45" s="1">
        <f t="shared" si="8"/>
        <v>71.063880788422154</v>
      </c>
    </row>
    <row r="46" spans="2:12">
      <c r="B46" s="1">
        <v>30000</v>
      </c>
      <c r="C46" s="1">
        <f t="shared" si="1"/>
        <v>188495.55921538759</v>
      </c>
      <c r="D46" s="73" t="str">
        <f>IMPRODUCT(COMPLEX(1/(Calculations!$B$136*(Rcs+(Calculations!$B$135/1000))),0),IMDIV(COMPLEX(1,0),COMPLEX(1,(C46*Lm)/(Rcs+(Calculations!$B$135/1000)))))</f>
        <v>0.317740611529198-10.8267562692879i</v>
      </c>
      <c r="E46" s="1">
        <f t="shared" si="2"/>
        <v>20.693706121270495</v>
      </c>
      <c r="F46" s="1">
        <f t="shared" si="3"/>
        <v>-88.318982008631139</v>
      </c>
      <c r="G46" s="1" t="str">
        <f t="shared" si="11"/>
        <v>-0.0238461567540591+0.0136893551287103i</v>
      </c>
      <c r="H46" s="1">
        <f t="shared" si="4"/>
        <v>-31.214565846517679</v>
      </c>
      <c r="I46" s="1">
        <f t="shared" si="5"/>
        <v>150.14117400278525</v>
      </c>
      <c r="J46" s="1" t="str">
        <f t="shared" si="6"/>
        <v>0.140634419032617+0.262526191205468i</v>
      </c>
      <c r="K46" s="1">
        <f t="shared" si="7"/>
        <v>-10.520859725247188</v>
      </c>
      <c r="L46" s="1">
        <f t="shared" si="8"/>
        <v>61.822191994154075</v>
      </c>
    </row>
    <row r="47" spans="2:12">
      <c r="B47" s="1">
        <v>40000</v>
      </c>
      <c r="C47" s="1">
        <f t="shared" si="1"/>
        <v>251327.41228718346</v>
      </c>
      <c r="D47" s="73" t="str">
        <f>IMPRODUCT(COMPLEX(1/(Calculations!$B$136*(Rcs+(Calculations!$B$135/1000))),0),IMDIV(COMPLEX(1,0),COMPLEX(1,(C47*Lm)/(Rcs+(Calculations!$B$135/1000)))))</f>
        <v>0.178796408960556-8.12312547363072i</v>
      </c>
      <c r="E47" s="1">
        <f t="shared" si="2"/>
        <v>18.196566770215124</v>
      </c>
      <c r="F47" s="1">
        <f t="shared" si="3"/>
        <v>-88.739078231137967</v>
      </c>
      <c r="G47" s="1" t="str">
        <f t="shared" si="11"/>
        <v>-0.020130426945054+0.0152628568673587i</v>
      </c>
      <c r="H47" s="1">
        <f t="shared" si="4"/>
        <v>-31.950507614075256</v>
      </c>
      <c r="I47" s="1">
        <f t="shared" si="5"/>
        <v>142.8306550557424</v>
      </c>
      <c r="J47" s="1" t="str">
        <f t="shared" si="6"/>
        <v>0.120382853371003+0.166250927910793i</v>
      </c>
      <c r="K47" s="1">
        <f t="shared" si="7"/>
        <v>-13.753940843860125</v>
      </c>
      <c r="L47" s="1">
        <f t="shared" si="8"/>
        <v>54.091576824604331</v>
      </c>
    </row>
    <row r="48" spans="2:12">
      <c r="B48" s="1">
        <v>50000</v>
      </c>
      <c r="C48" s="1">
        <f t="shared" si="1"/>
        <v>314159.26535897929</v>
      </c>
      <c r="D48" s="73" t="str">
        <f>IMPRODUCT(COMPLEX(1/(Calculations!$B$136*(Rcs+(Calculations!$B$135/1000))),0),IMDIV(COMPLEX(1,0),COMPLEX(1,(C48*Lm)/(Rcs+(Calculations!$B$135/1000)))))</f>
        <v>0.114449653342105-6.49963343724476i</v>
      </c>
      <c r="E48" s="1">
        <f t="shared" si="2"/>
        <v>16.259123666416627</v>
      </c>
      <c r="F48" s="1">
        <f t="shared" si="3"/>
        <v>-88.991203958438604</v>
      </c>
      <c r="G48" s="1" t="str">
        <f t="shared" si="11"/>
        <v>-0.0167705877971184+0.0158241587132007i</v>
      </c>
      <c r="H48" s="1">
        <f t="shared" si="4"/>
        <v>-32.743687789395281</v>
      </c>
      <c r="I48" s="1">
        <f t="shared" si="5"/>
        <v>136.66318705118724</v>
      </c>
      <c r="J48" s="1" t="str">
        <f t="shared" si="6"/>
        <v>0.100931843128864+0.110813742687556i</v>
      </c>
      <c r="K48" s="1">
        <f t="shared" si="7"/>
        <v>-16.484564122978643</v>
      </c>
      <c r="L48" s="1">
        <f t="shared" si="8"/>
        <v>47.671983092748583</v>
      </c>
    </row>
    <row r="49" spans="2:12">
      <c r="B49" s="1">
        <v>60000</v>
      </c>
      <c r="C49" s="1">
        <f t="shared" si="1"/>
        <v>376991.11843077518</v>
      </c>
      <c r="D49" s="73" t="str">
        <f>IMPRODUCT(COMPLEX(1/(Calculations!$B$136*(Rcs+(Calculations!$B$135/1000))),0),IMDIV(COMPLEX(1,0),COMPLEX(1,(C49*Lm)/(Rcs+(Calculations!$B$135/1000)))))</f>
        <v>0.0794864542838156-5.41687424279213i</v>
      </c>
      <c r="E49" s="1">
        <f t="shared" si="2"/>
        <v>14.675910095613659</v>
      </c>
      <c r="F49" s="1">
        <f t="shared" si="3"/>
        <v>-89.159310089015364</v>
      </c>
      <c r="G49" s="1" t="str">
        <f t="shared" si="11"/>
        <v>-0.0139291383822777+0.0157337060592773i</v>
      </c>
      <c r="H49" s="1">
        <f t="shared" si="4"/>
        <v>-33.550000441807498</v>
      </c>
      <c r="I49" s="1">
        <f t="shared" si="5"/>
        <v>131.51864675075592</v>
      </c>
      <c r="J49" s="1" t="str">
        <f t="shared" si="6"/>
        <v>0.0841203292749258+0.076703007434643i</v>
      </c>
      <c r="K49" s="1">
        <f t="shared" si="7"/>
        <v>-18.874090346193846</v>
      </c>
      <c r="L49" s="1">
        <f t="shared" si="8"/>
        <v>42.359336661740549</v>
      </c>
    </row>
    <row r="50" spans="2:12">
      <c r="B50" s="1">
        <v>70000</v>
      </c>
      <c r="C50" s="1">
        <f t="shared" si="1"/>
        <v>439822.97150257102</v>
      </c>
      <c r="D50" s="73" t="str">
        <f>IMPRODUCT(COMPLEX(1/(Calculations!$B$136*(Rcs+(Calculations!$B$135/1000))),0),IMDIV(COMPLEX(1,0),COMPLEX(1,(C50*Lm)/(Rcs+(Calculations!$B$135/1000)))))</f>
        <v>0.0584015468560024-4.64330026266162i</v>
      </c>
      <c r="E50" s="1">
        <f t="shared" si="2"/>
        <v>13.337222352998046</v>
      </c>
      <c r="F50" s="1">
        <f t="shared" si="3"/>
        <v>-89.279394928247399</v>
      </c>
      <c r="G50" s="1" t="str">
        <f t="shared" si="11"/>
        <v>-0.0116053322658661+0.0152713957425188i</v>
      </c>
      <c r="H50" s="1">
        <f t="shared" si="4"/>
        <v>-34.3427107990195</v>
      </c>
      <c r="I50" s="1">
        <f t="shared" si="5"/>
        <v>127.23262576886138</v>
      </c>
      <c r="J50" s="1" t="str">
        <f t="shared" si="6"/>
        <v>0.0702319065063426+0.0547789154923847i</v>
      </c>
      <c r="K50" s="1">
        <f t="shared" si="7"/>
        <v>-21.005488446021459</v>
      </c>
      <c r="L50" s="1">
        <f t="shared" si="8"/>
        <v>37.953230840614005</v>
      </c>
    </row>
    <row r="51" spans="2:12">
      <c r="B51" s="1">
        <v>80000</v>
      </c>
      <c r="C51" s="1">
        <f t="shared" si="1"/>
        <v>502654.82457436691</v>
      </c>
      <c r="D51" s="73" t="str">
        <f>IMPRODUCT(COMPLEX(1/(Calculations!$B$136*(Rcs+(Calculations!$B$135/1000))),0),IMDIV(COMPLEX(1,0),COMPLEX(1,(C51*Lm)/(Rcs+(Calculations!$B$135/1000)))))</f>
        <v>0.0447153419672326-4.06303835191979i</v>
      </c>
      <c r="E51" s="1">
        <f t="shared" si="2"/>
        <v>12.177544415014518</v>
      </c>
      <c r="F51" s="1">
        <f t="shared" si="3"/>
        <v>-89.369462770364692</v>
      </c>
      <c r="G51" s="1" t="str">
        <f t="shared" si="11"/>
        <v>-0.00973196082124317+0.0146218557637109i</v>
      </c>
      <c r="H51" s="1">
        <f t="shared" si="4"/>
        <v>-35.107311379841704</v>
      </c>
      <c r="I51" s="1">
        <f t="shared" si="5"/>
        <v>123.64679537878988</v>
      </c>
      <c r="J51" s="1" t="str">
        <f t="shared" si="6"/>
        <v>0.0589739927880632+0.0401951513367617i</v>
      </c>
      <c r="K51" s="1">
        <f t="shared" si="7"/>
        <v>-22.929766964827188</v>
      </c>
      <c r="L51" s="1">
        <f t="shared" si="8"/>
        <v>34.277332608425191</v>
      </c>
    </row>
    <row r="52" spans="2:12">
      <c r="B52" s="1">
        <v>90000</v>
      </c>
      <c r="C52" s="1">
        <f t="shared" si="1"/>
        <v>565486.6776461628</v>
      </c>
      <c r="D52" s="73" t="str">
        <f>IMPRODUCT(COMPLEX(1/(Calculations!$B$136*(Rcs+(Calculations!$B$135/1000))),0),IMDIV(COMPLEX(1,0),COMPLEX(1,(C52*Lm)/(Rcs+(Calculations!$B$135/1000)))))</f>
        <v>0.0353315385848721-3.61168144389565i</v>
      </c>
      <c r="E52" s="1">
        <f t="shared" si="2"/>
        <v>11.154604351662238</v>
      </c>
      <c r="F52" s="1">
        <f t="shared" si="3"/>
        <v>-89.439517713863523</v>
      </c>
      <c r="G52" s="1" t="str">
        <f t="shared" si="11"/>
        <v>-0.00822688199131875+0.0138965808633813i</v>
      </c>
      <c r="H52" s="1">
        <f t="shared" si="4"/>
        <v>-35.836981630644672</v>
      </c>
      <c r="I52" s="1">
        <f t="shared" si="5"/>
        <v>120.62585670619548</v>
      </c>
      <c r="J52" s="1" t="str">
        <f t="shared" si="6"/>
        <v>0.0498993548393602+0.0302038646121376i</v>
      </c>
      <c r="K52" s="1">
        <f t="shared" si="7"/>
        <v>-24.682377278982422</v>
      </c>
      <c r="L52" s="1">
        <f t="shared" si="8"/>
        <v>31.186338992331983</v>
      </c>
    </row>
    <row r="53" spans="2:12">
      <c r="B53" s="1">
        <v>100000</v>
      </c>
      <c r="C53" s="1">
        <f t="shared" si="1"/>
        <v>628318.53071795858</v>
      </c>
      <c r="D53" s="73" t="str">
        <f>IMPRODUCT(COMPLEX(1/(Calculations!$B$136*(Rcs+(Calculations!$B$135/1000))),0),IMDIV(COMPLEX(1,0),COMPLEX(1,(C53*Lm)/(Rcs+(Calculations!$B$135/1000)))))</f>
        <v>0.0286190665775938-3.25057239823078i</v>
      </c>
      <c r="E53" s="1">
        <f t="shared" si="2"/>
        <v>10.239533500337021</v>
      </c>
      <c r="F53" s="1">
        <f t="shared" si="3"/>
        <v>-89.495562885362773</v>
      </c>
      <c r="G53" s="1" t="str">
        <f t="shared" si="11"/>
        <v>-0.00701445044873364+0.013158973915368i</v>
      </c>
      <c r="H53" s="1">
        <f t="shared" si="4"/>
        <v>-36.529411674573204</v>
      </c>
      <c r="I53" s="1">
        <f t="shared" si="5"/>
        <v>118.06004809106088</v>
      </c>
      <c r="J53" s="1" t="str">
        <f t="shared" si="6"/>
        <v>0.0425734503739365+0.0231775765679878i</v>
      </c>
      <c r="K53" s="1">
        <f t="shared" si="7"/>
        <v>-26.28987817423619</v>
      </c>
      <c r="L53" s="1">
        <f t="shared" si="8"/>
        <v>28.564485205698091</v>
      </c>
    </row>
    <row r="54" spans="2:12">
      <c r="B54" s="1">
        <v>200000</v>
      </c>
      <c r="C54" s="1">
        <f t="shared" si="1"/>
        <v>1256637.0614359172</v>
      </c>
      <c r="D54" s="73" t="str">
        <f>IMPRODUCT(COMPLEX(1/(Calculations!$B$136*(Rcs+(Calculations!$B$135/1000))),0),IMDIV(COMPLEX(1,0),COMPLEX(1,(C54*Lm)/(Rcs+(Calculations!$B$135/1000)))))</f>
        <v>0.00715518259290025-1.625380686524i</v>
      </c>
      <c r="E54" s="1">
        <f t="shared" si="2"/>
        <v>4.2191860605443896</v>
      </c>
      <c r="F54" s="1">
        <f t="shared" si="3"/>
        <v>-89.747776555097062</v>
      </c>
      <c r="G54" s="1" t="str">
        <f t="shared" si="11"/>
        <v>-0.00210836397259944+0.00789874464734409i</v>
      </c>
      <c r="H54" s="1">
        <f t="shared" si="4"/>
        <v>-41.749936716545264</v>
      </c>
      <c r="I54" s="1">
        <f t="shared" si="5"/>
        <v>104.94517786640692</v>
      </c>
      <c r="J54" s="1" t="str">
        <f t="shared" si="6"/>
        <v>0.0128233812683817+0.00348341104143259i</v>
      </c>
      <c r="K54" s="1">
        <f t="shared" si="7"/>
        <v>-37.530750656000855</v>
      </c>
      <c r="L54" s="1">
        <f t="shared" si="8"/>
        <v>15.197401311309845</v>
      </c>
    </row>
    <row r="55" spans="2:12">
      <c r="B55" s="1">
        <v>300000</v>
      </c>
      <c r="C55" s="1">
        <f t="shared" si="1"/>
        <v>1884955.5921538759</v>
      </c>
      <c r="D55" s="73" t="str">
        <f>IMPRODUCT(COMPLEX(1/(Calculations!$B$136*(Rcs+(Calculations!$B$135/1000))),0),IMDIV(COMPLEX(1,0),COMPLEX(1,(C55*Lm)/(Rcs+(Calculations!$B$135/1000)))))</f>
        <v>0.00318011538920352-1.08359879026526i</v>
      </c>
      <c r="E55" s="1">
        <f t="shared" si="2"/>
        <v>0.69740763539091033</v>
      </c>
      <c r="F55" s="1">
        <f t="shared" si="3"/>
        <v>-89.831850433300971</v>
      </c>
      <c r="G55" s="1" t="str">
        <f t="shared" si="11"/>
        <v>-0.000973521182857616+0.00546927095088753i</v>
      </c>
      <c r="H55" s="1">
        <f t="shared" si="4"/>
        <v>-45.105946743694844</v>
      </c>
      <c r="I55" s="1">
        <f t="shared" si="5"/>
        <v>100.09284797283122</v>
      </c>
      <c r="J55" s="1" t="str">
        <f t="shared" si="6"/>
        <v>0.00592339947631933+0.00107229928876076i</v>
      </c>
      <c r="K55" s="1">
        <f t="shared" si="7"/>
        <v>-44.408539108303941</v>
      </c>
      <c r="L55" s="1">
        <f t="shared" si="8"/>
        <v>10.260997539530285</v>
      </c>
    </row>
    <row r="56" spans="2:12">
      <c r="B56" s="1">
        <v>400000</v>
      </c>
      <c r="C56" s="1">
        <f t="shared" si="1"/>
        <v>2513274.1228718343</v>
      </c>
      <c r="D56" s="73" t="str">
        <f>IMPRODUCT(COMPLEX(1/(Calculations!$B$136*(Rcs+(Calculations!$B$135/1000))),0),IMDIV(COMPLEX(1,0),COMPLEX(1,(C56*Lm)/(Rcs+(Calculations!$B$135/1000)))))</f>
        <v>0.00178882164689562-0.812702155046385i</v>
      </c>
      <c r="E56" s="1">
        <f t="shared" si="2"/>
        <v>-1.8013507320701041</v>
      </c>
      <c r="F56" s="1">
        <f t="shared" si="3"/>
        <v>-89.87388766657385</v>
      </c>
      <c r="G56" s="1" t="str">
        <f t="shared" si="11"/>
        <v>-0.000555168274781243+0.00415820123219839i</v>
      </c>
      <c r="H56" s="1">
        <f t="shared" si="4"/>
        <v>-47.545157275642097</v>
      </c>
      <c r="I56" s="1">
        <f t="shared" si="5"/>
        <v>97.604681023641149</v>
      </c>
      <c r="J56" s="1" t="str">
        <f t="shared" si="6"/>
        <v>0.00337838600549657+0.000458624733704404i</v>
      </c>
      <c r="K56" s="1">
        <f t="shared" si="7"/>
        <v>-49.346508007712188</v>
      </c>
      <c r="L56" s="1">
        <f t="shared" si="8"/>
        <v>7.7307933570672809</v>
      </c>
    </row>
    <row r="57" spans="2:12">
      <c r="B57" s="1">
        <v>500000</v>
      </c>
      <c r="C57" s="1">
        <f t="shared" si="1"/>
        <v>3141592.653589793</v>
      </c>
      <c r="D57" s="73" t="str">
        <f>IMPRODUCT(COMPLEX(1/(Calculations!$B$136*(Rcs+(Calculations!$B$135/1000))),0),IMDIV(COMPLEX(1,0),COMPLEX(1,(C57*Lm)/(Rcs+(Calculations!$B$135/1000)))))</f>
        <v>0.0011448478507436-0.650162857986867i</v>
      </c>
      <c r="E57" s="1">
        <f t="shared" si="2"/>
        <v>-3.7395434176897728</v>
      </c>
      <c r="F57" s="1">
        <f t="shared" si="3"/>
        <v>-89.899110074604948</v>
      </c>
      <c r="G57" s="1" t="str">
        <f t="shared" si="11"/>
        <v>-0.000357593506940295+0.00334781230556521i</v>
      </c>
      <c r="H57" s="1">
        <f t="shared" si="4"/>
        <v>-49.455508766073855</v>
      </c>
      <c r="I57" s="1">
        <f t="shared" si="5"/>
        <v>96.096879431107567</v>
      </c>
      <c r="J57" s="1" t="str">
        <f t="shared" si="6"/>
        <v>0.00217621382643202+0.000236326752192568i</v>
      </c>
      <c r="K57" s="1">
        <f t="shared" si="7"/>
        <v>-53.195052183763629</v>
      </c>
      <c r="L57" s="1">
        <f t="shared" si="8"/>
        <v>6.1977693565026133</v>
      </c>
    </row>
    <row r="58" spans="2:12">
      <c r="B58" s="1">
        <v>600000</v>
      </c>
      <c r="C58" s="1">
        <f t="shared" si="1"/>
        <v>3769911.1843077517</v>
      </c>
      <c r="D58" s="73" t="str">
        <f>IMPRODUCT(COMPLEX(1/(Calculations!$B$136*(Rcs+(Calculations!$B$135/1000))),0),IMDIV(COMPLEX(1,0),COMPLEX(1,(C58*Lm)/(Rcs+(Calculations!$B$135/1000)))))</f>
        <v>0.000795033982909857-0.541802894967696i</v>
      </c>
      <c r="E58" s="1">
        <f t="shared" si="2"/>
        <v>-5.3231642240709789</v>
      </c>
      <c r="F58" s="1">
        <f t="shared" si="3"/>
        <v>-89.915925035619495</v>
      </c>
      <c r="G58" s="1" t="str">
        <f t="shared" si="11"/>
        <v>-0.000249199689338009+0.00279955936843262i</v>
      </c>
      <c r="H58" s="1">
        <f t="shared" si="4"/>
        <v>-51.023930767940875</v>
      </c>
      <c r="I58" s="1">
        <f t="shared" si="5"/>
        <v>95.086714071792528</v>
      </c>
      <c r="J58" s="1" t="str">
        <f t="shared" si="6"/>
        <v>0.00151661124822917+0.000137242857943461i</v>
      </c>
      <c r="K58" s="1">
        <f t="shared" si="7"/>
        <v>-56.347094992011876</v>
      </c>
      <c r="L58" s="1">
        <f t="shared" si="8"/>
        <v>5.1707890361730566</v>
      </c>
    </row>
    <row r="59" spans="2:12">
      <c r="B59" s="1">
        <v>700000</v>
      </c>
      <c r="C59" s="1">
        <f t="shared" si="1"/>
        <v>4398229.7150257099</v>
      </c>
      <c r="D59" s="73" t="str">
        <f>IMPRODUCT(COMPLEX(1/(Calculations!$B$136*(Rcs+(Calculations!$B$135/1000))),0),IMDIV(COMPLEX(1,0),COMPLEX(1,(C59*Lm)/(Rcs+(Calculations!$B$135/1000)))))</f>
        <v>0.000584106933366771-0.464402746696368i</v>
      </c>
      <c r="E59" s="1">
        <f t="shared" si="2"/>
        <v>-6.6620975357246479</v>
      </c>
      <c r="F59" s="1">
        <f t="shared" si="3"/>
        <v>-89.92793573109418</v>
      </c>
      <c r="G59" s="1" t="str">
        <f t="shared" si="11"/>
        <v>-0.000183473450166122+0.00240467201110348i</v>
      </c>
      <c r="H59" s="1">
        <f t="shared" si="4"/>
        <v>-52.353673891699053</v>
      </c>
      <c r="I59" s="1">
        <f t="shared" si="5"/>
        <v>94.363142346531134</v>
      </c>
      <c r="J59" s="1" t="str">
        <f t="shared" si="6"/>
        <v>0.001116629118746+0.0000866101597971648i</v>
      </c>
      <c r="K59" s="1">
        <f t="shared" si="7"/>
        <v>-59.015771427423743</v>
      </c>
      <c r="L59" s="1">
        <f t="shared" si="8"/>
        <v>4.4352066154369689</v>
      </c>
    </row>
    <row r="60" spans="2:12">
      <c r="B60" s="1">
        <v>800000</v>
      </c>
      <c r="C60" s="1">
        <f t="shared" si="1"/>
        <v>5026548.2457436686</v>
      </c>
      <c r="D60" s="73" t="str">
        <f>IMPRODUCT(COMPLEX(1/(Calculations!$B$136*(Rcs+(Calculations!$B$135/1000))),0),IMDIV(COMPLEX(1,0),COMPLEX(1,(C60*Lm)/(Rcs+(Calculations!$B$135/1000)))))</f>
        <v>0.000447207036670338-0.406352554023064i</v>
      </c>
      <c r="E60" s="1">
        <f t="shared" si="2"/>
        <v>-7.8219348650401175</v>
      </c>
      <c r="F60" s="1">
        <f t="shared" si="3"/>
        <v>-89.93694375691426</v>
      </c>
      <c r="G60" s="1" t="str">
        <f t="shared" si="11"/>
        <v>-0.00014066532203961+0.00210696581020304i</v>
      </c>
      <c r="H60" s="1">
        <f t="shared" si="4"/>
        <v>-53.507536004836275</v>
      </c>
      <c r="I60" s="1">
        <f t="shared" si="5"/>
        <v>93.819514740348254</v>
      </c>
      <c r="J60" s="1" t="str">
        <f t="shared" si="6"/>
        <v>0.000856108031693448+0.0000581019628096189i</v>
      </c>
      <c r="K60" s="1">
        <f t="shared" si="7"/>
        <v>-61.329470869876388</v>
      </c>
      <c r="L60" s="1">
        <f t="shared" si="8"/>
        <v>3.8825709834339888</v>
      </c>
    </row>
    <row r="61" spans="2:12">
      <c r="B61" s="1">
        <v>900000</v>
      </c>
      <c r="C61" s="1">
        <f t="shared" si="1"/>
        <v>5654866.7764616273</v>
      </c>
      <c r="D61" s="73" t="str">
        <f>IMPRODUCT(COMPLEX(1/(Calculations!$B$136*(Rcs+(Calculations!$B$135/1000))),0),IMDIV(COMPLEX(1,0),COMPLEX(1,(C61*Lm)/(Rcs+(Calculations!$B$135/1000)))))</f>
        <v>0.000353348859535926-0.361202362060173i</v>
      </c>
      <c r="E61" s="1">
        <f t="shared" si="2"/>
        <v>-8.8449842100133349</v>
      </c>
      <c r="F61" s="1">
        <f t="shared" si="3"/>
        <v>-89.943950001396715</v>
      </c>
      <c r="G61" s="1" t="str">
        <f t="shared" si="11"/>
        <v>-0.000111248013418984+0.0018746163602832i</v>
      </c>
      <c r="H61" s="1">
        <f t="shared" si="4"/>
        <v>-54.52648400284447</v>
      </c>
      <c r="I61" s="1">
        <f t="shared" si="5"/>
        <v>93.396201452270446</v>
      </c>
      <c r="J61" s="1" t="str">
        <f t="shared" si="6"/>
        <v>0.000677076547932269+0.0000408454387744123i</v>
      </c>
      <c r="K61" s="1">
        <f t="shared" si="7"/>
        <v>-63.371468212857806</v>
      </c>
      <c r="L61" s="1">
        <f t="shared" si="8"/>
        <v>3.4522514508737259</v>
      </c>
    </row>
    <row r="62" spans="2:12">
      <c r="B62" s="1">
        <v>1000000</v>
      </c>
      <c r="C62" s="1">
        <f t="shared" si="1"/>
        <v>6283185.307179586</v>
      </c>
      <c r="D62" s="73" t="str">
        <f>IMPRODUCT(COMPLEX(1/(Calculations!$B$136*(Rcs+(Calculations!$B$135/1000))),0),IMDIV(COMPLEX(1,0),COMPLEX(1,(C62*Lm)/(Rcs+(Calculations!$B$135/1000)))))</f>
        <v>0.000286212628265408-0.325082184963015i</v>
      </c>
      <c r="E62" s="1">
        <f t="shared" si="2"/>
        <v>-9.7601332315602605</v>
      </c>
      <c r="F62" s="1">
        <f t="shared" si="3"/>
        <v>-89.949554998199616</v>
      </c>
      <c r="G62" s="1" t="str">
        <f t="shared" si="11"/>
        <v>-0.0000901718502315854+0.00168828820979325i</v>
      </c>
      <c r="H62" s="1">
        <f t="shared" si="4"/>
        <v>-55.438696975622612</v>
      </c>
      <c r="I62" s="1">
        <f t="shared" si="5"/>
        <v>93.057275470191726</v>
      </c>
      <c r="J62" s="1" t="str">
        <f t="shared" si="6"/>
        <v>0.000548806611764636+0.000029796471501236i</v>
      </c>
      <c r="K62" s="1">
        <f t="shared" si="7"/>
        <v>-65.19883020718288</v>
      </c>
      <c r="L62" s="1">
        <f t="shared" si="8"/>
        <v>3.1077204719921241</v>
      </c>
    </row>
    <row r="69" spans="2:97">
      <c r="Q69" t="s">
        <v>398</v>
      </c>
    </row>
    <row r="74" spans="2:97" ht="28">
      <c r="B74" s="30" t="s">
        <v>192</v>
      </c>
      <c r="C74" s="29"/>
      <c r="D74" s="29"/>
      <c r="E74" s="29"/>
    </row>
    <row r="75" spans="2:97" ht="28">
      <c r="B75" s="29"/>
      <c r="C75" s="29"/>
      <c r="D75" s="29"/>
      <c r="E75" s="29"/>
    </row>
    <row r="76" spans="2:97" ht="15" thickBot="1">
      <c r="B76" s="206" t="s">
        <v>33</v>
      </c>
      <c r="C76" s="206"/>
      <c r="D76" s="216" t="s">
        <v>31</v>
      </c>
      <c r="E76" s="195"/>
      <c r="F76" s="195"/>
      <c r="G76" s="195"/>
      <c r="H76" s="195"/>
      <c r="I76" s="195"/>
      <c r="J76" s="195"/>
      <c r="K76" s="195"/>
      <c r="L76" s="195"/>
      <c r="M76" s="195"/>
      <c r="N76" s="195"/>
      <c r="O76" s="195"/>
      <c r="P76" s="195"/>
      <c r="Q76" s="195"/>
      <c r="R76" s="195"/>
      <c r="S76" s="195"/>
      <c r="T76" s="195"/>
    </row>
    <row r="77" spans="2:97" ht="15" thickBot="1">
      <c r="B77" s="206"/>
      <c r="C77" s="206"/>
      <c r="D77" s="196" t="s">
        <v>0</v>
      </c>
      <c r="E77" s="197"/>
      <c r="F77" s="198"/>
      <c r="G77" s="196" t="s">
        <v>386</v>
      </c>
      <c r="H77" s="197"/>
      <c r="I77" s="198"/>
      <c r="J77" s="196" t="s">
        <v>387</v>
      </c>
      <c r="K77" s="197"/>
      <c r="L77" s="198"/>
      <c r="M77" s="196" t="s">
        <v>390</v>
      </c>
      <c r="N77" s="198"/>
      <c r="O77" s="207" t="s">
        <v>444</v>
      </c>
      <c r="P77" s="217"/>
      <c r="Q77" s="208"/>
      <c r="R77" s="218" t="s">
        <v>445</v>
      </c>
      <c r="S77" s="219"/>
      <c r="T77" s="219"/>
      <c r="U77" s="195" t="s">
        <v>393</v>
      </c>
      <c r="V77" s="195"/>
      <c r="W77" s="195"/>
      <c r="X77" t="s">
        <v>387</v>
      </c>
    </row>
    <row r="78" spans="2:97" ht="4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0.444442075977176-0.000916935572055987i</v>
      </c>
      <c r="E79" s="1">
        <f t="shared" ref="E79:E137" si="14">20*LOG(IMABS(D79))</f>
        <v>-7.0436781644241169</v>
      </c>
      <c r="F79" s="6">
        <f t="shared" ref="F79" si="15">IMARGUMENT(D79)*(180/PI())</f>
        <v>-0.11820767354041692</v>
      </c>
      <c r="G79" s="5" t="str">
        <f t="shared" ref="G79:G110" si="16">IMDIV(COMPLEX(V48_Max,0),IMSUM(COMPLEX(Rcs/np,(Lm*C79)/np),D79))</f>
        <v>123.611087495983+0.250635378243545i</v>
      </c>
      <c r="H79" s="1">
        <f>20*LOG10(IMABS(G79))</f>
        <v>41.841166399618928</v>
      </c>
      <c r="I79" s="6">
        <f>IMARGUMENT(G79)*(180/PI())</f>
        <v>0.1161734758708779</v>
      </c>
      <c r="J79" s="26" t="str">
        <f t="shared" ref="J79:J110" si="17">IMDIV(IMPRODUCT(COMPLEX(V48_Max,0),D79),IMSUM(COMPLEX(Rcs/np,(Lm*C79)/np),D79))</f>
        <v>54.9381981570051-0.00195049540570594i</v>
      </c>
      <c r="K79" s="1">
        <f>20*LOG10(IMABS(J79))</f>
        <v>34.797488235194834</v>
      </c>
      <c r="L79" s="6">
        <f>IMARGUMENT(J79)*(180/PI())</f>
        <v>-2.0341976695390082E-3</v>
      </c>
      <c r="M79" s="26">
        <f t="shared" ref="M79:M110" si="18">(Ramp_C*Ramp_R*Fsw)/(V48_Max)</f>
        <v>0.17454545454545453</v>
      </c>
      <c r="N79" s="6">
        <f t="shared" ref="N79:N110" si="19">(Rcs*Acs)/np</f>
        <v>2.5000000000000001E-2</v>
      </c>
      <c r="O79" s="5" t="str">
        <f t="shared" ref="O79:O110" si="20">IMPRODUCT(COMPLEX(gm/(IL_Comp_Ccomp+IL_Comp_Chf),0),IMDIV(COMPLEX(1,C79*IL_Comp_Rcomp*IL_Comp_Ccomp),IMPRODUCT(COMPLEX(0,C79),COMPLEX(1,C79*IL_Comp_Rcomp*IL_Comp_Chf))))</f>
        <v>0.625296041843028-232.444794958096i</v>
      </c>
      <c r="P79" s="1">
        <f t="shared" ref="P79:P137" si="21">20*LOG(IMABS(O79))</f>
        <v>47.326427940793998</v>
      </c>
      <c r="Q79" s="6">
        <f t="shared" ref="Q79" si="22">IMARGUMENT(O79)*(180/PI())</f>
        <v>-89.845869907606328</v>
      </c>
      <c r="R79" s="5" t="str">
        <f>IMDIV(IMPRODUCT(J79,O79,COMPLEX(M79,0)),IMSUM(COMPLEX(1,0),IMPRODUCT(G79,O79,COMPLEX(N79,0),COMPLEX(M79,0))))</f>
        <v>17.7755909969323-0.178442865521061i</v>
      </c>
      <c r="S79" s="1">
        <f>20*LOG10(IMABS(R79))</f>
        <v>24.996918614070719</v>
      </c>
      <c r="T79" s="6">
        <f>IMARGUMENT(R79)*(180/PI())</f>
        <v>-0.57515272831881947</v>
      </c>
      <c r="U79" t="str">
        <f>IMPRODUCT(COMPLEX(-1,0),IMDIV(COMPLEX(1,C79*Calculations!$B$171*Calculations!$B$173),IMPRODUCT(COMPLEX(0,C79*Calculations!$B$160),COMPLEX((Calculations!$B$173+Calculations!$B$175),C79*Calculations!$B$171*Calculations!$B$173*Calculations!$B$175))))</f>
        <v>-0.223990579259779+177.40653168454i</v>
      </c>
      <c r="V79">
        <f>20*LOG10(IMABS(U79))</f>
        <v>44.979399032658982</v>
      </c>
      <c r="W79">
        <f>IMARGUMENT(U79)*(180/PI())</f>
        <v>90.072340673711039</v>
      </c>
      <c r="X79" t="str">
        <f>IMPRODUCT(U79,R79)</f>
        <v>27.6753649518544+3153.54591692951i</v>
      </c>
      <c r="Y79">
        <f>20*LOG10(IMABS(X79))</f>
        <v>69.976317646729711</v>
      </c>
      <c r="Z79">
        <f>IMARGUMENT(X79)*(180/PI())</f>
        <v>89.497187945392241</v>
      </c>
    </row>
    <row r="80" spans="2:97">
      <c r="B80" s="1">
        <v>2</v>
      </c>
      <c r="C80" s="22">
        <f t="shared" si="12"/>
        <v>12.566370614359172</v>
      </c>
      <c r="D80" s="26" t="str">
        <f t="shared" si="13"/>
        <v>0.444434970764997-0.00183383443823428i</v>
      </c>
      <c r="E80" s="1">
        <f t="shared" si="14"/>
        <v>-7.0437615698566312</v>
      </c>
      <c r="F80" s="6">
        <f t="shared" ref="F80:F133" si="23">IMARGUMENT(D80)*(180/PI())</f>
        <v>-0.2364133883549456</v>
      </c>
      <c r="G80" s="5" t="str">
        <f t="shared" si="16"/>
        <v>123.611536898396+0.501270386185689i</v>
      </c>
      <c r="H80" s="1">
        <f t="shared" ref="H80:H137" si="24">20*LOG10(IMABS(G80))</f>
        <v>41.841251541246159</v>
      </c>
      <c r="I80" s="6">
        <f t="shared" ref="I80:I133" si="25">IMARGUMENT(G80)*(180/PI())</f>
        <v>0.23234498017881611</v>
      </c>
      <c r="J80" s="26" t="str">
        <f t="shared" si="17"/>
        <v>54.9382090345519-0.00390100389754982i</v>
      </c>
      <c r="K80" s="1">
        <f t="shared" ref="K80:K137" si="26">20*LOG10(IMABS(J80))</f>
        <v>34.79748997138951</v>
      </c>
      <c r="L80" s="6">
        <f t="shared" ref="L80:L133" si="27">IMARGUMENT(J80)*(180/PI())</f>
        <v>-4.0684081761287417E-3</v>
      </c>
      <c r="M80" s="26">
        <f t="shared" si="18"/>
        <v>0.17454545454545453</v>
      </c>
      <c r="N80" s="6">
        <f t="shared" si="19"/>
        <v>2.5000000000000001E-2</v>
      </c>
      <c r="O80" s="5" t="str">
        <f t="shared" si="20"/>
        <v>0.625296041185459-116.222415039833i</v>
      </c>
      <c r="P80" s="1">
        <f t="shared" si="21"/>
        <v>41.305923622019456</v>
      </c>
      <c r="Q80" s="6">
        <f t="shared" ref="Q80:Q133" si="28">IMARGUMENT(O80)*(180/PI())</f>
        <v>-89.691742092810486</v>
      </c>
      <c r="R80" s="5" t="str">
        <f t="shared" ref="R80:R133" si="29">IMDIV(IMPRODUCT(J80,O80,COMPLEX(M80,0)),IMSUM(COMPLEX(1,0),IMPRODUCT(G80,O80,COMPLEX(N80,0),COMPLEX(M80,0))))</f>
        <v>17.7690346424021-0.356724061140106i</v>
      </c>
      <c r="S80" s="1">
        <f t="shared" ref="S80:S137" si="30">20*LOG10(IMABS(R80))</f>
        <v>24.995026664663811</v>
      </c>
      <c r="T80" s="6">
        <f t="shared" ref="T80:T133" si="31">IMARGUMENT(R80)*(180/PI())</f>
        <v>-1.1500927549746767</v>
      </c>
      <c r="U80" t="str">
        <f>IMPRODUCT(COMPLEX(-1,0),IMDIV(COMPLEX(1,C80*Calculations!$B$171*Calculations!$B$173),IMPRODUCT(COMPLEX(0,C80*Calculations!$B$160),COMPLEX((Calculations!$B$173+Calculations!$B$175),C80*Calculations!$B$171*Calculations!$B$173*Calculations!$B$175))))</f>
        <v>-0.223990578905664+88.7032735551841i</v>
      </c>
      <c r="V80">
        <f t="shared" ref="V80:V137" si="32">20*LOG10(IMABS(U80))</f>
        <v>38.958820644037282</v>
      </c>
      <c r="W80">
        <f t="shared" ref="W80:W134" si="33">IMARGUMENT(U80)*(180/PI())</f>
        <v>90.14468110397506</v>
      </c>
      <c r="X80" t="str">
        <f t="shared" ref="X80:X134" si="34">IMPRODUCT(U80,R80)</f>
        <v>27.6624956228806+1576.2514435255i</v>
      </c>
      <c r="Y80">
        <f t="shared" ref="Y80:Y137" si="35">20*LOG10(IMABS(X80))</f>
        <v>63.953847308701093</v>
      </c>
      <c r="Z80">
        <f t="shared" ref="Z80:Z134" si="36">IMARGUMENT(X80)*(180/PI())</f>
        <v>88.994588349000381</v>
      </c>
    </row>
    <row r="81" spans="2:26">
      <c r="B81" s="1">
        <v>3</v>
      </c>
      <c r="C81" s="22">
        <f t="shared" si="12"/>
        <v>18.849555921538759</v>
      </c>
      <c r="D81" s="26" t="str">
        <f t="shared" si="13"/>
        <v>0.444423129376741-0.00275065989755495i</v>
      </c>
      <c r="E81" s="1">
        <f t="shared" si="14"/>
        <v>-7.0439005750508308</v>
      </c>
      <c r="F81" s="6">
        <f t="shared" si="23"/>
        <v>-0.35461518587575402</v>
      </c>
      <c r="G81" s="5" t="str">
        <f t="shared" si="16"/>
        <v>123.61228590156+0.751904653525826i</v>
      </c>
      <c r="H81" s="1">
        <f t="shared" si="24"/>
        <v>41.841393440092205</v>
      </c>
      <c r="I81" s="6">
        <f t="shared" si="25"/>
        <v>0.34851254151898198</v>
      </c>
      <c r="J81" s="26" t="str">
        <f t="shared" si="17"/>
        <v>54.938227163761-0.00585153856163529i</v>
      </c>
      <c r="K81" s="1">
        <f t="shared" si="26"/>
        <v>34.797492865041384</v>
      </c>
      <c r="L81" s="6">
        <f t="shared" si="27"/>
        <v>-6.1026443567708437E-3</v>
      </c>
      <c r="M81" s="26">
        <f t="shared" si="18"/>
        <v>0.17454545454545453</v>
      </c>
      <c r="N81" s="6">
        <f t="shared" si="19"/>
        <v>2.5000000000000001E-2</v>
      </c>
      <c r="O81" s="5" t="str">
        <f t="shared" si="20"/>
        <v>0.625296040089512-77.4816295385384i</v>
      </c>
      <c r="P81" s="1">
        <f t="shared" si="21"/>
        <v>37.784257760404721</v>
      </c>
      <c r="Q81" s="6">
        <f t="shared" si="28"/>
        <v>-89.537618833009788</v>
      </c>
      <c r="R81" s="5" t="str">
        <f t="shared" si="29"/>
        <v>17.758120660031-0.534682408167629i</v>
      </c>
      <c r="S81" s="1">
        <f t="shared" si="30"/>
        <v>24.991875418410881</v>
      </c>
      <c r="T81" s="6">
        <f t="shared" si="31"/>
        <v>-1.7246077700419173</v>
      </c>
      <c r="U81" t="str">
        <f>IMPRODUCT(COMPLEX(-1,0),IMDIV(COMPLEX(1,C81*Calculations!$B$171*Calculations!$B$173),IMPRODUCT(COMPLEX(0,C81*Calculations!$B$160),COMPLEX((Calculations!$B$173+Calculations!$B$175),C81*Calculations!$B$171*Calculations!$B$173*Calculations!$B$175))))</f>
        <v>-0.223990578315469+59.1355242733601i</v>
      </c>
      <c r="V81">
        <f t="shared" si="32"/>
        <v>35.437031337116238</v>
      </c>
      <c r="W81">
        <f t="shared" si="33"/>
        <v>90.217021047349803</v>
      </c>
      <c r="X81" t="str">
        <f t="shared" si="34"/>
        <v>27.6410728102992+1050.25553916234i</v>
      </c>
      <c r="Y81">
        <f t="shared" si="35"/>
        <v>60.428906755527116</v>
      </c>
      <c r="Z81">
        <f t="shared" si="36"/>
        <v>88.492413277307904</v>
      </c>
    </row>
    <row r="82" spans="2:26">
      <c r="B82" s="1">
        <v>4</v>
      </c>
      <c r="C82" s="22">
        <f t="shared" si="12"/>
        <v>25.132741228718345</v>
      </c>
      <c r="D82" s="26" t="str">
        <f t="shared" si="13"/>
        <v>0.444406552760341-0.00366737525883219i</v>
      </c>
      <c r="E82" s="1">
        <f t="shared" si="14"/>
        <v>-7.0440951742172349</v>
      </c>
      <c r="F82" s="6">
        <f t="shared" si="23"/>
        <v>-0.47281110785108382</v>
      </c>
      <c r="G82" s="5" t="str">
        <f t="shared" si="16"/>
        <v>123.613334504189+1.00253780996494i</v>
      </c>
      <c r="H82" s="1">
        <f t="shared" si="24"/>
        <v>41.841592090358617</v>
      </c>
      <c r="I82" s="6">
        <f t="shared" si="25"/>
        <v>0.46467418880272326</v>
      </c>
      <c r="J82" s="26" t="str">
        <f t="shared" si="17"/>
        <v>54.9382525445779-0.00780211248398598i</v>
      </c>
      <c r="K82" s="1">
        <f t="shared" si="26"/>
        <v>34.797496916141391</v>
      </c>
      <c r="L82" s="6">
        <f t="shared" si="27"/>
        <v>-8.1369190483570192E-3</v>
      </c>
      <c r="M82" s="26">
        <f t="shared" si="18"/>
        <v>0.17454545454545453</v>
      </c>
      <c r="N82" s="6">
        <f t="shared" si="19"/>
        <v>2.5000000000000001E-2</v>
      </c>
      <c r="O82" s="5" t="str">
        <f t="shared" si="20"/>
        <v>0.625296038555191-58.1112426414862i</v>
      </c>
      <c r="P82" s="1">
        <f t="shared" si="21"/>
        <v>35.285706065717818</v>
      </c>
      <c r="Q82" s="6">
        <f t="shared" si="28"/>
        <v>-89.383502405200488</v>
      </c>
      <c r="R82" s="5" t="str">
        <f t="shared" si="29"/>
        <v>17.7428688991257-0.712157707208146i</v>
      </c>
      <c r="S82" s="1">
        <f t="shared" si="30"/>
        <v>24.98746787304998</v>
      </c>
      <c r="T82" s="6">
        <f t="shared" si="31"/>
        <v>-2.2984862452843942</v>
      </c>
      <c r="U82" t="str">
        <f>IMPRODUCT(COMPLEX(-1,0),IMDIV(COMPLEX(1,C82*Calculations!$B$171*Calculations!$B$173),IMPRODUCT(COMPLEX(0,C82*Calculations!$B$160),COMPLEX((Calculations!$B$173+Calculations!$B$175),C82*Calculations!$B$171*Calculations!$B$173*Calculations!$B$175))))</f>
        <v>-0.223990577489198+44.3516522034197i</v>
      </c>
      <c r="V82">
        <f t="shared" si="32"/>
        <v>32.938306828321785</v>
      </c>
      <c r="W82">
        <f t="shared" si="33"/>
        <v>90.289360260402773</v>
      </c>
      <c r="X82" t="str">
        <f t="shared" si="34"/>
        <v>27.6111354930502+787.085067120996i</v>
      </c>
      <c r="Y82">
        <f t="shared" si="35"/>
        <v>57.925774701371765</v>
      </c>
      <c r="Z82">
        <f t="shared" si="36"/>
        <v>87.990874015118379</v>
      </c>
    </row>
    <row r="83" spans="2:26">
      <c r="B83" s="1">
        <v>5</v>
      </c>
      <c r="C83" s="22">
        <f t="shared" si="12"/>
        <v>31.415926535897931</v>
      </c>
      <c r="D83" s="26" t="str">
        <f t="shared" si="13"/>
        <v>0.444385242242637-0.00458394384556792i</v>
      </c>
      <c r="E83" s="1">
        <f t="shared" si="14"/>
        <v>-7.0443453592516576</v>
      </c>
      <c r="F83" s="6">
        <f t="shared" si="23"/>
        <v>-0.59099919650320543</v>
      </c>
      <c r="G83" s="5" t="str">
        <f t="shared" si="16"/>
        <v>123.614682704482+1.25316948520639i</v>
      </c>
      <c r="H83" s="1">
        <f t="shared" si="24"/>
        <v>41.841847483928632</v>
      </c>
      <c r="I83" s="6">
        <f t="shared" si="25"/>
        <v>0.58082795141557719</v>
      </c>
      <c r="J83" s="26" t="str">
        <f t="shared" si="17"/>
        <v>54.9382851769268-0.00975273875052038i</v>
      </c>
      <c r="K83" s="1">
        <f t="shared" si="26"/>
        <v>34.797502124676932</v>
      </c>
      <c r="L83" s="6">
        <f t="shared" si="27"/>
        <v>-1.0171245087629522E-2</v>
      </c>
      <c r="M83" s="26">
        <f t="shared" si="18"/>
        <v>0.17454545454545453</v>
      </c>
      <c r="N83" s="6">
        <f t="shared" si="19"/>
        <v>2.5000000000000001E-2</v>
      </c>
      <c r="O83" s="5" t="str">
        <f t="shared" si="20"/>
        <v>0.625296036582483-46.4890151861305i</v>
      </c>
      <c r="P83" s="1">
        <f t="shared" si="21"/>
        <v>33.347792551198268</v>
      </c>
      <c r="Q83" s="6">
        <f t="shared" si="28"/>
        <v>-89.22939508577744</v>
      </c>
      <c r="R83" s="5" t="str">
        <f t="shared" si="29"/>
        <v>17.7233070223466-0.888991220013945i</v>
      </c>
      <c r="S83" s="1">
        <f t="shared" si="30"/>
        <v>24.981808212657334</v>
      </c>
      <c r="T83" s="6">
        <f t="shared" si="31"/>
        <v>-2.8715178205526177</v>
      </c>
      <c r="U83" t="str">
        <f>IMPRODUCT(COMPLEX(-1,0),IMDIV(COMPLEX(1,C83*Calculations!$B$171*Calculations!$B$173),IMPRODUCT(COMPLEX(0,C83*Calculations!$B$160),COMPLEX((Calculations!$B$173+Calculations!$B$175),C83*Calculations!$B$171*Calculations!$B$173*Calculations!$B$175))))</f>
        <v>-0.223990576426849+35.4813310182321i</v>
      </c>
      <c r="V83">
        <f t="shared" si="32"/>
        <v>31.000171140212899</v>
      </c>
      <c r="W83">
        <f t="shared" si="33"/>
        <v>90.361698499715857</v>
      </c>
      <c r="X83" t="str">
        <f t="shared" si="34"/>
        <v>27.5727379934913+629.045648853446i</v>
      </c>
      <c r="Y83">
        <f t="shared" si="35"/>
        <v>55.981979352870226</v>
      </c>
      <c r="Z83">
        <f t="shared" si="36"/>
        <v>87.490180679163245</v>
      </c>
    </row>
    <row r="84" spans="2:26">
      <c r="B84" s="1">
        <v>6</v>
      </c>
      <c r="C84" s="22">
        <f t="shared" si="12"/>
        <v>37.699111843077517</v>
      </c>
      <c r="D84" s="26" t="str">
        <f t="shared" si="13"/>
        <v>0.444359199529109-0.00550032900084141i</v>
      </c>
      <c r="E84" s="1">
        <f t="shared" si="14"/>
        <v>-7.044651119736324</v>
      </c>
      <c r="F84" s="6">
        <f t="shared" si="23"/>
        <v>-0.70917749468629787</v>
      </c>
      <c r="G84" s="5" t="str">
        <f t="shared" si="16"/>
        <v>123.616330500123+1.50379930895671i</v>
      </c>
      <c r="H84" s="1">
        <f t="shared" si="24"/>
        <v>41.842159610368228</v>
      </c>
      <c r="I84" s="6">
        <f t="shared" si="25"/>
        <v>0.69697185937519246</v>
      </c>
      <c r="J84" s="26" t="str">
        <f t="shared" si="17"/>
        <v>54.938325060711-0.0117034304469932i</v>
      </c>
      <c r="K84" s="1">
        <f t="shared" si="26"/>
        <v>34.797508490631913</v>
      </c>
      <c r="L84" s="6">
        <f t="shared" si="27"/>
        <v>-1.220563531110656E-2</v>
      </c>
      <c r="M84" s="26">
        <f t="shared" si="18"/>
        <v>0.17454545454545453</v>
      </c>
      <c r="N84" s="6">
        <f t="shared" si="19"/>
        <v>2.5000000000000001E-2</v>
      </c>
      <c r="O84" s="5" t="str">
        <f t="shared" si="20"/>
        <v>0.625296034171399-38.7408674516232i</v>
      </c>
      <c r="P84" s="1">
        <f t="shared" si="21"/>
        <v>31.764518071429659</v>
      </c>
      <c r="Q84" s="6">
        <f t="shared" si="28"/>
        <v>-89.075299150333791</v>
      </c>
      <c r="R84" s="5" t="str">
        <f t="shared" si="29"/>
        <v>17.6994703806234-1.065026142082i</v>
      </c>
      <c r="S84" s="1">
        <f t="shared" si="30"/>
        <v>24.974901794987453</v>
      </c>
      <c r="T84" s="6">
        <f t="shared" si="31"/>
        <v>-3.4434936848860387</v>
      </c>
      <c r="U84" t="str">
        <f>IMPRODUCT(COMPLEX(-1,0),IMDIV(COMPLEX(1,C84*Calculations!$B$171*Calculations!$B$173),IMPRODUCT(COMPLEX(0,C84*Calculations!$B$160),COMPLEX((Calculations!$B$173+Calculations!$B$175),C84*Calculations!$B$171*Calculations!$B$173*Calculations!$B$175))))</f>
        <v>-0.223990575128423+29.5677852754213i</v>
      </c>
      <c r="V84">
        <f t="shared" si="32"/>
        <v>29.416625139353037</v>
      </c>
      <c r="W84">
        <f t="shared" si="33"/>
        <v>90.434035521890294</v>
      </c>
      <c r="X84" t="str">
        <f t="shared" si="34"/>
        <v>27.5259497317666+523.572695521044i</v>
      </c>
      <c r="Y84">
        <f t="shared" si="35"/>
        <v>54.391526934340497</v>
      </c>
      <c r="Z84">
        <f t="shared" si="36"/>
        <v>86.990541837004258</v>
      </c>
    </row>
    <row r="85" spans="2:26">
      <c r="B85" s="1">
        <v>7</v>
      </c>
      <c r="C85" s="22">
        <f t="shared" si="12"/>
        <v>43.982297150257104</v>
      </c>
      <c r="D85" s="26" t="str">
        <f t="shared" si="13"/>
        <v>0.444328426703539-0.00641649409219319i</v>
      </c>
      <c r="E85" s="1">
        <f t="shared" si="14"/>
        <v>-7.0450124429412098</v>
      </c>
      <c r="F85" s="6">
        <f t="shared" si="23"/>
        <v>-0.82734404604416656</v>
      </c>
      <c r="G85" s="5" t="str">
        <f t="shared" si="16"/>
        <v>123.618277888284+1.75442691092642i</v>
      </c>
      <c r="H85" s="1">
        <f t="shared" si="24"/>
        <v>41.842528456927717</v>
      </c>
      <c r="I85" s="6">
        <f t="shared" si="25"/>
        <v>0.81310394348910897</v>
      </c>
      <c r="J85" s="26" t="str">
        <f t="shared" si="17"/>
        <v>54.9383721958112-0.0136542006589842i</v>
      </c>
      <c r="K85" s="1">
        <f t="shared" si="26"/>
        <v>34.797516013986495</v>
      </c>
      <c r="L85" s="6">
        <f t="shared" si="27"/>
        <v>-1.4240102555057704E-2</v>
      </c>
      <c r="M85" s="26">
        <f t="shared" si="18"/>
        <v>0.17454545454545453</v>
      </c>
      <c r="N85" s="6">
        <f t="shared" si="19"/>
        <v>2.5000000000000001E-2</v>
      </c>
      <c r="O85" s="5" t="str">
        <f t="shared" si="20"/>
        <v>0.625296031321934-33.2064795576005i</v>
      </c>
      <c r="P85" s="1">
        <f t="shared" si="21"/>
        <v>30.42599640012261</v>
      </c>
      <c r="Q85" s="6">
        <f t="shared" si="28"/>
        <v>-88.921216873460878</v>
      </c>
      <c r="R85" s="5" t="str">
        <f t="shared" si="29"/>
        <v>17.6714018541474-1.2401080630651i</v>
      </c>
      <c r="S85" s="1">
        <f t="shared" si="30"/>
        <v>24.96675513533361</v>
      </c>
      <c r="T85" s="6">
        <f t="shared" si="31"/>
        <v>-4.0142069506250735</v>
      </c>
      <c r="U85" t="str">
        <f>IMPRODUCT(COMPLEX(-1,0),IMDIV(COMPLEX(1,C85*Calculations!$B$171*Calculations!$B$173),IMPRODUCT(COMPLEX(0,C85*Calculations!$B$160),COMPLEX((Calculations!$B$173+Calculations!$B$175),C85*Calculations!$B$171*Calculations!$B$173*Calculations!$B$175))))</f>
        <v>-0.22399057359392+25.3438254996827i</v>
      </c>
      <c r="V85">
        <f t="shared" si="32"/>
        <v>28.077782614091031</v>
      </c>
      <c r="W85">
        <f t="shared" si="33"/>
        <v>90.506371083551471</v>
      </c>
      <c r="X85" t="str">
        <f t="shared" si="34"/>
        <v>27.4708549135523+448.138697442645i</v>
      </c>
      <c r="Y85">
        <f t="shared" si="35"/>
        <v>53.044537749424634</v>
      </c>
      <c r="Z85">
        <f t="shared" si="36"/>
        <v>86.492164132926391</v>
      </c>
    </row>
    <row r="86" spans="2:26">
      <c r="B86" s="1">
        <v>8</v>
      </c>
      <c r="C86" s="22">
        <f t="shared" si="12"/>
        <v>50.26548245743669</v>
      </c>
      <c r="D86" s="26" t="str">
        <f t="shared" si="13"/>
        <v>0.444292926227593-0.00733240251650236i</v>
      </c>
      <c r="E86" s="1">
        <f t="shared" si="14"/>
        <v>-7.0454293138257569</v>
      </c>
      <c r="F86" s="6">
        <f t="shared" si="23"/>
        <v>-0.94549689516783886</v>
      </c>
      <c r="G86" s="5" t="str">
        <f t="shared" si="16"/>
        <v>123.62052486562+2.0050519208308i</v>
      </c>
      <c r="H86" s="1">
        <f t="shared" si="24"/>
        <v>41.842954008543138</v>
      </c>
      <c r="I86" s="6">
        <f t="shared" si="25"/>
        <v>0.92922223551240679</v>
      </c>
      <c r="J86" s="26" t="str">
        <f t="shared" si="17"/>
        <v>54.9384265820872-0.0156050624718449i</v>
      </c>
      <c r="K86" s="1">
        <f t="shared" si="26"/>
        <v>34.797524694717374</v>
      </c>
      <c r="L86" s="6">
        <f t="shared" si="27"/>
        <v>-1.6274659655434703E-2</v>
      </c>
      <c r="M86" s="26">
        <f t="shared" si="18"/>
        <v>0.17454545454545453</v>
      </c>
      <c r="N86" s="6">
        <f t="shared" si="19"/>
        <v>2.5000000000000001E-2</v>
      </c>
      <c r="O86" s="5" t="str">
        <f t="shared" si="20"/>
        <v>0.625296028034094-29.0556915638806i</v>
      </c>
      <c r="P86" s="1">
        <f t="shared" si="21"/>
        <v>29.266635243776005</v>
      </c>
      <c r="Q86" s="6">
        <f t="shared" si="28"/>
        <v>-88.767150528548328</v>
      </c>
      <c r="R86" s="5" t="str">
        <f t="shared" si="29"/>
        <v>17.6391516607721-1.41408541219983i</v>
      </c>
      <c r="S86" s="1">
        <f t="shared" si="30"/>
        <v>24.957375887011608</v>
      </c>
      <c r="T86" s="6">
        <f t="shared" si="31"/>
        <v>-4.5834530188969103</v>
      </c>
      <c r="U86" t="str">
        <f>IMPRODUCT(COMPLEX(-1,0),IMDIV(COMPLEX(1,C86*Calculations!$B$171*Calculations!$B$173),IMPRODUCT(COMPLEX(0,C86*Calculations!$B$160),COMPLEX((Calculations!$B$173+Calculations!$B$175),C86*Calculations!$B$171*Calculations!$B$173*Calculations!$B$175))))</f>
        <v>-0.223990571823336+22.1758569533641i</v>
      </c>
      <c r="V86">
        <f t="shared" si="32"/>
        <v>26.918051288220202</v>
      </c>
      <c r="W86">
        <f t="shared" si="33"/>
        <v>90.578704941353706</v>
      </c>
      <c r="X86" t="str">
        <f t="shared" si="34"/>
        <v>27.4075521538075+391.480045808063i</v>
      </c>
      <c r="Y86">
        <f t="shared" si="35"/>
        <v>51.87542717523182</v>
      </c>
      <c r="Z86">
        <f t="shared" si="36"/>
        <v>85.995251922456802</v>
      </c>
    </row>
    <row r="87" spans="2:26">
      <c r="B87" s="1">
        <v>9</v>
      </c>
      <c r="C87" s="22">
        <f t="shared" si="12"/>
        <v>56.548667764616276</v>
      </c>
      <c r="D87" s="26" t="str">
        <f t="shared" si="13"/>
        <v>0.444252700940329-0.00824801770485543i</v>
      </c>
      <c r="E87" s="1">
        <f t="shared" si="14"/>
        <v>-7.0459017150408769</v>
      </c>
      <c r="F87" s="6">
        <f t="shared" si="23"/>
        <v>-1.0636340877529358</v>
      </c>
      <c r="G87" s="5" t="str">
        <f t="shared" si="16"/>
        <v>123.623071428272+2.25567396839066i</v>
      </c>
      <c r="H87" s="1">
        <f t="shared" si="24"/>
        <v>41.843436247838419</v>
      </c>
      <c r="I87" s="6">
        <f t="shared" si="25"/>
        <v>1.0453247683051234</v>
      </c>
      <c r="J87" s="26" t="str">
        <f t="shared" si="17"/>
        <v>54.9384882193768-0.0175560289706571i</v>
      </c>
      <c r="K87" s="1">
        <f t="shared" si="26"/>
        <v>34.797534532797549</v>
      </c>
      <c r="L87" s="6">
        <f t="shared" si="27"/>
        <v>-1.8309319447815213E-2</v>
      </c>
      <c r="M87" s="26">
        <f t="shared" si="18"/>
        <v>0.17454545454545453</v>
      </c>
      <c r="N87" s="6">
        <f t="shared" si="19"/>
        <v>2.5000000000000001E-2</v>
      </c>
      <c r="O87" s="5" t="str">
        <f t="shared" si="20"/>
        <v>0.625296024307874-25.827303503696i</v>
      </c>
      <c r="P87" s="1">
        <f t="shared" si="21"/>
        <v>28.244126218922275</v>
      </c>
      <c r="Q87" s="6">
        <f t="shared" si="28"/>
        <v>-88.613102387584604</v>
      </c>
      <c r="R87" s="5" t="str">
        <f t="shared" si="29"/>
        <v>17.6027771334037-1.58680988611271i</v>
      </c>
      <c r="S87" s="1">
        <f t="shared" si="30"/>
        <v>24.946772818586254</v>
      </c>
      <c r="T87" s="6">
        <f t="shared" si="31"/>
        <v>-5.1510299349089541</v>
      </c>
      <c r="U87" t="str">
        <f>IMPRODUCT(COMPLEX(-1,0),IMDIV(COMPLEX(1,C87*Calculations!$B$171*Calculations!$B$173),IMPRODUCT(COMPLEX(0,C87*Calculations!$B$160),COMPLEX((Calculations!$B$173+Calculations!$B$175),C87*Calculations!$B$171*Calculations!$B$173*Calculations!$B$175))))</f>
        <v>-0.223990569816679+19.7118825599923i</v>
      </c>
      <c r="V87">
        <f t="shared" si="32"/>
        <v>25.895122798221038</v>
      </c>
      <c r="W87">
        <f t="shared" si="33"/>
        <v>90.651036851985126</v>
      </c>
      <c r="X87" t="str">
        <f t="shared" si="34"/>
        <v>27.3361540396214+347.339306033953i</v>
      </c>
      <c r="Y87">
        <f t="shared" si="35"/>
        <v>50.841895616807307</v>
      </c>
      <c r="Z87">
        <f t="shared" si="36"/>
        <v>85.500006917076178</v>
      </c>
    </row>
    <row r="88" spans="2:26">
      <c r="B88" s="1">
        <v>10</v>
      </c>
      <c r="C88" s="22">
        <f t="shared" si="12"/>
        <v>62.831853071795862</v>
      </c>
      <c r="D88" s="26" t="str">
        <f t="shared" si="13"/>
        <v>0.44420775405763-0.00916330312740593i</v>
      </c>
      <c r="E88" s="1">
        <f t="shared" si="14"/>
        <v>-7.0464296269312712</v>
      </c>
      <c r="F88" s="6">
        <f t="shared" si="23"/>
        <v>-1.181753670756865</v>
      </c>
      <c r="G88" s="5" t="str">
        <f t="shared" si="16"/>
        <v>123.625917571867+2.50629268333319i</v>
      </c>
      <c r="H88" s="1">
        <f t="shared" si="24"/>
        <v>41.843975155127737</v>
      </c>
      <c r="I88" s="6">
        <f t="shared" si="25"/>
        <v>1.1614095759895</v>
      </c>
      <c r="J88" s="26" t="str">
        <f t="shared" si="17"/>
        <v>54.9385571074962-0.0195071132402064i</v>
      </c>
      <c r="K88" s="1">
        <f t="shared" si="26"/>
        <v>34.79754552819648</v>
      </c>
      <c r="L88" s="6">
        <f t="shared" si="27"/>
        <v>-2.034409476736181E-2</v>
      </c>
      <c r="M88" s="26">
        <f t="shared" si="18"/>
        <v>0.17454545454545453</v>
      </c>
      <c r="N88" s="6">
        <f t="shared" si="19"/>
        <v>2.5000000000000001E-2</v>
      </c>
      <c r="O88" s="5" t="str">
        <f t="shared" si="20"/>
        <v>0.625296020143273-23.2445953969857i</v>
      </c>
      <c r="P88" s="1">
        <f t="shared" si="21"/>
        <v>27.329581448881406</v>
      </c>
      <c r="Q88" s="6">
        <f t="shared" si="28"/>
        <v>-88.45907472095746</v>
      </c>
      <c r="R88" s="5" t="str">
        <f t="shared" si="29"/>
        <v>17.5623424682091-1.75813685655313i</v>
      </c>
      <c r="S88" s="1">
        <f t="shared" si="30"/>
        <v>24.934955787982858</v>
      </c>
      <c r="T88" s="6">
        <f t="shared" si="31"/>
        <v>-5.7167387315711506</v>
      </c>
      <c r="U88" t="str">
        <f>IMPRODUCT(COMPLEX(-1,0),IMDIV(COMPLEX(1,C88*Calculations!$B$171*Calculations!$B$173),IMPRODUCT(COMPLEX(0,C88*Calculations!$B$160),COMPLEX((Calculations!$B$173+Calculations!$B$175),C88*Calculations!$B$171*Calculations!$B$173*Calculations!$B$175))))</f>
        <v>-0.223990567573941+17.740704073683i</v>
      </c>
      <c r="V88">
        <f t="shared" si="32"/>
        <v>24.980109290012113</v>
      </c>
      <c r="W88">
        <f t="shared" si="33"/>
        <v>90.723366572172424</v>
      </c>
      <c r="X88" t="str">
        <f t="shared" si="34"/>
        <v>27.2567866357622+311.962126641545i</v>
      </c>
      <c r="Y88">
        <f t="shared" si="35"/>
        <v>49.915065077994967</v>
      </c>
      <c r="Z88">
        <f t="shared" si="36"/>
        <v>85.006627840601297</v>
      </c>
    </row>
    <row r="89" spans="2:26">
      <c r="B89" s="1">
        <v>20</v>
      </c>
      <c r="C89" s="22">
        <f t="shared" si="12"/>
        <v>125.66370614359172</v>
      </c>
      <c r="D89" s="26" t="str">
        <f t="shared" si="13"/>
        <v>0.443499572895833-0.0182900212655804i</v>
      </c>
      <c r="E89" s="1">
        <f t="shared" si="14"/>
        <v>-7.0547558660421448</v>
      </c>
      <c r="F89" s="6">
        <f t="shared" si="23"/>
        <v>-2.3615525198177534</v>
      </c>
      <c r="G89" s="5" t="str">
        <f t="shared" si="16"/>
        <v>123.67085462979+5.01221508491603i</v>
      </c>
      <c r="H89" s="1">
        <f t="shared" si="24"/>
        <v>41.852474991467872</v>
      </c>
      <c r="I89" s="6">
        <f t="shared" si="25"/>
        <v>2.3208514945299465</v>
      </c>
      <c r="J89" s="26" t="str">
        <f t="shared" si="17"/>
        <v>54.9396447284654-0.0390273116890533i</v>
      </c>
      <c r="K89" s="1">
        <f t="shared" si="26"/>
        <v>34.797719125425751</v>
      </c>
      <c r="L89" s="6">
        <f t="shared" si="27"/>
        <v>-4.0701025287809008E-2</v>
      </c>
      <c r="M89" s="26">
        <f t="shared" si="18"/>
        <v>0.17454545454545453</v>
      </c>
      <c r="N89" s="6">
        <f t="shared" si="19"/>
        <v>2.5000000000000001E-2</v>
      </c>
      <c r="O89" s="5" t="str">
        <f t="shared" si="20"/>
        <v>0.62529595438645-11.622473306311i</v>
      </c>
      <c r="P89" s="1">
        <f t="shared" si="21"/>
        <v>21.318523660329454</v>
      </c>
      <c r="Q89" s="6">
        <f t="shared" si="28"/>
        <v>-86.920422087132735</v>
      </c>
      <c r="R89" s="5" t="str">
        <f t="shared" si="29"/>
        <v>16.953093863197-3.36604661824398i</v>
      </c>
      <c r="S89" s="1">
        <f t="shared" si="30"/>
        <v>24.752899768537986</v>
      </c>
      <c r="T89" s="6">
        <f t="shared" si="31"/>
        <v>-11.230058673289028</v>
      </c>
      <c r="U89" t="str">
        <f>IMPRODUCT(COMPLEX(-1,0),IMDIV(COMPLEX(1,C89*Calculations!$B$171*Calculations!$B$173),IMPRODUCT(COMPLEX(0,C89*Calculations!$B$160),COMPLEX((Calculations!$B$173+Calculations!$B$175),C89*Calculations!$B$171*Calculations!$B$173*Calculations!$B$175))))</f>
        <v>-0.223990532162319+8.87042916596011i</v>
      </c>
      <c r="V89">
        <f t="shared" si="32"/>
        <v>18.961660962244647</v>
      </c>
      <c r="W89">
        <f t="shared" si="33"/>
        <v>91.446489816738293</v>
      </c>
      <c r="X89" t="str">
        <f t="shared" si="34"/>
        <v>26.0609455802376+151.135180830666i</v>
      </c>
      <c r="Y89">
        <f t="shared" si="35"/>
        <v>43.714560730782644</v>
      </c>
      <c r="Z89">
        <f t="shared" si="36"/>
        <v>80.216431143449284</v>
      </c>
    </row>
    <row r="90" spans="2:26">
      <c r="B90" s="1">
        <v>30</v>
      </c>
      <c r="C90" s="22">
        <f t="shared" si="12"/>
        <v>188.49555921538757</v>
      </c>
      <c r="D90" s="26" t="str">
        <f t="shared" si="13"/>
        <v>0.442325533350493-0.0273440547026176i</v>
      </c>
      <c r="E90" s="1">
        <f t="shared" si="14"/>
        <v>-7.0685945682555147</v>
      </c>
      <c r="F90" s="6">
        <f t="shared" si="23"/>
        <v>-3.5374574269732029</v>
      </c>
      <c r="G90" s="5" t="str">
        <f t="shared" si="16"/>
        <v>123.745741152329+7.51739700238722i</v>
      </c>
      <c r="H90" s="1">
        <f t="shared" si="24"/>
        <v>41.866602962500281</v>
      </c>
      <c r="I90" s="6">
        <f t="shared" si="25"/>
        <v>3.4763738049047115</v>
      </c>
      <c r="J90" s="26" t="str">
        <f t="shared" si="17"/>
        <v>54.9414570699105-0.0585736767969275i</v>
      </c>
      <c r="K90" s="1">
        <f t="shared" si="26"/>
        <v>34.798008394244754</v>
      </c>
      <c r="L90" s="6">
        <f t="shared" si="27"/>
        <v>-6.108362206850166E-2</v>
      </c>
      <c r="M90" s="26">
        <f t="shared" si="18"/>
        <v>0.17454545454545453</v>
      </c>
      <c r="N90" s="6">
        <f t="shared" si="19"/>
        <v>2.5000000000000001E-2</v>
      </c>
      <c r="O90" s="5" t="str">
        <f t="shared" si="20"/>
        <v>0.625295844791775-7.74851065728379i</v>
      </c>
      <c r="P90" s="1">
        <f t="shared" si="21"/>
        <v>17.812555573265715</v>
      </c>
      <c r="Q90" s="6">
        <f t="shared" si="28"/>
        <v>-85.386294834958804</v>
      </c>
      <c r="R90" s="5" t="str">
        <f t="shared" si="29"/>
        <v>16.0463280589479-4.71370465932558i</v>
      </c>
      <c r="S90" s="1">
        <f t="shared" si="30"/>
        <v>24.466981427367887</v>
      </c>
      <c r="T90" s="6">
        <f t="shared" si="31"/>
        <v>-16.370465769255571</v>
      </c>
      <c r="U90" t="str">
        <f>IMPRODUCT(COMPLEX(-1,0),IMDIV(COMPLEX(1,C90*Calculations!$B$171*Calculations!$B$173),IMPRODUCT(COMPLEX(0,C90*Calculations!$B$160),COMPLEX((Calculations!$B$173+Calculations!$B$175),C90*Calculations!$B$171*Calculations!$B$173*Calculations!$B$175))))</f>
        <v>-0.223990473142971+5.91370514295793i</v>
      </c>
      <c r="V90">
        <f t="shared" si="32"/>
        <v>15.443419388411787</v>
      </c>
      <c r="W90">
        <f t="shared" si="33"/>
        <v>92.169126888087703</v>
      </c>
      <c r="X90" t="str">
        <f t="shared" si="34"/>
        <v>24.2812348721074+95.9490777046889i</v>
      </c>
      <c r="Y90">
        <f t="shared" si="35"/>
        <v>39.910400815779681</v>
      </c>
      <c r="Z90">
        <f t="shared" si="36"/>
        <v>75.798661118832129</v>
      </c>
    </row>
    <row r="91" spans="2:26">
      <c r="B91" s="1">
        <v>40</v>
      </c>
      <c r="C91" s="22">
        <f t="shared" si="12"/>
        <v>251.32741228718345</v>
      </c>
      <c r="D91" s="26" t="str">
        <f t="shared" si="13"/>
        <v>0.440694898782526-0.0362902608262291i</v>
      </c>
      <c r="E91" s="1">
        <f t="shared" si="14"/>
        <v>-7.0878887227928287</v>
      </c>
      <c r="F91" s="6">
        <f t="shared" si="23"/>
        <v>-4.7075603633760741</v>
      </c>
      <c r="G91" s="5" t="str">
        <f t="shared" si="16"/>
        <v>123.850564280798+10.0214683921411i</v>
      </c>
      <c r="H91" s="1">
        <f t="shared" si="24"/>
        <v>41.886301967638403</v>
      </c>
      <c r="I91" s="6">
        <f t="shared" si="25"/>
        <v>4.6260556582471599</v>
      </c>
      <c r="J91" s="26" t="str">
        <f t="shared" si="17"/>
        <v>54.9439935916976-0.0781592824989275i</v>
      </c>
      <c r="K91" s="1">
        <f t="shared" si="26"/>
        <v>34.798413244845577</v>
      </c>
      <c r="L91" s="6">
        <f t="shared" si="27"/>
        <v>-8.15047051289369E-2</v>
      </c>
      <c r="M91" s="26">
        <f t="shared" si="18"/>
        <v>0.17454545454545453</v>
      </c>
      <c r="N91" s="6">
        <f t="shared" si="19"/>
        <v>2.5000000000000001E-2</v>
      </c>
      <c r="O91" s="5" t="str">
        <f t="shared" si="20"/>
        <v>0.625295691359298-5.811587868607i</v>
      </c>
      <c r="P91" s="1">
        <f t="shared" si="21"/>
        <v>15.335883942587634</v>
      </c>
      <c r="Q91" s="6">
        <f t="shared" si="28"/>
        <v>-83.858906317304601</v>
      </c>
      <c r="R91" s="5" t="str">
        <f t="shared" si="29"/>
        <v>14.9631446332566-5.75083249485577i</v>
      </c>
      <c r="S91" s="1">
        <f t="shared" si="30"/>
        <v>24.098786585426662</v>
      </c>
      <c r="T91" s="6">
        <f t="shared" si="31"/>
        <v>-21.023422660682975</v>
      </c>
      <c r="U91" t="str">
        <f>IMPRODUCT(COMPLEX(-1,0),IMDIV(COMPLEX(1,C91*Calculations!$B$171*Calculations!$B$173),IMPRODUCT(COMPLEX(0,C91*Calculations!$B$160),COMPLEX((Calculations!$B$173+Calculations!$B$175),C91*Calculations!$B$171*Calculations!$B$173*Calculations!$B$175))))</f>
        <v>-0.223990390515937+4.43536884109532i</v>
      </c>
      <c r="V91">
        <f t="shared" si="32"/>
        <v>12.9496567406383</v>
      </c>
      <c r="W91">
        <f t="shared" si="33"/>
        <v>92.891035902219613</v>
      </c>
      <c r="X91" t="str">
        <f t="shared" si="34"/>
        <v>22.1554626482922+67.6551966874635i</v>
      </c>
      <c r="Y91">
        <f t="shared" si="35"/>
        <v>37.048443326064969</v>
      </c>
      <c r="Z91">
        <f t="shared" si="36"/>
        <v>71.867613241536617</v>
      </c>
    </row>
    <row r="92" spans="2:26">
      <c r="B92" s="1">
        <v>50</v>
      </c>
      <c r="C92" s="22">
        <f t="shared" si="12"/>
        <v>314.15926535897933</v>
      </c>
      <c r="D92" s="26" t="str">
        <f t="shared" si="13"/>
        <v>0.438620382368658-0.045094899671722i</v>
      </c>
      <c r="E92" s="1">
        <f t="shared" si="14"/>
        <v>-7.1125595667552641</v>
      </c>
      <c r="F92" s="6">
        <f t="shared" si="23"/>
        <v>-5.8699991696727434</v>
      </c>
      <c r="G92" s="5" t="str">
        <f t="shared" si="16"/>
        <v>123.985306017666+12.5240594486475i</v>
      </c>
      <c r="H92" s="1">
        <f t="shared" si="24"/>
        <v>41.911493118326</v>
      </c>
      <c r="I92" s="6">
        <f t="shared" si="25"/>
        <v>5.7680220909045801</v>
      </c>
      <c r="J92" s="26" t="str">
        <f t="shared" si="17"/>
        <v>54.9472535378831-0.0977971914607932i</v>
      </c>
      <c r="K92" s="1">
        <f t="shared" si="26"/>
        <v>34.798933551570727</v>
      </c>
      <c r="L92" s="6">
        <f t="shared" si="27"/>
        <v>-0.10197707876812734</v>
      </c>
      <c r="M92" s="26">
        <f t="shared" si="18"/>
        <v>0.17454545454545453</v>
      </c>
      <c r="N92" s="6">
        <f t="shared" si="19"/>
        <v>2.5000000000000001E-2</v>
      </c>
      <c r="O92" s="5" t="str">
        <f t="shared" si="20"/>
        <v>0.625295494089073-4.64948102400137i</v>
      </c>
      <c r="P92" s="1">
        <f t="shared" si="21"/>
        <v>13.425937640312922</v>
      </c>
      <c r="Q92" s="6">
        <f t="shared" si="28"/>
        <v>-82.340411879152015</v>
      </c>
      <c r="R92" s="5" t="str">
        <f t="shared" si="29"/>
        <v>13.8159189349869-6.48151739755082i</v>
      </c>
      <c r="S92" s="1">
        <f t="shared" si="30"/>
        <v>23.671502512180055</v>
      </c>
      <c r="T92" s="6">
        <f t="shared" si="31"/>
        <v>-25.132870633464123</v>
      </c>
      <c r="U92" t="str">
        <f>IMPRODUCT(COMPLEX(-1,0),IMDIV(COMPLEX(1,C92*Calculations!$B$171*Calculations!$B$173),IMPRODUCT(COMPLEX(0,C92*Calculations!$B$160),COMPLEX((Calculations!$B$173+Calculations!$B$175),C92*Calculations!$B$171*Calculations!$B$173*Calculations!$B$175))))</f>
        <v>-0.223990284281269+3.54838762764299i</v>
      </c>
      <c r="V92">
        <f t="shared" si="32"/>
        <v>11.01789209580782</v>
      </c>
      <c r="W92">
        <f t="shared" si="33"/>
        <v>93.611976411607301</v>
      </c>
      <c r="X92" t="str">
        <f t="shared" si="34"/>
        <v>19.9043045319674+50.4760327378774i</v>
      </c>
      <c r="Y92">
        <f t="shared" si="35"/>
        <v>34.689394607987872</v>
      </c>
      <c r="Z92">
        <f t="shared" si="36"/>
        <v>68.479105778143193</v>
      </c>
    </row>
    <row r="93" spans="2:26">
      <c r="B93" s="1">
        <v>60</v>
      </c>
      <c r="C93" s="22">
        <f t="shared" si="12"/>
        <v>376.99111843077515</v>
      </c>
      <c r="D93" s="26" t="str">
        <f t="shared" si="13"/>
        <v>0.436117902764846-0.0537260416023341i</v>
      </c>
      <c r="E93" s="1">
        <f t="shared" si="14"/>
        <v>-7.1425076026547449</v>
      </c>
      <c r="F93" s="6">
        <f t="shared" si="23"/>
        <v>-7.0229714445359832</v>
      </c>
      <c r="G93" s="5" t="str">
        <f t="shared" si="16"/>
        <v>124.149943231182+15.0248006837049i</v>
      </c>
      <c r="H93" s="1">
        <f t="shared" si="24"/>
        <v>41.942076755641359</v>
      </c>
      <c r="I93" s="6">
        <f t="shared" si="25"/>
        <v>6.9004579181914556</v>
      </c>
      <c r="J93" s="26" t="str">
        <f t="shared" si="17"/>
        <v>54.9512359369571-0.117500451328694i</v>
      </c>
      <c r="K93" s="1">
        <f t="shared" si="26"/>
        <v>34.799569152986585</v>
      </c>
      <c r="L93" s="6">
        <f t="shared" si="27"/>
        <v>-0.12251352634452668</v>
      </c>
      <c r="M93" s="26">
        <f t="shared" si="18"/>
        <v>0.17454545454545453</v>
      </c>
      <c r="N93" s="6">
        <f t="shared" si="19"/>
        <v>2.5000000000000001E-2</v>
      </c>
      <c r="O93" s="5" t="str">
        <f t="shared" si="20"/>
        <v>0.625295252981193-3.87478215135747i</v>
      </c>
      <c r="P93" s="1">
        <f t="shared" si="21"/>
        <v>11.876597538597</v>
      </c>
      <c r="Q93" s="6">
        <f t="shared" si="28"/>
        <v>-80.83289146620352</v>
      </c>
      <c r="R93" s="5" t="str">
        <f t="shared" si="29"/>
        <v>12.6892114855859-6.94470405734694i</v>
      </c>
      <c r="S93" s="1">
        <f t="shared" si="30"/>
        <v>23.206550944685684</v>
      </c>
      <c r="T93" s="6">
        <f t="shared" si="31"/>
        <v>-28.691535543313524</v>
      </c>
      <c r="U93" t="str">
        <f>IMPRODUCT(COMPLEX(-1,0),IMDIV(COMPLEX(1,C93*Calculations!$B$171*Calculations!$B$173),IMPRODUCT(COMPLEX(0,C93*Calculations!$B$160),COMPLEX((Calculations!$B$173+Calculations!$B$175),C93*Calculations!$B$171*Calculations!$B$173*Calculations!$B$175))))</f>
        <v>-0.223990154439034+2.95708395834703i</v>
      </c>
      <c r="V93">
        <f t="shared" si="32"/>
        <v>9.4421199896446559</v>
      </c>
      <c r="W93">
        <f t="shared" si="33"/>
        <v>94.331709872998175</v>
      </c>
      <c r="X93" t="str">
        <f t="shared" si="34"/>
        <v>17.6938145230822+39.0786090624375i</v>
      </c>
      <c r="Y93">
        <f t="shared" si="35"/>
        <v>32.64867093433034</v>
      </c>
      <c r="Z93">
        <f t="shared" si="36"/>
        <v>65.640174329684697</v>
      </c>
    </row>
    <row r="94" spans="2:26">
      <c r="B94" s="1">
        <v>70</v>
      </c>
      <c r="C94" s="22">
        <f t="shared" si="12"/>
        <v>439.82297150257102</v>
      </c>
      <c r="D94" s="26" t="str">
        <f t="shared" si="13"/>
        <v>0.433206285217192-0.0621539272581875i</v>
      </c>
      <c r="E94" s="1">
        <f t="shared" si="14"/>
        <v>-7.1776138589693304</v>
      </c>
      <c r="F94" s="6">
        <f t="shared" si="23"/>
        <v>-8.1647472975345501</v>
      </c>
      <c r="G94" s="5" t="str">
        <f t="shared" si="16"/>
        <v>124.344447661324+17.5233230056002i</v>
      </c>
      <c r="H94" s="1">
        <f t="shared" si="24"/>
        <v>41.977933710947269</v>
      </c>
      <c r="I94" s="6">
        <f t="shared" si="25"/>
        <v>8.0216204924613681</v>
      </c>
      <c r="J94" s="26" t="str">
        <f t="shared" si="17"/>
        <v>54.9559396021575-0.137282090984362i</v>
      </c>
      <c r="K94" s="1">
        <f t="shared" si="26"/>
        <v>34.800319851977946</v>
      </c>
      <c r="L94" s="6">
        <f t="shared" si="27"/>
        <v>-0.14312680507313016</v>
      </c>
      <c r="M94" s="26">
        <f t="shared" si="18"/>
        <v>0.17454545454545453</v>
      </c>
      <c r="N94" s="6">
        <f t="shared" si="19"/>
        <v>2.5000000000000001E-2</v>
      </c>
      <c r="O94" s="5" t="str">
        <f t="shared" si="20"/>
        <v>0.625294968035755-3.32145926261432i</v>
      </c>
      <c r="P94" s="1">
        <f t="shared" si="21"/>
        <v>10.577834247811522</v>
      </c>
      <c r="Q94" s="6">
        <f t="shared" si="28"/>
        <v>-79.338333800655803</v>
      </c>
      <c r="R94" s="5" t="str">
        <f t="shared" si="29"/>
        <v>11.6359371561999-7.1937334104512i</v>
      </c>
      <c r="S94" s="1">
        <f t="shared" si="30"/>
        <v>22.721778429557581</v>
      </c>
      <c r="T94" s="6">
        <f t="shared" si="31"/>
        <v>-31.725771184265898</v>
      </c>
      <c r="U94" t="str">
        <f>IMPRODUCT(COMPLEX(-1,0),IMDIV(COMPLEX(1,C94*Calculations!$B$171*Calculations!$B$173),IMPRODUCT(COMPLEX(0,C94*Calculations!$B$160),COMPLEX((Calculations!$B$173+Calculations!$B$175),C94*Calculations!$B$171*Calculations!$B$173*Calculations!$B$175))))</f>
        <v>-0.223990000989314+2.53473888566077i</v>
      </c>
      <c r="V94">
        <f t="shared" si="32"/>
        <v>8.1124465151457166</v>
      </c>
      <c r="W94">
        <f t="shared" si="33"/>
        <v>95.050000105893844</v>
      </c>
      <c r="X94" t="str">
        <f t="shared" si="34"/>
        <v>15.6279022334189+31.1053867346487i</v>
      </c>
      <c r="Y94">
        <f t="shared" si="35"/>
        <v>30.834224944703298</v>
      </c>
      <c r="Z94">
        <f t="shared" si="36"/>
        <v>63.324228921627963</v>
      </c>
    </row>
    <row r="95" spans="2:26">
      <c r="B95" s="1">
        <v>80</v>
      </c>
      <c r="C95" s="22">
        <f t="shared" si="12"/>
        <v>502.6548245743669</v>
      </c>
      <c r="D95" s="26" t="str">
        <f t="shared" si="13"/>
        <v>0.429906918352099-0.0703512720244405i</v>
      </c>
      <c r="E95" s="1">
        <f t="shared" si="14"/>
        <v>-7.2177413609878478</v>
      </c>
      <c r="F95" s="6">
        <f t="shared" si="23"/>
        <v>-9.2936807597759383</v>
      </c>
      <c r="G95" s="5" t="str">
        <f t="shared" si="16"/>
        <v>124.568785927061+20.0192577981561i</v>
      </c>
      <c r="H95" s="1">
        <f t="shared" si="24"/>
        <v>42.018926776850591</v>
      </c>
      <c r="I95" s="6">
        <f t="shared" si="25"/>
        <v>9.1298511189313647</v>
      </c>
      <c r="J95" s="26" t="str">
        <f t="shared" si="17"/>
        <v>54.9613631318505-0.157155116807485i</v>
      </c>
      <c r="K95" s="1">
        <f t="shared" si="26"/>
        <v>34.801185415862726</v>
      </c>
      <c r="L95" s="6">
        <f t="shared" si="27"/>
        <v>-0.16382964084461132</v>
      </c>
      <c r="M95" s="26">
        <f t="shared" si="18"/>
        <v>0.17454545454545453</v>
      </c>
      <c r="N95" s="6">
        <f t="shared" si="19"/>
        <v>2.5000000000000001E-2</v>
      </c>
      <c r="O95" s="5" t="str">
        <f t="shared" si="20"/>
        <v>0.625294639252882-2.90649636372912i</v>
      </c>
      <c r="P95" s="1">
        <f t="shared" si="21"/>
        <v>9.4638910585995912</v>
      </c>
      <c r="Q95" s="6">
        <f t="shared" si="28"/>
        <v>-77.858622398857946</v>
      </c>
      <c r="R95" s="5" t="str">
        <f t="shared" si="29"/>
        <v>10.682623970823-7.28201548931538i</v>
      </c>
      <c r="S95" s="1">
        <f t="shared" si="30"/>
        <v>22.230965191974555</v>
      </c>
      <c r="T95" s="6">
        <f t="shared" si="31"/>
        <v>-34.281048535146844</v>
      </c>
      <c r="U95" t="str">
        <f>IMPRODUCT(COMPLEX(-1,0),IMDIV(COMPLEX(1,C95*Calculations!$B$171*Calculations!$B$173),IMPRODUCT(COMPLEX(0,C95*Calculations!$B$160),COMPLEX((Calculations!$B$173+Calculations!$B$175),C95*Calculations!$B$171*Calculations!$B$173*Calculations!$B$175))))</f>
        <v>-0.223989823932204+2.21799293580271i</v>
      </c>
      <c r="V95">
        <f t="shared" si="32"/>
        <v>6.9632703611890845</v>
      </c>
      <c r="W95">
        <f t="shared" si="33"/>
        <v>95.766613739541256</v>
      </c>
      <c r="X95" t="str">
        <f t="shared" si="34"/>
        <v>13.7586598513488+25.3250818704454i</v>
      </c>
      <c r="Y95">
        <f t="shared" si="35"/>
        <v>29.194235553163622</v>
      </c>
      <c r="Z95">
        <f t="shared" si="36"/>
        <v>61.485565204394454</v>
      </c>
    </row>
    <row r="96" spans="2:26">
      <c r="B96" s="1">
        <v>90</v>
      </c>
      <c r="C96" s="22">
        <f t="shared" si="12"/>
        <v>565.48667764616278</v>
      </c>
      <c r="D96" s="26" t="str">
        <f t="shared" si="13"/>
        <v>0.426243377930351-0.0782935096282966i</v>
      </c>
      <c r="E96" s="1">
        <f t="shared" si="14"/>
        <v>-7.2627367750474612</v>
      </c>
      <c r="F96" s="6">
        <f t="shared" si="23"/>
        <v>-10.408219690806947</v>
      </c>
      <c r="G96" s="5" t="str">
        <f t="shared" si="16"/>
        <v>124.822919534935+22.51223699964i</v>
      </c>
      <c r="H96" s="1">
        <f t="shared" si="24"/>
        <v>42.064902351575654</v>
      </c>
      <c r="I96" s="6">
        <f t="shared" si="25"/>
        <v>10.22358496773766</v>
      </c>
      <c r="J96" s="26" t="str">
        <f t="shared" si="17"/>
        <v>54.9675049099847-0.177132508945291i</v>
      </c>
      <c r="K96" s="1">
        <f t="shared" si="26"/>
        <v>34.802165576528161</v>
      </c>
      <c r="L96" s="6">
        <f t="shared" si="27"/>
        <v>-0.18463472306923456</v>
      </c>
      <c r="M96" s="26">
        <f t="shared" si="18"/>
        <v>0.17454545454545453</v>
      </c>
      <c r="N96" s="6">
        <f t="shared" si="19"/>
        <v>2.5000000000000001E-2</v>
      </c>
      <c r="O96" s="5" t="str">
        <f t="shared" si="20"/>
        <v>0.625294266632711-2.58377345800046i</v>
      </c>
      <c r="P96" s="1">
        <f t="shared" si="21"/>
        <v>8.4922760630136658</v>
      </c>
      <c r="Q96" s="6">
        <f t="shared" si="28"/>
        <v>-76.395523638330474</v>
      </c>
      <c r="R96" s="5" t="str">
        <f t="shared" si="29"/>
        <v>9.83748638484347-7.25571831088361i</v>
      </c>
      <c r="S96" s="1">
        <f t="shared" si="30"/>
        <v>21.744133434958982</v>
      </c>
      <c r="T96" s="6">
        <f t="shared" si="31"/>
        <v>-36.41093270477392</v>
      </c>
      <c r="U96" t="str">
        <f>IMPRODUCT(COMPLEX(-1,0),IMDIV(COMPLEX(1,C96*Calculations!$B$171*Calculations!$B$173),IMPRODUCT(COMPLEX(0,C96*Calculations!$B$160),COMPLEX((Calculations!$B$173+Calculations!$B$175),C96*Calculations!$B$171*Calculations!$B$173*Calculations!$B$175))))</f>
        <v>-0.223989623267821+1.97164640110927i</v>
      </c>
      <c r="V96">
        <f t="shared" si="32"/>
        <v>5.9522728188575087</v>
      </c>
      <c r="W96">
        <f t="shared" si="33"/>
        <v>96.481320646369028</v>
      </c>
      <c r="X96" t="str">
        <f t="shared" si="34"/>
        <v>12.1022160258729+21.0212502376303i</v>
      </c>
      <c r="Y96">
        <f t="shared" si="35"/>
        <v>27.696406253816484</v>
      </c>
      <c r="Z96">
        <f t="shared" si="36"/>
        <v>60.070387941595079</v>
      </c>
    </row>
    <row r="97" spans="2:26">
      <c r="B97" s="1">
        <v>100</v>
      </c>
      <c r="C97" s="22">
        <f t="shared" si="12"/>
        <v>628.31853071795865</v>
      </c>
      <c r="D97" s="26" t="str">
        <f t="shared" si="13"/>
        <v>0.422241029329334-0.085958971930292i</v>
      </c>
      <c r="E97" s="1">
        <f t="shared" si="14"/>
        <v>-7.3124321866359967</v>
      </c>
      <c r="F97" s="6">
        <f t="shared" si="23"/>
        <v>-11.506914068502759</v>
      </c>
      <c r="G97" s="5" t="str">
        <f t="shared" si="16"/>
        <v>125.106804888953+25.0018931815157i</v>
      </c>
      <c r="H97" s="1">
        <f t="shared" si="24"/>
        <v>42.115692217222559</v>
      </c>
      <c r="I97" s="6">
        <f t="shared" si="25"/>
        <v>11.301359368950799</v>
      </c>
      <c r="J97" s="26" t="str">
        <f t="shared" si="17"/>
        <v>54.9743631066097-0.197227217592759i</v>
      </c>
      <c r="K97" s="1">
        <f t="shared" si="26"/>
        <v>34.803260030586557</v>
      </c>
      <c r="L97" s="6">
        <f t="shared" si="27"/>
        <v>-0.20555469955193861</v>
      </c>
      <c r="M97" s="26">
        <f t="shared" si="18"/>
        <v>0.17454545454545453</v>
      </c>
      <c r="N97" s="6">
        <f t="shared" si="19"/>
        <v>2.5000000000000001E-2</v>
      </c>
      <c r="O97" s="5" t="str">
        <f t="shared" si="20"/>
        <v>0.625293850175395-2.32561854739768i</v>
      </c>
      <c r="P97" s="1">
        <f t="shared" si="21"/>
        <v>7.6339010548742188</v>
      </c>
      <c r="Q97" s="6">
        <f t="shared" si="28"/>
        <v>-74.950677010454768</v>
      </c>
      <c r="R97" s="5" t="str">
        <f t="shared" si="29"/>
        <v>9.09772174787967-7.15147324522546i</v>
      </c>
      <c r="S97" s="1">
        <f t="shared" si="30"/>
        <v>21.268198549791816</v>
      </c>
      <c r="T97" s="6">
        <f t="shared" si="31"/>
        <v>-38.169931397399189</v>
      </c>
      <c r="U97" t="str">
        <f>IMPRODUCT(COMPLEX(-1,0),IMDIV(COMPLEX(1,C97*Calculations!$B$171*Calculations!$B$173),IMPRODUCT(COMPLEX(0,C97*Calculations!$B$160),COMPLEX((Calculations!$B$173+Calculations!$B$175),C97*Calculations!$B$171*Calculations!$B$173*Calculations!$B$175))))</f>
        <v>-0.223989398996286+1.77457945697578i</v>
      </c>
      <c r="V97">
        <f t="shared" si="32"/>
        <v>5.0505544112061571</v>
      </c>
      <c r="W97">
        <f t="shared" si="33"/>
        <v>97.193894359923675</v>
      </c>
      <c r="X97" t="str">
        <f t="shared" si="34"/>
        <v>10.653064281546+17.7464843132051i</v>
      </c>
      <c r="Y97">
        <f t="shared" si="35"/>
        <v>26.318752960997962</v>
      </c>
      <c r="Z97">
        <f t="shared" si="36"/>
        <v>59.023962962524493</v>
      </c>
    </row>
    <row r="98" spans="2:26">
      <c r="B98" s="1">
        <v>200</v>
      </c>
      <c r="C98" s="22">
        <f t="shared" si="12"/>
        <v>1256.6370614359173</v>
      </c>
      <c r="D98" s="26" t="str">
        <f t="shared" si="13"/>
        <v>0.369662876707679-0.144755810055844i</v>
      </c>
      <c r="E98" s="1">
        <f t="shared" si="14"/>
        <v>-8.0243032017661111</v>
      </c>
      <c r="F98" s="6">
        <f t="shared" si="23"/>
        <v>-21.384750332884551</v>
      </c>
      <c r="G98" s="5" t="str">
        <f t="shared" si="16"/>
        <v>129.568791380137+49.6354639780683i</v>
      </c>
      <c r="H98" s="1">
        <f t="shared" si="24"/>
        <v>42.844702355649432</v>
      </c>
      <c r="I98" s="6">
        <f t="shared" si="25"/>
        <v>20.960933979983331</v>
      </c>
      <c r="J98" s="26" t="str">
        <f t="shared" si="17"/>
        <v>55.0817939487614-0.407446953335304i</v>
      </c>
      <c r="K98" s="1">
        <f t="shared" si="26"/>
        <v>34.820399153883308</v>
      </c>
      <c r="L98" s="6">
        <f t="shared" si="27"/>
        <v>-0.42381635290124403</v>
      </c>
      <c r="M98" s="26">
        <f t="shared" si="18"/>
        <v>0.17454545454545453</v>
      </c>
      <c r="N98" s="6">
        <f t="shared" si="19"/>
        <v>2.5000000000000001E-2</v>
      </c>
      <c r="O98" s="5" t="str">
        <f t="shared" si="20"/>
        <v>0.625287274607126-1.16456532140938i</v>
      </c>
      <c r="P98" s="1">
        <f t="shared" si="21"/>
        <v>2.4234176685537996</v>
      </c>
      <c r="Q98" s="6">
        <f t="shared" si="28"/>
        <v>-61.767420928654325</v>
      </c>
      <c r="R98" s="5" t="str">
        <f t="shared" si="29"/>
        <v>5.39947784118999-5.2417204682187i</v>
      </c>
      <c r="S98" s="1">
        <f t="shared" si="30"/>
        <v>17.530465188676899</v>
      </c>
      <c r="T98" s="6">
        <f t="shared" si="31"/>
        <v>-44.150643632169128</v>
      </c>
      <c r="U98" t="str">
        <f>IMPRODUCT(COMPLEX(-1,0),IMDIV(COMPLEX(1,C98*Calculations!$B$171*Calculations!$B$173),IMPRODUCT(COMPLEX(0,C98*Calculations!$B$160),COMPLEX((Calculations!$B$173+Calculations!$B$175),C98*Calculations!$B$171*Calculations!$B$173*Calculations!$B$175))))</f>
        <v>-0.223985857926335+0.888060999554792i</v>
      </c>
      <c r="V98">
        <f t="shared" si="32"/>
        <v>-0.76330185902025249</v>
      </c>
      <c r="W98">
        <f t="shared" si="33"/>
        <v>104.15584144151107</v>
      </c>
      <c r="X98" t="str">
        <f t="shared" si="34"/>
        <v>3.44556084177994+5.96913694480513i</v>
      </c>
      <c r="Y98">
        <f t="shared" si="35"/>
        <v>16.76716332965665</v>
      </c>
      <c r="Z98">
        <f t="shared" si="36"/>
        <v>60.005197809341922</v>
      </c>
    </row>
    <row r="99" spans="2:26">
      <c r="B99" s="1">
        <v>300</v>
      </c>
      <c r="C99" s="22">
        <f t="shared" si="12"/>
        <v>1884.9555921538758</v>
      </c>
      <c r="D99" s="26" t="str">
        <f t="shared" si="13"/>
        <v>0.311257353793867-0.171874841885909i</v>
      </c>
      <c r="E99" s="1">
        <f t="shared" si="14"/>
        <v>-8.9817699450112585</v>
      </c>
      <c r="F99" s="6">
        <f t="shared" si="23"/>
        <v>-28.907272605176598</v>
      </c>
      <c r="G99" s="5" t="str">
        <f t="shared" si="16"/>
        <v>136.920708545709+73.5402537689949i</v>
      </c>
      <c r="H99" s="1">
        <f t="shared" si="24"/>
        <v>43.830151208845265</v>
      </c>
      <c r="I99" s="6">
        <f t="shared" si="25"/>
        <v>28.240291300004834</v>
      </c>
      <c r="J99" s="26" t="str">
        <f t="shared" si="17"/>
        <v>55.2572969103144-0.643280346733572i</v>
      </c>
      <c r="K99" s="1">
        <f t="shared" si="26"/>
        <v>34.848381263834021</v>
      </c>
      <c r="L99" s="6">
        <f t="shared" si="27"/>
        <v>-0.66698130517177256</v>
      </c>
      <c r="M99" s="26">
        <f t="shared" si="18"/>
        <v>0.17454545454545453</v>
      </c>
      <c r="N99" s="6">
        <f t="shared" si="19"/>
        <v>2.5000000000000001E-2</v>
      </c>
      <c r="O99" s="5" t="str">
        <f t="shared" si="20"/>
        <v>0.625276315634001-0.7783279903477i</v>
      </c>
      <c r="P99" s="1">
        <f t="shared" si="21"/>
        <v>-1.4072499234741123E-2</v>
      </c>
      <c r="Q99" s="6">
        <f t="shared" si="28"/>
        <v>-51.223053832088773</v>
      </c>
      <c r="R99" s="5" t="str">
        <f t="shared" si="29"/>
        <v>4.30706823992573-3.96612682272604i</v>
      </c>
      <c r="S99" s="1">
        <f t="shared" si="30"/>
        <v>15.350534668639707</v>
      </c>
      <c r="T99" s="6">
        <f t="shared" si="31"/>
        <v>-42.6401551121807</v>
      </c>
      <c r="U99" t="str">
        <f>IMPRODUCT(COMPLEX(-1,0),IMDIV(COMPLEX(1,C99*Calculations!$B$171*Calculations!$B$173),IMPRODUCT(COMPLEX(0,C99*Calculations!$B$160),COMPLEX((Calculations!$B$173+Calculations!$B$175),C99*Calculations!$B$171*Calculations!$B$173*Calculations!$B$175))))</f>
        <v>-0.223979956391878+0.592897598095224i</v>
      </c>
      <c r="V99">
        <f t="shared" si="32"/>
        <v>-3.9610402518310255</v>
      </c>
      <c r="W99">
        <f t="shared" si="33"/>
        <v>110.69514792467737</v>
      </c>
      <c r="X99" t="str">
        <f t="shared" si="34"/>
        <v>1.3868101103799+3.44198332708303i</v>
      </c>
      <c r="Y99">
        <f t="shared" si="35"/>
        <v>11.389494416808688</v>
      </c>
      <c r="Z99">
        <f t="shared" si="36"/>
        <v>68.054992812496749</v>
      </c>
    </row>
    <row r="100" spans="2:26">
      <c r="B100" s="1">
        <v>400</v>
      </c>
      <c r="C100" s="22">
        <f t="shared" si="12"/>
        <v>2513.2741228718346</v>
      </c>
      <c r="D100" s="26" t="str">
        <f t="shared" si="13"/>
        <v>0.261153932959914-0.177399105611748i</v>
      </c>
      <c r="E100" s="1">
        <f t="shared" si="14"/>
        <v>-10.014276142169361</v>
      </c>
      <c r="F100" s="6">
        <f t="shared" si="23"/>
        <v>-34.187853214265438</v>
      </c>
      <c r="G100" s="5" t="str">
        <f t="shared" si="16"/>
        <v>147.037745144889+96.371305100287i</v>
      </c>
      <c r="H100" s="1">
        <f t="shared" si="24"/>
        <v>44.900642565181386</v>
      </c>
      <c r="I100" s="6">
        <f t="shared" si="25"/>
        <v>33.241587792383456</v>
      </c>
      <c r="J100" s="26" t="str">
        <f t="shared" si="17"/>
        <v>55.4956687695731-0.916619128451593i</v>
      </c>
      <c r="K100" s="1">
        <f t="shared" si="26"/>
        <v>34.886366423012028</v>
      </c>
      <c r="L100" s="6">
        <f t="shared" si="27"/>
        <v>-0.94626542188189999</v>
      </c>
      <c r="M100" s="26">
        <f t="shared" si="18"/>
        <v>0.17454545454545453</v>
      </c>
      <c r="N100" s="6">
        <f t="shared" si="19"/>
        <v>2.5000000000000001E-2</v>
      </c>
      <c r="O100" s="5" t="str">
        <f t="shared" si="20"/>
        <v>0.625260973716968-0.58579457146817i</v>
      </c>
      <c r="P100" s="1">
        <f t="shared" si="21"/>
        <v>-1.3424089195643694</v>
      </c>
      <c r="Q100" s="6">
        <f t="shared" si="28"/>
        <v>-43.133480904175642</v>
      </c>
      <c r="R100" s="5" t="str">
        <f t="shared" si="29"/>
        <v>3.84146718089246-3.24158119475594i</v>
      </c>
      <c r="S100" s="1">
        <f t="shared" si="30"/>
        <v>14.025144678788745</v>
      </c>
      <c r="T100" s="6">
        <f t="shared" si="31"/>
        <v>-40.158990158805608</v>
      </c>
      <c r="U100" t="str">
        <f>IMPRODUCT(COMPLEX(-1,0),IMDIV(COMPLEX(1,C100*Calculations!$B$171*Calculations!$B$173),IMPRODUCT(COMPLEX(0,C100*Calculations!$B$160),COMPLEX((Calculations!$B$173+Calculations!$B$175),C100*Calculations!$B$171*Calculations!$B$173*Calculations!$B$175))))</f>
        <v>-0.223971694766077+0.445572919987922i</v>
      </c>
      <c r="V100">
        <f t="shared" si="32"/>
        <v>-6.043267519061791</v>
      </c>
      <c r="W100">
        <f t="shared" si="33"/>
        <v>116.68684793081727</v>
      </c>
      <c r="X100" t="str">
        <f t="shared" si="34"/>
        <v>0.583980883432593+2.43767618273936i</v>
      </c>
      <c r="Y100">
        <f t="shared" si="35"/>
        <v>7.9818771597269658</v>
      </c>
      <c r="Z100">
        <f t="shared" si="36"/>
        <v>76.527857772011686</v>
      </c>
    </row>
    <row r="101" spans="2:26">
      <c r="B101" s="1">
        <v>500</v>
      </c>
      <c r="C101" s="22">
        <f t="shared" si="12"/>
        <v>3141.5926535897929</v>
      </c>
      <c r="D101" s="26" t="str">
        <f t="shared" si="13"/>
        <v>0.222510473320487-0.171840375863981i</v>
      </c>
      <c r="E101" s="1">
        <f t="shared" si="14"/>
        <v>-11.021529282287119</v>
      </c>
      <c r="F101" s="6">
        <f t="shared" si="23"/>
        <v>-37.67818919918615</v>
      </c>
      <c r="G101" s="5" t="str">
        <f t="shared" si="16"/>
        <v>159.749655378283+117.806351537481i</v>
      </c>
      <c r="H101" s="1">
        <f t="shared" si="24"/>
        <v>45.954773599851734</v>
      </c>
      <c r="I101" s="6">
        <f t="shared" si="25"/>
        <v>36.406679266314001</v>
      </c>
      <c r="J101" s="26" t="str">
        <f t="shared" si="17"/>
        <v>55.7898591583713-1.23829378358099i</v>
      </c>
      <c r="K101" s="1">
        <f t="shared" si="26"/>
        <v>34.933244317564586</v>
      </c>
      <c r="L101" s="6">
        <f t="shared" si="27"/>
        <v>-1.2715099328721451</v>
      </c>
      <c r="M101" s="26">
        <f t="shared" si="18"/>
        <v>0.17454545454545453</v>
      </c>
      <c r="N101" s="6">
        <f t="shared" si="19"/>
        <v>2.5000000000000001E-2</v>
      </c>
      <c r="O101" s="5" t="str">
        <f t="shared" si="20"/>
        <v>0.625241249501275-0.47074264853329i</v>
      </c>
      <c r="P101" s="1">
        <f t="shared" si="21"/>
        <v>-2.12875995804486</v>
      </c>
      <c r="Q101" s="6">
        <f t="shared" si="28"/>
        <v>-36.976003631586352</v>
      </c>
      <c r="R101" s="5" t="str">
        <f t="shared" si="29"/>
        <v>3.57937282542087-2.79827380107003i</v>
      </c>
      <c r="S101" s="1">
        <f t="shared" si="30"/>
        <v>13.147569512418437</v>
      </c>
      <c r="T101" s="6">
        <f t="shared" si="31"/>
        <v>-38.017502494198077</v>
      </c>
      <c r="U101" t="str">
        <f>IMPRODUCT(COMPLEX(-1,0),IMDIV(COMPLEX(1,C101*Calculations!$B$171*Calculations!$B$173),IMPRODUCT(COMPLEX(0,C101*Calculations!$B$160),COMPLEX((Calculations!$B$173+Calculations!$B$175),C101*Calculations!$B$171*Calculations!$B$173*Calculations!$B$175))))</f>
        <v>-0.223961073571264+0.357383685714053i</v>
      </c>
      <c r="V101">
        <f t="shared" si="32"/>
        <v>-7.4986882319879475</v>
      </c>
      <c r="W101">
        <f t="shared" si="33"/>
        <v>122.07407345713872</v>
      </c>
      <c r="X101" t="str">
        <f t="shared" si="34"/>
        <v>0.198417223970414+1.90591385752762i</v>
      </c>
      <c r="Y101">
        <f t="shared" si="35"/>
        <v>5.6488812804304933</v>
      </c>
      <c r="Z101">
        <f t="shared" si="36"/>
        <v>84.056570962940654</v>
      </c>
    </row>
    <row r="102" spans="2:26">
      <c r="B102" s="1">
        <v>600</v>
      </c>
      <c r="C102" s="22">
        <f t="shared" si="12"/>
        <v>3769.9111843077517</v>
      </c>
      <c r="D102" s="26" t="str">
        <f t="shared" si="13"/>
        <v>0.19380586721766-0.161721626401395i</v>
      </c>
      <c r="E102" s="1">
        <f t="shared" si="14"/>
        <v>-11.957610484956119</v>
      </c>
      <c r="F102" s="6">
        <f t="shared" si="23"/>
        <v>-39.84336507720176</v>
      </c>
      <c r="G102" s="5" t="str">
        <f t="shared" si="16"/>
        <v>174.845088946218+137.552349617632i</v>
      </c>
      <c r="H102" s="1">
        <f t="shared" si="24"/>
        <v>46.945302131757877</v>
      </c>
      <c r="I102" s="6">
        <f t="shared" si="25"/>
        <v>38.19247735055631</v>
      </c>
      <c r="J102" s="26" t="str">
        <f t="shared" si="17"/>
        <v>56.1311937874675-1.61777974720692i</v>
      </c>
      <c r="K102" s="1">
        <f t="shared" si="26"/>
        <v>34.987691646801764</v>
      </c>
      <c r="L102" s="6">
        <f t="shared" si="27"/>
        <v>-1.6508877266453426</v>
      </c>
      <c r="M102" s="26">
        <f t="shared" si="18"/>
        <v>0.17454545454545453</v>
      </c>
      <c r="N102" s="6">
        <f t="shared" si="19"/>
        <v>2.5000000000000001E-2</v>
      </c>
      <c r="O102" s="5" t="str">
        <f t="shared" si="20"/>
        <v>0.62521714381644-0.394431399729446i</v>
      </c>
      <c r="P102" s="1">
        <f t="shared" si="21"/>
        <v>-2.6243160380562309</v>
      </c>
      <c r="Q102" s="6">
        <f t="shared" si="28"/>
        <v>-32.246641250727336</v>
      </c>
      <c r="R102" s="5" t="str">
        <f t="shared" si="29"/>
        <v>3.40064326722608-2.505455619195i</v>
      </c>
      <c r="S102" s="1">
        <f t="shared" si="30"/>
        <v>12.514358064283833</v>
      </c>
      <c r="T102" s="6">
        <f t="shared" si="31"/>
        <v>-36.38127750469809</v>
      </c>
      <c r="U102" t="str">
        <f>IMPRODUCT(COMPLEX(-1,0),IMDIV(COMPLEX(1,C102*Calculations!$B$171*Calculations!$B$173),IMPRODUCT(COMPLEX(0,C102*Calculations!$B$160),COMPLEX((Calculations!$B$173+Calculations!$B$175),C102*Calculations!$B$171*Calculations!$B$173*Calculations!$B$175))))</f>
        <v>-0.223948093478874+0.298762124609176i</v>
      </c>
      <c r="V102">
        <f t="shared" si="32"/>
        <v>-8.5570122654379528</v>
      </c>
      <c r="W102">
        <f t="shared" si="33"/>
        <v>126.85473656659032</v>
      </c>
      <c r="X102" t="str">
        <f t="shared" si="34"/>
        <v>-0.0130323323923529+1.57707541676901i</v>
      </c>
      <c r="Y102">
        <f t="shared" si="35"/>
        <v>3.957345798845902</v>
      </c>
      <c r="Z102">
        <f t="shared" si="36"/>
        <v>90.473459061892228</v>
      </c>
    </row>
    <row r="103" spans="2:26">
      <c r="B103" s="1">
        <v>700</v>
      </c>
      <c r="C103" s="22">
        <f t="shared" si="12"/>
        <v>4398.22971502571</v>
      </c>
      <c r="D103" s="26" t="str">
        <f t="shared" si="13"/>
        <v>0.172605992649573-0.150343370450428i</v>
      </c>
      <c r="E103" s="1">
        <f t="shared" si="14"/>
        <v>-12.807022168379961</v>
      </c>
      <c r="F103" s="6">
        <f t="shared" si="23"/>
        <v>-41.056534962477755</v>
      </c>
      <c r="G103" s="5" t="str">
        <f t="shared" si="16"/>
        <v>192.076930557845+155.351159858082i</v>
      </c>
      <c r="H103" s="1">
        <f t="shared" si="24"/>
        <v>47.855257937450581</v>
      </c>
      <c r="I103" s="6">
        <f t="shared" si="25"/>
        <v>38.965812701466966</v>
      </c>
      <c r="J103" s="26" t="str">
        <f t="shared" si="17"/>
        <v>56.5096462404671-2.06295196927251i</v>
      </c>
      <c r="K103" s="1">
        <f t="shared" si="26"/>
        <v>35.048235769070601</v>
      </c>
      <c r="L103" s="6">
        <f t="shared" si="27"/>
        <v>-2.0907222610108178</v>
      </c>
      <c r="M103" s="26">
        <f t="shared" si="18"/>
        <v>0.17454545454545453</v>
      </c>
      <c r="N103" s="6">
        <f t="shared" si="19"/>
        <v>2.5000000000000001E-2</v>
      </c>
      <c r="O103" s="5" t="str">
        <f t="shared" si="20"/>
        <v>0.625188657676108-0.340257601656488i</v>
      </c>
      <c r="P103" s="1">
        <f t="shared" si="21"/>
        <v>-2.9530387394733451</v>
      </c>
      <c r="Q103" s="6">
        <f t="shared" si="28"/>
        <v>-28.557148842120757</v>
      </c>
      <c r="R103" s="5" t="str">
        <f t="shared" si="29"/>
        <v>3.26294084068292-2.29877273687355i</v>
      </c>
      <c r="S103" s="1">
        <f t="shared" si="30"/>
        <v>12.022468275804263</v>
      </c>
      <c r="T103" s="6">
        <f t="shared" si="31"/>
        <v>-35.165058353739582</v>
      </c>
      <c r="U103" t="str">
        <f>IMPRODUCT(COMPLEX(-1,0),IMDIV(COMPLEX(1,C103*Calculations!$B$171*Calculations!$B$173),IMPRODUCT(COMPLEX(0,C103*Calculations!$B$160),COMPLEX((Calculations!$B$173+Calculations!$B$175),C103*Calculations!$B$171*Calculations!$B$173*Calculations!$B$175))))</f>
        <v>-0.223932755309333+0.257036325688127i</v>
      </c>
      <c r="V103">
        <f t="shared" si="32"/>
        <v>-9.3474322605734201</v>
      </c>
      <c r="W103">
        <f t="shared" si="33"/>
        <v>131.06272323023992</v>
      </c>
      <c r="X103" t="str">
        <f t="shared" si="34"/>
        <v>-0.139811234987461+1.35346483742494i</v>
      </c>
      <c r="Y103">
        <f t="shared" si="35"/>
        <v>2.6750360152308659</v>
      </c>
      <c r="Z103">
        <f t="shared" si="36"/>
        <v>95.897664876500343</v>
      </c>
    </row>
    <row r="104" spans="2:26">
      <c r="B104" s="1">
        <v>800</v>
      </c>
      <c r="C104" s="22">
        <f t="shared" si="12"/>
        <v>5026.5482457436692</v>
      </c>
      <c r="D104" s="26" t="str">
        <f t="shared" si="13"/>
        <v>0.156815780220111-0.139191787311929i</v>
      </c>
      <c r="E104" s="1">
        <f t="shared" si="14"/>
        <v>-13.568875628211945</v>
      </c>
      <c r="F104" s="6">
        <f t="shared" si="23"/>
        <v>-41.592689287682809</v>
      </c>
      <c r="G104" s="5" t="str">
        <f t="shared" si="16"/>
        <v>211.168480742215+170.984208406841i</v>
      </c>
      <c r="H104" s="1">
        <f t="shared" si="24"/>
        <v>48.682194963435578</v>
      </c>
      <c r="I104" s="6">
        <f t="shared" si="25"/>
        <v>38.997270544107053</v>
      </c>
      <c r="J104" s="26" t="str">
        <f t="shared" si="17"/>
        <v>56.9141476357495-2.57989621181667i</v>
      </c>
      <c r="K104" s="1">
        <f t="shared" si="26"/>
        <v>35.113319335223643</v>
      </c>
      <c r="L104" s="6">
        <f t="shared" si="27"/>
        <v>-2.5954187435756966</v>
      </c>
      <c r="M104" s="26">
        <f t="shared" si="18"/>
        <v>0.17454545454545453</v>
      </c>
      <c r="N104" s="6">
        <f t="shared" si="19"/>
        <v>2.5000000000000001E-2</v>
      </c>
      <c r="O104" s="5" t="str">
        <f t="shared" si="20"/>
        <v>0.625155792277998-0.299919630326437i</v>
      </c>
      <c r="P104" s="1">
        <f t="shared" si="21"/>
        <v>-3.1806124058716052</v>
      </c>
      <c r="Q104" s="6">
        <f t="shared" si="28"/>
        <v>-25.629447848474328</v>
      </c>
      <c r="R104" s="5" t="str">
        <f t="shared" si="29"/>
        <v>3.14903024324351-2.14436161103866i</v>
      </c>
      <c r="S104" s="1">
        <f t="shared" si="30"/>
        <v>11.618074114323992</v>
      </c>
      <c r="T104" s="6">
        <f t="shared" si="31"/>
        <v>-34.253272301900608</v>
      </c>
      <c r="U104" t="str">
        <f>IMPRODUCT(COMPLEX(-1,0),IMDIV(COMPLEX(1,C104*Calculations!$B$171*Calculations!$B$173),IMPRODUCT(COMPLEX(0,C104*Calculations!$B$160),COMPLEX((Calculations!$B$173+Calculations!$B$175),C104*Calculations!$B$171*Calculations!$B$173*Calculations!$B$175))))</f>
        <v>-0.223915060031924+0.225870325352532i</v>
      </c>
      <c r="V104">
        <f t="shared" si="32"/>
        <v>-9.9501110862980795</v>
      </c>
      <c r="W104">
        <f t="shared" si="33"/>
        <v>134.75093066900914</v>
      </c>
      <c r="X104" t="str">
        <f t="shared" si="34"/>
        <v>-0.220767641199433+1.19142734445225i</v>
      </c>
      <c r="Y104">
        <f t="shared" si="35"/>
        <v>1.6679630280259201</v>
      </c>
      <c r="Z104">
        <f t="shared" si="36"/>
        <v>100.49765836710854</v>
      </c>
    </row>
    <row r="105" spans="2:26">
      <c r="B105" s="1">
        <v>900</v>
      </c>
      <c r="C105" s="22">
        <f t="shared" si="12"/>
        <v>5654.8667764616275</v>
      </c>
      <c r="D105" s="26" t="str">
        <f t="shared" si="13"/>
        <v>0.144886144988491-0.128857672073943i</v>
      </c>
      <c r="E105" s="1">
        <f t="shared" si="14"/>
        <v>-14.248549552629806</v>
      </c>
      <c r="F105" s="6">
        <f t="shared" si="23"/>
        <v>-41.64899650613647</v>
      </c>
      <c r="G105" s="5" t="str">
        <f t="shared" si="16"/>
        <v>231.820277844231+184.275993386634i</v>
      </c>
      <c r="H105" s="1">
        <f t="shared" si="24"/>
        <v>49.429910904129173</v>
      </c>
      <c r="I105" s="6">
        <f t="shared" si="25"/>
        <v>38.481499730113697</v>
      </c>
      <c r="J105" s="26" t="str">
        <f t="shared" si="17"/>
        <v>57.3329219139266-3.17278304682826i</v>
      </c>
      <c r="K105" s="1">
        <f t="shared" si="26"/>
        <v>35.181361351499383</v>
      </c>
      <c r="L105" s="6">
        <f t="shared" si="27"/>
        <v>-3.1674967760228263</v>
      </c>
      <c r="M105" s="26">
        <f t="shared" si="18"/>
        <v>0.17454545454545453</v>
      </c>
      <c r="N105" s="6">
        <f t="shared" si="19"/>
        <v>2.5000000000000001E-2</v>
      </c>
      <c r="O105" s="5" t="str">
        <f t="shared" si="20"/>
        <v>0.625118549003735-0.268805461497525i</v>
      </c>
      <c r="P105" s="1">
        <f t="shared" si="21"/>
        <v>-3.3439126713714042</v>
      </c>
      <c r="Q105" s="6">
        <f t="shared" si="28"/>
        <v>-23.268051771411407</v>
      </c>
      <c r="R105" s="5" t="str">
        <f t="shared" si="29"/>
        <v>3.05107598658362-2.02336674658627i</v>
      </c>
      <c r="S105" s="1">
        <f t="shared" si="30"/>
        <v>11.272045342130868</v>
      </c>
      <c r="T105" s="6">
        <f t="shared" si="31"/>
        <v>-33.55094398022198</v>
      </c>
      <c r="U105" t="str">
        <f>IMPRODUCT(COMPLEX(-1,0),IMDIV(COMPLEX(1,C105*Calculations!$B$171*Calculations!$B$173),IMPRODUCT(COMPLEX(0,C105*Calculations!$B$160),COMPLEX((Calculations!$B$173+Calculations!$B$175),C105*Calculations!$B$171*Calculations!$B$173*Calculations!$B$175))))</f>
        <v>-0.223895008764649+0.20174413662778i</v>
      </c>
      <c r="V105">
        <f t="shared" si="32"/>
        <v>-10.417722559618049</v>
      </c>
      <c r="W105">
        <f t="shared" si="33"/>
        <v>137.97906714085488</v>
      </c>
      <c r="X105" t="str">
        <f t="shared" si="34"/>
        <v>-0.274918307386342+1.0685584061601i</v>
      </c>
      <c r="Y105">
        <f t="shared" si="35"/>
        <v>0.85432278251283833</v>
      </c>
      <c r="Z105">
        <f t="shared" si="36"/>
        <v>104.42812316063282</v>
      </c>
    </row>
    <row r="106" spans="2:26">
      <c r="B106" s="1">
        <v>1000</v>
      </c>
      <c r="C106" s="22">
        <f t="shared" si="12"/>
        <v>6283.1853071795858</v>
      </c>
      <c r="D106" s="26" t="str">
        <f t="shared" si="13"/>
        <v>0.135727306661141-0.119517685200849i</v>
      </c>
      <c r="E106" s="1">
        <f t="shared" si="14"/>
        <v>-14.853675369768846</v>
      </c>
      <c r="F106" s="6">
        <f t="shared" si="23"/>
        <v>-41.366246584697535</v>
      </c>
      <c r="G106" s="5" t="str">
        <f t="shared" si="16"/>
        <v>253.717335072222+195.096340150799i</v>
      </c>
      <c r="H106" s="1">
        <f t="shared" si="24"/>
        <v>50.104486603131917</v>
      </c>
      <c r="I106" s="6">
        <f t="shared" si="25"/>
        <v>37.558540127859189</v>
      </c>
      <c r="J106" s="26" t="str">
        <f t="shared" si="17"/>
        <v>57.7538335085759-3.84380779504637i</v>
      </c>
      <c r="K106" s="1">
        <f t="shared" si="26"/>
        <v>35.250811233363073</v>
      </c>
      <c r="L106" s="6">
        <f t="shared" si="27"/>
        <v>-3.8077064568383303</v>
      </c>
      <c r="M106" s="26">
        <f t="shared" si="18"/>
        <v>0.17454545454545453</v>
      </c>
      <c r="N106" s="6">
        <f t="shared" si="19"/>
        <v>2.5000000000000001E-2</v>
      </c>
      <c r="O106" s="5" t="str">
        <f t="shared" si="20"/>
        <v>0.625076929418729-0.244147870808837i</v>
      </c>
      <c r="P106" s="1">
        <f t="shared" si="21"/>
        <v>-3.4646974668570243</v>
      </c>
      <c r="Q106" s="6">
        <f t="shared" si="28"/>
        <v>-21.335045674268212</v>
      </c>
      <c r="R106" s="5" t="str">
        <f t="shared" si="29"/>
        <v>2.9651112202069-1.9248166697794i</v>
      </c>
      <c r="S106" s="1">
        <f t="shared" si="30"/>
        <v>10.967989500724098</v>
      </c>
      <c r="T106" s="6">
        <f t="shared" si="31"/>
        <v>-32.989817891545059</v>
      </c>
      <c r="U106" t="str">
        <f>IMPRODUCT(COMPLEX(-1,0),IMDIV(COMPLEX(1,C106*Calculations!$B$171*Calculations!$B$173),IMPRODUCT(COMPLEX(0,C106*Calculations!$B$160),COMPLEX((Calculations!$B$173+Calculations!$B$175),C106*Calculations!$B$171*Calculations!$B$173*Calculations!$B$175))))</f>
        <v>-0.223872602774027+0.182545760858825i</v>
      </c>
      <c r="V106">
        <f t="shared" si="32"/>
        <v>-10.786158306342628</v>
      </c>
      <c r="W106">
        <f t="shared" si="33"/>
        <v>140.80619121441387</v>
      </c>
      <c r="X106" t="str">
        <f t="shared" si="34"/>
        <v>-0.31244004288356+0.972182201450057i</v>
      </c>
      <c r="Y106">
        <f t="shared" si="35"/>
        <v>0.18183119438147222</v>
      </c>
      <c r="Z106">
        <f t="shared" si="36"/>
        <v>107.81637332286884</v>
      </c>
    </row>
    <row r="107" spans="2:26">
      <c r="B107" s="1">
        <v>2000</v>
      </c>
      <c r="C107" s="22">
        <f t="shared" si="12"/>
        <v>12566.370614359172</v>
      </c>
      <c r="D107" s="26" t="str">
        <f t="shared" si="13"/>
        <v>0.102277828031226-0.0662337086958551i</v>
      </c>
      <c r="E107" s="1">
        <f t="shared" si="14"/>
        <v>-18.283420364951979</v>
      </c>
      <c r="F107" s="6">
        <f t="shared" si="23"/>
        <v>-32.926536195262102</v>
      </c>
      <c r="G107" s="5" t="str">
        <f t="shared" si="16"/>
        <v>474.609870937751+169.486765397486i</v>
      </c>
      <c r="H107" s="1">
        <f t="shared" si="24"/>
        <v>54.048000202786284</v>
      </c>
      <c r="I107" s="6">
        <f t="shared" si="25"/>
        <v>19.652029626430963</v>
      </c>
      <c r="J107" s="26" t="str">
        <f t="shared" si="17"/>
        <v>59.7678038088334-14.1004336909756i</v>
      </c>
      <c r="K107" s="1">
        <f t="shared" si="26"/>
        <v>35.76457983783429</v>
      </c>
      <c r="L107" s="6">
        <f t="shared" si="27"/>
        <v>-13.274506568831187</v>
      </c>
      <c r="M107" s="26">
        <f t="shared" si="18"/>
        <v>0.17454545454545453</v>
      </c>
      <c r="N107" s="6">
        <f t="shared" si="19"/>
        <v>2.5000000000000001E-2</v>
      </c>
      <c r="O107" s="5" t="str">
        <f t="shared" si="20"/>
        <v>0.624420511883016-0.139603987008698i</v>
      </c>
      <c r="P107" s="1">
        <f t="shared" si="21"/>
        <v>-3.8786250588826094</v>
      </c>
      <c r="Q107" s="6">
        <f t="shared" si="28"/>
        <v>-12.602575075049378</v>
      </c>
      <c r="R107" s="5" t="str">
        <f t="shared" si="29"/>
        <v>2.47202012790255-1.42714259613812i</v>
      </c>
      <c r="S107" s="1">
        <f t="shared" si="30"/>
        <v>9.110307390520596</v>
      </c>
      <c r="T107" s="6">
        <f t="shared" si="31"/>
        <v>-29.998628610977764</v>
      </c>
      <c r="U107" t="str">
        <f>IMPRODUCT(COMPLEX(-1,0),IMDIV(COMPLEX(1,C107*Calculations!$B$171*Calculations!$B$173),IMPRODUCT(COMPLEX(0,C107*Calculations!$B$160),COMPLEX((Calculations!$B$173+Calculations!$B$175),C107*Calculations!$B$171*Calculations!$B$173*Calculations!$B$175))))</f>
        <v>-0.223519417450449+0.0989655164123322i</v>
      </c>
      <c r="V107">
        <f t="shared" si="32"/>
        <v>-12.236249976463803</v>
      </c>
      <c r="W107">
        <f t="shared" si="33"/>
        <v>156.11814083624219</v>
      </c>
      <c r="X107" t="str">
        <f t="shared" si="34"/>
        <v>-0.411306594893717+0.563638830247069i</v>
      </c>
      <c r="Y107">
        <f t="shared" si="35"/>
        <v>-3.1259425859432093</v>
      </c>
      <c r="Z107">
        <f t="shared" si="36"/>
        <v>126.11951222526443</v>
      </c>
    </row>
    <row r="108" spans="2:26">
      <c r="B108" s="1">
        <v>3000</v>
      </c>
      <c r="C108" s="22">
        <f t="shared" si="12"/>
        <v>18849.555921538758</v>
      </c>
      <c r="D108" s="26" t="str">
        <f t="shared" si="13"/>
        <v>0.0952717473961051-0.0450599242035472i</v>
      </c>
      <c r="E108" s="1">
        <f t="shared" si="14"/>
        <v>-19.543992155648965</v>
      </c>
      <c r="F108" s="6">
        <f t="shared" si="23"/>
        <v>-25.312373964659557</v>
      </c>
      <c r="G108" s="5" t="str">
        <f t="shared" si="16"/>
        <v>574.245605195016+4.57773856954002i</v>
      </c>
      <c r="H108" s="1">
        <f t="shared" si="24"/>
        <v>55.182229582610788</v>
      </c>
      <c r="I108" s="6">
        <f t="shared" si="25"/>
        <v>0.45673757296471484</v>
      </c>
      <c r="J108" s="26" t="str">
        <f t="shared" si="17"/>
        <v>54.9156547944302-25.4393342916649i</v>
      </c>
      <c r="K108" s="1">
        <f t="shared" si="26"/>
        <v>35.638237426961837</v>
      </c>
      <c r="L108" s="6">
        <f t="shared" si="27"/>
        <v>-24.855636391694848</v>
      </c>
      <c r="M108" s="26">
        <f t="shared" si="18"/>
        <v>0.17454545454545453</v>
      </c>
      <c r="N108" s="6">
        <f t="shared" si="19"/>
        <v>2.5000000000000001E-2</v>
      </c>
      <c r="O108" s="5" t="str">
        <f t="shared" si="20"/>
        <v>0.623329540990803-0.112492709940511i</v>
      </c>
      <c r="P108" s="1">
        <f t="shared" si="21"/>
        <v>-3.9664521723650852</v>
      </c>
      <c r="Q108" s="6">
        <f t="shared" si="28"/>
        <v>-10.230093552447546</v>
      </c>
      <c r="R108" s="5" t="str">
        <f t="shared" si="29"/>
        <v>2.26785621046685-1.2616176564104i</v>
      </c>
      <c r="S108" s="1">
        <f t="shared" si="30"/>
        <v>8.2832798565415864</v>
      </c>
      <c r="T108" s="6">
        <f t="shared" si="31"/>
        <v>-29.087365926984734</v>
      </c>
      <c r="U108" t="str">
        <f>IMPRODUCT(COMPLEX(-1,0),IMDIV(COMPLEX(1,C108*Calculations!$B$171*Calculations!$B$173),IMPRODUCT(COMPLEX(0,C108*Calculations!$B$160),COMPLEX((Calculations!$B$173+Calculations!$B$175),C108*Calculations!$B$171*Calculations!$B$173*Calculations!$B$175))))</f>
        <v>-0.22293324515609+0.0744885199288919i</v>
      </c>
      <c r="V108">
        <f t="shared" si="32"/>
        <v>-12.576852360047786</v>
      </c>
      <c r="W108">
        <f t="shared" si="33"/>
        <v>161.52401813737919</v>
      </c>
      <c r="X108" t="str">
        <f t="shared" si="34"/>
        <v>-0.4116045126046+0.450185770819013i</v>
      </c>
      <c r="Y108">
        <f t="shared" si="35"/>
        <v>-4.2935725035061916</v>
      </c>
      <c r="Z108">
        <f t="shared" si="36"/>
        <v>132.43665221039444</v>
      </c>
    </row>
    <row r="109" spans="2:26">
      <c r="B109" s="1">
        <v>4000</v>
      </c>
      <c r="C109" s="22">
        <f t="shared" si="12"/>
        <v>25132.741228718343</v>
      </c>
      <c r="D109" s="26" t="str">
        <f t="shared" si="13"/>
        <v>0.0927513478999111-0.0340388819211147i</v>
      </c>
      <c r="E109" s="1">
        <f t="shared" si="14"/>
        <v>-20.104853091146808</v>
      </c>
      <c r="F109" s="6">
        <f t="shared" si="23"/>
        <v>-20.152667113941686</v>
      </c>
      <c r="G109" s="5" t="str">
        <f t="shared" si="16"/>
        <v>550.186876443617-147.637106722974i</v>
      </c>
      <c r="H109" s="1">
        <f t="shared" si="24"/>
        <v>55.11217798457799</v>
      </c>
      <c r="I109" s="6">
        <f t="shared" si="25"/>
        <v>-15.020885771210837</v>
      </c>
      <c r="J109" s="26" t="str">
        <f t="shared" si="17"/>
        <v>46.005172344069-32.42128677041i</v>
      </c>
      <c r="K109" s="1">
        <f t="shared" si="26"/>
        <v>35.007324893431175</v>
      </c>
      <c r="L109" s="6">
        <f t="shared" si="27"/>
        <v>-35.173552885152468</v>
      </c>
      <c r="M109" s="26">
        <f t="shared" si="18"/>
        <v>0.17454545454545453</v>
      </c>
      <c r="N109" s="6">
        <f t="shared" si="19"/>
        <v>2.5000000000000001E-2</v>
      </c>
      <c r="O109" s="5" t="str">
        <f t="shared" si="20"/>
        <v>0.621808570661526-0.104678776884648i</v>
      </c>
      <c r="P109" s="1">
        <f t="shared" si="21"/>
        <v>-4.0054975225717744</v>
      </c>
      <c r="Q109" s="6">
        <f t="shared" si="28"/>
        <v>-9.5558961387812946</v>
      </c>
      <c r="R109" s="5" t="str">
        <f t="shared" si="29"/>
        <v>2.14273568080697-1.2214500528242i</v>
      </c>
      <c r="S109" s="1">
        <f t="shared" si="30"/>
        <v>7.8413612379538877</v>
      </c>
      <c r="T109" s="6">
        <f t="shared" si="31"/>
        <v>-29.684970979515068</v>
      </c>
      <c r="U109" t="str">
        <f>IMPRODUCT(COMPLEX(-1,0),IMDIV(COMPLEX(1,C109*Calculations!$B$171*Calculations!$B$173),IMPRODUCT(COMPLEX(0,C109*Calculations!$B$160),COMPLEX((Calculations!$B$173+Calculations!$B$175),C109*Calculations!$B$171*Calculations!$B$173*Calculations!$B$175))))</f>
        <v>-0.222117750100892+0.0647474308431831i</v>
      </c>
      <c r="V109">
        <f t="shared" si="32"/>
        <v>-12.714147259579132</v>
      </c>
      <c r="W109">
        <f t="shared" si="33"/>
        <v>163.74857095237317</v>
      </c>
      <c r="X109" t="str">
        <f t="shared" si="34"/>
        <v>-0.39685387565811+0.410042367902197i</v>
      </c>
      <c r="Y109">
        <f t="shared" si="35"/>
        <v>-4.8727860216252452</v>
      </c>
      <c r="Z109">
        <f t="shared" si="36"/>
        <v>134.0635999728581</v>
      </c>
    </row>
    <row r="110" spans="2:26">
      <c r="B110" s="1">
        <v>5000</v>
      </c>
      <c r="C110" s="22">
        <f t="shared" si="12"/>
        <v>31415.926535897932</v>
      </c>
      <c r="D110" s="26" t="str">
        <f t="shared" si="13"/>
        <v>0.0915724034936152-0.0273223895565823i</v>
      </c>
      <c r="E110" s="1">
        <f t="shared" si="14"/>
        <v>-20.394332386435664</v>
      </c>
      <c r="F110" s="6">
        <f t="shared" si="23"/>
        <v>-16.61348565667921</v>
      </c>
      <c r="G110" s="5" t="str">
        <f t="shared" si="16"/>
        <v>475.93611716652-240.391542750061i</v>
      </c>
      <c r="H110" s="1">
        <f t="shared" si="24"/>
        <v>54.537818723780902</v>
      </c>
      <c r="I110" s="6">
        <f t="shared" si="25"/>
        <v>-26.797977232861399</v>
      </c>
      <c r="J110" s="26" t="str">
        <f t="shared" si="17"/>
        <v>37.0145427812321-35.0169433464322i</v>
      </c>
      <c r="K110" s="1">
        <f t="shared" si="26"/>
        <v>34.143486337345252</v>
      </c>
      <c r="L110" s="6">
        <f t="shared" si="27"/>
        <v>-43.411462889540708</v>
      </c>
      <c r="M110" s="26">
        <f t="shared" si="18"/>
        <v>0.17454545454545453</v>
      </c>
      <c r="N110" s="6">
        <f t="shared" si="19"/>
        <v>2.5000000000000001E-2</v>
      </c>
      <c r="O110" s="5" t="str">
        <f t="shared" si="20"/>
        <v>0.619863909891474-0.104516387115477i</v>
      </c>
      <c r="P110" s="1">
        <f t="shared" si="21"/>
        <v>-4.0323258223484313</v>
      </c>
      <c r="Q110" s="6">
        <f t="shared" si="28"/>
        <v>-9.5707252843212647</v>
      </c>
      <c r="R110" s="5" t="str">
        <f t="shared" si="29"/>
        <v>2.03864966951012-1.23790672591753i</v>
      </c>
      <c r="S110" s="1">
        <f t="shared" si="30"/>
        <v>7.5499818515523796</v>
      </c>
      <c r="T110" s="6">
        <f t="shared" si="31"/>
        <v>-31.266917416554719</v>
      </c>
      <c r="U110" t="str">
        <f>IMPRODUCT(COMPLEX(-1,0),IMDIV(COMPLEX(1,C110*Calculations!$B$171*Calculations!$B$173),IMPRODUCT(COMPLEX(0,C110*Calculations!$B$160),COMPLEX((Calculations!$B$173+Calculations!$B$175),C110*Calculations!$B$171*Calculations!$B$173*Calculations!$B$175))))</f>
        <v>-0.221077982081883+0.0608567093999342i</v>
      </c>
      <c r="V110">
        <f t="shared" si="32"/>
        <v>-12.791875686343126</v>
      </c>
      <c r="W110">
        <f t="shared" si="33"/>
        <v>164.60922943069019</v>
      </c>
      <c r="X110" t="str">
        <f t="shared" si="34"/>
        <v>-0.375365625223808+0.397739431477087i</v>
      </c>
      <c r="Y110">
        <f t="shared" si="35"/>
        <v>-5.2418938347907504</v>
      </c>
      <c r="Z110">
        <f t="shared" si="36"/>
        <v>133.3423120141355</v>
      </c>
    </row>
    <row r="111" spans="2:26">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0.0909286702500838-0.0228101941025345i</v>
      </c>
      <c r="E111" s="1">
        <f t="shared" si="14"/>
        <v>-20.560937412048396</v>
      </c>
      <c r="F111" s="6">
        <f t="shared" si="23"/>
        <v>-14.082507920738033</v>
      </c>
      <c r="G111" s="5" t="str">
        <f t="shared" ref="G111:G137" si="39">IMDIV(COMPLEX(V48_Max,0),IMSUM(COMPLEX(Rcs/np,(Lm*C111)/np),D111))</f>
        <v>396.3701556096-285.187418646643i</v>
      </c>
      <c r="H111" s="1">
        <f t="shared" si="24"/>
        <v>53.773812332836393</v>
      </c>
      <c r="I111" s="6">
        <f t="shared" si="25"/>
        <v>-35.734929112406931</v>
      </c>
      <c r="J111" s="26" t="str">
        <f t="shared" ref="J111:J137" si="40">IMDIV(IMPRODUCT(COMPLEX(V48_Max,0),D111),IMSUM(COMPLEX(Rcs/np,(Lm*C111)/np),D111))</f>
        <v>29.5362308014691-34.9729929355i</v>
      </c>
      <c r="K111" s="1">
        <f t="shared" si="26"/>
        <v>33.212874920788011</v>
      </c>
      <c r="L111" s="6">
        <f t="shared" si="27"/>
        <v>-49.817437033144913</v>
      </c>
      <c r="M111" s="26">
        <f t="shared" ref="M111:M137" si="41">(Ramp_C*Ramp_R*Fsw)/(V48_Max)</f>
        <v>0.17454545454545453</v>
      </c>
      <c r="N111" s="6">
        <f t="shared" ref="N111:N137" si="42">(Rcs*Acs)/np</f>
        <v>2.5000000000000001E-2</v>
      </c>
      <c r="O111" s="5" t="str">
        <f t="shared" ref="O111:O137" si="43">IMPRODUCT(COMPLEX(gm/(IL_Comp_Ccomp+IL_Comp_Chf),0),IMDIV(COMPLEX(1,C111*IL_Comp_Rcomp*IL_Comp_Ccomp),IMPRODUCT(COMPLEX(0,C111),COMPLEX(1,C111*IL_Comp_Rcomp*IL_Comp_Chf))))</f>
        <v>0.617503557809955-0.108108561695686i</v>
      </c>
      <c r="P111" s="1">
        <f t="shared" si="21"/>
        <v>-4.0560954372483087</v>
      </c>
      <c r="Q111" s="6">
        <f t="shared" si="28"/>
        <v>-9.9303362910197954</v>
      </c>
      <c r="R111" s="5" t="str">
        <f t="shared" si="29"/>
        <v>1.93780026363552-1.28024590945358i</v>
      </c>
      <c r="S111" s="1">
        <f t="shared" si="30"/>
        <v>7.3191894923030016</v>
      </c>
      <c r="T111" s="6">
        <f t="shared" si="31"/>
        <v>-33.451530946633099</v>
      </c>
      <c r="U111" t="str">
        <f>IMPRODUCT(COMPLEX(-1,0),IMDIV(COMPLEX(1,C111*Calculations!$B$171*Calculations!$B$173),IMPRODUCT(COMPLEX(0,C111*Calculations!$B$160),COMPLEX((Calculations!$B$173+Calculations!$B$175),C111*Calculations!$B$171*Calculations!$B$173*Calculations!$B$175))))</f>
        <v>-0.219820299170738+0.0598450106195671i</v>
      </c>
      <c r="V111">
        <f t="shared" si="32"/>
        <v>-12.848126498060878</v>
      </c>
      <c r="W111">
        <f t="shared" si="33"/>
        <v>164.77059556433915</v>
      </c>
      <c r="X111" t="str">
        <f t="shared" si="34"/>
        <v>-0.349351503638588+0.397391716184067i</v>
      </c>
      <c r="Y111">
        <f t="shared" si="35"/>
        <v>-5.5289370057578786</v>
      </c>
      <c r="Z111">
        <f t="shared" si="36"/>
        <v>131.31906461770603</v>
      </c>
    </row>
    <row r="112" spans="2:26">
      <c r="B112" s="1">
        <v>7000</v>
      </c>
      <c r="C112" s="22">
        <f t="shared" si="37"/>
        <v>43982.297150257102</v>
      </c>
      <c r="D112" s="26" t="str">
        <f t="shared" si="38"/>
        <v>0.0905393831096853-0.0195731249163688i</v>
      </c>
      <c r="E112" s="1">
        <f t="shared" si="14"/>
        <v>-20.664880566235148</v>
      </c>
      <c r="F112" s="6">
        <f t="shared" si="23"/>
        <v>-12.198680464165992</v>
      </c>
      <c r="G112" s="5" t="str">
        <f t="shared" si="39"/>
        <v>327.09170685685-301.028710272746i</v>
      </c>
      <c r="H112" s="1">
        <f t="shared" si="24"/>
        <v>52.958029163308396</v>
      </c>
      <c r="I112" s="6">
        <f t="shared" si="25"/>
        <v>-42.623953092552171</v>
      </c>
      <c r="J112" s="26" t="str">
        <f t="shared" si="40"/>
        <v>23.7226088095314-33.657160563816i</v>
      </c>
      <c r="K112" s="1">
        <f t="shared" si="26"/>
        <v>32.293148597073248</v>
      </c>
      <c r="L112" s="6">
        <f t="shared" si="27"/>
        <v>-54.82263355671811</v>
      </c>
      <c r="M112" s="26">
        <f t="shared" si="41"/>
        <v>0.17454545454545453</v>
      </c>
      <c r="N112" s="6">
        <f t="shared" si="42"/>
        <v>2.5000000000000001E-2</v>
      </c>
      <c r="O112" s="5" t="str">
        <f t="shared" si="43"/>
        <v>0.614737122336144-0.113772891433085i</v>
      </c>
      <c r="P112" s="1">
        <f t="shared" si="21"/>
        <v>-4.0799432789701697</v>
      </c>
      <c r="Q112" s="6">
        <f t="shared" si="28"/>
        <v>-10.485410783126744</v>
      </c>
      <c r="R112" s="5" t="str">
        <f t="shared" si="29"/>
        <v>1.83443919381998-1.33294031494316i</v>
      </c>
      <c r="S112" s="1">
        <f t="shared" si="30"/>
        <v>7.1112337611245078</v>
      </c>
      <c r="T112" s="6">
        <f t="shared" si="31"/>
        <v>-36.002907343474966</v>
      </c>
      <c r="U112" t="str">
        <f>IMPRODUCT(COMPLEX(-1,0),IMDIV(COMPLEX(1,C112*Calculations!$B$171*Calculations!$B$173),IMPRODUCT(COMPLEX(0,C112*Calculations!$B$160),COMPLEX((Calculations!$B$173+Calculations!$B$175),C112*Calculations!$B$171*Calculations!$B$173*Calculations!$B$175))))</f>
        <v>-0.218352272145282+0.0604313541875746i</v>
      </c>
      <c r="V112">
        <f t="shared" si="32"/>
        <v>-12.896315843417469</v>
      </c>
      <c r="W112">
        <f t="shared" si="33"/>
        <v>164.52999661088938</v>
      </c>
      <c r="X112" t="str">
        <f t="shared" si="34"/>
        <v>-0.320002577799725+0.401908191059191i</v>
      </c>
      <c r="Y112">
        <f t="shared" si="35"/>
        <v>-5.7850820822929521</v>
      </c>
      <c r="Z112">
        <f t="shared" si="36"/>
        <v>128.5270892674144</v>
      </c>
    </row>
    <row r="113" spans="2:26">
      <c r="B113" s="1">
        <v>8000</v>
      </c>
      <c r="C113" s="22">
        <f t="shared" si="37"/>
        <v>50265.482457436687</v>
      </c>
      <c r="D113" s="26" t="str">
        <f t="shared" si="38"/>
        <v>0.0902862616451897-0.0171387335778625i</v>
      </c>
      <c r="E113" s="1">
        <f t="shared" si="14"/>
        <v>-20.733825925531463</v>
      </c>
      <c r="F113" s="6">
        <f t="shared" si="23"/>
        <v>-10.748377551289781</v>
      </c>
      <c r="G113" s="5" t="str">
        <f t="shared" si="39"/>
        <v>270.781176426386-301.200614238737i</v>
      </c>
      <c r="H113" s="1">
        <f t="shared" si="24"/>
        <v>52.14961026934035</v>
      </c>
      <c r="I113" s="6">
        <f t="shared" si="25"/>
        <v>-48.044266465821778</v>
      </c>
      <c r="J113" s="26" t="str">
        <f t="shared" si="40"/>
        <v>19.2856230624987-31.8351239055224i</v>
      </c>
      <c r="K113" s="1">
        <f t="shared" si="26"/>
        <v>31.415784343808877</v>
      </c>
      <c r="L113" s="6">
        <f t="shared" si="27"/>
        <v>-58.792644017111527</v>
      </c>
      <c r="M113" s="26">
        <f t="shared" si="41"/>
        <v>0.17454545454545453</v>
      </c>
      <c r="N113" s="6">
        <f t="shared" si="42"/>
        <v>2.5000000000000001E-2</v>
      </c>
      <c r="O113" s="5" t="str">
        <f t="shared" si="43"/>
        <v>0.611575723962327-0.120658073172782i</v>
      </c>
      <c r="P113" s="1">
        <f t="shared" si="21"/>
        <v>-4.1051593852489434</v>
      </c>
      <c r="Q113" s="6">
        <f t="shared" si="28"/>
        <v>-11.160582310258695</v>
      </c>
      <c r="R113" s="5" t="str">
        <f t="shared" si="29"/>
        <v>1.72710138634746-1.38742205221858i</v>
      </c>
      <c r="S113" s="1">
        <f t="shared" si="30"/>
        <v>6.9088855084959757</v>
      </c>
      <c r="T113" s="6">
        <f t="shared" si="31"/>
        <v>-38.775750037107152</v>
      </c>
      <c r="U113" t="str">
        <f>IMPRODUCT(COMPLEX(-1,0),IMDIV(COMPLEX(1,C113*Calculations!$B$171*Calculations!$B$173),IMPRODUCT(COMPLEX(0,C113*Calculations!$B$160),COMPLEX((Calculations!$B$173+Calculations!$B$175),C113*Calculations!$B$171*Calculations!$B$173*Calculations!$B$175))))</f>
        <v>-0.216682573297493+0.0619692519996692i</v>
      </c>
      <c r="V113">
        <f t="shared" si="32"/>
        <v>-12.942087408821813</v>
      </c>
      <c r="W113">
        <f t="shared" si="33"/>
        <v>164.03995055874259</v>
      </c>
      <c r="X113" t="str">
        <f t="shared" si="34"/>
        <v>-0.288255265955604+0.407657361563954i</v>
      </c>
      <c r="Y113">
        <f t="shared" si="35"/>
        <v>-6.0332019003258406</v>
      </c>
      <c r="Z113">
        <f t="shared" si="36"/>
        <v>125.26420052163546</v>
      </c>
    </row>
    <row r="114" spans="2:26">
      <c r="B114" s="1">
        <v>9000</v>
      </c>
      <c r="C114" s="22">
        <f t="shared" si="37"/>
        <v>56548.667764616279</v>
      </c>
      <c r="D114" s="26" t="str">
        <f t="shared" si="38"/>
        <v>0.09011251308445-0.015241903796168i</v>
      </c>
      <c r="E114" s="1">
        <f t="shared" si="14"/>
        <v>-20.781793224752171</v>
      </c>
      <c r="F114" s="6">
        <f t="shared" si="23"/>
        <v>-9.6003171400805698</v>
      </c>
      <c r="G114" s="5" t="str">
        <f t="shared" si="39"/>
        <v>226.00168213723-293.431052577198i</v>
      </c>
      <c r="H114" s="1">
        <f t="shared" si="24"/>
        <v>51.372861856479631</v>
      </c>
      <c r="I114" s="6">
        <f t="shared" si="25"/>
        <v>-52.396402622774346</v>
      </c>
      <c r="J114" s="26" t="str">
        <f t="shared" si="40"/>
        <v>15.8931316645089-29.8865054616545i</v>
      </c>
      <c r="K114" s="1">
        <f t="shared" si="26"/>
        <v>30.59106863172746</v>
      </c>
      <c r="L114" s="6">
        <f t="shared" si="27"/>
        <v>-61.996719762854894</v>
      </c>
      <c r="M114" s="26">
        <f t="shared" si="41"/>
        <v>0.17454545454545453</v>
      </c>
      <c r="N114" s="6">
        <f t="shared" si="42"/>
        <v>2.5000000000000001E-2</v>
      </c>
      <c r="O114" s="5" t="str">
        <f t="shared" si="43"/>
        <v>0.608031886431177-0.12828283300591i</v>
      </c>
      <c r="P114" s="1">
        <f t="shared" si="21"/>
        <v>-4.1323354624931135</v>
      </c>
      <c r="Q114" s="6">
        <f t="shared" si="28"/>
        <v>-11.913570712460421</v>
      </c>
      <c r="R114" s="5" t="str">
        <f t="shared" si="29"/>
        <v>1.61604655784768-1.43870987864833i</v>
      </c>
      <c r="S114" s="1">
        <f t="shared" si="30"/>
        <v>6.7038434049819093</v>
      </c>
      <c r="T114" s="6">
        <f t="shared" si="31"/>
        <v>-41.67755765547701</v>
      </c>
      <c r="U114" t="str">
        <f>IMPRODUCT(COMPLEX(-1,0),IMDIV(COMPLEX(1,C114*Calculations!$B$171*Calculations!$B$173),IMPRODUCT(COMPLEX(0,C114*Calculations!$B$160),COMPLEX((Calculations!$B$173+Calculations!$B$175),C114*Calculations!$B$171*Calculations!$B$173*Calculations!$B$175))))</f>
        <v>-0.214820852586327+0.0640948119300738i</v>
      </c>
      <c r="V114">
        <f t="shared" si="32"/>
        <v>-12.988108398147736</v>
      </c>
      <c r="W114">
        <f t="shared" si="33"/>
        <v>163.38678992332913</v>
      </c>
      <c r="X114" t="str">
        <f t="shared" si="34"/>
        <v>-0.254946660282134+0.412645082951096i</v>
      </c>
      <c r="Y114">
        <f t="shared" si="35"/>
        <v>-6.2842649931658165</v>
      </c>
      <c r="Z114">
        <f t="shared" si="36"/>
        <v>121.70923226785214</v>
      </c>
    </row>
    <row r="115" spans="2:26">
      <c r="B115" s="1">
        <v>10000</v>
      </c>
      <c r="C115" s="22">
        <f t="shared" si="37"/>
        <v>62831.853071795864</v>
      </c>
      <c r="D115" s="26" t="str">
        <f t="shared" si="38"/>
        <v>0.0899881271395289-0.0137225289315935i</v>
      </c>
      <c r="E115" s="1">
        <f t="shared" si="14"/>
        <v>-20.816461176005909</v>
      </c>
      <c r="F115" s="6">
        <f t="shared" si="23"/>
        <v>-8.6703904949115369</v>
      </c>
      <c r="G115" s="5" t="str">
        <f t="shared" si="39"/>
        <v>190.494254368072-281.952332787922i</v>
      </c>
      <c r="H115" s="1">
        <f t="shared" si="24"/>
        <v>50.636529710600691</v>
      </c>
      <c r="I115" s="6">
        <f t="shared" si="25"/>
        <v>-55.956026883907768</v>
      </c>
      <c r="J115" s="26" t="str">
        <f t="shared" si="40"/>
        <v>13.2731221374113-27.9864252870745i</v>
      </c>
      <c r="K115" s="1">
        <f t="shared" si="26"/>
        <v>29.820068534594789</v>
      </c>
      <c r="L115" s="6">
        <f t="shared" si="27"/>
        <v>-64.626417378819283</v>
      </c>
      <c r="M115" s="26">
        <f t="shared" si="41"/>
        <v>0.17454545454545453</v>
      </c>
      <c r="N115" s="6">
        <f t="shared" si="42"/>
        <v>2.5000000000000001E-2</v>
      </c>
      <c r="O115" s="5" t="str">
        <f t="shared" si="43"/>
        <v>0.604119416266114-0.136351555090552i</v>
      </c>
      <c r="P115" s="1">
        <f t="shared" si="21"/>
        <v>-4.1617573055919719</v>
      </c>
      <c r="Q115" s="6">
        <f t="shared" si="28"/>
        <v>-12.718714924305093</v>
      </c>
      <c r="R115" s="5" t="str">
        <f t="shared" si="29"/>
        <v>1.5022632720955-1.48387295369151i</v>
      </c>
      <c r="S115" s="1">
        <f t="shared" si="30"/>
        <v>6.4920570812112892</v>
      </c>
      <c r="T115" s="6">
        <f t="shared" si="31"/>
        <v>-44.647144594994103</v>
      </c>
      <c r="U115" t="str">
        <f>IMPRODUCT(COMPLEX(-1,0),IMDIV(COMPLEX(1,C115*Calculations!$B$171*Calculations!$B$173),IMPRODUCT(COMPLEX(0,C115*Calculations!$B$160),COMPLEX((Calculations!$B$173+Calculations!$B$175),C115*Calculations!$B$171*Calculations!$B$173*Calculations!$B$175))))</f>
        <v>-0.212777604315723+0.0665860206123845i</v>
      </c>
      <c r="V115">
        <f t="shared" si="32"/>
        <v>-13.035736488338811</v>
      </c>
      <c r="W115">
        <f t="shared" si="33"/>
        <v>162.62315885516367</v>
      </c>
      <c r="X115" t="str">
        <f t="shared" si="34"/>
        <v>-0.220842785007317+0.415764665396354i</v>
      </c>
      <c r="Y115">
        <f t="shared" si="35"/>
        <v>-6.5436794071275273</v>
      </c>
      <c r="Z115">
        <f t="shared" si="36"/>
        <v>117.97601426016958</v>
      </c>
    </row>
    <row r="116" spans="2:26">
      <c r="B116" s="1">
        <v>20000</v>
      </c>
      <c r="C116" s="22">
        <f t="shared" si="37"/>
        <v>125663.70614359173</v>
      </c>
      <c r="D116" s="26" t="str">
        <f t="shared" si="38"/>
        <v>0.0895898327826858-0.00686897430981456i</v>
      </c>
      <c r="E116" s="1">
        <f t="shared" si="14"/>
        <v>-20.929370236448428</v>
      </c>
      <c r="F116" s="6">
        <f t="shared" si="23"/>
        <v>-4.3843675916380276</v>
      </c>
      <c r="G116" s="5" t="str">
        <f t="shared" si="39"/>
        <v>54.2625228988736-173.732390341819i</v>
      </c>
      <c r="H116" s="1">
        <f t="shared" si="24"/>
        <v>45.201868907962151</v>
      </c>
      <c r="I116" s="6">
        <f t="shared" si="25"/>
        <v>-72.654643545786342</v>
      </c>
      <c r="J116" s="26" t="str">
        <f t="shared" si="40"/>
        <v>3.66800702683612-15.9373836754379i</v>
      </c>
      <c r="K116" s="1">
        <f t="shared" si="26"/>
        <v>24.272498671513706</v>
      </c>
      <c r="L116" s="6">
        <f t="shared" si="27"/>
        <v>-77.039011137424325</v>
      </c>
      <c r="M116" s="26">
        <f t="shared" si="41"/>
        <v>0.17454545454545453</v>
      </c>
      <c r="N116" s="6">
        <f t="shared" si="42"/>
        <v>2.5000000000000001E-2</v>
      </c>
      <c r="O116" s="5" t="str">
        <f t="shared" si="43"/>
        <v>0.548401953610384-0.216972837720415i</v>
      </c>
      <c r="P116" s="1">
        <f t="shared" si="21"/>
        <v>-4.5864305810764119</v>
      </c>
      <c r="Q116" s="6">
        <f t="shared" si="28"/>
        <v>-21.586012175270909</v>
      </c>
      <c r="R116" s="5" t="str">
        <f t="shared" si="29"/>
        <v>0.464103670564931-1.49960507156396i</v>
      </c>
      <c r="S116" s="1">
        <f t="shared" si="30"/>
        <v>3.9167729050203755</v>
      </c>
      <c r="T116" s="6">
        <f t="shared" si="31"/>
        <v>-72.803543978137895</v>
      </c>
      <c r="U116" t="str">
        <f>IMPRODUCT(COMPLEX(-1,0),IMDIV(COMPLEX(1,C116*Calculations!$B$171*Calculations!$B$173),IMPRODUCT(COMPLEX(0,C116*Calculations!$B$160),COMPLEX((Calculations!$B$173+Calculations!$B$175),C116*Calculations!$B$171*Calculations!$B$173*Calculations!$B$175))))</f>
        <v>-0.184995033662552+0.0938054915549987i</v>
      </c>
      <c r="V116">
        <f t="shared" si="32"/>
        <v>-13.663030169320026</v>
      </c>
      <c r="W116">
        <f t="shared" si="33"/>
        <v>153.11178644995894</v>
      </c>
      <c r="X116" t="str">
        <f t="shared" si="34"/>
        <v>0.0548143167173529+0.320954963644331i</v>
      </c>
      <c r="Y116">
        <f t="shared" si="35"/>
        <v>-9.7462572642996488</v>
      </c>
      <c r="Z116">
        <f t="shared" si="36"/>
        <v>80.308242471821075</v>
      </c>
    </row>
    <row r="117" spans="2:26">
      <c r="B117" s="1">
        <v>30000</v>
      </c>
      <c r="C117" s="22">
        <f t="shared" si="37"/>
        <v>188495.55921538759</v>
      </c>
      <c r="D117" s="26" t="str">
        <f t="shared" si="38"/>
        <v>0.0895159763193918-0.00458026930701913i</v>
      </c>
      <c r="E117" s="1">
        <f t="shared" si="14"/>
        <v>-20.950633678582665</v>
      </c>
      <c r="F117" s="6">
        <f t="shared" si="23"/>
        <v>-2.9291021585136141</v>
      </c>
      <c r="G117" s="5" t="str">
        <f t="shared" si="39"/>
        <v>24.7193333203636-120.384935540093i</v>
      </c>
      <c r="H117" s="1">
        <f t="shared" si="24"/>
        <v>41.790798469257886</v>
      </c>
      <c r="I117" s="6">
        <f t="shared" si="25"/>
        <v>-78.39641272316608</v>
      </c>
      <c r="J117" s="26" t="str">
        <f t="shared" si="40"/>
        <v>1.66137983085506-10.8895962427157i</v>
      </c>
      <c r="K117" s="1">
        <f t="shared" si="26"/>
        <v>20.840164790675214</v>
      </c>
      <c r="L117" s="6">
        <f t="shared" si="27"/>
        <v>-81.325514881679666</v>
      </c>
      <c r="M117" s="26">
        <f t="shared" si="41"/>
        <v>0.17454545454545453</v>
      </c>
      <c r="N117" s="6">
        <f t="shared" si="42"/>
        <v>2.5000000000000001E-2</v>
      </c>
      <c r="O117" s="5" t="str">
        <f t="shared" si="43"/>
        <v>0.475335571766696-0.2747342000699i</v>
      </c>
      <c r="P117" s="1">
        <f t="shared" si="21"/>
        <v>-5.2082391968490951</v>
      </c>
      <c r="Q117" s="6">
        <f t="shared" si="28"/>
        <v>-30.027030386540947</v>
      </c>
      <c r="R117" s="5" t="str">
        <f t="shared" si="29"/>
        <v>-0.0821246347587036-1.10931528283062i</v>
      </c>
      <c r="S117" s="1">
        <f t="shared" si="30"/>
        <v>0.92483736059095745</v>
      </c>
      <c r="T117" s="6">
        <f t="shared" si="31"/>
        <v>-94.233987301062811</v>
      </c>
      <c r="U117" t="str">
        <f>IMPRODUCT(COMPLEX(-1,0),IMDIV(COMPLEX(1,C117*Calculations!$B$171*Calculations!$B$173),IMPRODUCT(COMPLEX(0,C117*Calculations!$B$160),COMPLEX((Calculations!$B$173+Calculations!$B$175),C117*Calculations!$B$171*Calculations!$B$173*Calculations!$B$175))))</f>
        <v>-0.151931886342235+0.110546304648822i</v>
      </c>
      <c r="V117">
        <f t="shared" si="32"/>
        <v>-14.521787481320009</v>
      </c>
      <c r="W117">
        <f t="shared" si="33"/>
        <v>143.96020036749817</v>
      </c>
      <c r="X117" t="str">
        <f t="shared" si="34"/>
        <v>0.135108055881445+0.159461788575517i</v>
      </c>
      <c r="Y117">
        <f t="shared" si="35"/>
        <v>-13.596950120729051</v>
      </c>
      <c r="Z117">
        <f t="shared" si="36"/>
        <v>49.72621306643525</v>
      </c>
    </row>
    <row r="118" spans="2:26">
      <c r="B118" s="1">
        <v>40000</v>
      </c>
      <c r="C118" s="22">
        <f t="shared" si="37"/>
        <v>251327.41228718346</v>
      </c>
      <c r="D118" s="26" t="str">
        <f t="shared" si="38"/>
        <v>0.0894901192935032-0.00343545223944193i</v>
      </c>
      <c r="E118" s="1">
        <f t="shared" si="14"/>
        <v>-20.958102647181764</v>
      </c>
      <c r="F118" s="6">
        <f t="shared" si="23"/>
        <v>-2.1984584023475184</v>
      </c>
      <c r="G118" s="5" t="str">
        <f t="shared" si="39"/>
        <v>14.0257629405235-91.5178597735175i</v>
      </c>
      <c r="H118" s="1">
        <f t="shared" si="24"/>
        <v>39.330943562670321</v>
      </c>
      <c r="I118" s="6">
        <f t="shared" si="25"/>
        <v>-81.286809892842385</v>
      </c>
      <c r="J118" s="26" t="str">
        <f t="shared" si="40"/>
        <v>0.940761962421984-8.23812902732209i</v>
      </c>
      <c r="K118" s="1">
        <f t="shared" si="26"/>
        <v>18.372840915488563</v>
      </c>
      <c r="L118" s="6">
        <f t="shared" si="27"/>
        <v>-83.485268295189883</v>
      </c>
      <c r="M118" s="26">
        <f t="shared" si="41"/>
        <v>0.17454545454545453</v>
      </c>
      <c r="N118" s="6">
        <f t="shared" si="42"/>
        <v>2.5000000000000001E-2</v>
      </c>
      <c r="O118" s="5" t="str">
        <f t="shared" si="43"/>
        <v>0.400610118364158-0.305830209786282i</v>
      </c>
      <c r="P118" s="1">
        <f t="shared" si="21"/>
        <v>-5.951310895921111</v>
      </c>
      <c r="Q118" s="6">
        <f t="shared" si="28"/>
        <v>-37.358515840436425</v>
      </c>
      <c r="R118" s="5" t="str">
        <f t="shared" si="29"/>
        <v>-0.266543873549375-0.746797974762481i</v>
      </c>
      <c r="S118" s="1">
        <f t="shared" si="30"/>
        <v>-2.0152003223901134</v>
      </c>
      <c r="T118" s="6">
        <f t="shared" si="31"/>
        <v>-109.64227709178444</v>
      </c>
      <c r="U118" t="str">
        <f>IMPRODUCT(COMPLEX(-1,0),IMDIV(COMPLEX(1,C118*Calculations!$B$171*Calculations!$B$173),IMPRODUCT(COMPLEX(0,C118*Calculations!$B$160),COMPLEX((Calculations!$B$173+Calculations!$B$175),C118*Calculations!$B$171*Calculations!$B$173*Calculations!$B$175))))</f>
        <v>-0.121524673098573+0.116024301364083i</v>
      </c>
      <c r="V118">
        <f t="shared" si="32"/>
        <v>-15.492908959759916</v>
      </c>
      <c r="W118">
        <f t="shared" si="33"/>
        <v>136.3264287242479</v>
      </c>
      <c r="X118" t="str">
        <f t="shared" si="34"/>
        <v>0.119038370381444+0.0598288130422442i</v>
      </c>
      <c r="Y118">
        <f t="shared" si="35"/>
        <v>-17.508109282150034</v>
      </c>
      <c r="Z118">
        <f t="shared" si="36"/>
        <v>26.684151632463493</v>
      </c>
    </row>
    <row r="119" spans="2:26">
      <c r="B119" s="1">
        <v>50000</v>
      </c>
      <c r="C119" s="22">
        <f t="shared" si="37"/>
        <v>314159.26535897929</v>
      </c>
      <c r="D119" s="26" t="str">
        <f t="shared" si="38"/>
        <v>0.0894781499088801-0.00274845446882788i</v>
      </c>
      <c r="E119" s="1">
        <f t="shared" si="14"/>
        <v>-20.961564435164526</v>
      </c>
      <c r="F119" s="6">
        <f t="shared" si="23"/>
        <v>-1.7593719075746577</v>
      </c>
      <c r="G119" s="5" t="str">
        <f t="shared" si="39"/>
        <v>9.01265640978466-73.6739029976739i</v>
      </c>
      <c r="H119" s="1">
        <f t="shared" si="24"/>
        <v>37.410784450839763</v>
      </c>
      <c r="I119" s="6">
        <f t="shared" si="25"/>
        <v>-83.025561048188123</v>
      </c>
      <c r="J119" s="26" t="str">
        <f t="shared" si="40"/>
        <v>0.603946453381993-6.61697541258365i</v>
      </c>
      <c r="K119" s="1">
        <f t="shared" si="26"/>
        <v>16.449220015675252</v>
      </c>
      <c r="L119" s="6">
        <f t="shared" si="27"/>
        <v>-84.784932955762784</v>
      </c>
      <c r="M119" s="26">
        <f t="shared" si="41"/>
        <v>0.17454545454545453</v>
      </c>
      <c r="N119" s="6">
        <f t="shared" si="42"/>
        <v>2.5000000000000001E-2</v>
      </c>
      <c r="O119" s="5" t="str">
        <f t="shared" si="43"/>
        <v>0.333252576708713-0.316617223127915i</v>
      </c>
      <c r="P119" s="1">
        <f t="shared" si="21"/>
        <v>-6.7509280397113773</v>
      </c>
      <c r="Q119" s="6">
        <f t="shared" si="28"/>
        <v>-43.533664050598759</v>
      </c>
      <c r="R119" s="5" t="str">
        <f t="shared" si="29"/>
        <v>-0.297367813077585-0.497995774887675i</v>
      </c>
      <c r="S119" s="1">
        <f t="shared" si="30"/>
        <v>-4.7310863033973956</v>
      </c>
      <c r="T119" s="6">
        <f t="shared" si="31"/>
        <v>-120.84265821468209</v>
      </c>
      <c r="U119" t="str">
        <f>IMPRODUCT(COMPLEX(-1,0),IMDIV(COMPLEX(1,C119*Calculations!$B$171*Calculations!$B$173),IMPRODUCT(COMPLEX(0,C119*Calculations!$B$160),COMPLEX((Calculations!$B$173+Calculations!$B$175),C119*Calculations!$B$171*Calculations!$B$173*Calculations!$B$175))))</f>
        <v>-0.0966537972234409+0.114487679481777i</v>
      </c>
      <c r="V119">
        <f t="shared" si="32"/>
        <v>-16.487955467381944</v>
      </c>
      <c r="W119">
        <f t="shared" si="33"/>
        <v>130.17202100524395</v>
      </c>
      <c r="X119" t="str">
        <f t="shared" si="34"/>
        <v>0.0857561089645983+0.0140882317723001i</v>
      </c>
      <c r="Y119">
        <f t="shared" si="35"/>
        <v>-21.219041770779338</v>
      </c>
      <c r="Z119">
        <f t="shared" si="36"/>
        <v>9.3293627905618113</v>
      </c>
    </row>
    <row r="120" spans="2:26">
      <c r="B120" s="1">
        <v>60000</v>
      </c>
      <c r="C120" s="22">
        <f t="shared" si="37"/>
        <v>376991.11843077518</v>
      </c>
      <c r="D120" s="26" t="str">
        <f t="shared" si="38"/>
        <v>0.0894716476825818-0.00229042067888205i</v>
      </c>
      <c r="E120" s="1">
        <f t="shared" si="14"/>
        <v>-20.9634461677588</v>
      </c>
      <c r="F120" s="6">
        <f t="shared" si="23"/>
        <v>-1.4664174212529246</v>
      </c>
      <c r="G120" s="5" t="str">
        <f t="shared" si="39"/>
        <v>6.27248536311455-61.6039719475454i</v>
      </c>
      <c r="H120" s="1">
        <f t="shared" si="24"/>
        <v>35.836966721127197</v>
      </c>
      <c r="I120" s="6">
        <f t="shared" si="25"/>
        <v>-84.186208307408705</v>
      </c>
      <c r="J120" s="26" t="str">
        <f t="shared" si="40"/>
        <v>0.420110589252808-5.5261755041221i</v>
      </c>
      <c r="K120" s="1">
        <f t="shared" si="26"/>
        <v>14.873520553368401</v>
      </c>
      <c r="L120" s="6">
        <f t="shared" si="27"/>
        <v>-85.652625728661633</v>
      </c>
      <c r="M120" s="26">
        <f t="shared" si="41"/>
        <v>0.17454545454545453</v>
      </c>
      <c r="N120" s="6">
        <f t="shared" si="42"/>
        <v>2.5000000000000001E-2</v>
      </c>
      <c r="O120" s="5" t="str">
        <f t="shared" si="43"/>
        <v>0.276443159091486-0.314418751268441i</v>
      </c>
      <c r="P120" s="1">
        <f t="shared" si="21"/>
        <v>-7.5626770641494439</v>
      </c>
      <c r="Q120" s="6">
        <f t="shared" si="28"/>
        <v>-48.67742870766314</v>
      </c>
      <c r="R120" s="5" t="str">
        <f t="shared" si="29"/>
        <v>-0.276178890091331-0.338666643862159i</v>
      </c>
      <c r="S120" s="1">
        <f t="shared" si="30"/>
        <v>-7.1903513617875037</v>
      </c>
      <c r="T120" s="6">
        <f t="shared" si="31"/>
        <v>-129.19686198377363</v>
      </c>
      <c r="U120" t="str">
        <f>IMPRODUCT(COMPLEX(-1,0),IMDIV(COMPLEX(1,C120*Calculations!$B$171*Calculations!$B$173),IMPRODUCT(COMPLEX(0,C120*Calculations!$B$160),COMPLEX((Calculations!$B$173+Calculations!$B$175),C120*Calculations!$B$171*Calculations!$B$173*Calculations!$B$175))))</f>
        <v>-0.0773146048020251+0.109447127156883i</v>
      </c>
      <c r="V120">
        <f t="shared" si="32"/>
        <v>-17.457850397185645</v>
      </c>
      <c r="W120">
        <f t="shared" si="33"/>
        <v>125.23778671038299</v>
      </c>
      <c r="X120" t="str">
        <f t="shared" si="34"/>
        <v>0.0584187529766497-0.00404310837204172i</v>
      </c>
      <c r="Y120">
        <f t="shared" si="35"/>
        <v>-24.648201758973151</v>
      </c>
      <c r="Z120">
        <f t="shared" si="36"/>
        <v>-3.9590752733906527</v>
      </c>
    </row>
    <row r="121" spans="2:26">
      <c r="B121" s="1">
        <v>70000</v>
      </c>
      <c r="C121" s="22">
        <f t="shared" si="37"/>
        <v>439822.97150257102</v>
      </c>
      <c r="D121" s="26" t="str">
        <f t="shared" si="38"/>
        <v>0.0894677269300811-0.00196323940892699i</v>
      </c>
      <c r="E121" s="1">
        <f t="shared" si="14"/>
        <v>-20.964581220643854</v>
      </c>
      <c r="F121" s="6">
        <f t="shared" si="23"/>
        <v>-1.2570709769705368</v>
      </c>
      <c r="G121" s="5" t="str">
        <f t="shared" si="39"/>
        <v>4.6144371307736-52.9117409840271i</v>
      </c>
      <c r="H121" s="1">
        <f t="shared" si="24"/>
        <v>34.503946748312174</v>
      </c>
      <c r="I121" s="6">
        <f t="shared" si="25"/>
        <v>-85.015840832160237</v>
      </c>
      <c r="J121" s="26" t="str">
        <f t="shared" si="40"/>
        <v>0.3089647860573-4.74295243857927i</v>
      </c>
      <c r="K121" s="1">
        <f t="shared" si="26"/>
        <v>13.539365527668322</v>
      </c>
      <c r="L121" s="6">
        <f t="shared" si="27"/>
        <v>-86.272911809130775</v>
      </c>
      <c r="M121" s="26">
        <f t="shared" si="41"/>
        <v>0.17454545454545453</v>
      </c>
      <c r="N121" s="6">
        <f t="shared" si="42"/>
        <v>2.5000000000000001E-2</v>
      </c>
      <c r="O121" s="5" t="str">
        <f t="shared" si="43"/>
        <v>0.230088587986979-0.304871174613678i</v>
      </c>
      <c r="P121" s="1">
        <f t="shared" si="21"/>
        <v>-8.3598283651313032</v>
      </c>
      <c r="Q121" s="6">
        <f t="shared" si="28"/>
        <v>-52.957868213023104</v>
      </c>
      <c r="R121" s="5" t="str">
        <f t="shared" si="29"/>
        <v>-0.241850926218762-0.236828826858892i</v>
      </c>
      <c r="S121" s="1">
        <f t="shared" si="30"/>
        <v>-9.4089207757150035</v>
      </c>
      <c r="T121" s="6">
        <f t="shared" si="31"/>
        <v>-135.60110029474924</v>
      </c>
      <c r="U121" t="str">
        <f>IMPRODUCT(COMPLEX(-1,0),IMDIV(COMPLEX(1,C121*Calculations!$B$171*Calculations!$B$173),IMPRODUCT(COMPLEX(0,C121*Calculations!$B$160),COMPLEX((Calculations!$B$173+Calculations!$B$175),C121*Calculations!$B$171*Calculations!$B$173*Calculations!$B$175))))</f>
        <v>-0.0625286566365916+0.103013218150562i</v>
      </c>
      <c r="V121">
        <f t="shared" si="32"/>
        <v>-18.379868455980425</v>
      </c>
      <c r="W121">
        <f t="shared" si="33"/>
        <v>121.25760169180774</v>
      </c>
      <c r="X121" t="str">
        <f t="shared" si="34"/>
        <v>0.0395191131283313-0.0101052538261823i</v>
      </c>
      <c r="Y121">
        <f t="shared" si="35"/>
        <v>-27.788789231695436</v>
      </c>
      <c r="Z121">
        <f t="shared" si="36"/>
        <v>-14.343498602941473</v>
      </c>
    </row>
    <row r="122" spans="2:26">
      <c r="B122" s="1">
        <v>80000</v>
      </c>
      <c r="C122" s="22">
        <f t="shared" si="37"/>
        <v>502654.82457436691</v>
      </c>
      <c r="D122" s="26" t="str">
        <f t="shared" si="38"/>
        <v>0.0894651821645597-0.00171784679766374i</v>
      </c>
      <c r="E122" s="1">
        <f t="shared" si="14"/>
        <v>-20.965318085828176</v>
      </c>
      <c r="F122" s="6">
        <f t="shared" si="23"/>
        <v>-1.1000176327475168</v>
      </c>
      <c r="G122" s="5" t="str">
        <f t="shared" si="39"/>
        <v>3.53595403312327-46.3594015458307i</v>
      </c>
      <c r="H122" s="1">
        <f t="shared" si="24"/>
        <v>33.347948364410335</v>
      </c>
      <c r="I122" s="6">
        <f t="shared" si="25"/>
        <v>-85.638344445227332</v>
      </c>
      <c r="J122" s="26" t="str">
        <f t="shared" si="40"/>
        <v>0.23670642221177-4.1536265316502i</v>
      </c>
      <c r="K122" s="1">
        <f t="shared" si="26"/>
        <v>12.382630278582159</v>
      </c>
      <c r="L122" s="6">
        <f t="shared" si="27"/>
        <v>-86.738362077974855</v>
      </c>
      <c r="M122" s="26">
        <f t="shared" si="41"/>
        <v>0.17454545454545453</v>
      </c>
      <c r="N122" s="6">
        <f t="shared" si="42"/>
        <v>2.5000000000000001E-2</v>
      </c>
      <c r="O122" s="5" t="str">
        <f t="shared" si="43"/>
        <v>0.192788075801051-0.291665630756336i</v>
      </c>
      <c r="P122" s="1">
        <f t="shared" si="21"/>
        <v>-9.1280057767636809</v>
      </c>
      <c r="Q122" s="6">
        <f t="shared" si="28"/>
        <v>-56.53569378132903</v>
      </c>
      <c r="R122" s="5" t="str">
        <f t="shared" si="29"/>
        <v>-0.207716645296889-0.17040436035344i</v>
      </c>
      <c r="S122" s="1">
        <f t="shared" si="30"/>
        <v>-11.415599535374731</v>
      </c>
      <c r="T122" s="6">
        <f t="shared" si="31"/>
        <v>-140.63559734924397</v>
      </c>
      <c r="U122" t="str">
        <f>IMPRODUCT(COMPLEX(-1,0),IMDIV(COMPLEX(1,C122*Calculations!$B$171*Calculations!$B$173),IMPRODUCT(COMPLEX(0,C122*Calculations!$B$160),COMPLEX((Calculations!$B$173+Calculations!$B$175),C122*Calculations!$B$171*Calculations!$B$173*Calculations!$B$175))))</f>
        <v>-0.051225030787199+0.0962915978961812i</v>
      </c>
      <c r="V122">
        <f t="shared" si="32"/>
        <v>-19.245962843537683</v>
      </c>
      <c r="W122">
        <f t="shared" si="33"/>
        <v>118.01200383204623</v>
      </c>
      <c r="X122" t="str">
        <f t="shared" si="34"/>
        <v>0.0270487996972562-0.0112723990798938i</v>
      </c>
      <c r="Y122">
        <f t="shared" si="35"/>
        <v>-30.661562378912425</v>
      </c>
      <c r="Z122">
        <f t="shared" si="36"/>
        <v>-22.623593517197722</v>
      </c>
    </row>
    <row r="123" spans="2:26">
      <c r="B123" s="1">
        <v>90000</v>
      </c>
      <c r="C123" s="22">
        <f t="shared" si="37"/>
        <v>565486.6776461628</v>
      </c>
      <c r="D123" s="26" t="str">
        <f t="shared" si="38"/>
        <v>0.0894634374606141-0.00152698243625617i</v>
      </c>
      <c r="E123" s="1">
        <f t="shared" si="14"/>
        <v>-20.965823356529249</v>
      </c>
      <c r="F123" s="6">
        <f t="shared" si="23"/>
        <v>-0.97784253543410526</v>
      </c>
      <c r="G123" s="5" t="str">
        <f t="shared" si="39"/>
        <v>2.79548067402142-41.2459560236232i</v>
      </c>
      <c r="H123" s="1">
        <f t="shared" si="24"/>
        <v>32.327531424256307</v>
      </c>
      <c r="I123" s="6">
        <f t="shared" si="25"/>
        <v>-86.122658219309116</v>
      </c>
      <c r="J123" s="26" t="str">
        <f t="shared" si="40"/>
        <v>0.187111460038004-3.69427365711278i</v>
      </c>
      <c r="K123" s="1">
        <f t="shared" si="26"/>
        <v>11.361708067727069</v>
      </c>
      <c r="L123" s="6">
        <f t="shared" si="27"/>
        <v>-87.100500754743223</v>
      </c>
      <c r="M123" s="26">
        <f t="shared" si="41"/>
        <v>0.17454545454545453</v>
      </c>
      <c r="N123" s="6">
        <f t="shared" si="42"/>
        <v>2.5000000000000001E-2</v>
      </c>
      <c r="O123" s="5" t="str">
        <f t="shared" si="43"/>
        <v>0.162865063468753-0.277016410672989i</v>
      </c>
      <c r="P123" s="1">
        <f t="shared" si="21"/>
        <v>-9.8605475441969102</v>
      </c>
      <c r="Q123" s="6">
        <f t="shared" si="28"/>
        <v>-59.547635857340957</v>
      </c>
      <c r="R123" s="5" t="str">
        <f t="shared" si="29"/>
        <v>-0.177696872099012-0.125902008157285i</v>
      </c>
      <c r="S123" s="1">
        <f t="shared" si="30"/>
        <v>-13.239698221243291</v>
      </c>
      <c r="T123" s="6">
        <f t="shared" si="31"/>
        <v>-144.68161798887601</v>
      </c>
      <c r="U123" t="str">
        <f>IMPRODUCT(COMPLEX(-1,0),IMDIV(COMPLEX(1,C123*Calculations!$B$171*Calculations!$B$173),IMPRODUCT(COMPLEX(0,C123*Calculations!$B$160),COMPLEX((Calculations!$B$173+Calculations!$B$175),C123*Calculations!$B$171*Calculations!$B$173*Calculations!$B$175))))</f>
        <v>-0.0425146865431009+0.0898084803705657i</v>
      </c>
      <c r="V123">
        <f t="shared" si="32"/>
        <v>-20.055481481226316</v>
      </c>
      <c r="W123">
        <f t="shared" si="33"/>
        <v>115.33253684207588</v>
      </c>
      <c r="X123" t="str">
        <f t="shared" si="34"/>
        <v>0.0188617948451873-0.0106060016378611i</v>
      </c>
      <c r="Y123">
        <f t="shared" si="35"/>
        <v>-33.295179702469618</v>
      </c>
      <c r="Z123">
        <f t="shared" si="36"/>
        <v>-29.349081146800078</v>
      </c>
    </row>
    <row r="124" spans="2:26">
      <c r="B124" s="1">
        <v>100000</v>
      </c>
      <c r="C124" s="22">
        <f t="shared" si="37"/>
        <v>628318.53071795858</v>
      </c>
      <c r="D124" s="26" t="str">
        <f t="shared" si="38"/>
        <v>0.0894621894736228-0.00137428902412508i</v>
      </c>
      <c r="E124" s="1">
        <f t="shared" si="14"/>
        <v>-20.966184812803025</v>
      </c>
      <c r="F124" s="6">
        <f t="shared" si="23"/>
        <v>-0.88008988447884584</v>
      </c>
      <c r="G124" s="5" t="str">
        <f t="shared" si="39"/>
        <v>2.26529039489366-37.1455841322202i</v>
      </c>
      <c r="H124" s="1">
        <f t="shared" si="24"/>
        <v>31.414265563993936</v>
      </c>
      <c r="I124" s="6">
        <f t="shared" si="25"/>
        <v>-86.510189860962285</v>
      </c>
      <c r="J124" s="26" t="str">
        <f t="shared" si="40"/>
        <v>0.15160906995313-3.32623844947123i</v>
      </c>
      <c r="K124" s="1">
        <f t="shared" si="26"/>
        <v>10.448080751190886</v>
      </c>
      <c r="L124" s="6">
        <f t="shared" si="27"/>
        <v>-87.390279745441106</v>
      </c>
      <c r="M124" s="26">
        <f t="shared" si="41"/>
        <v>0.17454545454545453</v>
      </c>
      <c r="N124" s="6">
        <f t="shared" si="42"/>
        <v>2.5000000000000001E-2</v>
      </c>
      <c r="O124" s="5" t="str">
        <f t="shared" si="43"/>
        <v>0.138789028840826-0.262174088758271i</v>
      </c>
      <c r="P124" s="1">
        <f t="shared" si="21"/>
        <v>-10.555289387554449</v>
      </c>
      <c r="Q124" s="6">
        <f t="shared" si="28"/>
        <v>-62.104268372873932</v>
      </c>
      <c r="R124" s="5" t="str">
        <f t="shared" si="29"/>
        <v>-0.152418487583386-0.0952571255121105i</v>
      </c>
      <c r="S124" s="1">
        <f t="shared" si="30"/>
        <v>-14.907260156448585</v>
      </c>
      <c r="T124" s="6">
        <f t="shared" si="31"/>
        <v>-147.99581410743696</v>
      </c>
      <c r="U124" t="str">
        <f>IMPRODUCT(COMPLEX(-1,0),IMDIV(COMPLEX(1,C124*Calculations!$B$171*Calculations!$B$173),IMPRODUCT(COMPLEX(0,C124*Calculations!$B$160),COMPLEX((Calculations!$B$173+Calculations!$B$175),C124*Calculations!$B$171*Calculations!$B$173*Calculations!$B$175))))</f>
        <v>-0.0357252590152421+0.0837852067862008i</v>
      </c>
      <c r="V124">
        <f t="shared" si="32"/>
        <v>-20.811179071943322</v>
      </c>
      <c r="W124">
        <f t="shared" si="33"/>
        <v>113.09296400483547</v>
      </c>
      <c r="X124" t="str">
        <f t="shared" si="34"/>
        <v>0.0134263279065192-0.0093673290182464i</v>
      </c>
      <c r="Y124">
        <f t="shared" si="35"/>
        <v>-35.718439228391901</v>
      </c>
      <c r="Z124">
        <f t="shared" si="36"/>
        <v>-34.902850102601477</v>
      </c>
    </row>
    <row r="125" spans="2:26">
      <c r="B125" s="1">
        <v>200000</v>
      </c>
      <c r="C125" s="22">
        <f t="shared" si="37"/>
        <v>1256637.0614359172</v>
      </c>
      <c r="D125" s="26" t="str">
        <f t="shared" si="38"/>
        <v>0.089458199140546-0.000687152236210541i</v>
      </c>
      <c r="E125" s="1">
        <f t="shared" si="14"/>
        <v>-20.967340740647007</v>
      </c>
      <c r="F125" s="6">
        <f t="shared" si="23"/>
        <v>-0.44009547592507869</v>
      </c>
      <c r="G125" s="5" t="str">
        <f t="shared" si="39"/>
        <v>0.567083640203595-18.6115706334365i</v>
      </c>
      <c r="H125" s="1">
        <f t="shared" si="24"/>
        <v>25.39969055223407</v>
      </c>
      <c r="I125" s="6">
        <f t="shared" si="25"/>
        <v>-88.254771154121826</v>
      </c>
      <c r="J125" s="26" t="str">
        <f t="shared" si="40"/>
        <v>0.0379412988345226-1.66534726483578i</v>
      </c>
      <c r="K125" s="1">
        <f t="shared" si="26"/>
        <v>4.4323498115870406</v>
      </c>
      <c r="L125" s="6">
        <f t="shared" si="27"/>
        <v>-88.694866630046903</v>
      </c>
      <c r="M125" s="26">
        <f t="shared" si="41"/>
        <v>0.17454545454545453</v>
      </c>
      <c r="N125" s="6">
        <f t="shared" si="42"/>
        <v>2.5000000000000001E-2</v>
      </c>
      <c r="O125" s="5" t="str">
        <f t="shared" si="43"/>
        <v>0.0416267840361143-0.157034845477488i</v>
      </c>
      <c r="P125" s="1">
        <f t="shared" si="21"/>
        <v>-15.785156547561261</v>
      </c>
      <c r="Q125" s="6">
        <f t="shared" si="28"/>
        <v>-75.153494495580603</v>
      </c>
      <c r="R125" s="5" t="str">
        <f t="shared" si="29"/>
        <v>-0.0459008700738098-0.0134835697606795i</v>
      </c>
      <c r="S125" s="1">
        <f t="shared" si="30"/>
        <v>-26.404117894034087</v>
      </c>
      <c r="T125" s="6">
        <f t="shared" si="31"/>
        <v>-163.62963171820431</v>
      </c>
      <c r="U125" t="str">
        <f>IMPRODUCT(COMPLEX(-1,0),IMDIV(COMPLEX(1,C125*Calculations!$B$171*Calculations!$B$173),IMPRODUCT(COMPLEX(0,C125*Calculations!$B$160),COMPLEX((Calculations!$B$173+Calculations!$B$175),C125*Calculations!$B$171*Calculations!$B$173*Calculations!$B$175))))</f>
        <v>-0.0101448504186239+0.0474642044334205i</v>
      </c>
      <c r="V125">
        <f t="shared" si="32"/>
        <v>-26.278673541635751</v>
      </c>
      <c r="W125">
        <f t="shared" si="33"/>
        <v>102.06468772831936</v>
      </c>
      <c r="X125" t="str">
        <f t="shared" si="34"/>
        <v>0.00110564437259667-0.00204185948252401i</v>
      </c>
      <c r="Y125">
        <f t="shared" si="35"/>
        <v>-52.682791435669827</v>
      </c>
      <c r="Z125">
        <f t="shared" si="36"/>
        <v>-61.564943989884952</v>
      </c>
    </row>
    <row r="126" spans="2:26">
      <c r="B126" s="1">
        <v>300000</v>
      </c>
      <c r="C126" s="22">
        <f t="shared" si="37"/>
        <v>1884955.5921538759</v>
      </c>
      <c r="D126" s="26" t="str">
        <f t="shared" si="38"/>
        <v>0.0894574601801315-0.00045810244441825i</v>
      </c>
      <c r="E126" s="1">
        <f t="shared" si="14"/>
        <v>-20.967554837978216</v>
      </c>
      <c r="F126" s="6">
        <f t="shared" si="23"/>
        <v>-0.29340322391725038</v>
      </c>
      <c r="G126" s="5" t="str">
        <f t="shared" si="39"/>
        <v>0.252099872153773-12.4125070908032i</v>
      </c>
      <c r="H126" s="1">
        <f t="shared" si="24"/>
        <v>21.878981296741514</v>
      </c>
      <c r="I126" s="6">
        <f t="shared" si="25"/>
        <v>-88.836474132101415</v>
      </c>
      <c r="J126" s="26" t="str">
        <f t="shared" si="40"/>
        <v>0.0168660144349566-1.1105068463788i</v>
      </c>
      <c r="K126" s="1">
        <f t="shared" si="26"/>
        <v>0.91142645876331352</v>
      </c>
      <c r="L126" s="6">
        <f t="shared" si="27"/>
        <v>-89.129877356018653</v>
      </c>
      <c r="M126" s="26">
        <f t="shared" si="41"/>
        <v>0.17454545454545453</v>
      </c>
      <c r="N126" s="6">
        <f t="shared" si="42"/>
        <v>2.5000000000000001E-2</v>
      </c>
      <c r="O126" s="5" t="str">
        <f t="shared" si="43"/>
        <v>0.0192113051132069-0.108680695329795i</v>
      </c>
      <c r="P126" s="1">
        <f t="shared" si="21"/>
        <v>-19.143324671519068</v>
      </c>
      <c r="Q126" s="6">
        <f t="shared" si="28"/>
        <v>-79.97547686131233</v>
      </c>
      <c r="R126" s="5" t="str">
        <f t="shared" si="29"/>
        <v>-0.0211286301826474-0.00409226057116752i</v>
      </c>
      <c r="S126" s="1">
        <f t="shared" si="30"/>
        <v>-33.342636944263575</v>
      </c>
      <c r="T126" s="6">
        <f t="shared" si="31"/>
        <v>-169.03849259263623</v>
      </c>
      <c r="U126" t="str">
        <f>IMPRODUCT(COMPLEX(-1,0),IMDIV(COMPLEX(1,C126*Calculations!$B$171*Calculations!$B$173),IMPRODUCT(COMPLEX(0,C126*Calculations!$B$160),COMPLEX((Calculations!$B$173+Calculations!$B$175),C126*Calculations!$B$171*Calculations!$B$173*Calculations!$B$175))))</f>
        <v>-0.0046252012482309+0.0324442830660351i</v>
      </c>
      <c r="V126">
        <f t="shared" si="32"/>
        <v>-29.68986017780518</v>
      </c>
      <c r="W126">
        <f t="shared" si="33"/>
        <v>98.113320644969704</v>
      </c>
      <c r="X126" t="str">
        <f t="shared" si="34"/>
        <v>0.000230494627045123-0.000666575729741535i</v>
      </c>
      <c r="Y126">
        <f t="shared" si="35"/>
        <v>-63.032497122068762</v>
      </c>
      <c r="Z126">
        <f t="shared" si="36"/>
        <v>-70.925171947666556</v>
      </c>
    </row>
    <row r="127" spans="2:26">
      <c r="B127" s="1">
        <v>400000</v>
      </c>
      <c r="C127" s="22">
        <f t="shared" si="37"/>
        <v>2513274.1228718343</v>
      </c>
      <c r="D127" s="26" t="str">
        <f t="shared" si="38"/>
        <v>0.0894572015432592-0.000343577083637336i</v>
      </c>
      <c r="E127" s="1">
        <f t="shared" si="14"/>
        <v>-20.967629774748339</v>
      </c>
      <c r="F127" s="6">
        <f t="shared" si="23"/>
        <v>-0.2200540559980366</v>
      </c>
      <c r="G127" s="5" t="str">
        <f t="shared" si="39"/>
        <v>0.141818524457421-9.31063889320238i</v>
      </c>
      <c r="H127" s="1">
        <f t="shared" si="24"/>
        <v>19.380597153524771</v>
      </c>
      <c r="I127" s="6">
        <f t="shared" si="25"/>
        <v>-89.127345106879105</v>
      </c>
      <c r="J127" s="26" t="str">
        <f t="shared" si="40"/>
        <v>0.00948776616722836-0.832952425560753i</v>
      </c>
      <c r="K127" s="1">
        <f t="shared" si="26"/>
        <v>-1.5870326212235555</v>
      </c>
      <c r="L127" s="6">
        <f t="shared" si="27"/>
        <v>-89.347399162877139</v>
      </c>
      <c r="M127" s="26">
        <f t="shared" si="41"/>
        <v>0.17454545454545453</v>
      </c>
      <c r="N127" s="6">
        <f t="shared" si="42"/>
        <v>2.5000000000000001E-2</v>
      </c>
      <c r="O127" s="5" t="str">
        <f t="shared" si="43"/>
        <v>0.0109535923499195-0.082613159094594i</v>
      </c>
      <c r="P127" s="1">
        <f t="shared" si="21"/>
        <v>-21.583330502300843</v>
      </c>
      <c r="Q127" s="6">
        <f t="shared" si="28"/>
        <v>-82.447265531077477</v>
      </c>
      <c r="R127" s="5" t="str">
        <f t="shared" si="29"/>
        <v>-0.0120322672582434-0.00174113476675809i</v>
      </c>
      <c r="S127" s="1">
        <f t="shared" si="30"/>
        <v>-38.303049810768492</v>
      </c>
      <c r="T127" s="6">
        <f t="shared" si="31"/>
        <v>-171.76614185941435</v>
      </c>
      <c r="U127" t="str">
        <f>IMPRODUCT(COMPLEX(-1,0),IMDIV(COMPLEX(1,C127*Calculations!$B$171*Calculations!$B$173),IMPRODUCT(COMPLEX(0,C127*Calculations!$B$160),COMPLEX((Calculations!$B$173+Calculations!$B$175),C127*Calculations!$B$171*Calculations!$B$173*Calculations!$B$175))))</f>
        <v>-0.00262539344381743+0.0245509987199704i</v>
      </c>
      <c r="V127">
        <f t="shared" si="32"/>
        <v>-32.149235330349825</v>
      </c>
      <c r="W127">
        <f t="shared" si="33"/>
        <v>96.10380388143524</v>
      </c>
      <c r="X127" t="str">
        <f t="shared" si="34"/>
        <v>0.0000743360330040252-0.000290833014254026i</v>
      </c>
      <c r="Y127">
        <f t="shared" si="35"/>
        <v>-70.452285141118324</v>
      </c>
      <c r="Z127">
        <f t="shared" si="36"/>
        <v>-75.662337977979107</v>
      </c>
    </row>
    <row r="128" spans="2:26">
      <c r="B128" s="1">
        <v>500000</v>
      </c>
      <c r="C128" s="22">
        <f t="shared" si="37"/>
        <v>3141592.653589793</v>
      </c>
      <c r="D128" s="26" t="str">
        <f t="shared" si="38"/>
        <v>0.0894570818312085-0.000274861759601239i</v>
      </c>
      <c r="E128" s="1">
        <f t="shared" si="14"/>
        <v>-20.967664460242315</v>
      </c>
      <c r="F128" s="6">
        <f t="shared" si="23"/>
        <v>-0.17604385135833164</v>
      </c>
      <c r="G128" s="5" t="str">
        <f t="shared" si="39"/>
        <v>0.0907675132880467-7.44897719253732i</v>
      </c>
      <c r="H128" s="1">
        <f t="shared" si="24"/>
        <v>17.442577682878145</v>
      </c>
      <c r="I128" s="6">
        <f t="shared" si="25"/>
        <v>-89.301872200406393</v>
      </c>
      <c r="J128" s="26" t="str">
        <f t="shared" si="40"/>
        <v>0.0060723578854538-0.666388710790034i</v>
      </c>
      <c r="K128" s="1">
        <f t="shared" si="26"/>
        <v>-3.5250867773641654</v>
      </c>
      <c r="L128" s="6">
        <f t="shared" si="27"/>
        <v>-89.477916051764737</v>
      </c>
      <c r="M128" s="26">
        <f t="shared" si="41"/>
        <v>0.17454545454545453</v>
      </c>
      <c r="N128" s="6">
        <f t="shared" si="42"/>
        <v>2.5000000000000001E-2</v>
      </c>
      <c r="O128" s="5" t="str">
        <f t="shared" si="43"/>
        <v>0.00705478859105775-0.0665070075027824i</v>
      </c>
      <c r="P128" s="1">
        <f t="shared" si="21"/>
        <v>-23.494057536442735</v>
      </c>
      <c r="Q128" s="6">
        <f t="shared" si="28"/>
        <v>-83.944943353755164</v>
      </c>
      <c r="R128" s="5" t="str">
        <f t="shared" si="29"/>
        <v>-0.0077447853165367-0.000894981777904119i</v>
      </c>
      <c r="S128" s="1">
        <f t="shared" si="30"/>
        <v>-42.162200695234603</v>
      </c>
      <c r="T128" s="6">
        <f t="shared" si="31"/>
        <v>-173.40817975237681</v>
      </c>
      <c r="U128" t="str">
        <f>IMPRODUCT(COMPLEX(-1,0),IMDIV(COMPLEX(1,C128*Calculations!$B$171*Calculations!$B$173),IMPRODUCT(COMPLEX(0,C128*Calculations!$B$160),COMPLEX((Calculations!$B$173+Calculations!$B$175),C128*Calculations!$B$171*Calculations!$B$173*Calculations!$B$175))))</f>
        <v>-0.00168737177009765+0.0197225221824434i</v>
      </c>
      <c r="V128">
        <f t="shared" si="32"/>
        <v>-34.069077416558983</v>
      </c>
      <c r="W128">
        <f t="shared" si="33"/>
        <v>94.890065327492195</v>
      </c>
      <c r="X128" t="str">
        <f t="shared" si="34"/>
        <v>0.0000307196300761874-0.00015123653321687i</v>
      </c>
      <c r="Y128">
        <f t="shared" si="35"/>
        <v>-76.231278111793571</v>
      </c>
      <c r="Z128">
        <f t="shared" si="36"/>
        <v>-78.518114424884644</v>
      </c>
    </row>
    <row r="129" spans="1:26">
      <c r="B129" s="1">
        <v>600000</v>
      </c>
      <c r="C129" s="22">
        <f t="shared" si="37"/>
        <v>3769911.1843077517</v>
      </c>
      <c r="D129" s="26" t="str">
        <f t="shared" si="38"/>
        <v>0.0894570168024059-0.000229051508293445i</v>
      </c>
      <c r="E129" s="1">
        <f t="shared" si="14"/>
        <v>-20.967683301871176</v>
      </c>
      <c r="F129" s="6">
        <f t="shared" si="23"/>
        <v>-0.14670348404185204</v>
      </c>
      <c r="G129" s="5" t="str">
        <f t="shared" si="39"/>
        <v>0.0630343751582763-6.2076919856595i</v>
      </c>
      <c r="H129" s="1">
        <f t="shared" si="24"/>
        <v>15.859050969272854</v>
      </c>
      <c r="I129" s="6">
        <f t="shared" si="25"/>
        <v>-89.418225074989209</v>
      </c>
      <c r="J129" s="26" t="str">
        <f t="shared" si="40"/>
        <v>0.00421698594532664-0.555336044384006i</v>
      </c>
      <c r="K129" s="1">
        <f t="shared" si="26"/>
        <v>-5.1086323325983365</v>
      </c>
      <c r="L129" s="6">
        <f t="shared" si="27"/>
        <v>-89.564928559031074</v>
      </c>
      <c r="M129" s="26">
        <f t="shared" si="41"/>
        <v>0.17454545454545453</v>
      </c>
      <c r="N129" s="6">
        <f t="shared" si="42"/>
        <v>2.5000000000000001E-2</v>
      </c>
      <c r="O129" s="5" t="str">
        <f t="shared" si="43"/>
        <v>0.00491610640535665-0.0556128891871675i</v>
      </c>
      <c r="P129" s="1">
        <f t="shared" si="21"/>
        <v>-25.06268555596801</v>
      </c>
      <c r="Q129" s="6">
        <f t="shared" si="28"/>
        <v>-84.948259642157524</v>
      </c>
      <c r="R129" s="5" t="str">
        <f t="shared" si="29"/>
        <v>-0.00539505871507689-0.000519041358703876i</v>
      </c>
      <c r="S129" s="1">
        <f t="shared" si="30"/>
        <v>-45.320064169066654</v>
      </c>
      <c r="T129" s="6">
        <f t="shared" si="31"/>
        <v>-174.50466896886326</v>
      </c>
      <c r="U129" t="str">
        <f>IMPRODUCT(COMPLEX(-1,0),IMDIV(COMPLEX(1,C129*Calculations!$B$171*Calculations!$B$173),IMPRODUCT(COMPLEX(0,C129*Calculations!$B$160),COMPLEX((Calculations!$B$173+Calculations!$B$175),C129*Calculations!$B$171*Calculations!$B$173*Calculations!$B$175))))</f>
        <v>-0.00117448941375211+0.0164726716678823i</v>
      </c>
      <c r="V129">
        <f t="shared" si="32"/>
        <v>-35.64269735264628</v>
      </c>
      <c r="W129">
        <f t="shared" si="33"/>
        <v>94.078245715467304</v>
      </c>
      <c r="X129" t="str">
        <f t="shared" si="34"/>
        <v>0.0000148864372314093-0.0000882614222613114i</v>
      </c>
      <c r="Y129">
        <f t="shared" si="35"/>
        <v>-80.962761521712935</v>
      </c>
      <c r="Z129">
        <f t="shared" si="36"/>
        <v>-80.426423253395981</v>
      </c>
    </row>
    <row r="130" spans="1:26">
      <c r="B130" s="1">
        <v>700000</v>
      </c>
      <c r="C130" s="22">
        <f t="shared" si="37"/>
        <v>4398229.7150257099</v>
      </c>
      <c r="D130" s="26" t="str">
        <f t="shared" si="38"/>
        <v>0.0894569775920779-0.000196329885937246i</v>
      </c>
      <c r="E130" s="1">
        <f t="shared" si="14"/>
        <v>-20.967694662821916</v>
      </c>
      <c r="F130" s="6">
        <f t="shared" si="23"/>
        <v>-0.12574598537450735</v>
      </c>
      <c r="G130" s="5" t="str">
        <f t="shared" si="39"/>
        <v>0.0463115807734371-5.32098789474573i</v>
      </c>
      <c r="H130" s="1">
        <f t="shared" si="24"/>
        <v>14.520174392830757</v>
      </c>
      <c r="I130" s="6">
        <f t="shared" si="25"/>
        <v>-89.501334869622866</v>
      </c>
      <c r="J130" s="26" t="str">
        <f t="shared" si="40"/>
        <v>0.00309822509705417-0.476008587215357i</v>
      </c>
      <c r="K130" s="1">
        <f t="shared" si="26"/>
        <v>-6.4475202699911627</v>
      </c>
      <c r="L130" s="6">
        <f t="shared" si="27"/>
        <v>-89.627080854997359</v>
      </c>
      <c r="M130" s="26">
        <f t="shared" si="41"/>
        <v>0.17454545454545453</v>
      </c>
      <c r="N130" s="6">
        <f t="shared" si="42"/>
        <v>2.5000000000000001E-2</v>
      </c>
      <c r="O130" s="5" t="str">
        <f t="shared" si="43"/>
        <v>0.00361938276334505-0.0477671331237009i</v>
      </c>
      <c r="P130" s="1">
        <f t="shared" si="21"/>
        <v>-26.392553596905906</v>
      </c>
      <c r="Q130" s="6">
        <f t="shared" si="28"/>
        <v>-85.666898213280362</v>
      </c>
      <c r="R130" s="5" t="str">
        <f t="shared" si="29"/>
        <v>-0.00397115225065571-0.000327283280782241i</v>
      </c>
      <c r="S130" s="1">
        <f t="shared" si="30"/>
        <v>-47.992270543615057</v>
      </c>
      <c r="T130" s="6">
        <f t="shared" si="31"/>
        <v>-175.28860501070125</v>
      </c>
      <c r="U130" t="str">
        <f>IMPRODUCT(COMPLEX(-1,0),IMDIV(COMPLEX(1,C130*Calculations!$B$171*Calculations!$B$173),IMPRODUCT(COMPLEX(0,C130*Calculations!$B$160),COMPLEX((Calculations!$B$173+Calculations!$B$175),C130*Calculations!$B$171*Calculations!$B$173*Calculations!$B$175))))</f>
        <v>-0.00086409224315584+0.0141387490826315i</v>
      </c>
      <c r="V130">
        <f t="shared" si="32"/>
        <v>-36.97558929007549</v>
      </c>
      <c r="W130">
        <f t="shared" si="33"/>
        <v>93.497292195775159</v>
      </c>
      <c r="X130" t="str">
        <f t="shared" si="34"/>
        <v>8.05881804210299E-06-0.0000558643222967099i</v>
      </c>
      <c r="Y130">
        <f t="shared" si="35"/>
        <v>-84.96785983369054</v>
      </c>
      <c r="Z130">
        <f t="shared" si="36"/>
        <v>-81.791312814926087</v>
      </c>
    </row>
    <row r="131" spans="1:26">
      <c r="B131" s="1">
        <v>800000</v>
      </c>
      <c r="C131" s="22">
        <f t="shared" si="37"/>
        <v>5026548.2457436686</v>
      </c>
      <c r="D131" s="26" t="str">
        <f t="shared" si="38"/>
        <v>0.0894569521430618-0.000171788662510601i</v>
      </c>
      <c r="E131" s="1">
        <f t="shared" si="14"/>
        <v>-20.967702036533197</v>
      </c>
      <c r="F131" s="6">
        <f t="shared" si="23"/>
        <v>-0.11002781779486598</v>
      </c>
      <c r="G131" s="5" t="str">
        <f t="shared" si="39"/>
        <v>0.0354576077857759-4.6559263393169i</v>
      </c>
      <c r="H131" s="1">
        <f t="shared" si="24"/>
        <v>13.360373886944551</v>
      </c>
      <c r="I131" s="6">
        <f t="shared" si="25"/>
        <v>-89.563667494725806</v>
      </c>
      <c r="J131" s="26" t="str">
        <f t="shared" si="40"/>
        <v>0.00237209416422049-0.41651107093291i</v>
      </c>
      <c r="K131" s="1">
        <f t="shared" si="26"/>
        <v>-7.6073281495886498</v>
      </c>
      <c r="L131" s="6">
        <f t="shared" si="27"/>
        <v>-89.673695312520664</v>
      </c>
      <c r="M131" s="26">
        <f t="shared" si="41"/>
        <v>0.17454545454545453</v>
      </c>
      <c r="N131" s="6">
        <f t="shared" si="42"/>
        <v>2.5000000000000001E-2</v>
      </c>
      <c r="O131" s="5" t="str">
        <f t="shared" si="43"/>
        <v>0.00277485436762005-0.0418526256653819i</v>
      </c>
      <c r="P131" s="1">
        <f t="shared" si="21"/>
        <v>-27.546497067864703</v>
      </c>
      <c r="Q131" s="6">
        <f t="shared" si="28"/>
        <v>-86.206806703769672</v>
      </c>
      <c r="R131" s="5" t="str">
        <f t="shared" si="29"/>
        <v>-0.00304411511248342-0.000219438641933023i</v>
      </c>
      <c r="S131" s="1">
        <f t="shared" si="30"/>
        <v>-50.308269254126614</v>
      </c>
      <c r="T131" s="6">
        <f t="shared" si="31"/>
        <v>-175.87689781677483</v>
      </c>
      <c r="U131" t="str">
        <f>IMPRODUCT(COMPLEX(-1,0),IMDIV(COMPLEX(1,C131*Calculations!$B$171*Calculations!$B$173),IMPRODUCT(COMPLEX(0,C131*Calculations!$B$160),COMPLEX((Calculations!$B$173+Calculations!$B$175),C131*Calculations!$B$171*Calculations!$B$173*Calculations!$B$175))))</f>
        <v>-0.000662169325649899+0.0123824005212571i</v>
      </c>
      <c r="V131">
        <f t="shared" si="32"/>
        <v>-38.131501026404464</v>
      </c>
      <c r="W131">
        <f t="shared" si="33"/>
        <v>93.061070725449483</v>
      </c>
      <c r="X131" t="str">
        <f t="shared" si="34"/>
        <v>4.73289680548923E-06-0.000037548147018031i</v>
      </c>
      <c r="Y131">
        <f t="shared" si="35"/>
        <v>-88.439770280531064</v>
      </c>
      <c r="Z131">
        <f t="shared" si="36"/>
        <v>-82.815827091325346</v>
      </c>
    </row>
    <row r="132" spans="1:26">
      <c r="B132" s="1">
        <v>900000</v>
      </c>
      <c r="C132" s="22">
        <f t="shared" si="37"/>
        <v>5654866.7764616273</v>
      </c>
      <c r="D132" s="26" t="str">
        <f t="shared" si="38"/>
        <v>0.0894569346952985-0.000152701040848068i</v>
      </c>
      <c r="E132" s="1">
        <f t="shared" si="14"/>
        <v>-20.967707091933178</v>
      </c>
      <c r="F132" s="6">
        <f t="shared" si="23"/>
        <v>-9.7802553821060872E-2</v>
      </c>
      <c r="G132" s="5" t="str">
        <f t="shared" si="39"/>
        <v>0.0280160521811933-4.13863893312148i</v>
      </c>
      <c r="H132" s="1">
        <f t="shared" si="24"/>
        <v>12.337349788036249</v>
      </c>
      <c r="I132" s="6">
        <f t="shared" si="25"/>
        <v>-89.612148569622136</v>
      </c>
      <c r="J132" s="26" t="str">
        <f t="shared" si="40"/>
        <v>0.0018742556776111-0.370234230847997i</v>
      </c>
      <c r="K132" s="1">
        <f t="shared" si="26"/>
        <v>-8.6303573038969184</v>
      </c>
      <c r="L132" s="6">
        <f t="shared" si="27"/>
        <v>-89.70995112344319</v>
      </c>
      <c r="M132" s="26">
        <f t="shared" si="41"/>
        <v>0.17454545454545453</v>
      </c>
      <c r="N132" s="6">
        <f t="shared" si="42"/>
        <v>2.5000000000000001E-2</v>
      </c>
      <c r="O132" s="5" t="str">
        <f t="shared" si="43"/>
        <v>0.0021945214184351-0.0372367742889776i</v>
      </c>
      <c r="P132" s="1">
        <f t="shared" si="21"/>
        <v>-28.565500973253791</v>
      </c>
      <c r="Q132" s="6">
        <f t="shared" si="28"/>
        <v>-86.627217348746484</v>
      </c>
      <c r="R132" s="5" t="str">
        <f t="shared" si="29"/>
        <v>-0.00240723440360892-0.000154207668621636i</v>
      </c>
      <c r="S132" s="1">
        <f t="shared" si="30"/>
        <v>-52.35184671118158</v>
      </c>
      <c r="T132" s="6">
        <f t="shared" si="31"/>
        <v>-176.33463519777797</v>
      </c>
      <c r="U132" t="str">
        <f>IMPRODUCT(COMPLEX(-1,0),IMDIV(COMPLEX(1,C132*Calculations!$B$171*Calculations!$B$173),IMPRODUCT(COMPLEX(0,C132*Calculations!$B$160),COMPLEX((Calculations!$B$173+Calculations!$B$175),C132*Calculations!$B$171*Calculations!$B$173*Calculations!$B$175))))</f>
        <v>-0.000523520332074711+0.0110132890789051i</v>
      </c>
      <c r="V132">
        <f t="shared" si="32"/>
        <v>-39.151856942979293</v>
      </c>
      <c r="W132">
        <f t="shared" si="33"/>
        <v>92.721525167695532</v>
      </c>
      <c r="X132" t="str">
        <f t="shared" si="34"/>
        <v>2.95856978707309E-06-0.0000264308375177455i</v>
      </c>
      <c r="Y132">
        <f t="shared" si="35"/>
        <v>-91.503703654160859</v>
      </c>
      <c r="Z132">
        <f t="shared" si="36"/>
        <v>-83.613110030082439</v>
      </c>
    </row>
    <row r="133" spans="1:26" ht="15" thickBot="1">
      <c r="B133" s="98">
        <v>1000000</v>
      </c>
      <c r="C133" s="99">
        <f t="shared" si="37"/>
        <v>6283185.307179586</v>
      </c>
      <c r="D133" s="100" t="str">
        <f t="shared" si="38"/>
        <v>0.0894569222150143-0.000137430941594915i</v>
      </c>
      <c r="E133" s="98">
        <f t="shared" si="14"/>
        <v>-20.967710708035028</v>
      </c>
      <c r="F133" s="101">
        <f t="shared" si="23"/>
        <v>-8.8022330057184656E-2</v>
      </c>
      <c r="G133" s="102" t="str">
        <f t="shared" si="39"/>
        <v>0.0226930976045276-3.72479933736248i</v>
      </c>
      <c r="H133" s="98">
        <f t="shared" si="24"/>
        <v>11.422218824872598</v>
      </c>
      <c r="I133" s="101">
        <f t="shared" si="25"/>
        <v>-89.650933510145393</v>
      </c>
      <c r="J133" s="100" t="str">
        <f t="shared" si="40"/>
        <v>0.00151815198704011-0.333212203322744i</v>
      </c>
      <c r="K133" s="98">
        <f t="shared" si="26"/>
        <v>-9.5454918831624234</v>
      </c>
      <c r="L133" s="101">
        <f t="shared" si="27"/>
        <v>-89.738955840202578</v>
      </c>
      <c r="M133" s="100">
        <f t="shared" si="41"/>
        <v>0.17454545454545453</v>
      </c>
      <c r="N133" s="101">
        <f t="shared" si="42"/>
        <v>2.5000000000000001E-2</v>
      </c>
      <c r="O133" s="102" t="str">
        <f t="shared" si="43"/>
        <v>0.00177874845159321-0.0335353038279558i</v>
      </c>
      <c r="P133" s="98">
        <f t="shared" si="21"/>
        <v>-29.477754000684119</v>
      </c>
      <c r="Q133" s="101">
        <f t="shared" si="28"/>
        <v>-86.963815611735271</v>
      </c>
      <c r="R133" s="102" t="str">
        <f t="shared" si="29"/>
        <v>-0.00195102405851178-0.000112463781655709i</v>
      </c>
      <c r="S133" s="98">
        <f t="shared" si="30"/>
        <v>-54.180340824328056</v>
      </c>
      <c r="T133" s="101">
        <f t="shared" si="31"/>
        <v>-176.70092368729016</v>
      </c>
      <c r="U133" t="str">
        <f>IMPRODUCT(COMPLEX(-1,0),IMDIV(COMPLEX(1,C133*Calculations!$B$171*Calculations!$B$173),IMPRODUCT(COMPLEX(0,C133*Calculations!$B$160),COMPLEX((Calculations!$B$173+Calculations!$B$175),C133*Calculations!$B$171*Calculations!$B$173*Calculations!$B$175))))</f>
        <v>-0.000424239863764988+0.00991628497418116i</v>
      </c>
      <c r="V133">
        <f t="shared" si="32"/>
        <v>-40.065078344269864</v>
      </c>
      <c r="W133">
        <f t="shared" si="33"/>
        <v>92.449742029118482</v>
      </c>
      <c r="X133" t="str">
        <f t="shared" si="34"/>
        <v>1.94292508895735E-06-0.0000192991989362782i</v>
      </c>
      <c r="Y133">
        <f t="shared" si="35"/>
        <v>-94.24541916859792</v>
      </c>
      <c r="Z133">
        <f t="shared" si="36"/>
        <v>-84.251181658171646</v>
      </c>
    </row>
    <row r="134" spans="1:26">
      <c r="A134" s="82" t="s">
        <v>443</v>
      </c>
      <c r="B134" s="106">
        <f>Calculations!B165</f>
        <v>1000</v>
      </c>
      <c r="C134" s="107">
        <f t="shared" si="37"/>
        <v>6283.1853071795858</v>
      </c>
      <c r="D134" s="108" t="str">
        <f t="shared" si="38"/>
        <v>0.135727306661141-0.119517685200849i</v>
      </c>
      <c r="E134" s="107">
        <f t="shared" si="14"/>
        <v>-14.853675369768846</v>
      </c>
      <c r="F134" s="107">
        <f t="shared" ref="F134" si="44">IMARGUMENT(D134)*(180/PI())</f>
        <v>-41.366246584697535</v>
      </c>
      <c r="G134" s="107" t="str">
        <f t="shared" si="39"/>
        <v>253.717335072222+195.096340150799i</v>
      </c>
      <c r="H134" s="107">
        <f t="shared" si="24"/>
        <v>50.104486603131917</v>
      </c>
      <c r="I134" s="107">
        <f t="shared" ref="I134" si="45">IMARGUMENT(G134)*(180/PI())</f>
        <v>37.558540127859189</v>
      </c>
      <c r="J134" s="108" t="str">
        <f t="shared" si="40"/>
        <v>57.7538335085759-3.84380779504637i</v>
      </c>
      <c r="K134" s="107">
        <f t="shared" si="26"/>
        <v>35.250811233363073</v>
      </c>
      <c r="L134" s="107">
        <f t="shared" ref="L134" si="46">IMARGUMENT(J134)*(180/PI())</f>
        <v>-3.8077064568383303</v>
      </c>
      <c r="M134" s="108">
        <f t="shared" si="41"/>
        <v>0.17454545454545453</v>
      </c>
      <c r="N134" s="107">
        <f t="shared" si="42"/>
        <v>2.5000000000000001E-2</v>
      </c>
      <c r="O134" s="107" t="str">
        <f t="shared" si="43"/>
        <v>0.625076929418729-0.244147870808837i</v>
      </c>
      <c r="P134" s="107">
        <f t="shared" si="21"/>
        <v>-3.4646974668570243</v>
      </c>
      <c r="Q134" s="107">
        <f t="shared" ref="Q134" si="47">IMARGUMENT(O134)*(180/PI())</f>
        <v>-21.335045674268212</v>
      </c>
      <c r="R134" s="107" t="str">
        <f t="shared" ref="R134" si="48">IMDIV(IMPRODUCT(J134,O134,COMPLEX(M134,0)),IMSUM(COMPLEX(1,0),IMPRODUCT(G134,O134,COMPLEX(N134,0),COMPLEX(M134,0))))</f>
        <v>2.9651112202069-1.9248166697794i</v>
      </c>
      <c r="S134" s="107">
        <f t="shared" si="30"/>
        <v>10.967989500724098</v>
      </c>
      <c r="T134" s="107">
        <f t="shared" ref="T134" si="49">IMARGUMENT(R134)*(180/PI())</f>
        <v>-32.989817891545059</v>
      </c>
      <c r="U134" s="92" t="str">
        <f>IMPRODUCT(COMPLEX(-1,0),IMDIV(COMPLEX(1,C134*Calculations!$B$171*Calculations!$B$173),IMPRODUCT(COMPLEX(0,C134*Calculations!$B$160),COMPLEX((Calculations!$B$173+Calculations!$B$175),C134*Calculations!$B$171*Calculations!$B$173*Calculations!$B$175))))</f>
        <v>-0.223872602774027+0.182545760858825i</v>
      </c>
      <c r="V134" s="107">
        <f t="shared" si="32"/>
        <v>-10.786158306342628</v>
      </c>
      <c r="W134" s="107">
        <f t="shared" si="33"/>
        <v>140.80619121441387</v>
      </c>
      <c r="X134" s="107" t="str">
        <f t="shared" si="34"/>
        <v>-0.31244004288356+0.972182201450057i</v>
      </c>
      <c r="Y134" s="107">
        <f t="shared" si="35"/>
        <v>0.18183119438147222</v>
      </c>
      <c r="Z134" s="110">
        <f t="shared" si="36"/>
        <v>107.81637332286884</v>
      </c>
    </row>
    <row r="135" spans="1:26">
      <c r="A135" t="s">
        <v>446</v>
      </c>
      <c r="B135" s="96">
        <f>Calculations!B176*1000</f>
        <v>777.88339732109148</v>
      </c>
      <c r="C135" s="92">
        <f t="shared" si="37"/>
        <v>4887.5855327468225</v>
      </c>
      <c r="D135" s="93" t="str">
        <f t="shared" si="38"/>
        <v>0.159929299878283-0.141599695820777i</v>
      </c>
      <c r="E135" s="92">
        <f t="shared" si="14"/>
        <v>-13.407699490102235</v>
      </c>
      <c r="F135" s="92">
        <f t="shared" ref="F135:F136" si="50">IMARGUMENT(D135)*(180/PI())</f>
        <v>-41.521335523692784</v>
      </c>
      <c r="G135" s="92" t="str">
        <f t="shared" si="39"/>
        <v>206.800909312453+167.722894839716i</v>
      </c>
      <c r="H135" s="92">
        <f t="shared" si="24"/>
        <v>48.506314453105766</v>
      </c>
      <c r="I135" s="92">
        <f t="shared" ref="I135:I136" si="51">IMARGUMENT(G135)*(180/PI())</f>
        <v>39.043282077372631</v>
      </c>
      <c r="J135" s="93" t="str">
        <f t="shared" si="40"/>
        <v>56.823035532017-2.45914070882877i</v>
      </c>
      <c r="K135" s="92">
        <f t="shared" si="26"/>
        <v>35.098614963003556</v>
      </c>
      <c r="L135" s="92">
        <f t="shared" ref="L135:L136" si="52">IMARGUMENT(J135)*(180/PI())</f>
        <v>-2.4780534463201489</v>
      </c>
      <c r="M135" s="93">
        <f t="shared" si="41"/>
        <v>0.17454545454545453</v>
      </c>
      <c r="N135" s="92">
        <f t="shared" si="42"/>
        <v>2.5000000000000001E-2</v>
      </c>
      <c r="O135" s="92" t="str">
        <f t="shared" si="43"/>
        <v>0.625163438086941-0.307921897569371i</v>
      </c>
      <c r="P135" s="92">
        <f t="shared" si="21"/>
        <v>-3.1368088208865981</v>
      </c>
      <c r="Q135" s="92">
        <f t="shared" ref="Q135:Q136" si="53">IMARGUMENT(O135)*(180/PI())</f>
        <v>-26.222378139389647</v>
      </c>
      <c r="R135" s="92" t="str">
        <f t="shared" ref="R135:R136" si="54">IMDIV(IMPRODUCT(J135,O135,COMPLEX(M135,0)),IMSUM(COMPLEX(1,0),IMPRODUCT(G135,O135,COMPLEX(N135,0),COMPLEX(M135,0))))</f>
        <v>3.17265739965518-2.17512963814983i</v>
      </c>
      <c r="S135" s="92">
        <f t="shared" si="30"/>
        <v>11.701720277969693</v>
      </c>
      <c r="T135" s="92">
        <f t="shared" ref="T135:T136" si="55">IMARGUMENT(R135)*(180/PI())</f>
        <v>-34.433991293586367</v>
      </c>
      <c r="U135" s="92" t="str">
        <f>IMPRODUCT(COMPLEX(-1,0),IMDIV(COMPLEX(1,C135*Calculations!$B$171*Calculations!$B$173),IMPRODUCT(COMPLEX(0,C135*Calculations!$B$160),COMPLEX((Calculations!$B$173+Calculations!$B$175),C135*Calculations!$B$171*Calculations!$B$173*Calculations!$B$175))))</f>
        <v>-0.223919176579165+0.232061692091135i</v>
      </c>
      <c r="V135" s="92">
        <f t="shared" si="32"/>
        <v>-9.8299828777791589</v>
      </c>
      <c r="W135" s="92">
        <f t="shared" ref="W135:W136" si="56">IMARGUMENT(U135)*(180/PI())</f>
        <v>133.97696981133214</v>
      </c>
      <c r="X135" s="92" t="str">
        <f t="shared" ref="X135:X136" si="57">IMPRODUCT(U135,R135)</f>
        <v>-0.205654568151955+1.22330548211689i</v>
      </c>
      <c r="Y135" s="92">
        <f t="shared" si="35"/>
        <v>1.8717374001905427</v>
      </c>
      <c r="Z135" s="111">
        <f t="shared" ref="Z135:Z136" si="58">IMARGUMENT(X135)*(180/PI())</f>
        <v>99.542978517745738</v>
      </c>
    </row>
    <row r="136" spans="1:26" ht="15" thickBot="1">
      <c r="A136" t="s">
        <v>447</v>
      </c>
      <c r="B136" s="97">
        <f>Calculations!B177*1000</f>
        <v>42783.586852660039</v>
      </c>
      <c r="C136" s="94">
        <f t="shared" si="37"/>
        <v>268817.20430107525</v>
      </c>
      <c r="D136" s="109" t="str">
        <f t="shared" si="38"/>
        <v>0.0894859337252214-0.00321197263016952i</v>
      </c>
      <c r="E136" s="94">
        <f t="shared" si="14"/>
        <v>-20.959312884406692</v>
      </c>
      <c r="F136" s="94">
        <f t="shared" si="50"/>
        <v>-2.0556694913390832</v>
      </c>
      <c r="G136" s="94" t="str">
        <f t="shared" si="39"/>
        <v>12.2772922835302-85.7509803552495i</v>
      </c>
      <c r="H136" s="94">
        <f t="shared" si="24"/>
        <v>38.752906572326715</v>
      </c>
      <c r="I136" s="94">
        <f t="shared" si="51"/>
        <v>-81.852119113880789</v>
      </c>
      <c r="J136" s="109" t="str">
        <f t="shared" si="40"/>
        <v>0.823215161697891-7.71294087172991i</v>
      </c>
      <c r="K136" s="94">
        <f t="shared" si="26"/>
        <v>17.793593687920019</v>
      </c>
      <c r="L136" s="94">
        <f t="shared" si="52"/>
        <v>-83.907788605219849</v>
      </c>
      <c r="M136" s="109">
        <f t="shared" si="41"/>
        <v>0.17454545454545453</v>
      </c>
      <c r="N136" s="94">
        <f t="shared" si="42"/>
        <v>2.5000000000000001E-2</v>
      </c>
      <c r="O136" s="94" t="str">
        <f t="shared" si="43"/>
        <v>0.380898232474032-0.310540711937829i</v>
      </c>
      <c r="P136" s="94">
        <f t="shared" si="21"/>
        <v>-6.1704870306478332</v>
      </c>
      <c r="Q136" s="94">
        <f t="shared" si="53"/>
        <v>-39.189853387583511</v>
      </c>
      <c r="R136" s="94" t="str">
        <f t="shared" si="54"/>
        <v>-0.284501832532902-0.666541680604627i</v>
      </c>
      <c r="S136" s="94">
        <f t="shared" si="30"/>
        <v>-2.7965948495510551</v>
      </c>
      <c r="T136" s="94">
        <f t="shared" si="55"/>
        <v>-113.11437774656049</v>
      </c>
      <c r="U136" s="92" t="str">
        <f>IMPRODUCT(COMPLEX(-1,0),IMDIV(COMPLEX(1,C136*Calculations!$B$171*Calculations!$B$173),IMPRODUCT(COMPLEX(0,C136*Calculations!$B$160),COMPLEX((Calculations!$B$173+Calculations!$B$175),C136*Calculations!$B$171*Calculations!$B$173*Calculations!$B$175))))</f>
        <v>-0.114013059069768+0.116123714047588i</v>
      </c>
      <c r="V136" s="94">
        <f t="shared" si="32"/>
        <v>-15.770214288388843</v>
      </c>
      <c r="W136" s="94">
        <f t="shared" si="56"/>
        <v>134.47453755375497</v>
      </c>
      <c r="X136" s="94" t="str">
        <f t="shared" si="57"/>
        <v>0.109838219757361+0.0429570465561723i</v>
      </c>
      <c r="Y136" s="94">
        <f t="shared" si="35"/>
        <v>-18.566809137939927</v>
      </c>
      <c r="Z136" s="95">
        <f t="shared" si="58"/>
        <v>21.360159807194563</v>
      </c>
    </row>
    <row r="137" spans="1:26" ht="15" thickBot="1">
      <c r="A137" t="s">
        <v>448</v>
      </c>
      <c r="B137" s="112">
        <f>Calculations!B162</f>
        <v>484.70306166318966</v>
      </c>
      <c r="C137" s="94">
        <f t="shared" si="37"/>
        <v>3045.4791553871141</v>
      </c>
      <c r="D137" s="109" t="str">
        <f t="shared" si="38"/>
        <v>0.227718610932814-0.173103700887883i</v>
      </c>
      <c r="E137" s="94">
        <f t="shared" si="14"/>
        <v>-10.871370374051097</v>
      </c>
      <c r="F137" s="94">
        <f t="shared" ref="F137" si="59">IMARGUMENT(D137)*(180/PI())</f>
        <v>-37.240823318274465</v>
      </c>
      <c r="G137" s="94" t="str">
        <f t="shared" si="39"/>
        <v>157.645003982361+114.629949595224i</v>
      </c>
      <c r="H137" s="94">
        <f t="shared" si="24"/>
        <v>45.796918436422501</v>
      </c>
      <c r="I137" s="94">
        <f t="shared" ref="I137" si="60">IMARGUMENT(G137)*(180/PI())</f>
        <v>36.022390000924389</v>
      </c>
      <c r="J137" s="109" t="str">
        <f t="shared" si="40"/>
        <v>55.741569834886-1.18556072270869i</v>
      </c>
      <c r="K137" s="94">
        <f t="shared" si="26"/>
        <v>34.925548062371405</v>
      </c>
      <c r="L137" s="94">
        <f t="shared" ref="L137" si="61">IMARGUMENT(J137)*(180/PI())</f>
        <v>-1.2184333173499116</v>
      </c>
      <c r="M137" s="109">
        <f t="shared" si="41"/>
        <v>0.17454545454545453</v>
      </c>
      <c r="N137" s="94">
        <f t="shared" si="42"/>
        <v>2.5000000000000001E-2</v>
      </c>
      <c r="O137" s="94" t="str">
        <f t="shared" si="43"/>
        <v>0.625244550578091-0.485235246316308i</v>
      </c>
      <c r="P137" s="94">
        <f t="shared" si="21"/>
        <v>-2.0315934952398571</v>
      </c>
      <c r="Q137" s="94">
        <f t="shared" ref="Q137" si="62">IMARGUMENT(O137)*(180/PI())</f>
        <v>-37.81406373867474</v>
      </c>
      <c r="R137" s="94" t="str">
        <f t="shared" ref="R137" si="63">IMDIV(IMPRODUCT(J137,O137,COMPLEX(M137,0)),IMSUM(COMPLEX(1,0),IMPRODUCT(G137,O137,COMPLEX(N137,0),COMPLEX(M137,0))))</f>
        <v>3.61241216131193-2.85410638255097i</v>
      </c>
      <c r="S137" s="94">
        <f t="shared" si="30"/>
        <v>13.262425363026967</v>
      </c>
      <c r="T137" s="94">
        <f t="shared" ref="T137" si="64">IMARGUMENT(R137)*(180/PI())</f>
        <v>-38.311672790189554</v>
      </c>
      <c r="U137" s="92" t="str">
        <f>IMPRODUCT(COMPLEX(-1,0),IMDIV(COMPLEX(1,C137*Calculations!$B$171*Calculations!$B$173),IMPRODUCT(COMPLEX(0,C137*Calculations!$B$160),COMPLEX((Calculations!$B$173+Calculations!$B$175),C137*Calculations!$B$171*Calculations!$B$173*Calculations!$B$175))))</f>
        <v>-0.223962851128202+0.368502747332468i</v>
      </c>
      <c r="V137" s="94">
        <f t="shared" si="32"/>
        <v>-7.3059533124092679</v>
      </c>
      <c r="W137" s="94">
        <f t="shared" ref="W137" si="65">IMARGUMENT(U137)*(180/PI())</f>
        <v>121.289744685225</v>
      </c>
      <c r="X137" s="94" t="str">
        <f t="shared" ref="X137" si="66">IMPRODUCT(U137,R137)</f>
        <v>0.242699916051554+1.97039760879998i</v>
      </c>
      <c r="Y137" s="94">
        <f t="shared" si="35"/>
        <v>5.9564720506177027</v>
      </c>
      <c r="Z137" s="95">
        <f t="shared" ref="Z137" si="67">IMARGUMENT(X137)*(180/PI())</f>
        <v>82.978071895035484</v>
      </c>
    </row>
    <row r="165" spans="2:93" ht="29" thickBot="1">
      <c r="B165" s="30" t="s">
        <v>392</v>
      </c>
    </row>
    <row r="166" spans="2:93">
      <c r="B166" s="207" t="s">
        <v>33</v>
      </c>
      <c r="C166" s="208"/>
      <c r="D166" s="214" t="s">
        <v>31</v>
      </c>
      <c r="E166" s="215"/>
      <c r="F166" s="215"/>
      <c r="G166" s="215" t="s">
        <v>386</v>
      </c>
      <c r="H166" s="215"/>
      <c r="I166" s="215"/>
      <c r="J166" s="215" t="s">
        <v>387</v>
      </c>
      <c r="K166" s="215"/>
      <c r="L166" s="215"/>
      <c r="M166" s="215"/>
      <c r="N166" s="215"/>
      <c r="O166" s="215"/>
      <c r="P166" s="215"/>
      <c r="Q166" s="215"/>
      <c r="R166" s="215"/>
      <c r="S166" s="215"/>
      <c r="T166" s="215"/>
      <c r="U166" s="81"/>
      <c r="V166" s="81"/>
      <c r="W166" s="81"/>
      <c r="X166" s="81"/>
      <c r="Y166" s="81"/>
      <c r="Z166" s="81"/>
      <c r="AA166" s="81"/>
      <c r="AB166" s="206"/>
      <c r="AC166" s="206"/>
      <c r="AD166" s="206"/>
      <c r="BC166" s="195"/>
      <c r="BD166" s="195"/>
      <c r="BE166" s="195"/>
      <c r="BF166" s="195"/>
      <c r="BG166" s="195"/>
      <c r="BH166" s="195"/>
      <c r="BI166" s="195"/>
      <c r="BJ166" s="195"/>
      <c r="BK166" s="195"/>
      <c r="BL166" s="195"/>
      <c r="BM166" s="195"/>
      <c r="BN166" s="195"/>
      <c r="BO166" s="195"/>
      <c r="BP166" s="195"/>
      <c r="BQ166" s="195"/>
      <c r="BR166" s="195"/>
      <c r="BS166" s="195"/>
      <c r="BT166" s="195"/>
      <c r="BU166" s="195"/>
      <c r="BV166" s="195"/>
      <c r="BW166" s="195"/>
      <c r="BX166" s="195"/>
      <c r="BY166" s="195"/>
      <c r="BZ166" s="195"/>
      <c r="CA166" s="195"/>
      <c r="CB166" s="195"/>
      <c r="CC166" s="195"/>
      <c r="CD166" s="195"/>
      <c r="CE166" s="195"/>
      <c r="CF166" s="195"/>
      <c r="CG166" s="195"/>
      <c r="CH166" s="195"/>
      <c r="CI166" s="195"/>
      <c r="CJ166" s="195"/>
      <c r="CK166" s="195"/>
      <c r="CL166" s="195"/>
      <c r="CM166" s="195"/>
      <c r="CN166" s="195"/>
      <c r="CO166" s="195"/>
    </row>
    <row r="167" spans="2:93" ht="15" thickBot="1">
      <c r="B167" s="209"/>
      <c r="C167" s="210"/>
      <c r="D167" s="211" t="s">
        <v>385</v>
      </c>
      <c r="E167" s="212"/>
      <c r="F167" s="213"/>
      <c r="G167" s="211" t="s">
        <v>385</v>
      </c>
      <c r="H167" s="212"/>
      <c r="I167" s="213"/>
      <c r="J167" s="211" t="s">
        <v>385</v>
      </c>
      <c r="K167" s="212"/>
      <c r="L167" s="213"/>
      <c r="M167" s="216" t="s">
        <v>390</v>
      </c>
      <c r="N167" s="195"/>
      <c r="O167" s="195" t="s">
        <v>394</v>
      </c>
      <c r="P167" s="195"/>
      <c r="Q167" s="195"/>
      <c r="R167" s="195" t="s">
        <v>391</v>
      </c>
      <c r="S167" s="195"/>
      <c r="T167" s="195"/>
      <c r="U167" s="195" t="s">
        <v>393</v>
      </c>
      <c r="V167" s="195"/>
      <c r="W167" s="195"/>
      <c r="X167" s="195" t="s">
        <v>395</v>
      </c>
      <c r="Y167" s="195"/>
      <c r="Z167" s="195"/>
      <c r="AB167" s="206"/>
      <c r="AC167" s="206"/>
      <c r="AD167" s="206"/>
      <c r="BC167" s="195"/>
      <c r="BD167" s="195"/>
      <c r="BE167" s="195"/>
      <c r="BF167" s="195"/>
      <c r="BG167" s="195"/>
      <c r="BH167" s="195"/>
      <c r="BI167" s="195"/>
      <c r="BJ167" s="195"/>
      <c r="BK167" s="195"/>
      <c r="BL167" s="195"/>
      <c r="BM167" s="195"/>
      <c r="BN167" s="195"/>
      <c r="BO167" s="195"/>
      <c r="BP167" s="195"/>
      <c r="BQ167" s="195"/>
      <c r="BR167" s="195"/>
      <c r="BS167" s="195"/>
      <c r="BT167" s="195"/>
      <c r="BU167" s="195"/>
      <c r="BV167" s="195"/>
      <c r="BW167" s="195"/>
      <c r="BX167" s="195"/>
      <c r="BY167" s="195"/>
      <c r="BZ167" s="195"/>
      <c r="CA167" s="195"/>
      <c r="CB167" s="195"/>
      <c r="CC167" s="195"/>
      <c r="CD167" s="195"/>
      <c r="CE167" s="195"/>
      <c r="CF167" s="195"/>
      <c r="CG167" s="195"/>
      <c r="CH167" s="195"/>
      <c r="CI167" s="195"/>
      <c r="CJ167" s="195"/>
      <c r="CK167" s="195"/>
      <c r="CL167" s="195"/>
      <c r="CM167" s="195"/>
      <c r="CN167" s="195"/>
      <c r="CO167" s="195"/>
    </row>
    <row r="168" spans="2:93" ht="4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3.00256878725436-0.0360884280963012i</v>
      </c>
      <c r="E169" s="1">
        <f t="shared" ref="E169:E200" si="70">20*LOG(IMABS(D169))</f>
        <v>9.5504866528405721</v>
      </c>
      <c r="F169" s="1">
        <f t="shared" ref="F169:F200" si="71">IMARGUMENT(D169)*(180/PI())</f>
        <v>-0.68861538449554038</v>
      </c>
      <c r="G169" s="1" t="str">
        <f t="shared" ref="G169:G200" si="72">IMDIV(IMSUM(COMPLEX(V48_Nom,0),IMPRODUCT(COMPLEX(np*(I_Channel_Design*(V12_Min/V48_Nom)),0),D169)),IMSUM(IMPRODUCT(COMPLEX(((V12_Min/V48_Nom)^2),0),D169),COMPLEX(Rcs/np,(Lm*C169)/np)))</f>
        <v>242.947962704976+1.4477556423356i</v>
      </c>
      <c r="H169" s="1">
        <f>20*LOG10(IMABS(G169))</f>
        <v>47.710419450764483</v>
      </c>
      <c r="I169" s="1">
        <f>IMARGUMENT(G169)*(180/PI())</f>
        <v>0.34142828482438647</v>
      </c>
      <c r="J169" s="83" t="str">
        <f t="shared" ref="J169:J200" si="73">IMPRODUCT(COMPLEX(-1,0),IMDIV(IMSUM(IMSUB(IMPRODUCT(COMPLEX((1-(V12_Min/V48_Nom))*V48_Nom,0),D169),IMPRODUCT(COMPLEX(V48_Nom,0),D169)),IMPRODUCT(COMPLEX(0,I_Channel_Design*Lm*C169),D169)),IMSUM(IMPRODUCT(COMPLEX(((V12_Min/V48_Nom)^2),0),D169),COMPLEX(Rcs/np,(Lm*C169)/np))))</f>
        <v>134.97103881903-0.0116599675367373i</v>
      </c>
      <c r="K169" s="1">
        <f>20*LOG10(IMABS(J169))</f>
        <v>42.604811842251458</v>
      </c>
      <c r="L169" s="1">
        <f>IMARGUMENT(J169)*(180/PI())</f>
        <v>-4.9497057539019023E-3</v>
      </c>
      <c r="M169" s="1">
        <f t="shared" ref="M169:M200" si="74">(Ramp_R*Ramp_C*Fsw)/V48_Nom</f>
        <v>0.192</v>
      </c>
      <c r="N169" s="1">
        <f t="shared" ref="N169:N200" si="75">Rcs*Acs/np</f>
        <v>2.5000000000000001E-2</v>
      </c>
      <c r="O169" s="1" t="str">
        <f t="shared" ref="O169:O200" si="76">IMPRODUCT(COMPLEX(gm/(IL_Comp_Ccomp+IL_Comp_Chf),0),IMDIV(COMPLEX(1,C169*IL_Comp_Rcomp*IL_Comp_Ccomp),IMPRODUCT(COMPLEX(0,C169),COMPLEX(1,C169*IL_Comp_Rcomp*IL_Comp_Chf))))</f>
        <v>0.625296041843028-232.444794958096i</v>
      </c>
      <c r="P169" s="1">
        <f>20*LOG(IMABS(O169))</f>
        <v>47.326427940793998</v>
      </c>
      <c r="Q169" s="1">
        <f>IMARGUMENT(O169)*(180/PI())</f>
        <v>-89.845869907606328</v>
      </c>
      <c r="R169" s="1" t="str">
        <f>IMDIV(IMPRODUCT(O169,J169,COMPLEX(M169,0)),IMSUM(COMPLEX(1,0),IMPRODUCT(G169,O169,COMPLEX(M169,0),COMPLEX(N169,0))))</f>
        <v>22.2199063015647-0.216300503899063i</v>
      </c>
      <c r="S169" s="1">
        <f>20*LOG10(IMABS(R169))</f>
        <v>26.935255988140419</v>
      </c>
      <c r="T169" s="1">
        <f>IMARGUMENT(R169)*(180/PI())</f>
        <v>-0.55773027897195782</v>
      </c>
      <c r="U169" s="1" t="str">
        <f>IMPRODUCT(COMPLEX(-1,0),IMDIV(COMPLEX(1,C169*Calculations!$B$195*Calculations!$B$197),IMPRODUCT(COMPLEX(0,C169*Calculations!$B$184),COMPLEX((Calculations!$B$197+Calculations!$B$199),C169*Calculations!$B$195*Calculations!$B$197*Calculations!$B$199))))</f>
        <v>-0.958767360207492+664.474574740913i</v>
      </c>
      <c r="V169" s="1">
        <f>20*LOG10(IMABS(U169))</f>
        <v>56.449576399388022</v>
      </c>
      <c r="W169" s="1">
        <f>IMARGUMENT(U169)*(180/PI())</f>
        <v>90.082671763887262</v>
      </c>
      <c r="X169" s="1" t="str">
        <f>IMPRODUCT(U169,R169)</f>
        <v>122.422464435766+14764.7701723783i</v>
      </c>
      <c r="Y169" s="1">
        <f>20*LOG10(IMABS(X169))</f>
        <v>83.384832387528448</v>
      </c>
      <c r="Z169" s="1">
        <f>IMARGUMENT(X169)*(180/PI())</f>
        <v>89.524941484915317</v>
      </c>
    </row>
    <row r="170" spans="2:93">
      <c r="B170" s="1">
        <v>2</v>
      </c>
      <c r="C170" s="1">
        <f t="shared" si="68"/>
        <v>12.566370614359172</v>
      </c>
      <c r="D170" s="83" t="str">
        <f t="shared" si="69"/>
        <v>3.00126689390301-0.0721455274467395i</v>
      </c>
      <c r="E170" s="1">
        <f t="shared" si="70"/>
        <v>9.5486011675954749</v>
      </c>
      <c r="F170" s="1">
        <f t="shared" si="71"/>
        <v>-1.3770312533874305</v>
      </c>
      <c r="G170" s="1" t="str">
        <f t="shared" si="72"/>
        <v>242.948552130606+2.89551495933268i</v>
      </c>
      <c r="H170" s="1">
        <f t="shared" ref="H170:H228" si="77">20*LOG10(IMABS(G170))</f>
        <v>47.710903149539988</v>
      </c>
      <c r="I170" s="1">
        <f t="shared" ref="I170:I223" si="78">IMARGUMENT(G170)*(180/PI())</f>
        <v>0.68283153296865295</v>
      </c>
      <c r="J170" s="83" t="str">
        <f t="shared" si="73"/>
        <v>134.971211559312-0.0233199871314488i</v>
      </c>
      <c r="K170" s="1">
        <f t="shared" ref="K170:K228" si="79">20*LOG10(IMABS(J170))</f>
        <v>42.604823055960068</v>
      </c>
      <c r="L170" s="1">
        <f t="shared" ref="L170:L223" si="80">IMARGUMENT(J170)*(180/PI())</f>
        <v>-9.8994208631577249E-3</v>
      </c>
      <c r="M170" s="1">
        <f t="shared" si="74"/>
        <v>0.192</v>
      </c>
      <c r="N170" s="1">
        <f t="shared" si="75"/>
        <v>2.5000000000000001E-2</v>
      </c>
      <c r="O170" s="1" t="str">
        <f t="shared" si="76"/>
        <v>0.625296041185459-116.222415039833i</v>
      </c>
      <c r="P170" s="1">
        <f t="shared" ref="P170:P228" si="81">20*LOG(IMABS(O170))</f>
        <v>41.305923622019456</v>
      </c>
      <c r="Q170" s="1">
        <f t="shared" ref="Q170:Q223" si="82">IMARGUMENT(O170)*(180/PI())</f>
        <v>-89.691742092810486</v>
      </c>
      <c r="R170" s="1" t="str">
        <f t="shared" ref="R170:R223" si="83">IMDIV(IMPRODUCT(O170,J170,COMPLEX(M170,0)),IMSUM(COMPLEX(1,0),IMPRODUCT(G170,O170,COMPLEX(M170,0),COMPLEX(N170,0))))</f>
        <v>22.2129618371917-0.432449843724015i</v>
      </c>
      <c r="S170" s="1">
        <f t="shared" ref="S170:S228" si="84">20*LOG10(IMABS(R170))</f>
        <v>26.933775146927537</v>
      </c>
      <c r="T170" s="1">
        <f t="shared" ref="T170:T223" si="85">IMARGUMENT(R170)*(180/PI())</f>
        <v>-1.1153137262722639</v>
      </c>
      <c r="U170" s="1" t="str">
        <f>IMPRODUCT(COMPLEX(-1,0),IMDIV(COMPLEX(1,C170*Calculations!$B$195*Calculations!$B$197),IMPRODUCT(COMPLEX(0,C170*Calculations!$B$184),COMPLEX((Calculations!$B$197+Calculations!$B$199),C170*Calculations!$B$195*Calculations!$B$197*Calculations!$B$199))))</f>
        <v>-0.95876735749662+332.237331521556i</v>
      </c>
      <c r="V170" s="1">
        <f t="shared" ref="V170:V228" si="86">20*LOG10(IMABS(U170))</f>
        <v>50.429004765575016</v>
      </c>
      <c r="W170" s="1">
        <f t="shared" ref="W170:W224" si="87">IMARGUMENT(U170)*(180/PI())</f>
        <v>90.165343161100054</v>
      </c>
      <c r="X170" s="1" t="str">
        <f t="shared" ref="X170:X224" si="88">IMPRODUCT(U170,R170)</f>
        <v>122.378919372963+7380.38978477265i</v>
      </c>
      <c r="Y170" s="1">
        <f t="shared" ref="Y170:Y228" si="89">20*LOG10(IMABS(X170))</f>
        <v>77.36277991250256</v>
      </c>
      <c r="Z170" s="1">
        <f t="shared" ref="Z170:Z224" si="90">IMARGUMENT(X170)*(180/PI())</f>
        <v>89.050029434827792</v>
      </c>
    </row>
    <row r="171" spans="2:93">
      <c r="B171" s="1">
        <v>3</v>
      </c>
      <c r="C171" s="1">
        <f t="shared" si="68"/>
        <v>18.849555921538759</v>
      </c>
      <c r="D171" s="83" t="str">
        <f t="shared" si="69"/>
        <v>2.99909958136268-0.108140059895969i</v>
      </c>
      <c r="E171" s="1">
        <f t="shared" si="70"/>
        <v>9.5454605101213108</v>
      </c>
      <c r="F171" s="1">
        <f t="shared" si="71"/>
        <v>-2.0650484373249771</v>
      </c>
      <c r="G171" s="1" t="str">
        <f t="shared" si="72"/>
        <v>242.949534511599+4.34328162568355i</v>
      </c>
      <c r="H171" s="1">
        <f t="shared" si="77"/>
        <v>47.711709199976646</v>
      </c>
      <c r="I171" s="1">
        <f t="shared" si="78"/>
        <v>1.0241847186425264</v>
      </c>
      <c r="J171" s="83" t="str">
        <f t="shared" si="73"/>
        <v>134.971499460751-0.0349801108428606i</v>
      </c>
      <c r="K171" s="1">
        <f t="shared" si="79"/>
        <v>42.604841745505979</v>
      </c>
      <c r="L171" s="1">
        <f t="shared" si="80"/>
        <v>-1.4849154683252111E-2</v>
      </c>
      <c r="M171" s="1">
        <f t="shared" si="74"/>
        <v>0.192</v>
      </c>
      <c r="N171" s="1">
        <f t="shared" si="75"/>
        <v>2.5000000000000001E-2</v>
      </c>
      <c r="O171" s="1" t="str">
        <f t="shared" si="76"/>
        <v>0.625296040089512-77.4816295385384i</v>
      </c>
      <c r="P171" s="1">
        <f t="shared" si="81"/>
        <v>37.784257760404721</v>
      </c>
      <c r="Q171" s="1">
        <f t="shared" si="82"/>
        <v>-89.537618833009788</v>
      </c>
      <c r="R171" s="1" t="str">
        <f t="shared" si="83"/>
        <v>22.2013987101372-0.648297214797049i</v>
      </c>
      <c r="S171" s="1">
        <f t="shared" si="84"/>
        <v>26.931308303511877</v>
      </c>
      <c r="T171" s="1">
        <f t="shared" si="85"/>
        <v>-1.6726037224149557</v>
      </c>
      <c r="U171" s="1" t="str">
        <f>IMPRODUCT(COMPLEX(-1,0),IMDIV(COMPLEX(1,C171*Calculations!$B$195*Calculations!$B$197),IMPRODUCT(COMPLEX(0,C171*Calculations!$B$184),COMPLEX((Calculations!$B$197+Calculations!$B$199),C171*Calculations!$B$195*Calculations!$B$197*Calculations!$B$199))))</f>
        <v>-0.958767352978505+221.491603404482i</v>
      </c>
      <c r="V171" s="1">
        <f t="shared" si="86"/>
        <v>46.907226716496247</v>
      </c>
      <c r="W171" s="1">
        <f t="shared" si="87"/>
        <v>90.248013824973427</v>
      </c>
      <c r="X171" s="1" t="str">
        <f t="shared" si="88"/>
        <v>122.30641331432+4918.04496433506i</v>
      </c>
      <c r="Y171" s="1">
        <f t="shared" si="89"/>
        <v>73.838535020008123</v>
      </c>
      <c r="Z171" s="1">
        <f t="shared" si="90"/>
        <v>88.575410102558465</v>
      </c>
    </row>
    <row r="172" spans="2:93">
      <c r="B172" s="1">
        <v>4</v>
      </c>
      <c r="C172" s="1">
        <f t="shared" si="68"/>
        <v>25.132741228718345</v>
      </c>
      <c r="D172" s="83" t="str">
        <f t="shared" si="69"/>
        <v>2.99607060278285-0.144040967920131i</v>
      </c>
      <c r="E172" s="1">
        <f t="shared" si="70"/>
        <v>9.5410674018032839</v>
      </c>
      <c r="F172" s="1">
        <f t="shared" si="71"/>
        <v>-2.7524684579624492</v>
      </c>
      <c r="G172" s="1" t="str">
        <f t="shared" si="72"/>
        <v>242.950909855367+5.79105931614195i</v>
      </c>
      <c r="H172" s="1">
        <f t="shared" si="77"/>
        <v>47.712837430877471</v>
      </c>
      <c r="I172" s="1">
        <f t="shared" si="78"/>
        <v>1.3654628378235452</v>
      </c>
      <c r="J172" s="83" t="str">
        <f t="shared" si="73"/>
        <v>134.971902524807-0.0466403907308671i</v>
      </c>
      <c r="K172" s="1">
        <f t="shared" si="79"/>
        <v>42.60486791093696</v>
      </c>
      <c r="L172" s="1">
        <f t="shared" si="80"/>
        <v>-1.9798916569787769E-2</v>
      </c>
      <c r="M172" s="1">
        <f t="shared" si="74"/>
        <v>0.192</v>
      </c>
      <c r="N172" s="1">
        <f t="shared" si="75"/>
        <v>2.5000000000000001E-2</v>
      </c>
      <c r="O172" s="1" t="str">
        <f t="shared" si="76"/>
        <v>0.625296038555191-58.1112426414862i</v>
      </c>
      <c r="P172" s="1">
        <f t="shared" si="81"/>
        <v>35.285706065717818</v>
      </c>
      <c r="Q172" s="1">
        <f t="shared" si="82"/>
        <v>-89.383502405200488</v>
      </c>
      <c r="R172" s="1" t="str">
        <f t="shared" si="83"/>
        <v>22.1852333496577-0.863692529439379i</v>
      </c>
      <c r="S172" s="1">
        <f t="shared" si="84"/>
        <v>26.927857292734132</v>
      </c>
      <c r="T172" s="1">
        <f t="shared" si="85"/>
        <v>-2.2294540715279734</v>
      </c>
      <c r="U172" s="1" t="str">
        <f>IMPRODUCT(COMPLEX(-1,0),IMDIV(COMPLEX(1,C172*Calculations!$B$195*Calculations!$B$197),IMPRODUCT(COMPLEX(0,C172*Calculations!$B$184),COMPLEX((Calculations!$B$197+Calculations!$B$199),C172*Calculations!$B$195*Calculations!$B$197*Calculations!$B$199))))</f>
        <v>-0.958767346653138+166.118754062977i</v>
      </c>
      <c r="V172" s="1">
        <f t="shared" si="86"/>
        <v>44.408517968318947</v>
      </c>
      <c r="W172" s="1">
        <f t="shared" si="87"/>
        <v>90.330683388861573</v>
      </c>
      <c r="X172" s="1" t="str">
        <f t="shared" si="88"/>
        <v>122.205049570439+3686.21140283632i</v>
      </c>
      <c r="Y172" s="1">
        <f t="shared" si="89"/>
        <v>71.336375261053078</v>
      </c>
      <c r="Z172" s="1">
        <f t="shared" si="90"/>
        <v>88.101229317333605</v>
      </c>
    </row>
    <row r="173" spans="2:93">
      <c r="B173" s="1">
        <v>5</v>
      </c>
      <c r="C173" s="1">
        <f t="shared" si="68"/>
        <v>31.415926535897931</v>
      </c>
      <c r="D173" s="83" t="str">
        <f t="shared" si="69"/>
        <v>2.99218518983091-0.179817463574445i</v>
      </c>
      <c r="E173" s="1">
        <f t="shared" si="70"/>
        <v>9.5354256415825898</v>
      </c>
      <c r="F173" s="1">
        <f t="shared" si="71"/>
        <v>-3.4390938697214062</v>
      </c>
      <c r="G173" s="1" t="str">
        <f t="shared" si="72"/>
        <v>242.95267817229+7.23885170555412i</v>
      </c>
      <c r="H173" s="1">
        <f t="shared" si="77"/>
        <v>47.714287602740661</v>
      </c>
      <c r="I173" s="1">
        <f t="shared" si="78"/>
        <v>1.7066409191114413</v>
      </c>
      <c r="J173" s="83" t="str">
        <f t="shared" si="73"/>
        <v>134.972420753526-0.0583008788570027i</v>
      </c>
      <c r="K173" s="1">
        <f t="shared" si="79"/>
        <v>42.60490155231998</v>
      </c>
      <c r="L173" s="1">
        <f t="shared" si="80"/>
        <v>-2.4748715878496426E-2</v>
      </c>
      <c r="M173" s="1">
        <f t="shared" si="74"/>
        <v>0.192</v>
      </c>
      <c r="N173" s="1">
        <f t="shared" si="75"/>
        <v>2.5000000000000001E-2</v>
      </c>
      <c r="O173" s="1" t="str">
        <f t="shared" si="76"/>
        <v>0.625296036582483-46.4890151861305i</v>
      </c>
      <c r="P173" s="1">
        <f t="shared" si="81"/>
        <v>33.347792551198268</v>
      </c>
      <c r="Q173" s="1">
        <f t="shared" si="82"/>
        <v>-89.22939508577744</v>
      </c>
      <c r="R173" s="1" t="str">
        <f t="shared" si="83"/>
        <v>22.1644886748027-1.07848677100225i</v>
      </c>
      <c r="S173" s="1">
        <f t="shared" si="84"/>
        <v>26.923424677250097</v>
      </c>
      <c r="T173" s="1">
        <f t="shared" si="85"/>
        <v>-2.7857192112720806</v>
      </c>
      <c r="U173" s="1" t="str">
        <f>IMPRODUCT(COMPLEX(-1,0),IMDIV(COMPLEX(1,C173*Calculations!$B$195*Calculations!$B$197),IMPRODUCT(COMPLEX(0,C173*Calculations!$B$184),COMPLEX((Calculations!$B$197+Calculations!$B$199),C173*Calculations!$B$195*Calculations!$B$197*Calculations!$B$199))))</f>
        <v>-0.958767338520532+132.895056231701i</v>
      </c>
      <c r="V173" s="1">
        <f t="shared" si="86"/>
        <v>42.470402543240468</v>
      </c>
      <c r="W173" s="1">
        <f t="shared" si="87"/>
        <v>90.413351486147334</v>
      </c>
      <c r="X173" s="1" t="str">
        <f t="shared" si="88"/>
        <v>122.074972261081+2946.58498667587i</v>
      </c>
      <c r="Y173" s="1">
        <f t="shared" si="89"/>
        <v>69.393827220490579</v>
      </c>
      <c r="Z173" s="1">
        <f t="shared" si="90"/>
        <v>87.627632274875253</v>
      </c>
    </row>
    <row r="174" spans="2:93">
      <c r="B174" s="1">
        <v>6</v>
      </c>
      <c r="C174" s="1">
        <f t="shared" si="68"/>
        <v>37.699111843077517</v>
      </c>
      <c r="D174" s="83" t="str">
        <f t="shared" si="69"/>
        <v>2.98745003017032-0.21543911581491i</v>
      </c>
      <c r="E174" s="1">
        <f t="shared" si="70"/>
        <v>9.5285400950380197</v>
      </c>
      <c r="F174" s="1">
        <f t="shared" si="71"/>
        <v>-4.124728597098791</v>
      </c>
      <c r="G174" s="1" t="str">
        <f t="shared" si="72"/>
        <v>242.954839475713+8.6866624688895i</v>
      </c>
      <c r="H174" s="1">
        <f t="shared" si="77"/>
        <v>47.716059407932818</v>
      </c>
      <c r="I174" s="1">
        <f t="shared" si="78"/>
        <v>2.0476940345470291</v>
      </c>
      <c r="J174" s="83" t="str">
        <f t="shared" si="73"/>
        <v>134.973054149525-0.0699616272860089i</v>
      </c>
      <c r="K174" s="1">
        <f t="shared" si="79"/>
        <v>42.604942669740296</v>
      </c>
      <c r="L174" s="1">
        <f t="shared" si="80"/>
        <v>-2.9698561965717993E-2</v>
      </c>
      <c r="M174" s="1">
        <f t="shared" si="74"/>
        <v>0.192</v>
      </c>
      <c r="N174" s="1">
        <f t="shared" si="75"/>
        <v>2.5000000000000001E-2</v>
      </c>
      <c r="O174" s="1" t="str">
        <f t="shared" si="76"/>
        <v>0.625296034171399-38.7408674516232i</v>
      </c>
      <c r="P174" s="1">
        <f t="shared" si="81"/>
        <v>31.764518071429659</v>
      </c>
      <c r="Q174" s="1">
        <f t="shared" si="82"/>
        <v>-89.075299150333791</v>
      </c>
      <c r="R174" s="1" t="str">
        <f t="shared" si="83"/>
        <v>22.1391940131548-1.2925323425784i</v>
      </c>
      <c r="S174" s="1">
        <f t="shared" si="84"/>
        <v>26.918013741445055</v>
      </c>
      <c r="T174" s="1">
        <f t="shared" si="85"/>
        <v>-3.3412544205084456</v>
      </c>
      <c r="U174" s="1" t="str">
        <f>IMPRODUCT(COMPLEX(-1,0),IMDIV(COMPLEX(1,C174*Calculations!$B$195*Calculations!$B$197),IMPRODUCT(COMPLEX(0,C174*Calculations!$B$184),COMPLEX((Calculations!$B$197+Calculations!$B$199),C174*Calculations!$B$195*Calculations!$B$197*Calculations!$B$199))))</f>
        <v>-0.95876732858068+110.745934155537i</v>
      </c>
      <c r="V174" s="1">
        <f t="shared" si="86"/>
        <v>40.886881307358735</v>
      </c>
      <c r="W174" s="1">
        <f t="shared" si="87"/>
        <v>90.496017750251767</v>
      </c>
      <c r="X174" s="1" t="str">
        <f t="shared" si="88"/>
        <v>121.916365804168+2453.0649602187i</v>
      </c>
      <c r="Y174" s="1">
        <f t="shared" si="89"/>
        <v>67.8048950488038</v>
      </c>
      <c r="Z174" s="1">
        <f t="shared" si="90"/>
        <v>87.154763329743304</v>
      </c>
    </row>
    <row r="175" spans="2:93">
      <c r="B175" s="1">
        <v>7</v>
      </c>
      <c r="C175" s="1">
        <f t="shared" si="68"/>
        <v>43.982297150257104</v>
      </c>
      <c r="D175" s="83" t="str">
        <f t="shared" si="69"/>
        <v>2.9818732388153-0.25087593567836i</v>
      </c>
      <c r="E175" s="1">
        <f t="shared" si="70"/>
        <v>9.52041668046148</v>
      </c>
      <c r="F175" s="1">
        <f t="shared" si="71"/>
        <v>-4.8091782660916378</v>
      </c>
      <c r="G175" s="1" t="str">
        <f t="shared" si="72"/>
        <v>242.957393781947+10.1344952812712i</v>
      </c>
      <c r="H175" s="1">
        <f t="shared" si="77"/>
        <v>47.718152470911591</v>
      </c>
      <c r="I175" s="1">
        <f t="shared" si="78"/>
        <v>2.3885973103838936</v>
      </c>
      <c r="J175" s="83" t="str">
        <f t="shared" si="73"/>
        <v>134.973802716017-0.0816226880851781i</v>
      </c>
      <c r="K175" s="1">
        <f t="shared" si="79"/>
        <v>42.604991263303063</v>
      </c>
      <c r="L175" s="1">
        <f t="shared" si="80"/>
        <v>-3.4648464187929079E-2</v>
      </c>
      <c r="M175" s="1">
        <f t="shared" si="74"/>
        <v>0.192</v>
      </c>
      <c r="N175" s="1">
        <f t="shared" si="75"/>
        <v>2.5000000000000001E-2</v>
      </c>
      <c r="O175" s="1" t="str">
        <f t="shared" si="76"/>
        <v>0.625296031321934-33.2064795576005i</v>
      </c>
      <c r="P175" s="1">
        <f t="shared" si="81"/>
        <v>30.42599640012261</v>
      </c>
      <c r="Q175" s="1">
        <f t="shared" si="82"/>
        <v>-88.921216873460878</v>
      </c>
      <c r="R175" s="1" t="str">
        <f t="shared" si="83"/>
        <v>22.1093849972857-1.50568340869153i</v>
      </c>
      <c r="S175" s="1">
        <f t="shared" si="84"/>
        <v>26.91162848366465</v>
      </c>
      <c r="T175" s="1">
        <f t="shared" si="85"/>
        <v>-3.895916023986532</v>
      </c>
      <c r="U175" s="1" t="str">
        <f>IMPRODUCT(COMPLEX(-1,0),IMDIV(COMPLEX(1,C175*Calculations!$B$195*Calculations!$B$197),IMPRODUCT(COMPLEX(0,C175*Calculations!$B$184),COMPLEX((Calculations!$B$197+Calculations!$B$199),C175*Calculations!$B$195*Calculations!$B$197*Calculations!$B$199))))</f>
        <v>-0.958767316833581+94.9251410822949i</v>
      </c>
      <c r="V175" s="1">
        <f t="shared" si="86"/>
        <v>39.548068048454205</v>
      </c>
      <c r="W175" s="1">
        <f t="shared" si="87"/>
        <v>90.578681814643673</v>
      </c>
      <c r="X175" s="1" t="str">
        <f t="shared" si="88"/>
        <v>121.729454264626+2100.18009015187i</v>
      </c>
      <c r="Y175" s="1">
        <f t="shared" si="89"/>
        <v>66.459696532118841</v>
      </c>
      <c r="Z175" s="1">
        <f t="shared" si="90"/>
        <v>86.682765790657129</v>
      </c>
    </row>
    <row r="176" spans="2:93">
      <c r="B176" s="1">
        <v>8</v>
      </c>
      <c r="C176" s="1">
        <f t="shared" si="68"/>
        <v>50.26548245743669</v>
      </c>
      <c r="D176" s="83" t="str">
        <f t="shared" si="69"/>
        <v>2.97546432358985-0.286098458827067i</v>
      </c>
      <c r="E176" s="1">
        <f t="shared" si="70"/>
        <v>9.5110623520103612</v>
      </c>
      <c r="F176" s="1">
        <f t="shared" si="71"/>
        <v>-5.492250528356629</v>
      </c>
      <c r="G176" s="1" t="str">
        <f t="shared" si="72"/>
        <v>242.96034111027+11.5823538180072i</v>
      </c>
      <c r="H176" s="1">
        <f t="shared" si="77"/>
        <v>47.720566348497044</v>
      </c>
      <c r="I176" s="1">
        <f t="shared" si="78"/>
        <v>2.729325937801506</v>
      </c>
      <c r="J176" s="83" t="str">
        <f t="shared" si="73"/>
        <v>134.974666456793-0.0932841133260272i</v>
      </c>
      <c r="K176" s="1">
        <f t="shared" si="79"/>
        <v>42.605047333132106</v>
      </c>
      <c r="L176" s="1">
        <f t="shared" si="80"/>
        <v>-3.9598431902267459E-2</v>
      </c>
      <c r="M176" s="1">
        <f t="shared" si="74"/>
        <v>0.192</v>
      </c>
      <c r="N176" s="1">
        <f t="shared" si="75"/>
        <v>2.5000000000000001E-2</v>
      </c>
      <c r="O176" s="1" t="str">
        <f t="shared" si="76"/>
        <v>0.625296028034094-29.0556915638806i</v>
      </c>
      <c r="P176" s="1">
        <f t="shared" si="81"/>
        <v>29.266635243776005</v>
      </c>
      <c r="Q176" s="1">
        <f t="shared" si="82"/>
        <v>-88.767150528548328</v>
      </c>
      <c r="R176" s="1" t="str">
        <f t="shared" si="83"/>
        <v>22.0751034395899-1.71779622832027i</v>
      </c>
      <c r="S176" s="1">
        <f t="shared" si="84"/>
        <v>26.904273606793687</v>
      </c>
      <c r="T176" s="1">
        <f t="shared" si="85"/>
        <v>-4.4495615933461261</v>
      </c>
      <c r="U176" s="1" t="str">
        <f>IMPRODUCT(COMPLEX(-1,0),IMDIV(COMPLEX(1,C176*Calculations!$B$195*Calculations!$B$197),IMPRODUCT(COMPLEX(0,C176*Calculations!$B$184),COMPLEX((Calculations!$B$197+Calculations!$B$199),C176*Calculations!$B$195*Calculations!$B$197*Calculations!$B$199))))</f>
        <v>-0.958767303279239+83.0595536358784i</v>
      </c>
      <c r="V176" s="1">
        <f t="shared" si="86"/>
        <v>38.388370489648338</v>
      </c>
      <c r="W176" s="1">
        <f t="shared" si="87"/>
        <v>90.661343312849183</v>
      </c>
      <c r="X176" s="1" t="str">
        <f t="shared" si="88"/>
        <v>121.514500567291+1835.19520501559i</v>
      </c>
      <c r="Y176" s="1">
        <f t="shared" si="89"/>
        <v>65.292644096442018</v>
      </c>
      <c r="Z176" s="1">
        <f t="shared" si="90"/>
        <v>86.211781719503065</v>
      </c>
    </row>
    <row r="177" spans="2:26">
      <c r="B177" s="1">
        <v>9</v>
      </c>
      <c r="C177" s="1">
        <f t="shared" si="68"/>
        <v>56.548667764616276</v>
      </c>
      <c r="D177" s="83" t="str">
        <f t="shared" si="69"/>
        <v>2.96823414496366-0.321077824990848i</v>
      </c>
      <c r="E177" s="1">
        <f t="shared" si="70"/>
        <v>9.5004850800368796</v>
      </c>
      <c r="F177" s="1">
        <f t="shared" si="71"/>
        <v>-6.1737553767800692</v>
      </c>
      <c r="G177" s="1" t="str">
        <f t="shared" si="72"/>
        <v>242.963681482925+13.030241754621i</v>
      </c>
      <c r="H177" s="1">
        <f t="shared" si="77"/>
        <v>47.723300530191253</v>
      </c>
      <c r="I177" s="1">
        <f t="shared" si="78"/>
        <v>3.0698551835480177</v>
      </c>
      <c r="J177" s="83" t="str">
        <f t="shared" si="73"/>
        <v>134.975645376229-0.104945955083752i</v>
      </c>
      <c r="K177" s="1">
        <f t="shared" si="79"/>
        <v>42.605110879370415</v>
      </c>
      <c r="L177" s="1">
        <f t="shared" si="80"/>
        <v>-4.4548474466110322E-2</v>
      </c>
      <c r="M177" s="1">
        <f t="shared" si="74"/>
        <v>0.192</v>
      </c>
      <c r="N177" s="1">
        <f t="shared" si="75"/>
        <v>2.5000000000000001E-2</v>
      </c>
      <c r="O177" s="1" t="str">
        <f t="shared" si="76"/>
        <v>0.625296024307874-25.827303503696i</v>
      </c>
      <c r="P177" s="1">
        <f t="shared" si="81"/>
        <v>28.244126218922275</v>
      </c>
      <c r="Q177" s="1">
        <f t="shared" si="82"/>
        <v>-88.613102387584604</v>
      </c>
      <c r="R177" s="1" t="str">
        <f t="shared" si="83"/>
        <v>22.0363971863297-1.92872947768641i</v>
      </c>
      <c r="S177" s="1">
        <f t="shared" si="84"/>
        <v>26.895954507235857</v>
      </c>
      <c r="T177" s="1">
        <f t="shared" si="85"/>
        <v>-5.0020501437484608</v>
      </c>
      <c r="U177" s="1" t="str">
        <f>IMPRODUCT(COMPLEX(-1,0),IMDIV(COMPLEX(1,C177*Calculations!$B$195*Calculations!$B$197),IMPRODUCT(COMPLEX(0,C177*Calculations!$B$184),COMPLEX((Calculations!$B$197+Calculations!$B$199),C177*Calculations!$B$195*Calculations!$B$197*Calculations!$B$199))))</f>
        <v>-0.958767287917651+73.8307699406775i</v>
      </c>
      <c r="V177" s="1">
        <f t="shared" si="86"/>
        <v>37.365480266646308</v>
      </c>
      <c r="W177" s="1">
        <f t="shared" si="87"/>
        <v>90.74400187846129</v>
      </c>
      <c r="X177" s="1" t="str">
        <f t="shared" si="88"/>
        <v>121.271805579055+1628.81337371575i</v>
      </c>
      <c r="Y177" s="1">
        <f t="shared" si="89"/>
        <v>64.261434773882172</v>
      </c>
      <c r="Z177" s="1">
        <f t="shared" si="90"/>
        <v>85.741951734712828</v>
      </c>
    </row>
    <row r="178" spans="2:26">
      <c r="B178" s="1">
        <v>10</v>
      </c>
      <c r="C178" s="1">
        <f t="shared" si="68"/>
        <v>62.831853071795862</v>
      </c>
      <c r="D178" s="83" t="str">
        <f t="shared" si="69"/>
        <v>2.96019487057871-0.355785853870838i</v>
      </c>
      <c r="E178" s="1">
        <f t="shared" si="70"/>
        <v>9.4886938287103337</v>
      </c>
      <c r="F178" s="1">
        <f t="shared" si="71"/>
        <v>-6.8535054512014826</v>
      </c>
      <c r="G178" s="1" t="str">
        <f t="shared" si="72"/>
        <v>242.967414925123+14.4781627668825i</v>
      </c>
      <c r="H178" s="1">
        <f t="shared" si="77"/>
        <v>47.726354438545975</v>
      </c>
      <c r="I178" s="1">
        <f t="shared" si="78"/>
        <v>3.4101604005014909</v>
      </c>
      <c r="J178" s="83" t="str">
        <f t="shared" si="73"/>
        <v>134.976739479283-0.116608265439621i</v>
      </c>
      <c r="K178" s="1">
        <f t="shared" si="79"/>
        <v>42.605181902179972</v>
      </c>
      <c r="L178" s="1">
        <f t="shared" si="80"/>
        <v>-4.9498601237902333E-2</v>
      </c>
      <c r="M178" s="1">
        <f t="shared" si="74"/>
        <v>0.192</v>
      </c>
      <c r="N178" s="1">
        <f t="shared" si="75"/>
        <v>2.5000000000000001E-2</v>
      </c>
      <c r="O178" s="1" t="str">
        <f t="shared" si="76"/>
        <v>0.625296020143273-23.2445953969857i</v>
      </c>
      <c r="P178" s="1">
        <f t="shared" si="81"/>
        <v>27.329581448881406</v>
      </c>
      <c r="Q178" s="1">
        <f t="shared" si="82"/>
        <v>-88.45907472095746</v>
      </c>
      <c r="R178" s="1" t="str">
        <f t="shared" si="83"/>
        <v>21.9933199518239-2.13834456132211i</v>
      </c>
      <c r="S178" s="1">
        <f t="shared" si="84"/>
        <v>26.886677262343586</v>
      </c>
      <c r="T178" s="1">
        <f t="shared" si="85"/>
        <v>-5.5532423254830006</v>
      </c>
      <c r="U178" s="1" t="str">
        <f>IMPRODUCT(COMPLEX(-1,0),IMDIV(COMPLEX(1,C178*Calculations!$B$195*Calculations!$B$197),IMPRODUCT(COMPLEX(0,C178*Calculations!$B$184),COMPLEX((Calculations!$B$197+Calculations!$B$199),C178*Calculations!$B$195*Calculations!$B$197*Calculations!$B$199))))</f>
        <v>-0.958767270748817+66.4477488713279i</v>
      </c>
      <c r="V178" s="1">
        <f t="shared" si="86"/>
        <v>36.45050952448856</v>
      </c>
      <c r="W178" s="1">
        <f t="shared" si="87"/>
        <v>90.826657145149312</v>
      </c>
      <c r="X178" s="1" t="str">
        <f t="shared" si="88"/>
        <v>121.001707066186+1463.45677578454i</v>
      </c>
      <c r="Y178" s="1">
        <f t="shared" si="89"/>
        <v>63.337186786832149</v>
      </c>
      <c r="Z178" s="1">
        <f t="shared" si="90"/>
        <v>85.273414819666314</v>
      </c>
    </row>
    <row r="179" spans="2:26">
      <c r="B179" s="1">
        <v>20</v>
      </c>
      <c r="C179" s="1">
        <f t="shared" si="68"/>
        <v>125.66370614359172</v>
      </c>
      <c r="D179" s="83" t="str">
        <f t="shared" si="69"/>
        <v>2.83880014463755-0.682359295572042i</v>
      </c>
      <c r="E179" s="1">
        <f t="shared" si="70"/>
        <v>9.3066384432535472</v>
      </c>
      <c r="F179" s="1">
        <f t="shared" si="71"/>
        <v>-13.515717393495722</v>
      </c>
      <c r="G179" s="1" t="str">
        <f t="shared" si="72"/>
        <v>243.026375840748+28.9600009572561i</v>
      </c>
      <c r="H179" s="1">
        <f t="shared" si="77"/>
        <v>47.77430454857631</v>
      </c>
      <c r="I179" s="1">
        <f t="shared" si="78"/>
        <v>6.7955508125411477</v>
      </c>
      <c r="J179" s="83" t="str">
        <f t="shared" si="73"/>
        <v>134.994017117051-0.233268604574321i</v>
      </c>
      <c r="K179" s="1">
        <f t="shared" si="79"/>
        <v>42.606303390967227</v>
      </c>
      <c r="L179" s="1">
        <f t="shared" si="80"/>
        <v>-9.9006559829288091E-2</v>
      </c>
      <c r="M179" s="1">
        <f t="shared" si="74"/>
        <v>0.192</v>
      </c>
      <c r="N179" s="1">
        <f t="shared" si="75"/>
        <v>2.5000000000000001E-2</v>
      </c>
      <c r="O179" s="1" t="str">
        <f t="shared" si="76"/>
        <v>0.62529595438645-11.622473306311i</v>
      </c>
      <c r="P179" s="1">
        <f t="shared" si="81"/>
        <v>21.318523660329454</v>
      </c>
      <c r="Q179" s="1">
        <f t="shared" si="82"/>
        <v>-86.920422087132735</v>
      </c>
      <c r="R179" s="1" t="str">
        <f t="shared" si="83"/>
        <v>21.3377385251718-4.13400568890953i</v>
      </c>
      <c r="S179" s="1">
        <f t="shared" si="84"/>
        <v>26.742998573995035</v>
      </c>
      <c r="T179" s="1">
        <f t="shared" si="85"/>
        <v>-10.964727861354882</v>
      </c>
      <c r="U179" s="1" t="str">
        <f>IMPRODUCT(COMPLEX(-1,0),IMDIV(COMPLEX(1,C179*Calculations!$B$195*Calculations!$B$197),IMPRODUCT(COMPLEX(0,C179*Calculations!$B$184),COMPLEX((Calculations!$B$197+Calculations!$B$199),C179*Calculations!$B$195*Calculations!$B$197*Calculations!$B$199))))</f>
        <v>-0.95876699966202+33.2243159464624i</v>
      </c>
      <c r="V179" s="1">
        <f t="shared" si="86"/>
        <v>30.432736038281142</v>
      </c>
      <c r="W179" s="1">
        <f t="shared" si="87"/>
        <v>91.65294785214401</v>
      </c>
      <c r="X179" s="1" t="str">
        <f t="shared" si="88"/>
        <v>116.891591587451+712.895314574252i</v>
      </c>
      <c r="Y179" s="1">
        <f t="shared" si="89"/>
        <v>57.175734612276173</v>
      </c>
      <c r="Z179" s="1">
        <f t="shared" si="90"/>
        <v>80.688219990789165</v>
      </c>
    </row>
    <row r="180" spans="2:26">
      <c r="B180" s="1">
        <v>30</v>
      </c>
      <c r="C180" s="1">
        <f t="shared" si="68"/>
        <v>188.49555921538757</v>
      </c>
      <c r="D180" s="83" t="str">
        <f t="shared" si="69"/>
        <v>2.6572067381053-0.957991020277636i</v>
      </c>
      <c r="E180" s="1">
        <f t="shared" si="70"/>
        <v>9.0192094694394065</v>
      </c>
      <c r="F180" s="1">
        <f t="shared" si="71"/>
        <v>-19.825530832339002</v>
      </c>
      <c r="G180" s="1" t="str">
        <f t="shared" si="72"/>
        <v>243.124693495318+43.4491930746593i</v>
      </c>
      <c r="H180" s="1">
        <f t="shared" si="77"/>
        <v>47.853116723362973</v>
      </c>
      <c r="I180" s="1">
        <f t="shared" si="78"/>
        <v>10.132452253186958</v>
      </c>
      <c r="J180" s="83" t="str">
        <f t="shared" si="73"/>
        <v>135.02282290706-0.350033154541671i</v>
      </c>
      <c r="K180" s="1">
        <f t="shared" si="79"/>
        <v>42.608172856702382</v>
      </c>
      <c r="L180" s="1">
        <f t="shared" si="80"/>
        <v>-0.14853324116276093</v>
      </c>
      <c r="M180" s="1">
        <f t="shared" si="74"/>
        <v>0.192</v>
      </c>
      <c r="N180" s="1">
        <f t="shared" si="75"/>
        <v>2.5000000000000001E-2</v>
      </c>
      <c r="O180" s="1" t="str">
        <f t="shared" si="76"/>
        <v>0.625295844791775-7.74851065728379i</v>
      </c>
      <c r="P180" s="1">
        <f t="shared" si="81"/>
        <v>17.812555573265715</v>
      </c>
      <c r="Q180" s="1">
        <f t="shared" si="82"/>
        <v>-85.386294834958804</v>
      </c>
      <c r="R180" s="1" t="str">
        <f t="shared" si="83"/>
        <v>20.3388142132802-5.87497260392279i</v>
      </c>
      <c r="S180" s="1">
        <f t="shared" si="84"/>
        <v>26.514550563434703</v>
      </c>
      <c r="T180" s="1">
        <f t="shared" si="85"/>
        <v>-16.111637595439461</v>
      </c>
      <c r="U180" s="1" t="str">
        <f>IMPRODUCT(COMPLEX(-1,0),IMDIV(COMPLEX(1,C180*Calculations!$B$195*Calculations!$B$197),IMPRODUCT(COMPLEX(0,C180*Calculations!$B$184),COMPLEX((Calculations!$B$197+Calculations!$B$199),C180*Calculations!$B$195*Calculations!$B$197*Calculations!$B$199))))</f>
        <v>-0.95876654785104+22.1500345314923i</v>
      </c>
      <c r="V180" s="1">
        <f t="shared" si="86"/>
        <v>26.915617481549003</v>
      </c>
      <c r="W180" s="1">
        <f t="shared" si="87"/>
        <v>92.478506636246323</v>
      </c>
      <c r="X180" s="1" t="str">
        <f t="shared" si="88"/>
        <v>110.630671357811+456.138164355945i</v>
      </c>
      <c r="Y180" s="1">
        <f t="shared" si="89"/>
        <v>53.430168044983695</v>
      </c>
      <c r="Z180" s="1">
        <f t="shared" si="90"/>
        <v>76.366869040806819</v>
      </c>
    </row>
    <row r="181" spans="2:26">
      <c r="B181" s="1">
        <v>40</v>
      </c>
      <c r="C181" s="1">
        <f t="shared" si="68"/>
        <v>251.32741228718345</v>
      </c>
      <c r="D181" s="83" t="str">
        <f t="shared" si="69"/>
        <v>2.438835469476-1.17222368902165i</v>
      </c>
      <c r="E181" s="1">
        <f t="shared" si="70"/>
        <v>8.6463131558818755</v>
      </c>
      <c r="F181" s="1">
        <f t="shared" si="71"/>
        <v>-25.671217336765825</v>
      </c>
      <c r="G181" s="1" t="str">
        <f t="shared" si="72"/>
        <v>243.262442169408+57.9494237880863i</v>
      </c>
      <c r="H181" s="1">
        <f t="shared" si="77"/>
        <v>47.961214283039851</v>
      </c>
      <c r="I181" s="1">
        <f t="shared" si="78"/>
        <v>13.399138658856245</v>
      </c>
      <c r="J181" s="83" t="str">
        <f t="shared" si="73"/>
        <v>135.063171452725-0.466954179510019i</v>
      </c>
      <c r="K181" s="1">
        <f t="shared" si="79"/>
        <v>42.610790776302061</v>
      </c>
      <c r="L181" s="1">
        <f t="shared" si="80"/>
        <v>-0.19808802671085043</v>
      </c>
      <c r="M181" s="1">
        <f t="shared" si="74"/>
        <v>0.192</v>
      </c>
      <c r="N181" s="1">
        <f t="shared" si="75"/>
        <v>2.5000000000000001E-2</v>
      </c>
      <c r="O181" s="1" t="str">
        <f t="shared" si="76"/>
        <v>0.625295691359298-5.811587868607i</v>
      </c>
      <c r="P181" s="1">
        <f t="shared" si="81"/>
        <v>15.335883942587634</v>
      </c>
      <c r="Q181" s="1">
        <f t="shared" si="82"/>
        <v>-83.858906317304601</v>
      </c>
      <c r="R181" s="1" t="str">
        <f t="shared" si="83"/>
        <v>19.1075968194594-7.29769749415537i</v>
      </c>
      <c r="S181" s="1">
        <f t="shared" si="84"/>
        <v>26.215466714549716</v>
      </c>
      <c r="T181" s="1">
        <f t="shared" si="85"/>
        <v>-20.903181613174322</v>
      </c>
      <c r="U181" s="1" t="str">
        <f>IMPRODUCT(COMPLEX(-1,0),IMDIV(COMPLEX(1,C181*Calculations!$B$195*Calculations!$B$197),IMPRODUCT(COMPLEX(0,C181*Calculations!$B$184),COMPLEX((Calculations!$B$197+Calculations!$B$199),C181*Calculations!$B$195*Calculations!$B$197*Calculations!$B$199))))</f>
        <v>-0.958765915316375+16.6130409935798i</v>
      </c>
      <c r="V181" s="1">
        <f t="shared" si="86"/>
        <v>24.423423458551238</v>
      </c>
      <c r="W181" s="1">
        <f t="shared" si="87"/>
        <v>93.302969913359078</v>
      </c>
      <c r="X181" s="1" t="str">
        <f t="shared" si="88"/>
        <v>102.917235075043+324.43207286816i</v>
      </c>
      <c r="Y181" s="1">
        <f t="shared" si="89"/>
        <v>50.638890173100961</v>
      </c>
      <c r="Z181" s="1">
        <f t="shared" si="90"/>
        <v>72.399788300184682</v>
      </c>
    </row>
    <row r="182" spans="2:26">
      <c r="B182" s="1">
        <v>50</v>
      </c>
      <c r="C182" s="1">
        <f t="shared" si="68"/>
        <v>314.15926535897933</v>
      </c>
      <c r="D182" s="83" t="str">
        <f t="shared" si="69"/>
        <v>2.20582345271922-1.32509965244436i</v>
      </c>
      <c r="E182" s="1">
        <f t="shared" si="70"/>
        <v>8.2095941313857708</v>
      </c>
      <c r="F182" s="1">
        <f t="shared" si="71"/>
        <v>-30.994411838521174</v>
      </c>
      <c r="G182" s="1" t="str">
        <f t="shared" si="72"/>
        <v>243.439726031669+72.464387028146i</v>
      </c>
      <c r="H182" s="1">
        <f t="shared" si="77"/>
        <v>48.096538863859443</v>
      </c>
      <c r="I182" s="1">
        <f t="shared" si="78"/>
        <v>16.576621161648625</v>
      </c>
      <c r="J182" s="83" t="str">
        <f t="shared" si="73"/>
        <v>135.11508322447-0.584084134567566i</v>
      </c>
      <c r="K182" s="1">
        <f t="shared" si="79"/>
        <v>42.614157818012217</v>
      </c>
      <c r="L182" s="1">
        <f t="shared" si="80"/>
        <v>-0.24768032210995847</v>
      </c>
      <c r="M182" s="1">
        <f t="shared" si="74"/>
        <v>0.192</v>
      </c>
      <c r="N182" s="1">
        <f t="shared" si="75"/>
        <v>2.5000000000000001E-2</v>
      </c>
      <c r="O182" s="1" t="str">
        <f t="shared" si="76"/>
        <v>0.625295494089073-4.64948102400137i</v>
      </c>
      <c r="P182" s="1">
        <f t="shared" si="81"/>
        <v>13.425937640312922</v>
      </c>
      <c r="Q182" s="1">
        <f t="shared" si="82"/>
        <v>-82.340411879152015</v>
      </c>
      <c r="R182" s="1" t="str">
        <f t="shared" si="83"/>
        <v>17.7561195007174-8.38763052666212i</v>
      </c>
      <c r="S182" s="1">
        <f t="shared" si="84"/>
        <v>25.861732061930098</v>
      </c>
      <c r="T182" s="1">
        <f t="shared" si="85"/>
        <v>-25.285099756558704</v>
      </c>
      <c r="U182" s="1" t="str">
        <f>IMPRODUCT(COMPLEX(-1,0),IMDIV(COMPLEX(1,C182*Calculations!$B$195*Calculations!$B$197),IMPRODUCT(COMPLEX(0,C182*Calculations!$B$184),COMPLEX((Calculations!$B$197+Calculations!$B$199),C182*Calculations!$B$195*Calculations!$B$197*Calculations!$B$199))))</f>
        <v>-0.958765102058756+13.2909626060245i</v>
      </c>
      <c r="V182" s="1">
        <f t="shared" si="86"/>
        <v>22.49366947181208</v>
      </c>
      <c r="W182" s="1">
        <f t="shared" si="87"/>
        <v>94.125976934938322</v>
      </c>
      <c r="X182" s="1" t="str">
        <f t="shared" si="88"/>
        <v>94.455735957743+244.037687750064i</v>
      </c>
      <c r="Y182" s="1">
        <f t="shared" si="89"/>
        <v>48.355401533742189</v>
      </c>
      <c r="Z182" s="1">
        <f t="shared" si="90"/>
        <v>68.840877178379657</v>
      </c>
    </row>
    <row r="183" spans="2:26">
      <c r="B183" s="1">
        <v>60</v>
      </c>
      <c r="C183" s="1">
        <f t="shared" si="68"/>
        <v>376.99111843077515</v>
      </c>
      <c r="D183" s="83" t="str">
        <f t="shared" si="69"/>
        <v>1.97523813225756-1.42365551204294i</v>
      </c>
      <c r="E183" s="1">
        <f t="shared" si="70"/>
        <v>7.7293461932315912</v>
      </c>
      <c r="F183" s="1">
        <f t="shared" si="71"/>
        <v>-35.782228097895839</v>
      </c>
      <c r="G183" s="1" t="str">
        <f t="shared" si="72"/>
        <v>243.656679315291+86.9977890993766i</v>
      </c>
      <c r="H183" s="1">
        <f t="shared" si="77"/>
        <v>48.256674942812474</v>
      </c>
      <c r="I183" s="1">
        <f t="shared" si="78"/>
        <v>19.649141263679745</v>
      </c>
      <c r="J183" s="83" t="str">
        <f t="shared" si="73"/>
        <v>135.178584585466-0.701475730049251i</v>
      </c>
      <c r="K183" s="1">
        <f t="shared" si="79"/>
        <v>42.61827484197341</v>
      </c>
      <c r="L183" s="1">
        <f t="shared" si="80"/>
        <v>-0.29731956528079201</v>
      </c>
      <c r="M183" s="1">
        <f t="shared" si="74"/>
        <v>0.192</v>
      </c>
      <c r="N183" s="1">
        <f t="shared" si="75"/>
        <v>2.5000000000000001E-2</v>
      </c>
      <c r="O183" s="1" t="str">
        <f t="shared" si="76"/>
        <v>0.625295252981193-3.87478215135747i</v>
      </c>
      <c r="P183" s="1">
        <f t="shared" si="81"/>
        <v>11.876597538597</v>
      </c>
      <c r="Q183" s="1">
        <f t="shared" si="82"/>
        <v>-80.83289146620352</v>
      </c>
      <c r="R183" s="1" t="str">
        <f t="shared" si="83"/>
        <v>16.3784424941977-9.16734514920606i</v>
      </c>
      <c r="S183" s="1">
        <f t="shared" si="84"/>
        <v>25.469047481713186</v>
      </c>
      <c r="T183" s="1">
        <f t="shared" si="85"/>
        <v>-29.236620848540781</v>
      </c>
      <c r="U183" s="1" t="str">
        <f>IMPRODUCT(COMPLEX(-1,0),IMDIV(COMPLEX(1,C183*Calculations!$B$195*Calculations!$B$197),IMPRODUCT(COMPLEX(0,C183*Calculations!$B$184),COMPLEX((Calculations!$B$197+Calculations!$B$199),C183*Calculations!$B$195*Calculations!$B$197*Calculations!$B$199))))</f>
        <v>-0.958764108079096+11.0763417931483i</v>
      </c>
      <c r="V183" s="1">
        <f t="shared" si="86"/>
        <v>20.920345496587416</v>
      </c>
      <c r="W183" s="1">
        <f t="shared" si="87"/>
        <v>94.947170704625236</v>
      </c>
      <c r="X183" s="1" t="str">
        <f t="shared" si="88"/>
        <v>85.8375853986922+190.20254860059i</v>
      </c>
      <c r="Y183" s="1">
        <f t="shared" si="89"/>
        <v>46.38939297830062</v>
      </c>
      <c r="Z183" s="1">
        <f t="shared" si="90"/>
        <v>65.710549856084469</v>
      </c>
    </row>
    <row r="184" spans="2:26">
      <c r="B184" s="1">
        <v>70</v>
      </c>
      <c r="C184" s="1">
        <f t="shared" si="68"/>
        <v>439.82297150257102</v>
      </c>
      <c r="D184" s="83" t="str">
        <f t="shared" si="69"/>
        <v>1.7581184587903-1.47806464883635i</v>
      </c>
      <c r="E184" s="1">
        <f t="shared" si="70"/>
        <v>7.222764383793276</v>
      </c>
      <c r="F184" s="1">
        <f t="shared" si="71"/>
        <v>-40.054042194420873</v>
      </c>
      <c r="G184" s="1" t="str">
        <f t="shared" si="72"/>
        <v>243.913466545788+101.553351814178i</v>
      </c>
      <c r="H184" s="1">
        <f t="shared" si="77"/>
        <v>48.438981184357132</v>
      </c>
      <c r="I184" s="1">
        <f t="shared" si="78"/>
        <v>22.604399520134937</v>
      </c>
      <c r="J184" s="83" t="str">
        <f t="shared" si="73"/>
        <v>135.253707824806-0.819181996464284i</v>
      </c>
      <c r="K184" s="1">
        <f t="shared" si="79"/>
        <v>42.623142900948238</v>
      </c>
      <c r="L184" s="1">
        <f t="shared" si="80"/>
        <v>-0.34701523460910083</v>
      </c>
      <c r="M184" s="1">
        <f t="shared" si="74"/>
        <v>0.192</v>
      </c>
      <c r="N184" s="1">
        <f t="shared" si="75"/>
        <v>2.5000000000000001E-2</v>
      </c>
      <c r="O184" s="1" t="str">
        <f t="shared" si="76"/>
        <v>0.625294968035755-3.32145926261432i</v>
      </c>
      <c r="P184" s="1">
        <f t="shared" si="81"/>
        <v>10.577834247811522</v>
      </c>
      <c r="Q184" s="1">
        <f t="shared" si="82"/>
        <v>-79.338333800655803</v>
      </c>
      <c r="R184" s="1" t="str">
        <f t="shared" si="83"/>
        <v>15.0425928293114-9.68057560706722i</v>
      </c>
      <c r="S184" s="1">
        <f t="shared" si="84"/>
        <v>25.05140672256568</v>
      </c>
      <c r="T184" s="1">
        <f t="shared" si="85"/>
        <v>-32.763077868359829</v>
      </c>
      <c r="U184" s="1" t="str">
        <f>IMPRODUCT(COMPLEX(-1,0),IMDIV(COMPLEX(1,C184*Calculations!$B$195*Calculations!$B$197),IMPRODUCT(COMPLEX(0,C184*Calculations!$B$184),COMPLEX((Calculations!$B$197+Calculations!$B$199),C184*Calculations!$B$195*Calculations!$B$197*Calculations!$B$199))))</f>
        <v>-0.958762933378514+9.49455387956564i</v>
      </c>
      <c r="V184" s="1">
        <f t="shared" si="86"/>
        <v>19.593552105131089</v>
      </c>
      <c r="W184" s="1">
        <f t="shared" si="87"/>
        <v>95.766198870846395</v>
      </c>
      <c r="X184" s="1" t="str">
        <f t="shared" si="88"/>
        <v>77.4904662598594+152.104085172089i</v>
      </c>
      <c r="Y184" s="1">
        <f t="shared" si="89"/>
        <v>44.644958827696762</v>
      </c>
      <c r="Z184" s="1">
        <f t="shared" si="90"/>
        <v>63.003121002486544</v>
      </c>
    </row>
    <row r="185" spans="2:26">
      <c r="B185" s="1">
        <v>80</v>
      </c>
      <c r="C185" s="1">
        <f t="shared" si="68"/>
        <v>502.6548245743669</v>
      </c>
      <c r="D185" s="83" t="str">
        <f t="shared" si="69"/>
        <v>1.56030740948767-1.49881183359949i</v>
      </c>
      <c r="E185" s="1">
        <f t="shared" si="70"/>
        <v>6.7033828157859254</v>
      </c>
      <c r="F185" s="1">
        <f t="shared" si="71"/>
        <v>-43.848373607365254</v>
      </c>
      <c r="G185" s="1" t="str">
        <f t="shared" si="72"/>
        <v>244.210282820775+116.134815653893i</v>
      </c>
      <c r="H185" s="1">
        <f t="shared" si="77"/>
        <v>48.640715665578902</v>
      </c>
      <c r="I185" s="1">
        <f t="shared" si="78"/>
        <v>25.43354194810631</v>
      </c>
      <c r="J185" s="83" t="str">
        <f t="shared" si="73"/>
        <v>135.34049119821-0.937256350170958i</v>
      </c>
      <c r="K185" s="1">
        <f t="shared" si="79"/>
        <v>42.628763241212937</v>
      </c>
      <c r="L185" s="1">
        <f t="shared" si="80"/>
        <v>-0.39677685719883582</v>
      </c>
      <c r="M185" s="1">
        <f t="shared" si="74"/>
        <v>0.192</v>
      </c>
      <c r="N185" s="1">
        <f t="shared" si="75"/>
        <v>2.5000000000000001E-2</v>
      </c>
      <c r="O185" s="1" t="str">
        <f t="shared" si="76"/>
        <v>0.625294639252882-2.90649636372912i</v>
      </c>
      <c r="P185" s="1">
        <f t="shared" si="81"/>
        <v>9.4638910585995912</v>
      </c>
      <c r="Q185" s="1">
        <f t="shared" si="82"/>
        <v>-77.858622398857946</v>
      </c>
      <c r="R185" s="1" t="str">
        <f t="shared" si="83"/>
        <v>13.7910492293127-9.97843666561061i</v>
      </c>
      <c r="S185" s="1">
        <f t="shared" si="84"/>
        <v>24.620417859918092</v>
      </c>
      <c r="T185" s="1">
        <f t="shared" si="85"/>
        <v>-35.887408715549974</v>
      </c>
      <c r="U185" s="1" t="str">
        <f>IMPRODUCT(COMPLEX(-1,0),IMDIV(COMPLEX(1,C185*Calculations!$B$195*Calculations!$B$197),IMPRODUCT(COMPLEX(0,C185*Calculations!$B$184),COMPLEX((Calculations!$B$197+Calculations!$B$199),C185*Calculations!$B$195*Calculations!$B$197*Calculations!$B$199))))</f>
        <v>-0.958761577958347+8.30828652750058i</v>
      </c>
      <c r="V185" s="1">
        <f t="shared" si="86"/>
        <v>18.447681536313098</v>
      </c>
      <c r="W185" s="1">
        <f t="shared" si="87"/>
        <v>96.582714589918041</v>
      </c>
      <c r="X185" s="1" t="str">
        <f t="shared" si="88"/>
        <v>69.6813827936134+124.146930195074i</v>
      </c>
      <c r="Y185" s="1">
        <f t="shared" si="89"/>
        <v>43.068099396231176</v>
      </c>
      <c r="Z185" s="1">
        <f t="shared" si="90"/>
        <v>60.695305874368017</v>
      </c>
    </row>
    <row r="186" spans="2:26">
      <c r="B186" s="1">
        <v>90</v>
      </c>
      <c r="C186" s="1">
        <f t="shared" si="68"/>
        <v>565.48667764616278</v>
      </c>
      <c r="D186" s="83" t="str">
        <f t="shared" si="69"/>
        <v>1.3839237709252-1.49516109426207i</v>
      </c>
      <c r="E186" s="1">
        <f t="shared" si="70"/>
        <v>6.1812675460664206</v>
      </c>
      <c r="F186" s="1">
        <f t="shared" si="71"/>
        <v>-47.212599120300354</v>
      </c>
      <c r="G186" s="1" t="str">
        <f t="shared" si="72"/>
        <v>244.547354142573+130.745942962628i</v>
      </c>
      <c r="H186" s="1">
        <f t="shared" si="77"/>
        <v>48.859145364280742</v>
      </c>
      <c r="I186" s="1">
        <f t="shared" si="78"/>
        <v>28.130951094045621</v>
      </c>
      <c r="J186" s="83" t="str">
        <f t="shared" si="73"/>
        <v>135.438978976359-1.05575265995632i</v>
      </c>
      <c r="K186" s="1">
        <f t="shared" si="79"/>
        <v>42.635137303615224</v>
      </c>
      <c r="L186" s="1">
        <f t="shared" si="80"/>
        <v>-0.44661401721350624</v>
      </c>
      <c r="M186" s="1">
        <f t="shared" si="74"/>
        <v>0.192</v>
      </c>
      <c r="N186" s="1">
        <f t="shared" si="75"/>
        <v>2.5000000000000001E-2</v>
      </c>
      <c r="O186" s="1" t="str">
        <f t="shared" si="76"/>
        <v>0.625294266632711-2.58377345800046i</v>
      </c>
      <c r="P186" s="1">
        <f t="shared" si="81"/>
        <v>8.4922760630136658</v>
      </c>
      <c r="Q186" s="1">
        <f t="shared" si="82"/>
        <v>-76.395523638330474</v>
      </c>
      <c r="R186" s="1" t="str">
        <f t="shared" si="83"/>
        <v>12.6456610024142-10.1103149171596i</v>
      </c>
      <c r="S186" s="1">
        <f t="shared" si="84"/>
        <v>24.185187320709055</v>
      </c>
      <c r="T186" s="1">
        <f t="shared" si="85"/>
        <v>-38.642636899978605</v>
      </c>
      <c r="U186" s="1" t="str">
        <f>IMPRODUCT(COMPLEX(-1,0),IMDIV(COMPLEX(1,C186*Calculations!$B$195*Calculations!$B$197),IMPRODUCT(COMPLEX(0,C186*Calculations!$B$184),COMPLEX((Calculations!$B$197+Calculations!$B$199),C186*Calculations!$B$195*Calculations!$B$197*Calculations!$B$199))))</f>
        <v>-0.958760041820123+7.38569954922567i</v>
      </c>
      <c r="V186" s="1">
        <f t="shared" si="86"/>
        <v>17.440407737803707</v>
      </c>
      <c r="W186" s="1">
        <f t="shared" si="87"/>
        <v>97.396377354535318</v>
      </c>
      <c r="X186" s="1" t="str">
        <f t="shared" si="88"/>
        <v>62.5475938546775+103.090418717982i</v>
      </c>
      <c r="Y186" s="1">
        <f t="shared" si="89"/>
        <v>41.625595058512772</v>
      </c>
      <c r="Z186" s="1">
        <f t="shared" si="90"/>
        <v>58.753740454556784</v>
      </c>
    </row>
    <row r="187" spans="2:26">
      <c r="B187" s="1">
        <v>100</v>
      </c>
      <c r="C187" s="1">
        <f t="shared" si="68"/>
        <v>628.31853071795865</v>
      </c>
      <c r="D187" s="83" t="str">
        <f t="shared" si="69"/>
        <v>1.22876351536414-1.47460137906596i</v>
      </c>
      <c r="E187" s="1">
        <f t="shared" si="70"/>
        <v>5.6635604742923116</v>
      </c>
      <c r="F187" s="1">
        <f t="shared" si="71"/>
        <v>-50.196056286167327</v>
      </c>
      <c r="G187" s="1" t="str">
        <f t="shared" si="72"/>
        <v>244.924937804644+145.390521179533i</v>
      </c>
      <c r="H187" s="1">
        <f t="shared" si="77"/>
        <v>49.091634293769047</v>
      </c>
      <c r="I187" s="1">
        <f t="shared" si="78"/>
        <v>30.69390033359123</v>
      </c>
      <c r="J187" s="83" t="str">
        <f t="shared" si="73"/>
        <v>135.549221500967-1.17472531468085i</v>
      </c>
      <c r="K187" s="1">
        <f t="shared" si="79"/>
        <v>42.642266724799782</v>
      </c>
      <c r="L187" s="1">
        <f t="shared" si="80"/>
        <v>-0.49653636432143</v>
      </c>
      <c r="M187" s="1">
        <f t="shared" si="74"/>
        <v>0.192</v>
      </c>
      <c r="N187" s="1">
        <f t="shared" si="75"/>
        <v>2.5000000000000001E-2</v>
      </c>
      <c r="O187" s="1" t="str">
        <f t="shared" si="76"/>
        <v>0.625293850175395-2.32561854739768i</v>
      </c>
      <c r="P187" s="1">
        <f t="shared" si="81"/>
        <v>7.6339010548742188</v>
      </c>
      <c r="Q187" s="1">
        <f t="shared" si="82"/>
        <v>-74.950677010454768</v>
      </c>
      <c r="R187" s="1" t="str">
        <f t="shared" si="83"/>
        <v>11.6136852146927-10.1192004636464i</v>
      </c>
      <c r="S187" s="1">
        <f t="shared" si="84"/>
        <v>23.752536335643882</v>
      </c>
      <c r="T187" s="1">
        <f t="shared" si="85"/>
        <v>-41.066188332055916</v>
      </c>
      <c r="U187" s="1" t="str">
        <f>IMPRODUCT(COMPLEX(-1,0),IMDIV(COMPLEX(1,C187*Calculations!$B$195*Calculations!$B$197),IMPRODUCT(COMPLEX(0,C187*Calculations!$B$184),COMPLEX((Calculations!$B$197+Calculations!$B$199),C187*Calculations!$B$195*Calculations!$B$197*Calculations!$B$199))))</f>
        <v>-0.958758324965578+6.64768883203806i</v>
      </c>
      <c r="V187" s="1">
        <f t="shared" si="86"/>
        <v>16.542823036185283</v>
      </c>
      <c r="W187" s="1">
        <f t="shared" si="87"/>
        <v>98.206853782929059</v>
      </c>
      <c r="X187" s="1" t="str">
        <f t="shared" si="88"/>
        <v>56.1345785282203+86.9060331870347i</v>
      </c>
      <c r="Y187" s="1">
        <f t="shared" si="89"/>
        <v>40.295359371829164</v>
      </c>
      <c r="Z187" s="1">
        <f t="shared" si="90"/>
        <v>57.140665450873115</v>
      </c>
    </row>
    <row r="188" spans="2:26">
      <c r="B188" s="1">
        <v>200</v>
      </c>
      <c r="C188" s="1">
        <f t="shared" si="68"/>
        <v>1256.6370614359173</v>
      </c>
      <c r="D188" s="83" t="str">
        <f t="shared" si="69"/>
        <v>0.444945169177864-1.06302323777861i</v>
      </c>
      <c r="E188" s="1">
        <f t="shared" si="70"/>
        <v>1.2319631156783808</v>
      </c>
      <c r="F188" s="1">
        <f t="shared" si="71"/>
        <v>-67.287481903774136</v>
      </c>
      <c r="G188" s="1" t="str">
        <f t="shared" si="72"/>
        <v>251.008989456375+294.534014810198i</v>
      </c>
      <c r="H188" s="1">
        <f t="shared" si="77"/>
        <v>51.753836476277087</v>
      </c>
      <c r="I188" s="1">
        <f t="shared" si="78"/>
        <v>49.561563573398409</v>
      </c>
      <c r="J188" s="83" t="str">
        <f t="shared" si="73"/>
        <v>137.313726499853-2.40313092406489i</v>
      </c>
      <c r="K188" s="1">
        <f t="shared" si="79"/>
        <v>42.755609047819682</v>
      </c>
      <c r="L188" s="1">
        <f t="shared" si="80"/>
        <v>-1.0026324988309854</v>
      </c>
      <c r="M188" s="1">
        <f t="shared" si="74"/>
        <v>0.192</v>
      </c>
      <c r="N188" s="1">
        <f t="shared" si="75"/>
        <v>2.5000000000000001E-2</v>
      </c>
      <c r="O188" s="1" t="str">
        <f t="shared" si="76"/>
        <v>0.625287274607126-1.16456532140938i</v>
      </c>
      <c r="P188" s="1">
        <f t="shared" si="81"/>
        <v>2.4234176685537996</v>
      </c>
      <c r="Q188" s="1">
        <f t="shared" si="82"/>
        <v>-61.767420928654325</v>
      </c>
      <c r="R188" s="1" t="str">
        <f t="shared" si="83"/>
        <v>5.94412169787805-8.20806718196093i</v>
      </c>
      <c r="S188" s="1">
        <f t="shared" si="84"/>
        <v>20.115913738996909</v>
      </c>
      <c r="T188" s="1">
        <f t="shared" si="85"/>
        <v>-54.088679219779394</v>
      </c>
      <c r="U188" s="1" t="str">
        <f>IMPRODUCT(COMPLEX(-1,0),IMDIV(COMPLEX(1,C188*Calculations!$B$195*Calculations!$B$197),IMPRODUCT(COMPLEX(0,C188*Calculations!$B$184),COMPLEX((Calculations!$B$197+Calculations!$B$199),C188*Calculations!$B$195*Calculations!$B$197*Calculations!$B$199))))</f>
        <v>-0.958731217550898+3.32825931803441i</v>
      </c>
      <c r="V188" s="1">
        <f t="shared" si="86"/>
        <v>10.790536763119732</v>
      </c>
      <c r="W188" s="1">
        <f t="shared" si="87"/>
        <v>106.0694610897943</v>
      </c>
      <c r="X188" s="1" t="str">
        <f t="shared" si="88"/>
        <v>21.6197610487366+27.6529086715941i</v>
      </c>
      <c r="Y188" s="1">
        <f t="shared" si="89"/>
        <v>30.906450502116645</v>
      </c>
      <c r="Z188" s="1">
        <f t="shared" si="90"/>
        <v>51.980781870014873</v>
      </c>
    </row>
    <row r="189" spans="2:26">
      <c r="B189" s="1">
        <v>300</v>
      </c>
      <c r="C189" s="1">
        <f t="shared" si="68"/>
        <v>1884.9555921538758</v>
      </c>
      <c r="D189" s="83" t="str">
        <f t="shared" si="69"/>
        <v>0.217022514602511-0.771825656169525i</v>
      </c>
      <c r="E189" s="1">
        <f t="shared" si="70"/>
        <v>-1.9191493306665297</v>
      </c>
      <c r="F189" s="1">
        <f t="shared" si="71"/>
        <v>-74.295039278758551</v>
      </c>
      <c r="G189" s="1" t="str">
        <f t="shared" si="72"/>
        <v>261.684530013374+451.509939893646i</v>
      </c>
      <c r="H189" s="1">
        <f t="shared" si="77"/>
        <v>54.351114635387212</v>
      </c>
      <c r="I189" s="1">
        <f t="shared" si="78"/>
        <v>59.904428960550952</v>
      </c>
      <c r="J189" s="83" t="str">
        <f t="shared" si="73"/>
        <v>140.357725883513-3.7457557660891i</v>
      </c>
      <c r="K189" s="1">
        <f t="shared" si="79"/>
        <v>42.947818435688717</v>
      </c>
      <c r="L189" s="1">
        <f t="shared" si="80"/>
        <v>-1.5287015128844297</v>
      </c>
      <c r="M189" s="1">
        <f t="shared" si="74"/>
        <v>0.192</v>
      </c>
      <c r="N189" s="1">
        <f t="shared" si="75"/>
        <v>2.5000000000000001E-2</v>
      </c>
      <c r="O189" s="1" t="str">
        <f t="shared" si="76"/>
        <v>0.625276315634001-0.7783279903477i</v>
      </c>
      <c r="P189" s="1">
        <f t="shared" si="81"/>
        <v>-1.4072499234741123E-2</v>
      </c>
      <c r="Q189" s="1">
        <f t="shared" si="82"/>
        <v>-51.223053832088773</v>
      </c>
      <c r="R189" s="1" t="str">
        <f t="shared" si="83"/>
        <v>3.97391977609153-6.60229466027005i</v>
      </c>
      <c r="S189" s="1">
        <f t="shared" si="84"/>
        <v>17.736572572885294</v>
      </c>
      <c r="T189" s="1">
        <f t="shared" si="85"/>
        <v>-58.956273776925862</v>
      </c>
      <c r="U189" s="1" t="str">
        <f>IMPRODUCT(COMPLEX(-1,0),IMDIV(COMPLEX(1,C189*Calculations!$B$195*Calculations!$B$197),IMPRODUCT(COMPLEX(0,C189*Calculations!$B$184),COMPLEX((Calculations!$B$197+Calculations!$B$199),C189*Calculations!$B$195*Calculations!$B$197*Calculations!$B$199))))</f>
        <v>-0.95868604193259+2.22374462220694i</v>
      </c>
      <c r="V189" s="1">
        <f t="shared" si="86"/>
        <v>7.6820278013522367</v>
      </c>
      <c r="W189" s="1">
        <f t="shared" si="87"/>
        <v>113.32152008391775</v>
      </c>
      <c r="X189" s="1" t="str">
        <f t="shared" si="88"/>
        <v>10.8720758239023+15.1665104666923i</v>
      </c>
      <c r="Y189" s="1">
        <f t="shared" si="89"/>
        <v>25.418600374237528</v>
      </c>
      <c r="Z189" s="1">
        <f t="shared" si="90"/>
        <v>54.365246306991821</v>
      </c>
    </row>
    <row r="190" spans="2:26">
      <c r="B190" s="1">
        <v>400</v>
      </c>
      <c r="C190" s="1">
        <f t="shared" si="68"/>
        <v>2513.2741228718346</v>
      </c>
      <c r="D190" s="83" t="str">
        <f t="shared" si="69"/>
        <v>0.127345244828012-0.597502327824093i</v>
      </c>
      <c r="E190" s="1">
        <f t="shared" si="70"/>
        <v>-4.2802829219625735</v>
      </c>
      <c r="F190" s="1">
        <f t="shared" si="71"/>
        <v>-77.968607433052455</v>
      </c>
      <c r="G190" s="1" t="str">
        <f t="shared" si="72"/>
        <v>277.85789632386+621.111499374385i</v>
      </c>
      <c r="H190" s="1">
        <f t="shared" si="77"/>
        <v>56.655664566405513</v>
      </c>
      <c r="I190" s="1">
        <f t="shared" si="78"/>
        <v>65.898363075093854</v>
      </c>
      <c r="J190" s="83" t="str">
        <f t="shared" si="73"/>
        <v>144.850485314288-5.27858666792445i</v>
      </c>
      <c r="K190" s="1">
        <f t="shared" si="79"/>
        <v>43.224162661588245</v>
      </c>
      <c r="L190" s="1">
        <f t="shared" si="80"/>
        <v>-2.0870276283428488</v>
      </c>
      <c r="M190" s="1">
        <f t="shared" si="74"/>
        <v>0.192</v>
      </c>
      <c r="N190" s="1">
        <f t="shared" si="75"/>
        <v>2.5000000000000001E-2</v>
      </c>
      <c r="O190" s="1" t="str">
        <f t="shared" si="76"/>
        <v>0.625260973716968-0.58579457146817i</v>
      </c>
      <c r="P190" s="1">
        <f t="shared" si="81"/>
        <v>-1.3424089195643694</v>
      </c>
      <c r="Q190" s="1">
        <f t="shared" si="82"/>
        <v>-43.133480904175642</v>
      </c>
      <c r="R190" s="1" t="str">
        <f t="shared" si="83"/>
        <v>2.98803109256402-5.63095797062892i</v>
      </c>
      <c r="S190" s="1">
        <f t="shared" si="84"/>
        <v>16.089111384377098</v>
      </c>
      <c r="T190" s="1">
        <f t="shared" si="85"/>
        <v>-62.047634847795109</v>
      </c>
      <c r="U190" s="1" t="str">
        <f>IMPRODUCT(COMPLEX(-1,0),IMDIV(COMPLEX(1,C190*Calculations!$B$195*Calculations!$B$197),IMPRODUCT(COMPLEX(0,C190*Calculations!$B$184),COMPLEX((Calculations!$B$197+Calculations!$B$199),C190*Calculations!$B$195*Calculations!$B$197*Calculations!$B$199))))</f>
        <v>-0.95862280321886+1.67295821494359i</v>
      </c>
      <c r="V190" s="1">
        <f t="shared" si="86"/>
        <v>5.7027981640392325</v>
      </c>
      <c r="W190" s="1">
        <f t="shared" si="87"/>
        <v>119.81316635593463</v>
      </c>
      <c r="X190" s="1" t="str">
        <f t="shared" si="88"/>
        <v>6.5559626529069+10.3968158774237i</v>
      </c>
      <c r="Y190" s="1">
        <f t="shared" si="89"/>
        <v>21.791909548416314</v>
      </c>
      <c r="Z190" s="1">
        <f t="shared" si="90"/>
        <v>57.765531508139482</v>
      </c>
    </row>
    <row r="191" spans="2:26">
      <c r="B191" s="1">
        <v>500</v>
      </c>
      <c r="C191" s="1">
        <f t="shared" si="68"/>
        <v>3141.5926535897929</v>
      </c>
      <c r="D191" s="83" t="str">
        <f t="shared" si="69"/>
        <v>0.0838534203179941-0.485231225019757i</v>
      </c>
      <c r="E191" s="1">
        <f t="shared" si="70"/>
        <v>-6.1532275514422849</v>
      </c>
      <c r="F191" s="1">
        <f t="shared" si="71"/>
        <v>-80.195478582835122</v>
      </c>
      <c r="G191" s="1" t="str">
        <f t="shared" si="72"/>
        <v>301.039931196906+809.374344112722i</v>
      </c>
      <c r="H191" s="1">
        <f t="shared" si="77"/>
        <v>58.725710555704723</v>
      </c>
      <c r="I191" s="1">
        <f t="shared" si="78"/>
        <v>69.597741900360191</v>
      </c>
      <c r="J191" s="83" t="str">
        <f t="shared" si="73"/>
        <v>151.061880891717-7.10584806463436i</v>
      </c>
      <c r="K191" s="1">
        <f t="shared" si="79"/>
        <v>43.592696764580211</v>
      </c>
      <c r="L191" s="1">
        <f t="shared" si="80"/>
        <v>-2.6931692538956553</v>
      </c>
      <c r="M191" s="1">
        <f t="shared" si="74"/>
        <v>0.192</v>
      </c>
      <c r="N191" s="1">
        <f t="shared" si="75"/>
        <v>2.5000000000000001E-2</v>
      </c>
      <c r="O191" s="1" t="str">
        <f t="shared" si="76"/>
        <v>0.625241249501275-0.47074264853329i</v>
      </c>
      <c r="P191" s="1">
        <f t="shared" si="81"/>
        <v>-2.12875995804486</v>
      </c>
      <c r="Q191" s="1">
        <f t="shared" si="82"/>
        <v>-36.976003631586352</v>
      </c>
      <c r="R191" s="1" t="str">
        <f t="shared" si="83"/>
        <v>2.34962809052208-4.98767793637926i</v>
      </c>
      <c r="S191" s="1">
        <f t="shared" si="84"/>
        <v>14.828404868340243</v>
      </c>
      <c r="T191" s="1">
        <f t="shared" si="85"/>
        <v>-64.775505027732009</v>
      </c>
      <c r="U191" s="1" t="str">
        <f>IMPRODUCT(COMPLEX(-1,0),IMDIV(COMPLEX(1,C191*Calculations!$B$195*Calculations!$B$197),IMPRODUCT(COMPLEX(0,C191*Calculations!$B$184),COMPLEX((Calculations!$B$197+Calculations!$B$199),C191*Calculations!$B$195*Calculations!$B$197*Calculations!$B$199))))</f>
        <v>-0.958541508559205+1.34366265734012i</v>
      </c>
      <c r="V191" s="1">
        <f t="shared" si="86"/>
        <v>4.3524395618124858</v>
      </c>
      <c r="W191" s="1">
        <f t="shared" si="87"/>
        <v>125.50328532040179</v>
      </c>
      <c r="X191" s="1" t="str">
        <f t="shared" si="88"/>
        <v>4.44954053550992+7.93800385721633i</v>
      </c>
      <c r="Y191" s="1">
        <f t="shared" si="89"/>
        <v>19.180844430152728</v>
      </c>
      <c r="Z191" s="1">
        <f t="shared" si="90"/>
        <v>60.72778029266982</v>
      </c>
    </row>
    <row r="192" spans="2:26">
      <c r="B192" s="1">
        <v>600</v>
      </c>
      <c r="C192" s="1">
        <f t="shared" si="68"/>
        <v>3769.9111843077517</v>
      </c>
      <c r="D192" s="83" t="str">
        <f t="shared" si="69"/>
        <v>0.0596722590489591-0.407708918320626i</v>
      </c>
      <c r="E192" s="1">
        <f t="shared" si="70"/>
        <v>-7.700946940802794</v>
      </c>
      <c r="F192" s="1">
        <f t="shared" si="71"/>
        <v>-81.673312381440184</v>
      </c>
      <c r="G192" s="1" t="str">
        <f t="shared" si="72"/>
        <v>333.691065138744+1024.37750331174i</v>
      </c>
      <c r="H192" s="1">
        <f t="shared" si="77"/>
        <v>60.647196088696056</v>
      </c>
      <c r="I192" s="1">
        <f t="shared" si="78"/>
        <v>71.956975687348205</v>
      </c>
      <c r="J192" s="83" t="str">
        <f t="shared" si="73"/>
        <v>159.405955322848-9.3814315836153i</v>
      </c>
      <c r="K192" s="1">
        <f t="shared" si="79"/>
        <v>44.065107129956012</v>
      </c>
      <c r="L192" s="1">
        <f t="shared" si="80"/>
        <v>-3.3681121779401684</v>
      </c>
      <c r="M192" s="1">
        <f t="shared" si="74"/>
        <v>0.192</v>
      </c>
      <c r="N192" s="1">
        <f t="shared" si="75"/>
        <v>2.5000000000000001E-2</v>
      </c>
      <c r="O192" s="1" t="str">
        <f t="shared" si="76"/>
        <v>0.62521714381644-0.394431399729446i</v>
      </c>
      <c r="P192" s="1">
        <f t="shared" si="81"/>
        <v>-2.6243160380562309</v>
      </c>
      <c r="Q192" s="1">
        <f t="shared" si="82"/>
        <v>-32.246641250727336</v>
      </c>
      <c r="R192" s="1" t="str">
        <f t="shared" si="83"/>
        <v>1.87824091821043-4.51314003630023i</v>
      </c>
      <c r="S192" s="1">
        <f t="shared" si="84"/>
        <v>13.783292430872693</v>
      </c>
      <c r="T192" s="1">
        <f t="shared" si="85"/>
        <v>-67.404306236065082</v>
      </c>
      <c r="U192" s="1" t="str">
        <f>IMPRODUCT(COMPLEX(-1,0),IMDIV(COMPLEX(1,C192*Calculations!$B$195*Calculations!$B$197),IMPRODUCT(COMPLEX(0,C192*Calculations!$B$184),COMPLEX((Calculations!$B$197+Calculations!$B$199),C192*Calculations!$B$195*Calculations!$B$197*Calculations!$B$199))))</f>
        <v>-0.958442167142346+1.12511202571988i</v>
      </c>
      <c r="V192" s="1">
        <f t="shared" si="86"/>
        <v>3.3934975444100384</v>
      </c>
      <c r="W192" s="1">
        <f t="shared" si="87"/>
        <v>130.42647430847225</v>
      </c>
      <c r="X192" s="1" t="str">
        <f t="shared" si="88"/>
        <v>3.27760283253421+6.43881516128618i</v>
      </c>
      <c r="Y192" s="1">
        <f t="shared" si="89"/>
        <v>17.17678997528273</v>
      </c>
      <c r="Z192" s="1">
        <f t="shared" si="90"/>
        <v>63.02216807240719</v>
      </c>
    </row>
    <row r="193" spans="2:26">
      <c r="B193" s="1">
        <v>700</v>
      </c>
      <c r="C193" s="1">
        <f t="shared" si="68"/>
        <v>4398.22971502571</v>
      </c>
      <c r="D193" s="83" t="str">
        <f t="shared" si="69"/>
        <v>0.0448972041777054-0.351219045098404i</v>
      </c>
      <c r="E193" s="1">
        <f t="shared" si="70"/>
        <v>-9.0180437679957652</v>
      </c>
      <c r="F193" s="1">
        <f t="shared" si="71"/>
        <v>-82.715246937356966</v>
      </c>
      <c r="G193" s="1" t="str">
        <f t="shared" si="72"/>
        <v>379.88031774262+1277.55605736519i</v>
      </c>
      <c r="H193" s="1">
        <f t="shared" si="77"/>
        <v>62.495550750363947</v>
      </c>
      <c r="I193" s="1">
        <f t="shared" si="78"/>
        <v>73.440194453500595</v>
      </c>
      <c r="J193" s="83" t="str">
        <f t="shared" si="73"/>
        <v>170.517563971807-12.3480684519306i</v>
      </c>
      <c r="K193" s="1">
        <f t="shared" si="79"/>
        <v>44.658097139643715</v>
      </c>
      <c r="L193" s="1">
        <f t="shared" si="80"/>
        <v>-4.1418571749424444</v>
      </c>
      <c r="M193" s="1">
        <f t="shared" si="74"/>
        <v>0.192</v>
      </c>
      <c r="N193" s="1">
        <f t="shared" si="75"/>
        <v>2.5000000000000001E-2</v>
      </c>
      <c r="O193" s="1" t="str">
        <f t="shared" si="76"/>
        <v>0.625188657676108-0.340257601656488i</v>
      </c>
      <c r="P193" s="1">
        <f t="shared" si="81"/>
        <v>-2.9530387394733451</v>
      </c>
      <c r="Q193" s="1">
        <f t="shared" si="82"/>
        <v>-28.557148842120757</v>
      </c>
      <c r="R193" s="1" t="str">
        <f t="shared" si="83"/>
        <v>1.50910495764138-4.13373482821477i</v>
      </c>
      <c r="S193" s="1">
        <f t="shared" si="84"/>
        <v>12.870211210595418</v>
      </c>
      <c r="T193" s="1">
        <f t="shared" si="85"/>
        <v>-69.944349582074608</v>
      </c>
      <c r="U193" s="1" t="str">
        <f>IMPRODUCT(COMPLEX(-1,0),IMDIV(COMPLEX(1,C193*Calculations!$B$195*Calculations!$B$197),IMPRODUCT(COMPLEX(0,C193*Calculations!$B$184),COMPLEX((Calculations!$B$197+Calculations!$B$199),C193*Calculations!$B$195*Calculations!$B$197*Calculations!$B$199))))</f>
        <v>-0.958324790193658+0.969843686592063i</v>
      </c>
      <c r="V193" s="1">
        <f t="shared" si="86"/>
        <v>2.6927546029367377</v>
      </c>
      <c r="W193" s="1">
        <f t="shared" si="87"/>
        <v>134.65771855258168</v>
      </c>
      <c r="X193" s="1" t="str">
        <f t="shared" si="88"/>
        <v>2.56286393327794+5.42505647753841i</v>
      </c>
      <c r="Y193" s="1">
        <f t="shared" si="89"/>
        <v>15.562965813532157</v>
      </c>
      <c r="Z193" s="1">
        <f t="shared" si="90"/>
        <v>64.713368970507048</v>
      </c>
    </row>
    <row r="194" spans="2:26">
      <c r="B194" s="1">
        <v>800</v>
      </c>
      <c r="C194" s="1">
        <f t="shared" si="68"/>
        <v>5026.5482457436692</v>
      </c>
      <c r="D194" s="83" t="str">
        <f t="shared" si="69"/>
        <v>0.0352279841254416-0.308321196636924i</v>
      </c>
      <c r="E194" s="1">
        <f t="shared" si="70"/>
        <v>-10.163603137166463</v>
      </c>
      <c r="F194" s="1">
        <f t="shared" si="71"/>
        <v>-83.481798556681397</v>
      </c>
      <c r="G194" s="1" t="str">
        <f t="shared" si="72"/>
        <v>446.605935578791+1586.00306146191i</v>
      </c>
      <c r="H194" s="1">
        <f t="shared" si="77"/>
        <v>64.337478503352969</v>
      </c>
      <c r="I194" s="1">
        <f t="shared" si="78"/>
        <v>74.273199614965094</v>
      </c>
      <c r="J194" s="83" t="str">
        <f t="shared" si="73"/>
        <v>185.391217450359-16.4147831432802i</v>
      </c>
      <c r="K194" s="1">
        <f t="shared" si="79"/>
        <v>45.395697165935751</v>
      </c>
      <c r="L194" s="1">
        <f t="shared" si="80"/>
        <v>-5.0598491486006285</v>
      </c>
      <c r="M194" s="1">
        <f t="shared" si="74"/>
        <v>0.192</v>
      </c>
      <c r="N194" s="1">
        <f t="shared" si="75"/>
        <v>2.5000000000000001E-2</v>
      </c>
      <c r="O194" s="1" t="str">
        <f t="shared" si="76"/>
        <v>0.625155792277998-0.299919630326437i</v>
      </c>
      <c r="P194" s="1">
        <f t="shared" si="81"/>
        <v>-3.1806124058716052</v>
      </c>
      <c r="Q194" s="1">
        <f t="shared" si="82"/>
        <v>-25.629447848474328</v>
      </c>
      <c r="R194" s="1" t="str">
        <f t="shared" si="83"/>
        <v>1.21238621260531-3.81461452171501i</v>
      </c>
      <c r="S194" s="1">
        <f t="shared" si="84"/>
        <v>12.046940736114138</v>
      </c>
      <c r="T194" s="1">
        <f t="shared" si="85"/>
        <v>-72.368355728543108</v>
      </c>
      <c r="U194" s="1" t="str">
        <f>IMPRODUCT(COMPLEX(-1,0),IMDIV(COMPLEX(1,C194*Calculations!$B$195*Calculations!$B$197),IMPRODUCT(COMPLEX(0,C194*Calculations!$B$184),COMPLEX((Calculations!$B$197+Calculations!$B$199),C194*Calculations!$B$195*Calculations!$B$197*Calculations!$B$199))))</f>
        <v>-0.958189390972003+0.854126240414617i</v>
      </c>
      <c r="V194" s="1">
        <f t="shared" si="86"/>
        <v>2.1686721462874865</v>
      </c>
      <c r="W194" s="1">
        <f t="shared" si="87"/>
        <v>138.28631469802269</v>
      </c>
      <c r="X194" s="1" t="str">
        <f t="shared" si="88"/>
        <v>2.09646675338431+4.69065404305815i</v>
      </c>
      <c r="Y194" s="1">
        <f t="shared" si="89"/>
        <v>14.215612882401619</v>
      </c>
      <c r="Z194" s="1">
        <f t="shared" si="90"/>
        <v>65.917958969479585</v>
      </c>
    </row>
    <row r="195" spans="2:26">
      <c r="B195" s="1">
        <v>900</v>
      </c>
      <c r="C195" s="1">
        <f t="shared" si="68"/>
        <v>5654.8667764616275</v>
      </c>
      <c r="D195" s="83" t="str">
        <f t="shared" si="69"/>
        <v>0.0285621915386838-0.274678847728748i</v>
      </c>
      <c r="E195" s="1">
        <f t="shared" si="70"/>
        <v>-11.176788928334449</v>
      </c>
      <c r="F195" s="1">
        <f t="shared" si="71"/>
        <v>-84.063493665454942</v>
      </c>
      <c r="G195" s="1" t="str">
        <f t="shared" si="72"/>
        <v>546.64110618456+1976.78714965975i</v>
      </c>
      <c r="H195" s="1">
        <f t="shared" si="77"/>
        <v>66.239212994151814</v>
      </c>
      <c r="I195" s="1">
        <f t="shared" si="78"/>
        <v>74.542277313416605</v>
      </c>
      <c r="J195" s="83" t="str">
        <f t="shared" si="73"/>
        <v>205.64553370339-22.3235666962853i</v>
      </c>
      <c r="K195" s="1">
        <f t="shared" si="79"/>
        <v>46.313263227696631</v>
      </c>
      <c r="L195" s="1">
        <f t="shared" si="80"/>
        <v>-6.1954048420035441</v>
      </c>
      <c r="M195" s="1">
        <f t="shared" si="74"/>
        <v>0.192</v>
      </c>
      <c r="N195" s="1">
        <f t="shared" si="75"/>
        <v>2.5000000000000001E-2</v>
      </c>
      <c r="O195" s="1" t="str">
        <f t="shared" si="76"/>
        <v>0.625118549003735-0.268805461497525i</v>
      </c>
      <c r="P195" s="1">
        <f t="shared" si="81"/>
        <v>-3.3439126713714042</v>
      </c>
      <c r="Q195" s="1">
        <f t="shared" si="82"/>
        <v>-23.268051771411407</v>
      </c>
      <c r="R195" s="1" t="str">
        <f t="shared" si="83"/>
        <v>0.970728960315816-3.53817849419027i</v>
      </c>
      <c r="S195" s="1">
        <f t="shared" si="84"/>
        <v>11.290780266582845</v>
      </c>
      <c r="T195" s="1">
        <f t="shared" si="85"/>
        <v>-74.657931193100524</v>
      </c>
      <c r="U195" s="1" t="str">
        <f>IMPRODUCT(COMPLEX(-1,0),IMDIV(COMPLEX(1,C195*Calculations!$B$195*Calculations!$B$197),IMPRODUCT(COMPLEX(0,C195*Calculations!$B$184),COMPLEX((Calculations!$B$197+Calculations!$B$199),C195*Calculations!$B$195*Calculations!$B$197*Calculations!$B$199))))</f>
        <v>-0.958035984765971+0.764775502869244i</v>
      </c>
      <c r="V195" s="1">
        <f t="shared" si="86"/>
        <v>1.7687648219769603</v>
      </c>
      <c r="W195" s="1">
        <f t="shared" si="87"/>
        <v>141.40053243398623</v>
      </c>
      <c r="X195" s="1" t="str">
        <f t="shared" si="88"/>
        <v>1.7759189616985+4.13209204673462i</v>
      </c>
      <c r="Y195" s="1">
        <f t="shared" si="89"/>
        <v>13.059545088559803</v>
      </c>
      <c r="Z195" s="1">
        <f t="shared" si="90"/>
        <v>66.742601240885691</v>
      </c>
    </row>
    <row r="196" spans="2:26">
      <c r="B196" s="1">
        <v>1000</v>
      </c>
      <c r="C196" s="1">
        <f t="shared" si="68"/>
        <v>6283.1853071795858</v>
      </c>
      <c r="D196" s="83" t="str">
        <f t="shared" si="69"/>
        <v>0.0237757903142722-0.247608769108619i</v>
      </c>
      <c r="E196" s="1">
        <f t="shared" si="70"/>
        <v>-12.084820454698068</v>
      </c>
      <c r="F196" s="1">
        <f t="shared" si="71"/>
        <v>-84.515183240776537</v>
      </c>
      <c r="G196" s="1" t="str">
        <f t="shared" si="72"/>
        <v>705.288924279114+2495.67147367157i</v>
      </c>
      <c r="H196" s="1">
        <f t="shared" si="77"/>
        <v>68.27744502340677</v>
      </c>
      <c r="I196" s="1">
        <f t="shared" si="78"/>
        <v>74.219449419725535</v>
      </c>
      <c r="J196" s="83" t="str">
        <f t="shared" si="73"/>
        <v>234.061777659631-31.5464016471303i</v>
      </c>
      <c r="K196" s="1">
        <f t="shared" si="79"/>
        <v>47.464792201392719</v>
      </c>
      <c r="L196" s="1">
        <f t="shared" si="80"/>
        <v>-7.6759610265033125</v>
      </c>
      <c r="M196" s="1">
        <f t="shared" si="74"/>
        <v>0.192</v>
      </c>
      <c r="N196" s="1">
        <f t="shared" si="75"/>
        <v>2.5000000000000001E-2</v>
      </c>
      <c r="O196" s="1" t="str">
        <f t="shared" si="76"/>
        <v>0.625076929418729-0.244147870808837i</v>
      </c>
      <c r="P196" s="1">
        <f t="shared" si="81"/>
        <v>-3.4646974668570243</v>
      </c>
      <c r="Q196" s="1">
        <f t="shared" si="82"/>
        <v>-21.335045674268212</v>
      </c>
      <c r="R196" s="1" t="str">
        <f t="shared" si="83"/>
        <v>0.772267461928796-3.29464528566579i</v>
      </c>
      <c r="S196" s="1">
        <f t="shared" si="84"/>
        <v>10.588466228879764</v>
      </c>
      <c r="T196" s="1">
        <f t="shared" si="85"/>
        <v>-76.807988511997536</v>
      </c>
      <c r="U196" s="1" t="str">
        <f>IMPRODUCT(COMPLEX(-1,0),IMDIV(COMPLEX(1,C196*Calculations!$B$195*Calculations!$B$197),IMPRODUCT(COMPLEX(0,C196*Calculations!$B$184),COMPLEX((Calculations!$B$197+Calculations!$B$199),C196*Calculations!$B$195*Calculations!$B$197*Calculations!$B$199))))</f>
        <v>-0.957864588889582+0.693880897390028i</v>
      </c>
      <c r="V196" s="1">
        <f t="shared" si="86"/>
        <v>1.4581003756631428</v>
      </c>
      <c r="W196" s="1">
        <f t="shared" si="87"/>
        <v>144.08027927100676</v>
      </c>
      <c r="X196" s="1" t="str">
        <f t="shared" si="88"/>
        <v>1.54636377246638+3.69168569159953i</v>
      </c>
      <c r="Y196" s="1">
        <f t="shared" si="89"/>
        <v>12.046566604542901</v>
      </c>
      <c r="Z196" s="1">
        <f t="shared" si="90"/>
        <v>67.272290759009152</v>
      </c>
    </row>
    <row r="197" spans="2:26">
      <c r="B197" s="1">
        <v>2000</v>
      </c>
      <c r="C197" s="1">
        <f t="shared" si="68"/>
        <v>12566.370614359172</v>
      </c>
      <c r="D197" s="83" t="str">
        <f t="shared" si="69"/>
        <v>0.00836800042675561-0.124444668697876i</v>
      </c>
      <c r="E197" s="1">
        <f t="shared" si="70"/>
        <v>-18.08088134642303</v>
      </c>
      <c r="F197" s="1">
        <f t="shared" si="71"/>
        <v>-86.153065936089021</v>
      </c>
      <c r="G197" s="1" t="str">
        <f t="shared" si="72"/>
        <v>356.500868217953-3965.96049731777i</v>
      </c>
      <c r="H197" s="1">
        <f t="shared" si="77"/>
        <v>72.001918714556879</v>
      </c>
      <c r="I197" s="1">
        <f t="shared" si="78"/>
        <v>-84.863477666438669</v>
      </c>
      <c r="J197" s="83" t="str">
        <f t="shared" si="73"/>
        <v>-182.101880405739-23.1379764791747i</v>
      </c>
      <c r="K197" s="1">
        <f t="shared" si="79"/>
        <v>45.275842885714432</v>
      </c>
      <c r="L197" s="1">
        <f t="shared" si="80"/>
        <v>-172.75876525564129</v>
      </c>
      <c r="M197" s="1">
        <f t="shared" si="74"/>
        <v>0.192</v>
      </c>
      <c r="N197" s="1">
        <f t="shared" si="75"/>
        <v>2.5000000000000001E-2</v>
      </c>
      <c r="O197" s="1" t="str">
        <f t="shared" si="76"/>
        <v>0.624420511883016-0.139603987008698i</v>
      </c>
      <c r="P197" s="1">
        <f t="shared" si="81"/>
        <v>-3.8786250588826094</v>
      </c>
      <c r="Q197" s="1">
        <f t="shared" si="82"/>
        <v>-12.602575075049378</v>
      </c>
      <c r="R197" s="1" t="str">
        <f t="shared" si="83"/>
        <v>-0.0836186183320398-1.85567315334909i</v>
      </c>
      <c r="S197" s="1">
        <f t="shared" si="84"/>
        <v>5.3788391031077651</v>
      </c>
      <c r="T197" s="1">
        <f t="shared" si="85"/>
        <v>-92.58006381721826</v>
      </c>
      <c r="U197" s="1" t="str">
        <f>IMPRODUCT(COMPLEX(-1,0),IMDIV(COMPLEX(1,C197*Calculations!$B$195*Calculations!$B$197),IMPRODUCT(COMPLEX(0,C197*Calculations!$B$184),COMPLEX((Calculations!$B$197+Calculations!$B$199),C197*Calculations!$B$195*Calculations!$B$197*Calculations!$B$199))))</f>
        <v>-0.955166444060245+0.390884311238777i</v>
      </c>
      <c r="V197" s="1">
        <f t="shared" si="86"/>
        <v>0.27404036196468179</v>
      </c>
      <c r="W197" s="1">
        <f t="shared" si="87"/>
        <v>157.74407035526522</v>
      </c>
      <c r="X197" s="1" t="str">
        <f t="shared" si="88"/>
        <v>0.805223220760594+1.73979152118905i</v>
      </c>
      <c r="Y197" s="1">
        <f t="shared" si="89"/>
        <v>5.6528794650724299</v>
      </c>
      <c r="Z197" s="1">
        <f t="shared" si="90"/>
        <v>65.164006538046905</v>
      </c>
    </row>
    <row r="198" spans="2:26">
      <c r="B198" s="1">
        <v>3000</v>
      </c>
      <c r="C198" s="1">
        <f t="shared" si="68"/>
        <v>18849.555921538758</v>
      </c>
      <c r="D198" s="83" t="str">
        <f t="shared" si="69"/>
        <v>0.00549720005413601-0.0830426448736991i</v>
      </c>
      <c r="E198" s="1">
        <f t="shared" si="70"/>
        <v>-21.594986969402473</v>
      </c>
      <c r="F198" s="1">
        <f t="shared" si="71"/>
        <v>-86.21269892286675</v>
      </c>
      <c r="G198" s="1" t="str">
        <f t="shared" si="72"/>
        <v>15.8542989132541-1520.64486156573i</v>
      </c>
      <c r="H198" s="1">
        <f t="shared" si="77"/>
        <v>63.641028037226341</v>
      </c>
      <c r="I198" s="1">
        <f t="shared" si="78"/>
        <v>-89.40265375203613</v>
      </c>
      <c r="J198" s="83" t="str">
        <f t="shared" si="73"/>
        <v>-46.9946435376208+0.150940136396102i</v>
      </c>
      <c r="K198" s="1">
        <f t="shared" si="79"/>
        <v>33.441011996779089</v>
      </c>
      <c r="L198" s="1">
        <f t="shared" si="80"/>
        <v>179.8159747072153</v>
      </c>
      <c r="M198" s="1">
        <f t="shared" si="74"/>
        <v>0.192</v>
      </c>
      <c r="N198" s="1">
        <f t="shared" si="75"/>
        <v>2.5000000000000001E-2</v>
      </c>
      <c r="O198" s="1" t="str">
        <f t="shared" si="76"/>
        <v>0.623329540990803-0.112492709940511i</v>
      </c>
      <c r="P198" s="1">
        <f t="shared" si="81"/>
        <v>-3.9664521723650852</v>
      </c>
      <c r="Q198" s="1">
        <f t="shared" si="82"/>
        <v>-10.230093552447546</v>
      </c>
      <c r="R198" s="1" t="str">
        <f t="shared" si="83"/>
        <v>-0.287160709953522-1.21888102801793i</v>
      </c>
      <c r="S198" s="1">
        <f t="shared" si="84"/>
        <v>1.9538268206626141</v>
      </c>
      <c r="T198" s="1">
        <f t="shared" si="85"/>
        <v>-103.25678401711122</v>
      </c>
      <c r="U198" s="1" t="str">
        <f>IMPRODUCT(COMPLEX(-1,0),IMDIV(COMPLEX(1,C198*Calculations!$B$195*Calculations!$B$197),IMPRODUCT(COMPLEX(0,C198*Calculations!$B$184),COMPLEX((Calculations!$B$197+Calculations!$B$199),C198*Calculations!$B$195*Calculations!$B$197*Calculations!$B$199))))</f>
        <v>-0.950703156944139+0.309051005506143i</v>
      </c>
      <c r="V198" s="1">
        <f t="shared" si="86"/>
        <v>-2.8281054878245473E-3</v>
      </c>
      <c r="W198" s="1">
        <f t="shared" si="87"/>
        <v>161.99188768276102</v>
      </c>
      <c r="X198" s="1" t="str">
        <f t="shared" si="88"/>
        <v>0.649701000804436+1.07004673512297i</v>
      </c>
      <c r="Y198" s="1">
        <f t="shared" si="89"/>
        <v>1.9509987151747932</v>
      </c>
      <c r="Z198" s="1">
        <f t="shared" si="90"/>
        <v>58.735103665649817</v>
      </c>
    </row>
    <row r="199" spans="2:26">
      <c r="B199" s="1">
        <v>4000</v>
      </c>
      <c r="C199" s="1">
        <f t="shared" si="68"/>
        <v>25132.741228718343</v>
      </c>
      <c r="D199" s="83" t="str">
        <f t="shared" si="69"/>
        <v>0.00449111912636145-0.0623028879403762i</v>
      </c>
      <c r="E199" s="1">
        <f t="shared" si="70"/>
        <v>-24.087327698556933</v>
      </c>
      <c r="F199" s="1">
        <f t="shared" si="71"/>
        <v>-85.87695116674287</v>
      </c>
      <c r="G199" s="1" t="str">
        <f t="shared" si="72"/>
        <v>1.33292612499017-990.90914200083i</v>
      </c>
      <c r="H199" s="1">
        <f t="shared" si="77"/>
        <v>59.920684561792967</v>
      </c>
      <c r="I199" s="1">
        <f t="shared" si="78"/>
        <v>-89.92292835733906</v>
      </c>
      <c r="J199" s="83" t="str">
        <f t="shared" si="73"/>
        <v>-23.0700740468377+1.1236851466933i</v>
      </c>
      <c r="K199" s="1">
        <f t="shared" si="79"/>
        <v>27.271270849239606</v>
      </c>
      <c r="L199" s="1">
        <f t="shared" si="80"/>
        <v>177.21147081646231</v>
      </c>
      <c r="M199" s="1">
        <f t="shared" si="74"/>
        <v>0.192</v>
      </c>
      <c r="N199" s="1">
        <f t="shared" si="75"/>
        <v>2.5000000000000001E-2</v>
      </c>
      <c r="O199" s="1" t="str">
        <f t="shared" si="76"/>
        <v>0.621808570661526-0.104678776884648i</v>
      </c>
      <c r="P199" s="1">
        <f t="shared" si="81"/>
        <v>-4.0054975225717744</v>
      </c>
      <c r="Q199" s="1">
        <f t="shared" si="82"/>
        <v>-9.5558961387812946</v>
      </c>
      <c r="R199" s="1" t="str">
        <f t="shared" si="83"/>
        <v>-0.349828481803674-0.863575565342046i</v>
      </c>
      <c r="S199" s="1">
        <f t="shared" si="84"/>
        <v>-0.61408870404201354</v>
      </c>
      <c r="T199" s="1">
        <f t="shared" si="85"/>
        <v>-112.05252869514379</v>
      </c>
      <c r="U199" s="1" t="str">
        <f>IMPRODUCT(COMPLEX(-1,0),IMDIV(COMPLEX(1,C199*Calculations!$B$195*Calculations!$B$197),IMPRODUCT(COMPLEX(0,C199*Calculations!$B$184),COMPLEX((Calculations!$B$197+Calculations!$B$199),C199*Calculations!$B$195*Calculations!$B$197*Calculations!$B$199))))</f>
        <v>-0.944524175621906+0.282105846968304i</v>
      </c>
      <c r="V199" s="1">
        <f t="shared" si="86"/>
        <v>-0.12463494469645273</v>
      </c>
      <c r="W199" s="1">
        <f t="shared" si="87"/>
        <v>163.37042473327165</v>
      </c>
      <c r="X199" s="1" t="str">
        <f t="shared" si="88"/>
        <v>0.574041174666628+0.716979338789056i</v>
      </c>
      <c r="Y199" s="1">
        <f t="shared" si="89"/>
        <v>-0.73872364873846907</v>
      </c>
      <c r="Z199" s="1">
        <f t="shared" si="90"/>
        <v>51.317896038127884</v>
      </c>
    </row>
    <row r="200" spans="2:26">
      <c r="B200" s="1">
        <v>5000</v>
      </c>
      <c r="C200" s="1">
        <f t="shared" si="68"/>
        <v>31415.926535897932</v>
      </c>
      <c r="D200" s="83" t="str">
        <f t="shared" si="69"/>
        <v>0.0040252187058199-0.0498500547115876i</v>
      </c>
      <c r="E200" s="1">
        <f t="shared" si="70"/>
        <v>-26.018463118885347</v>
      </c>
      <c r="F200" s="1">
        <f t="shared" si="71"/>
        <v>-85.383580523499589</v>
      </c>
      <c r="G200" s="1" t="str">
        <f t="shared" si="72"/>
        <v>-0.665764875986267-747.246442233514i</v>
      </c>
      <c r="H200" s="1">
        <f t="shared" si="77"/>
        <v>57.46928056678928</v>
      </c>
      <c r="I200" s="1">
        <f t="shared" si="78"/>
        <v>-90.051048095103241</v>
      </c>
      <c r="J200" s="83" t="str">
        <f t="shared" si="73"/>
        <v>-13.9814431516834+1.14102105390949i</v>
      </c>
      <c r="K200" s="1">
        <f t="shared" si="79"/>
        <v>22.939868746078538</v>
      </c>
      <c r="L200" s="1">
        <f t="shared" si="80"/>
        <v>175.33444937103047</v>
      </c>
      <c r="M200" s="1">
        <f t="shared" si="74"/>
        <v>0.192</v>
      </c>
      <c r="N200" s="1">
        <f t="shared" si="75"/>
        <v>2.5000000000000001E-2</v>
      </c>
      <c r="O200" s="1" t="str">
        <f t="shared" si="76"/>
        <v>0.619863909891474-0.104516387115477i</v>
      </c>
      <c r="P200" s="1">
        <f t="shared" si="81"/>
        <v>-4.0323258223484313</v>
      </c>
      <c r="Q200" s="1">
        <f t="shared" si="82"/>
        <v>-9.5707252843212647</v>
      </c>
      <c r="R200" s="1" t="str">
        <f t="shared" si="83"/>
        <v>-0.365519231984503-0.635775548824434i</v>
      </c>
      <c r="S200" s="1">
        <f t="shared" si="84"/>
        <v>-2.6936720432119854</v>
      </c>
      <c r="T200" s="1">
        <f t="shared" si="85"/>
        <v>-119.89539963745773</v>
      </c>
      <c r="U200" s="1" t="str">
        <f>IMPRODUCT(COMPLEX(-1,0),IMDIV(COMPLEX(1,C200*Calculations!$B$195*Calculations!$B$197),IMPRODUCT(COMPLEX(0,C200*Calculations!$B$184),COMPLEX((Calculations!$B$197+Calculations!$B$199),C200*Calculations!$B$195*Calculations!$B$197*Calculations!$B$199))))</f>
        <v>-0.936696812922108+0.27667742589871i</v>
      </c>
      <c r="V200" s="1">
        <f t="shared" si="86"/>
        <v>-0.20473787926841849</v>
      </c>
      <c r="W200" s="1">
        <f t="shared" si="87"/>
        <v>163.54414296409598</v>
      </c>
      <c r="X200" s="1" t="str">
        <f t="shared" si="88"/>
        <v>0.518285441959705+0.494398010095706i</v>
      </c>
      <c r="Y200" s="1">
        <f t="shared" si="89"/>
        <v>-2.898409922480397</v>
      </c>
      <c r="Z200" s="1">
        <f t="shared" si="90"/>
        <v>43.64874332663824</v>
      </c>
    </row>
    <row r="201" spans="2:26">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0.00377207630692995-0.0415452187773606i</v>
      </c>
      <c r="E201" s="1">
        <f t="shared" ref="E201:E228" si="93">20*LOG(IMABS(D201))</f>
        <v>-27.593924096892142</v>
      </c>
      <c r="F201" s="1">
        <f t="shared" ref="F201:F223" si="94">IMARGUMENT(D201)*(180/PI())</f>
        <v>-84.812084367811778</v>
      </c>
      <c r="G201" s="1" t="str">
        <f t="shared" ref="G201:G228" si="95">IMDIV(IMSUM(COMPLEX(V48_Nom,0),IMPRODUCT(COMPLEX(np*(I_Channel_Design*(V12_Min/V48_Nom)),0),D201)),IMSUM(IMPRODUCT(COMPLEX(((V12_Min/V48_Nom)^2),0),D201),COMPLEX(Rcs/np,(Lm*C201)/np)))</f>
        <v>-0.940347306527165-603.86630443061i</v>
      </c>
      <c r="H201" s="1">
        <f t="shared" si="77"/>
        <v>55.61882646671905</v>
      </c>
      <c r="I201" s="1">
        <f t="shared" si="78"/>
        <v>-90.089221551187094</v>
      </c>
      <c r="J201" s="83" t="str">
        <f t="shared" ref="J201:J228" si="96">IMPRODUCT(COMPLEX(-1,0),IMDIV(IMSUM(IMSUB(IMPRODUCT(COMPLEX((1-(V12_Min/V48_Nom))*V48_Nom,0),D201),IMPRODUCT(COMPLEX(V48_Nom,0),D201)),IMPRODUCT(COMPLEX(0,I_Channel_Design*Lm*C201),D201)),IMSUM(IMPRODUCT(COMPLEX(((V12_Min/V48_Nom)^2),0),D201),COMPLEX(Rcs/np,(Lm*C201)/np))))</f>
        <v>-9.46478707646337+1.04003081923164i</v>
      </c>
      <c r="K201" s="1">
        <f t="shared" si="79"/>
        <v>19.574341979893916</v>
      </c>
      <c r="L201" s="1">
        <f t="shared" si="80"/>
        <v>173.72925554816624</v>
      </c>
      <c r="M201" s="1">
        <f t="shared" ref="M201:M228" si="97">(Ramp_R*Ramp_C*Fsw)/V48_Nom</f>
        <v>0.192</v>
      </c>
      <c r="N201" s="1">
        <f t="shared" ref="N201:N228" si="98">Rcs*Acs/np</f>
        <v>2.5000000000000001E-2</v>
      </c>
      <c r="O201" s="1" t="str">
        <f t="shared" ref="O201:O228" si="99">IMPRODUCT(COMPLEX(gm/(IL_Comp_Ccomp+IL_Comp_Chf),0),IMDIV(COMPLEX(1,C201*IL_Comp_Rcomp*IL_Comp_Ccomp),IMPRODUCT(COMPLEX(0,C201),COMPLEX(1,C201*IL_Comp_Rcomp*IL_Comp_Chf))))</f>
        <v>0.617503557809955-0.108108561695686i</v>
      </c>
      <c r="P201" s="1">
        <f t="shared" si="81"/>
        <v>-4.0560954372483087</v>
      </c>
      <c r="Q201" s="1">
        <f t="shared" si="82"/>
        <v>-9.9303362910197954</v>
      </c>
      <c r="R201" s="1" t="str">
        <f t="shared" si="83"/>
        <v>-0.361027974258006-0.477077262561958i</v>
      </c>
      <c r="S201" s="1">
        <f t="shared" si="84"/>
        <v>-4.4618501898381577</v>
      </c>
      <c r="T201" s="1">
        <f t="shared" si="85"/>
        <v>-127.11659587352624</v>
      </c>
      <c r="U201" s="1" t="str">
        <f>IMPRODUCT(COMPLEX(-1,0),IMDIV(COMPLEX(1,C201*Calculations!$B$195*Calculations!$B$197),IMPRODUCT(COMPLEX(0,C201*Calculations!$B$184),COMPLEX((Calculations!$B$197+Calculations!$B$199),C201*Calculations!$B$195*Calculations!$B$197*Calculations!$B$199))))</f>
        <v>-0.927304449268549+0.281554709712761i</v>
      </c>
      <c r="V201" s="1">
        <f t="shared" si="86"/>
        <v>-0.27257362589551315</v>
      </c>
      <c r="W201" s="1">
        <f t="shared" si="87"/>
        <v>163.1102912192413</v>
      </c>
      <c r="X201" s="1" t="str">
        <f t="shared" si="88"/>
        <v>0.469106197011051+0.340746741728164i</v>
      </c>
      <c r="Y201" s="1">
        <f t="shared" si="89"/>
        <v>-4.7344238157336713</v>
      </c>
      <c r="Z201" s="1">
        <f t="shared" si="90"/>
        <v>35.993695345715011</v>
      </c>
    </row>
    <row r="202" spans="2:26">
      <c r="B202" s="1">
        <v>7000</v>
      </c>
      <c r="C202" s="1">
        <f t="shared" si="91"/>
        <v>43982.297150257102</v>
      </c>
      <c r="D202" s="83" t="str">
        <f t="shared" si="92"/>
        <v>0.00361941877076587-0.0356120000426019i</v>
      </c>
      <c r="E202" s="1">
        <f t="shared" si="93"/>
        <v>-28.923441780306188</v>
      </c>
      <c r="F202" s="1">
        <f t="shared" si="94"/>
        <v>-84.196681780980754</v>
      </c>
      <c r="G202" s="1" t="str">
        <f t="shared" si="95"/>
        <v>-0.882445392424041-508.322076761702i</v>
      </c>
      <c r="H202" s="1">
        <f t="shared" si="77"/>
        <v>54.122792524382966</v>
      </c>
      <c r="I202" s="1">
        <f t="shared" si="78"/>
        <v>-90.099465177998624</v>
      </c>
      <c r="J202" s="83" t="str">
        <f t="shared" si="96"/>
        <v>-6.87005788180542+0.932521156124189i</v>
      </c>
      <c r="K202" s="1">
        <f t="shared" si="79"/>
        <v>16.818496466905696</v>
      </c>
      <c r="L202" s="1">
        <f t="shared" si="80"/>
        <v>172.27008421590921</v>
      </c>
      <c r="M202" s="1">
        <f t="shared" si="97"/>
        <v>0.192</v>
      </c>
      <c r="N202" s="1">
        <f t="shared" si="98"/>
        <v>2.5000000000000001E-2</v>
      </c>
      <c r="O202" s="1" t="str">
        <f t="shared" si="99"/>
        <v>0.614737122336144-0.113772891433085i</v>
      </c>
      <c r="P202" s="1">
        <f t="shared" si="81"/>
        <v>-4.0799432789701697</v>
      </c>
      <c r="Q202" s="1">
        <f t="shared" si="82"/>
        <v>-10.485410783126744</v>
      </c>
      <c r="R202" s="1" t="str">
        <f t="shared" si="83"/>
        <v>-0.34667680932684-0.360775590382847i</v>
      </c>
      <c r="S202" s="1">
        <f t="shared" si="84"/>
        <v>-6.0146309610556026</v>
      </c>
      <c r="T202" s="1">
        <f t="shared" si="85"/>
        <v>-133.85830660299195</v>
      </c>
      <c r="U202" s="1" t="str">
        <f>IMPRODUCT(COMPLEX(-1,0),IMDIV(COMPLEX(1,C202*Calculations!$B$195*Calculations!$B$197),IMPRODUCT(COMPLEX(0,C202*Calculations!$B$184),COMPLEX((Calculations!$B$197+Calculations!$B$199),C202*Calculations!$B$195*Calculations!$B$197*Calculations!$B$199))))</f>
        <v>-0.916444378991317+0.291868224002444i</v>
      </c>
      <c r="V202" s="1">
        <f t="shared" si="86"/>
        <v>-0.33831337158420172</v>
      </c>
      <c r="W202" s="1">
        <f t="shared" si="87"/>
        <v>162.33441891305714</v>
      </c>
      <c r="X202" s="1" t="str">
        <f t="shared" si="88"/>
        <v>0.423008944062702+0.229446817242575i</v>
      </c>
      <c r="Y202" s="1">
        <f t="shared" si="89"/>
        <v>-6.3529443326398045</v>
      </c>
      <c r="Z202" s="1">
        <f t="shared" si="90"/>
        <v>28.476112310065162</v>
      </c>
    </row>
    <row r="203" spans="2:26">
      <c r="B203" s="1">
        <v>8000</v>
      </c>
      <c r="C203" s="1">
        <f t="shared" si="91"/>
        <v>50265.482457436687</v>
      </c>
      <c r="D203" s="83" t="str">
        <f t="shared" si="92"/>
        <v>0.00352032984182169-0.0311615294689873i</v>
      </c>
      <c r="E203" s="1">
        <f t="shared" si="93"/>
        <v>-30.072549395592599</v>
      </c>
      <c r="F203" s="1">
        <f t="shared" si="94"/>
        <v>-83.554600676817884</v>
      </c>
      <c r="G203" s="1" t="str">
        <f t="shared" si="95"/>
        <v>-0.765142042534567-439.665388421911i</v>
      </c>
      <c r="H203" s="1">
        <f t="shared" si="77"/>
        <v>52.862458716925566</v>
      </c>
      <c r="I203" s="1">
        <f t="shared" si="78"/>
        <v>-90.099710749726228</v>
      </c>
      <c r="J203" s="83" t="str">
        <f t="shared" si="96"/>
        <v>-5.23480198385759+0.83766815421244i</v>
      </c>
      <c r="K203" s="1">
        <f t="shared" si="79"/>
        <v>14.48781113297801</v>
      </c>
      <c r="L203" s="1">
        <f t="shared" si="80"/>
        <v>170.90865762763795</v>
      </c>
      <c r="M203" s="1">
        <f t="shared" si="97"/>
        <v>0.192</v>
      </c>
      <c r="N203" s="1">
        <f t="shared" si="98"/>
        <v>2.5000000000000001E-2</v>
      </c>
      <c r="O203" s="1" t="str">
        <f t="shared" si="99"/>
        <v>0.611575723962327-0.120658073172782i</v>
      </c>
      <c r="P203" s="1">
        <f t="shared" si="81"/>
        <v>-4.1051593852489434</v>
      </c>
      <c r="Q203" s="1">
        <f t="shared" si="82"/>
        <v>-11.160582310258695</v>
      </c>
      <c r="R203" s="1" t="str">
        <f t="shared" si="83"/>
        <v>-0.327365656625511-0.272826406972327i</v>
      </c>
      <c r="S203" s="1">
        <f t="shared" si="84"/>
        <v>-7.4087812576572665</v>
      </c>
      <c r="T203" s="1">
        <f t="shared" si="85"/>
        <v>-140.1921882784824</v>
      </c>
      <c r="U203" s="1" t="str">
        <f>IMPRODUCT(COMPLEX(-1,0),IMDIV(COMPLEX(1,C203*Calculations!$B$195*Calculations!$B$197),IMPRODUCT(COMPLEX(0,C203*Calculations!$B$184),COMPLEX((Calculations!$B$197+Calculations!$B$199),C203*Calculations!$B$195*Calculations!$B$197*Calculations!$B$199))))</f>
        <v>-0.904225400469584+0.305136390828414i</v>
      </c>
      <c r="V203" s="1">
        <f t="shared" si="86"/>
        <v>-0.40609502790228186</v>
      </c>
      <c r="W203" s="1">
        <f t="shared" si="87"/>
        <v>161.35271857440563</v>
      </c>
      <c r="X203" s="1" t="str">
        <f t="shared" si="88"/>
        <v>0.379261607108411+0.146805392159348i</v>
      </c>
      <c r="Y203" s="1">
        <f t="shared" si="89"/>
        <v>-7.8148762855595439</v>
      </c>
      <c r="Z203" s="1">
        <f t="shared" si="90"/>
        <v>21.16053029592323</v>
      </c>
    </row>
    <row r="204" spans="2:26">
      <c r="B204" s="1">
        <v>9000</v>
      </c>
      <c r="C204" s="1">
        <f t="shared" si="91"/>
        <v>56548.667764616279</v>
      </c>
      <c r="D204" s="83" t="str">
        <f t="shared" si="92"/>
        <v>0.003452391015233-0.0276997646962505i</v>
      </c>
      <c r="E204" s="1">
        <f t="shared" si="93"/>
        <v>-31.083533034365807</v>
      </c>
      <c r="F204" s="1">
        <f t="shared" si="94"/>
        <v>-82.895512976795217</v>
      </c>
      <c r="G204" s="1" t="str">
        <f t="shared" si="95"/>
        <v>-0.651121504293221-387.755024146784i</v>
      </c>
      <c r="H204" s="1">
        <f t="shared" si="77"/>
        <v>51.771160919586634</v>
      </c>
      <c r="I204" s="1">
        <f t="shared" si="78"/>
        <v>-90.096211465379341</v>
      </c>
      <c r="J204" s="83" t="str">
        <f t="shared" si="96"/>
        <v>-4.13507971883756+0.757212329399312i</v>
      </c>
      <c r="K204" s="1">
        <f t="shared" si="79"/>
        <v>12.472919644279131</v>
      </c>
      <c r="L204" s="1">
        <f t="shared" si="80"/>
        <v>169.62301476223217</v>
      </c>
      <c r="M204" s="1">
        <f t="shared" si="97"/>
        <v>0.192</v>
      </c>
      <c r="N204" s="1">
        <f t="shared" si="98"/>
        <v>2.5000000000000001E-2</v>
      </c>
      <c r="O204" s="1" t="str">
        <f t="shared" si="99"/>
        <v>0.608031886431177-0.12828283300591i</v>
      </c>
      <c r="P204" s="1">
        <f t="shared" si="81"/>
        <v>-4.1323354624931135</v>
      </c>
      <c r="Q204" s="1">
        <f t="shared" si="82"/>
        <v>-11.913570712460421</v>
      </c>
      <c r="R204" s="1" t="str">
        <f t="shared" si="83"/>
        <v>-0.305765967214868-0.204995919640311i</v>
      </c>
      <c r="S204" s="1">
        <f t="shared" si="84"/>
        <v>-8.6800893299886717</v>
      </c>
      <c r="T204" s="1">
        <f t="shared" si="85"/>
        <v>-146.16075350838045</v>
      </c>
      <c r="U204" s="1" t="str">
        <f>IMPRODUCT(COMPLEX(-1,0),IMDIV(COMPLEX(1,C204*Calculations!$B$195*Calculations!$B$197),IMPRODUCT(COMPLEX(0,C204*Calculations!$B$184),COMPLEX((Calculations!$B$197+Calculations!$B$199),C204*Calculations!$B$195*Calculations!$B$197*Calculations!$B$199))))</f>
        <v>-0.890765256004797+0.319948185349615i</v>
      </c>
      <c r="V204" s="1">
        <f t="shared" si="86"/>
        <v>-0.47774600125531941</v>
      </c>
      <c r="W204" s="1">
        <f t="shared" si="87"/>
        <v>160.24254890937166</v>
      </c>
      <c r="X204" s="1" t="str">
        <f t="shared" si="88"/>
        <v>0.337953772556699+0.0847739764862735i</v>
      </c>
      <c r="Y204" s="1">
        <f t="shared" si="89"/>
        <v>-9.1578353312439962</v>
      </c>
      <c r="Z204" s="1">
        <f t="shared" si="90"/>
        <v>14.081795400991238</v>
      </c>
    </row>
    <row r="205" spans="2:26">
      <c r="B205" s="1">
        <v>10000</v>
      </c>
      <c r="C205" s="1">
        <f t="shared" si="91"/>
        <v>62831.853071795864</v>
      </c>
      <c r="D205" s="83" t="str">
        <f t="shared" si="92"/>
        <v>0.0034037928841359-0.024930192134168i</v>
      </c>
      <c r="E205" s="1">
        <f t="shared" si="93"/>
        <v>-31.985274903946312</v>
      </c>
      <c r="F205" s="1">
        <f t="shared" si="94"/>
        <v>-82.225309868061061</v>
      </c>
      <c r="G205" s="1" t="str">
        <f t="shared" si="95"/>
        <v>-0.553636891136597-347.036499045383i</v>
      </c>
      <c r="H205" s="1">
        <f t="shared" si="77"/>
        <v>50.807514122412456</v>
      </c>
      <c r="I205" s="1">
        <f t="shared" si="78"/>
        <v>-90.091405458565305</v>
      </c>
      <c r="J205" s="83" t="str">
        <f t="shared" si="96"/>
        <v>-3.35887705306276+0.689349583215523i</v>
      </c>
      <c r="K205" s="1">
        <f t="shared" si="79"/>
        <v>10.70306044921794</v>
      </c>
      <c r="L205" s="1">
        <f t="shared" si="80"/>
        <v>168.40210918945891</v>
      </c>
      <c r="M205" s="1">
        <f t="shared" si="97"/>
        <v>0.192</v>
      </c>
      <c r="N205" s="1">
        <f t="shared" si="98"/>
        <v>2.5000000000000001E-2</v>
      </c>
      <c r="O205" s="1" t="str">
        <f t="shared" si="99"/>
        <v>0.604119416266114-0.136351555090552i</v>
      </c>
      <c r="P205" s="1">
        <f t="shared" si="81"/>
        <v>-4.1617573055919719</v>
      </c>
      <c r="Q205" s="1">
        <f t="shared" si="82"/>
        <v>-12.718714924305093</v>
      </c>
      <c r="R205" s="1" t="str">
        <f t="shared" si="83"/>
        <v>-0.283454525658042-0.152027486695732i</v>
      </c>
      <c r="S205" s="1">
        <f t="shared" si="84"/>
        <v>-9.8523245898345628</v>
      </c>
      <c r="T205" s="1">
        <f t="shared" si="85"/>
        <v>-151.79364145799315</v>
      </c>
      <c r="U205" s="1" t="str">
        <f>IMPRODUCT(COMPLEX(-1,0),IMDIV(COMPLEX(1,C205*Calculations!$B$195*Calculations!$B$197),IMPRODUCT(COMPLEX(0,C205*Calculations!$B$184),COMPLEX((Calculations!$B$197+Calculations!$B$199),C205*Calculations!$B$195*Calculations!$B$197*Calculations!$B$199))))</f>
        <v>-0.876188025814607+0.335436347919482i</v>
      </c>
      <c r="V205" s="1">
        <f t="shared" si="86"/>
        <v>-0.55407287579335862</v>
      </c>
      <c r="W205" s="1">
        <f t="shared" si="87"/>
        <v>159.05135342124012</v>
      </c>
      <c r="X205" s="1" t="str">
        <f t="shared" si="88"/>
        <v>0.29935500616513+0.0381237125495071i</v>
      </c>
      <c r="Y205" s="1">
        <f t="shared" si="89"/>
        <v>-10.406397465627911</v>
      </c>
      <c r="Z205" s="1">
        <f t="shared" si="90"/>
        <v>7.2577119632469707</v>
      </c>
    </row>
    <row r="206" spans="2:26">
      <c r="B206" s="1">
        <v>20000</v>
      </c>
      <c r="C206" s="1">
        <f t="shared" si="91"/>
        <v>125663.70614359173</v>
      </c>
      <c r="D206" s="83" t="str">
        <f t="shared" si="92"/>
        <v>0.00324839618687195-0.0124657418316093i</v>
      </c>
      <c r="E206" s="1">
        <f t="shared" si="93"/>
        <v>-37.800311251302134</v>
      </c>
      <c r="F206" s="1">
        <f t="shared" si="94"/>
        <v>-75.394345888916277</v>
      </c>
      <c r="G206" s="1" t="str">
        <f t="shared" si="95"/>
        <v>-0.158372753586293-170.482624310038i</v>
      </c>
      <c r="H206" s="1">
        <f t="shared" si="77"/>
        <v>44.633606188541243</v>
      </c>
      <c r="I206" s="1">
        <f t="shared" si="78"/>
        <v>-90.053225880331397</v>
      </c>
      <c r="J206" s="83" t="str">
        <f t="shared" si="96"/>
        <v>-0.933643848270875+0.356532650493468i</v>
      </c>
      <c r="K206" s="1">
        <f t="shared" si="79"/>
        <v>-5.186981665968861E-3</v>
      </c>
      <c r="L206" s="1">
        <f t="shared" si="80"/>
        <v>159.09953225461709</v>
      </c>
      <c r="M206" s="1">
        <f t="shared" si="97"/>
        <v>0.192</v>
      </c>
      <c r="N206" s="1">
        <f t="shared" si="98"/>
        <v>2.5000000000000001E-2</v>
      </c>
      <c r="O206" s="1" t="str">
        <f t="shared" si="99"/>
        <v>0.548401953610384-0.216972837720415i</v>
      </c>
      <c r="P206" s="1">
        <f t="shared" si="81"/>
        <v>-4.5864305810764119</v>
      </c>
      <c r="Q206" s="1">
        <f t="shared" si="82"/>
        <v>-21.586012175270909</v>
      </c>
      <c r="R206" s="1" t="str">
        <f t="shared" si="83"/>
        <v>-0.117323675963998+0.028956765437091i</v>
      </c>
      <c r="S206" s="1">
        <f t="shared" si="84"/>
        <v>-18.355478268834513</v>
      </c>
      <c r="T206" s="1">
        <f t="shared" si="85"/>
        <v>166.13585721919961</v>
      </c>
      <c r="U206" s="1" t="str">
        <f>IMPRODUCT(COMPLEX(-1,0),IMDIV(COMPLEX(1,C206*Calculations!$B$195*Calculations!$B$197),IMPRODUCT(COMPLEX(0,C206*Calculations!$B$184),COMPLEX((Calculations!$B$197+Calculations!$B$199),C206*Calculations!$B$195*Calculations!$B$197*Calculations!$B$199))))</f>
        <v>-0.696275793149441+0.460735744263172i</v>
      </c>
      <c r="V206" s="1">
        <f t="shared" si="86"/>
        <v>-1.5671899348748592</v>
      </c>
      <c r="W206" s="1">
        <f t="shared" si="87"/>
        <v>146.50681839499001</v>
      </c>
      <c r="X206" s="1" t="str">
        <f t="shared" si="88"/>
        <v>0.0683482186619285-0.0742171059867167i</v>
      </c>
      <c r="Y206" s="1">
        <f t="shared" si="89"/>
        <v>-19.922668203709371</v>
      </c>
      <c r="Z206" s="1">
        <f t="shared" si="90"/>
        <v>-47.357324385810365</v>
      </c>
    </row>
    <row r="207" spans="2:26">
      <c r="B207" s="1">
        <v>30000</v>
      </c>
      <c r="C207" s="1">
        <f t="shared" si="91"/>
        <v>188495.55921538759</v>
      </c>
      <c r="D207" s="83" t="str">
        <f t="shared" si="92"/>
        <v>0.00321961725379166-0.00831057428331671i</v>
      </c>
      <c r="E207" s="1">
        <f t="shared" si="93"/>
        <v>-41.000067976874945</v>
      </c>
      <c r="F207" s="1">
        <f t="shared" si="94"/>
        <v>-68.823028115174566</v>
      </c>
      <c r="G207" s="1" t="str">
        <f t="shared" si="95"/>
        <v>-0.0719594569253653-113.287987628183i</v>
      </c>
      <c r="H207" s="1">
        <f t="shared" si="77"/>
        <v>41.083678999216673</v>
      </c>
      <c r="I207" s="1">
        <f t="shared" si="78"/>
        <v>-90.036393731671836</v>
      </c>
      <c r="J207" s="83" t="str">
        <f t="shared" si="96"/>
        <v>-0.493742010627765+0.239076987560407i</v>
      </c>
      <c r="K207" s="1">
        <f t="shared" si="79"/>
        <v>-5.2152155674152372</v>
      </c>
      <c r="L207" s="1">
        <f t="shared" si="80"/>
        <v>154.16306634831258</v>
      </c>
      <c r="M207" s="1">
        <f t="shared" si="97"/>
        <v>0.192</v>
      </c>
      <c r="N207" s="1">
        <f t="shared" si="98"/>
        <v>2.5000000000000001E-2</v>
      </c>
      <c r="O207" s="1" t="str">
        <f t="shared" si="99"/>
        <v>0.475335571766696-0.2747342000699i</v>
      </c>
      <c r="P207" s="1">
        <f t="shared" si="81"/>
        <v>-5.2082391968490951</v>
      </c>
      <c r="Q207" s="1">
        <f t="shared" si="82"/>
        <v>-30.027030386540947</v>
      </c>
      <c r="R207" s="1" t="str">
        <f t="shared" si="83"/>
        <v>-0.050586641366592+0.0409115381060862i</v>
      </c>
      <c r="S207" s="1">
        <f t="shared" si="84"/>
        <v>-23.733761262686997</v>
      </c>
      <c r="T207" s="1">
        <f t="shared" si="85"/>
        <v>141.03607935620937</v>
      </c>
      <c r="U207" s="1" t="str">
        <f>IMPRODUCT(COMPLEX(-1,0),IMDIV(COMPLEX(1,C207*Calculations!$B$195*Calculations!$B$197),IMPRODUCT(COMPLEX(0,C207*Calculations!$B$184),COMPLEX((Calculations!$B$197+Calculations!$B$199),C207*Calculations!$B$195*Calculations!$B$197*Calculations!$B$199))))</f>
        <v>-0.518747326970477+0.499913964492424i</v>
      </c>
      <c r="V207" s="1">
        <f t="shared" si="86"/>
        <v>-2.848219638822755</v>
      </c>
      <c r="W207" s="1">
        <f t="shared" si="87"/>
        <v>136.05918352761711</v>
      </c>
      <c r="X207" s="1" t="str">
        <f t="shared" si="88"/>
        <v>0.00578943578123733-0.0465117194707125i</v>
      </c>
      <c r="Y207" s="1">
        <f t="shared" si="89"/>
        <v>-26.581980901509752</v>
      </c>
      <c r="Z207" s="1">
        <f t="shared" si="90"/>
        <v>-82.904737116173507</v>
      </c>
    </row>
    <row r="208" spans="2:26">
      <c r="B208" s="1">
        <v>40000</v>
      </c>
      <c r="C208" s="1">
        <f t="shared" si="91"/>
        <v>251327.41228718346</v>
      </c>
      <c r="D208" s="83" t="str">
        <f t="shared" si="92"/>
        <v>0.00320954449675669-0.0062329516415976i</v>
      </c>
      <c r="E208" s="1">
        <f t="shared" si="93"/>
        <v>-43.084688607961901</v>
      </c>
      <c r="F208" s="1">
        <f t="shared" si="94"/>
        <v>-62.75462481510003</v>
      </c>
      <c r="G208" s="1" t="str">
        <f t="shared" si="95"/>
        <v>-0.0407837243849485-84.8700440201321i</v>
      </c>
      <c r="H208" s="1">
        <f t="shared" si="77"/>
        <v>38.575089551585087</v>
      </c>
      <c r="I208" s="1">
        <f t="shared" si="78"/>
        <v>-90.027533096361537</v>
      </c>
      <c r="J208" s="83" t="str">
        <f t="shared" si="96"/>
        <v>-0.340442155913612+0.179668206501179i</v>
      </c>
      <c r="K208" s="1">
        <f t="shared" si="79"/>
        <v>-8.2920593723310994</v>
      </c>
      <c r="L208" s="1">
        <f t="shared" si="80"/>
        <v>152.17716703645399</v>
      </c>
      <c r="M208" s="1">
        <f t="shared" si="97"/>
        <v>0.192</v>
      </c>
      <c r="N208" s="1">
        <f t="shared" si="98"/>
        <v>2.5000000000000001E-2</v>
      </c>
      <c r="O208" s="1" t="str">
        <f t="shared" si="99"/>
        <v>0.400610118364158-0.305830209786282i</v>
      </c>
      <c r="P208" s="1">
        <f t="shared" si="81"/>
        <v>-5.951310895921111</v>
      </c>
      <c r="Q208" s="1">
        <f t="shared" si="82"/>
        <v>-37.358515840436425</v>
      </c>
      <c r="R208" s="1" t="str">
        <f t="shared" si="83"/>
        <v>-0.0242201772920004+0.0341114108564939i</v>
      </c>
      <c r="S208" s="1">
        <f t="shared" si="84"/>
        <v>-27.569109957579126</v>
      </c>
      <c r="T208" s="1">
        <f t="shared" si="85"/>
        <v>125.37595295741775</v>
      </c>
      <c r="U208" s="1" t="str">
        <f>IMPRODUCT(COMPLEX(-1,0),IMDIV(COMPLEX(1,C208*Calculations!$B$195*Calculations!$B$197),IMPRODUCT(COMPLEX(0,C208*Calculations!$B$184),COMPLEX((Calculations!$B$197+Calculations!$B$199),C208*Calculations!$B$195*Calculations!$B$197*Calculations!$B$199))))</f>
        <v>-0.382287495064388+0.48605945809456i</v>
      </c>
      <c r="V208" s="1">
        <f t="shared" si="86"/>
        <v>-4.1748492650181621</v>
      </c>
      <c r="W208" s="1">
        <f t="shared" si="87"/>
        <v>128.18517659237833</v>
      </c>
      <c r="X208" s="1" t="str">
        <f t="shared" si="88"/>
        <v>-0.00732110296877411-0.0248128120589451i</v>
      </c>
      <c r="Y208" s="1">
        <f t="shared" si="89"/>
        <v>-31.74395922259729</v>
      </c>
      <c r="Z208" s="1">
        <f t="shared" si="90"/>
        <v>-106.43887045020388</v>
      </c>
    </row>
    <row r="209" spans="1:26">
      <c r="B209" s="1">
        <v>50000</v>
      </c>
      <c r="C209" s="1">
        <f t="shared" si="91"/>
        <v>314159.26535897929</v>
      </c>
      <c r="D209" s="83" t="str">
        <f t="shared" si="92"/>
        <v>0.00320488222631369-0.00498636906306662i</v>
      </c>
      <c r="E209" s="1">
        <f t="shared" si="93"/>
        <v>-44.542582310644633</v>
      </c>
      <c r="F209" s="1">
        <f t="shared" si="94"/>
        <v>-57.269983558882956</v>
      </c>
      <c r="G209" s="1" t="str">
        <f t="shared" si="95"/>
        <v>-0.0261920662085483-67.8605656366965i</v>
      </c>
      <c r="H209" s="1">
        <f t="shared" si="77"/>
        <v>36.632350152767671</v>
      </c>
      <c r="I209" s="1">
        <f t="shared" si="78"/>
        <v>-90.022114386490529</v>
      </c>
      <c r="J209" s="83" t="str">
        <f t="shared" si="96"/>
        <v>-0.269602537129841+0.143867479059901i</v>
      </c>
      <c r="K209" s="1">
        <f t="shared" si="79"/>
        <v>-10.297304129412201</v>
      </c>
      <c r="L209" s="1">
        <f t="shared" si="80"/>
        <v>151.91436763762749</v>
      </c>
      <c r="M209" s="1">
        <f t="shared" si="97"/>
        <v>0.192</v>
      </c>
      <c r="N209" s="1">
        <f t="shared" si="98"/>
        <v>2.5000000000000001E-2</v>
      </c>
      <c r="O209" s="1" t="str">
        <f t="shared" si="99"/>
        <v>0.333252576708713-0.316617223127915i</v>
      </c>
      <c r="P209" s="1">
        <f t="shared" si="81"/>
        <v>-6.7509280397113773</v>
      </c>
      <c r="Q209" s="1">
        <f t="shared" si="82"/>
        <v>-43.533664050598759</v>
      </c>
      <c r="R209" s="1" t="str">
        <f t="shared" si="83"/>
        <v>-0.0127494167508263+0.0269964402106945i</v>
      </c>
      <c r="S209" s="1">
        <f t="shared" si="84"/>
        <v>-30.499490945130972</v>
      </c>
      <c r="T209" s="1">
        <f t="shared" si="85"/>
        <v>115.27962722869091</v>
      </c>
      <c r="U209" s="1" t="str">
        <f>IMPRODUCT(COMPLEX(-1,0),IMDIV(COMPLEX(1,C209*Calculations!$B$195*Calculations!$B$197),IMPRODUCT(COMPLEX(0,C209*Calculations!$B$184),COMPLEX((Calculations!$B$197+Calculations!$B$199),C209*Calculations!$B$195*Calculations!$B$197*Calculations!$B$199))))</f>
        <v>-0.285669619188711+0.451791002433466i</v>
      </c>
      <c r="V209" s="1">
        <f t="shared" si="86"/>
        <v>-5.4405595192517966</v>
      </c>
      <c r="W209" s="1">
        <f t="shared" si="87"/>
        <v>122.30536400259983</v>
      </c>
      <c r="X209" s="1" t="str">
        <f t="shared" si="88"/>
        <v>-0.00855462775683808-0.0134721345687377i</v>
      </c>
      <c r="Y209" s="1">
        <f t="shared" si="89"/>
        <v>-35.940050464382786</v>
      </c>
      <c r="Z209" s="1">
        <f t="shared" si="90"/>
        <v>-122.41500876870936</v>
      </c>
    </row>
    <row r="210" spans="1:26">
      <c r="B210" s="1">
        <v>60000</v>
      </c>
      <c r="C210" s="1">
        <f t="shared" si="91"/>
        <v>376991.11843077518</v>
      </c>
      <c r="D210" s="83" t="str">
        <f t="shared" si="92"/>
        <v>0.00320234962888765-0.00415531106069867i</v>
      </c>
      <c r="E210" s="1">
        <f t="shared" si="93"/>
        <v>-45.603254826707825</v>
      </c>
      <c r="F210" s="1">
        <f t="shared" si="94"/>
        <v>-52.379844259028701</v>
      </c>
      <c r="G210" s="1" t="str">
        <f t="shared" si="95"/>
        <v>-0.0182230087119011-56.5344279962599i</v>
      </c>
      <c r="H210" s="1">
        <f t="shared" si="77"/>
        <v>35.046260499732028</v>
      </c>
      <c r="I210" s="1">
        <f t="shared" si="78"/>
        <v>-90.018468418096148</v>
      </c>
      <c r="J210" s="83" t="str">
        <f t="shared" si="96"/>
        <v>-0.231152548888003+0.119949608926618i</v>
      </c>
      <c r="K210" s="1">
        <f t="shared" si="79"/>
        <v>-11.686459956702935</v>
      </c>
      <c r="L210" s="1">
        <f t="shared" si="80"/>
        <v>152.5743125427305</v>
      </c>
      <c r="M210" s="1">
        <f t="shared" si="97"/>
        <v>0.192</v>
      </c>
      <c r="N210" s="1">
        <f t="shared" si="98"/>
        <v>2.5000000000000001E-2</v>
      </c>
      <c r="O210" s="1" t="str">
        <f t="shared" si="99"/>
        <v>0.276443159091486-0.314418751268441i</v>
      </c>
      <c r="P210" s="1">
        <f t="shared" si="81"/>
        <v>-7.5626770641494439</v>
      </c>
      <c r="Q210" s="1">
        <f t="shared" si="82"/>
        <v>-48.67742870766314</v>
      </c>
      <c r="R210" s="1" t="str">
        <f t="shared" si="83"/>
        <v>-0.00726951710873484+0.0216210264755853i</v>
      </c>
      <c r="S210" s="1">
        <f t="shared" si="84"/>
        <v>-32.837339335223497</v>
      </c>
      <c r="T210" s="1">
        <f t="shared" si="85"/>
        <v>108.58390170698429</v>
      </c>
      <c r="U210" s="1" t="str">
        <f>IMPRODUCT(COMPLEX(-1,0),IMDIV(COMPLEX(1,C210*Calculations!$B$195*Calculations!$B$197),IMPRODUCT(COMPLEX(0,C210*Calculations!$B$184),COMPLEX((Calculations!$B$197+Calculations!$B$199),C210*Calculations!$B$195*Calculations!$B$197*Calculations!$B$199))))</f>
        <v>-0.218251716605101+0.413092996460396i</v>
      </c>
      <c r="V210" s="1">
        <f t="shared" si="86"/>
        <v>-6.6098678005523093</v>
      </c>
      <c r="W210" s="1">
        <f t="shared" si="87"/>
        <v>117.84908626053796</v>
      </c>
      <c r="X210" s="1" t="str">
        <f t="shared" si="88"/>
        <v>-0.00734491002547756-0.00772181274832822i</v>
      </c>
      <c r="Y210" s="1">
        <f t="shared" si="89"/>
        <v>-39.447207135775805</v>
      </c>
      <c r="Z210" s="1">
        <f t="shared" si="90"/>
        <v>-133.56701203247772</v>
      </c>
    </row>
    <row r="211" spans="1:26">
      <c r="B211" s="1">
        <v>70000</v>
      </c>
      <c r="C211" s="1">
        <f t="shared" si="91"/>
        <v>439822.97150257102</v>
      </c>
      <c r="D211" s="83" t="str">
        <f t="shared" si="92"/>
        <v>0.00320082255045095-0.00356169700800103i</v>
      </c>
      <c r="E211" s="1">
        <f t="shared" si="93"/>
        <v>-46.395779417168256</v>
      </c>
      <c r="F211" s="1">
        <f t="shared" si="94"/>
        <v>-48.054629224140371</v>
      </c>
      <c r="G211" s="1" t="str">
        <f t="shared" si="95"/>
        <v>-0.013403412868553-48.4497931793341i</v>
      </c>
      <c r="H211" s="1">
        <f t="shared" si="77"/>
        <v>33.705838882191046</v>
      </c>
      <c r="I211" s="1">
        <f t="shared" si="78"/>
        <v>-90.015850613974877</v>
      </c>
      <c r="J211" s="83" t="str">
        <f t="shared" si="96"/>
        <v>-0.207978884846207+0.102844946537195i</v>
      </c>
      <c r="K211" s="1">
        <f t="shared" si="79"/>
        <v>-12.689570679034523</v>
      </c>
      <c r="L211" s="1">
        <f t="shared" si="80"/>
        <v>153.68773993748727</v>
      </c>
      <c r="M211" s="1">
        <f t="shared" si="97"/>
        <v>0.192</v>
      </c>
      <c r="N211" s="1">
        <f t="shared" si="98"/>
        <v>2.5000000000000001E-2</v>
      </c>
      <c r="O211" s="1" t="str">
        <f t="shared" si="99"/>
        <v>0.230088587986979-0.304871174613678i</v>
      </c>
      <c r="P211" s="1">
        <f t="shared" si="81"/>
        <v>-8.3598283651313032</v>
      </c>
      <c r="Q211" s="1">
        <f t="shared" si="82"/>
        <v>-52.957868213023104</v>
      </c>
      <c r="R211" s="1" t="str">
        <f t="shared" si="83"/>
        <v>-0.00443086430413817+0.0177384011495053i</v>
      </c>
      <c r="S211" s="1">
        <f t="shared" si="84"/>
        <v>-34.758851453271525</v>
      </c>
      <c r="T211" s="1">
        <f t="shared" si="85"/>
        <v>104.02488536872163</v>
      </c>
      <c r="U211" s="1" t="str">
        <f>IMPRODUCT(COMPLEX(-1,0),IMDIV(COMPLEX(1,C211*Calculations!$B$195*Calculations!$B$197),IMPRODUCT(COMPLEX(0,C211*Calculations!$B$184),COMPLEX((Calculations!$B$197+Calculations!$B$199),C211*Calculations!$B$195*Calculations!$B$197*Calculations!$B$199))))</f>
        <v>-0.170654668266291+0.376228243266915i</v>
      </c>
      <c r="V211" s="1">
        <f t="shared" si="86"/>
        <v>-7.67841012878106</v>
      </c>
      <c r="W211" s="1">
        <f t="shared" si="87"/>
        <v>114.39873294951951</v>
      </c>
      <c r="X211" s="1" t="str">
        <f t="shared" si="88"/>
        <v>-0.00591753982488656-0.00469415725704321i</v>
      </c>
      <c r="Y211" s="1">
        <f t="shared" si="89"/>
        <v>-42.437261582052585</v>
      </c>
      <c r="Z211" s="1">
        <f t="shared" si="90"/>
        <v>-141.57638168175887</v>
      </c>
    </row>
    <row r="212" spans="1:26">
      <c r="B212" s="1">
        <v>80000</v>
      </c>
      <c r="C212" s="1">
        <f t="shared" si="91"/>
        <v>502654.82457436691</v>
      </c>
      <c r="D212" s="83" t="str">
        <f t="shared" si="92"/>
        <v>0.00319983141697974-0.00311648591168629i</v>
      </c>
      <c r="E212" s="1">
        <f t="shared" si="93"/>
        <v>-47.00026503760747</v>
      </c>
      <c r="F212" s="1">
        <f t="shared" si="94"/>
        <v>-44.24401065971103</v>
      </c>
      <c r="G212" s="1" t="str">
        <f t="shared" si="95"/>
        <v>-0.0102694769794674-42.3888635425839i</v>
      </c>
      <c r="H212" s="1">
        <f t="shared" si="77"/>
        <v>32.545035718233535</v>
      </c>
      <c r="I212" s="1">
        <f t="shared" si="78"/>
        <v>-90.013880949571274</v>
      </c>
      <c r="J212" s="83" t="str">
        <f t="shared" si="96"/>
        <v>-0.192942496891585+0.0900069184541697i</v>
      </c>
      <c r="K212" s="1">
        <f t="shared" si="79"/>
        <v>-13.436329400397774</v>
      </c>
      <c r="L212" s="1">
        <f t="shared" si="80"/>
        <v>154.99113305879476</v>
      </c>
      <c r="M212" s="1">
        <f t="shared" si="97"/>
        <v>0.192</v>
      </c>
      <c r="N212" s="1">
        <f t="shared" si="98"/>
        <v>2.5000000000000001E-2</v>
      </c>
      <c r="O212" s="1" t="str">
        <f t="shared" si="99"/>
        <v>0.192788075801051-0.291665630756336i</v>
      </c>
      <c r="P212" s="1">
        <f t="shared" si="81"/>
        <v>-9.1280057767636809</v>
      </c>
      <c r="Q212" s="1">
        <f t="shared" si="82"/>
        <v>-56.53569378132903</v>
      </c>
      <c r="R212" s="1" t="str">
        <f t="shared" si="83"/>
        <v>-0.00285556295953087+0.0149093282673247i</v>
      </c>
      <c r="S212" s="1">
        <f t="shared" si="84"/>
        <v>-36.374377814787309</v>
      </c>
      <c r="T212" s="1">
        <f t="shared" si="85"/>
        <v>100.84247480903808</v>
      </c>
      <c r="U212" s="1" t="str">
        <f>IMPRODUCT(COMPLEX(-1,0),IMDIV(COMPLEX(1,C212*Calculations!$B$195*Calculations!$B$197),IMPRODUCT(COMPLEX(0,C212*Calculations!$B$184),COMPLEX((Calculations!$B$197+Calculations!$B$199),C212*Calculations!$B$195*Calculations!$B$197*Calculations!$B$199))))</f>
        <v>-0.136345444522897+0.343169309632712i</v>
      </c>
      <c r="V212" s="1">
        <f t="shared" si="86"/>
        <v>-8.6532811910313825</v>
      </c>
      <c r="W212" s="1">
        <f t="shared" si="87"/>
        <v>111.66854143609748</v>
      </c>
      <c r="X212" s="1" t="str">
        <f t="shared" si="88"/>
        <v>-0.00472708088750494-0.00301276055958113i</v>
      </c>
      <c r="Y212" s="1">
        <f t="shared" si="89"/>
        <v>-45.027659005818698</v>
      </c>
      <c r="Z212" s="1">
        <f t="shared" si="90"/>
        <v>-147.48898375486445</v>
      </c>
    </row>
    <row r="213" spans="1:26">
      <c r="B213" s="1">
        <v>90000</v>
      </c>
      <c r="C213" s="1">
        <f t="shared" si="91"/>
        <v>565486.6776461628</v>
      </c>
      <c r="D213" s="83" t="str">
        <f t="shared" si="92"/>
        <v>0.00319915189875643-0.0027702103267872i</v>
      </c>
      <c r="E213" s="1">
        <f t="shared" si="93"/>
        <v>-47.46937439101881</v>
      </c>
      <c r="F213" s="1">
        <f t="shared" si="94"/>
        <v>-40.889950816480685</v>
      </c>
      <c r="G213" s="1" t="str">
        <f t="shared" si="95"/>
        <v>-0.00811820986396477-37.6761227311306i</v>
      </c>
      <c r="H213" s="1">
        <f t="shared" si="77"/>
        <v>31.521324260744763</v>
      </c>
      <c r="I213" s="1">
        <f t="shared" si="78"/>
        <v>-90.012345727784336</v>
      </c>
      <c r="J213" s="83" t="str">
        <f t="shared" si="96"/>
        <v>-0.182635513621951+0.0800168644419639i</v>
      </c>
      <c r="K213" s="1">
        <f t="shared" si="79"/>
        <v>-14.005707797799694</v>
      </c>
      <c r="L213" s="1">
        <f t="shared" si="80"/>
        <v>156.34065657940556</v>
      </c>
      <c r="M213" s="1">
        <f t="shared" si="97"/>
        <v>0.192</v>
      </c>
      <c r="N213" s="1">
        <f t="shared" si="98"/>
        <v>2.5000000000000001E-2</v>
      </c>
      <c r="O213" s="1" t="str">
        <f t="shared" si="99"/>
        <v>0.162865063468753-0.277016410672989i</v>
      </c>
      <c r="P213" s="1">
        <f t="shared" si="81"/>
        <v>-9.8605475441969102</v>
      </c>
      <c r="Q213" s="1">
        <f t="shared" si="82"/>
        <v>-59.547635857340957</v>
      </c>
      <c r="R213" s="1" t="str">
        <f t="shared" si="83"/>
        <v>-0.00192867561307434+0.0128005650592487i</v>
      </c>
      <c r="S213" s="1">
        <f t="shared" si="84"/>
        <v>-37.75792701528988</v>
      </c>
      <c r="T213" s="1">
        <f t="shared" si="85"/>
        <v>98.568368714637813</v>
      </c>
      <c r="U213" s="1" t="str">
        <f>IMPRODUCT(COMPLEX(-1,0),IMDIV(COMPLEX(1,C213*Calculations!$B$195*Calculations!$B$197),IMPRODUCT(COMPLEX(0,C213*Calculations!$B$184),COMPLEX((Calculations!$B$197+Calculations!$B$199),C213*Calculations!$B$195*Calculations!$B$197*Calculations!$B$199))))</f>
        <v>-0.111043992307713+0.31419665392489i</v>
      </c>
      <c r="V213" s="1">
        <f t="shared" si="86"/>
        <v>-9.5448024211224958</v>
      </c>
      <c r="W213" s="1">
        <f t="shared" si="87"/>
        <v>109.46452585079062</v>
      </c>
      <c r="X213" s="1" t="str">
        <f t="shared" si="88"/>
        <v>-0.0038077268700215-0.00202740927210809i</v>
      </c>
      <c r="Y213" s="1">
        <f t="shared" si="89"/>
        <v>-47.302729436412378</v>
      </c>
      <c r="Z213" s="1">
        <f t="shared" si="90"/>
        <v>-151.96710543457152</v>
      </c>
    </row>
    <row r="214" spans="1:26">
      <c r="B214" s="1">
        <v>100000</v>
      </c>
      <c r="C214" s="1">
        <f t="shared" si="91"/>
        <v>628318.53071795858</v>
      </c>
      <c r="D214" s="83" t="str">
        <f t="shared" si="92"/>
        <v>0.0031986658431796-0.00249318969807774i</v>
      </c>
      <c r="E214" s="1">
        <f t="shared" si="93"/>
        <v>-47.839012126986617</v>
      </c>
      <c r="F214" s="1">
        <f t="shared" si="94"/>
        <v>-37.934517274594889</v>
      </c>
      <c r="G214" s="1" t="str">
        <f t="shared" si="95"/>
        <v>-0.00657809887656016-33.9066649688671i</v>
      </c>
      <c r="H214" s="1">
        <f t="shared" si="77"/>
        <v>30.605701664215207</v>
      </c>
      <c r="I214" s="1">
        <f t="shared" si="78"/>
        <v>-90.01111572897139</v>
      </c>
      <c r="J214" s="83" t="str">
        <f t="shared" si="96"/>
        <v>-0.175263944464555+0.0720220734465022i</v>
      </c>
      <c r="K214" s="1">
        <f t="shared" si="79"/>
        <v>-14.448495529061478</v>
      </c>
      <c r="L214" s="1">
        <f t="shared" si="80"/>
        <v>157.66052812170233</v>
      </c>
      <c r="M214" s="1">
        <f t="shared" si="97"/>
        <v>0.192</v>
      </c>
      <c r="N214" s="1">
        <f t="shared" si="98"/>
        <v>2.5000000000000001E-2</v>
      </c>
      <c r="O214" s="1" t="str">
        <f t="shared" si="99"/>
        <v>0.138789028840826-0.262174088758271i</v>
      </c>
      <c r="P214" s="1">
        <f t="shared" si="81"/>
        <v>-10.555289387554449</v>
      </c>
      <c r="Q214" s="1">
        <f t="shared" si="82"/>
        <v>-62.104268372873932</v>
      </c>
      <c r="R214" s="1" t="str">
        <f t="shared" si="83"/>
        <v>-0.00135541245963828+0.0111883886685892i</v>
      </c>
      <c r="S214" s="1">
        <f t="shared" si="84"/>
        <v>-38.961375201198457</v>
      </c>
      <c r="T214" s="1">
        <f t="shared" si="85"/>
        <v>96.907412354320314</v>
      </c>
      <c r="U214" s="1" t="str">
        <f>IMPRODUCT(COMPLEX(-1,0),IMDIV(COMPLEX(1,C214*Calculations!$B$195*Calculations!$B$197),IMPRODUCT(COMPLEX(0,C214*Calculations!$B$184),COMPLEX((Calculations!$B$197+Calculations!$B$199),C214*Calculations!$B$195*Calculations!$B$197*Calculations!$B$199))))</f>
        <v>-0.0919694878425152+0.288990201353273i</v>
      </c>
      <c r="V214" s="1">
        <f t="shared" si="86"/>
        <v>-10.363362325602584</v>
      </c>
      <c r="W214" s="1">
        <f t="shared" si="87"/>
        <v>107.65337562380229</v>
      </c>
      <c r="X214" s="1" t="str">
        <f t="shared" si="88"/>
        <v>-0.00310867810442597-0.00142069129526075i</v>
      </c>
      <c r="Y214" s="1">
        <f t="shared" si="89"/>
        <v>-49.324737526801044</v>
      </c>
      <c r="Z214" s="1">
        <f t="shared" si="90"/>
        <v>-155.43921202187738</v>
      </c>
    </row>
    <row r="215" spans="1:26">
      <c r="B215" s="1">
        <v>200000</v>
      </c>
      <c r="C215" s="1">
        <f t="shared" si="91"/>
        <v>1256637.0614359172</v>
      </c>
      <c r="D215" s="83" t="str">
        <f t="shared" si="92"/>
        <v>0.00319711174337046-0.0012465954948586i</v>
      </c>
      <c r="E215" s="1">
        <f t="shared" si="93"/>
        <v>-49.290197644293166</v>
      </c>
      <c r="F215" s="1">
        <f t="shared" si="94"/>
        <v>-21.301457831363141</v>
      </c>
      <c r="G215" s="1" t="str">
        <f t="shared" si="95"/>
        <v>-0.00164640136545999-16.9503827976957i</v>
      </c>
      <c r="H215" s="1">
        <f t="shared" si="77"/>
        <v>24.583590251105601</v>
      </c>
      <c r="I215" s="1">
        <f t="shared" si="78"/>
        <v>-90.005565175161806</v>
      </c>
      <c r="J215" s="83" t="str">
        <f t="shared" si="96"/>
        <v>-0.151699667011781+0.0360220539350782i</v>
      </c>
      <c r="K215" s="1">
        <f t="shared" si="79"/>
        <v>-16.14208300065614</v>
      </c>
      <c r="L215" s="1">
        <f t="shared" si="80"/>
        <v>166.64214731770576</v>
      </c>
      <c r="M215" s="1">
        <f t="shared" si="97"/>
        <v>0.192</v>
      </c>
      <c r="N215" s="1">
        <f t="shared" si="98"/>
        <v>2.5000000000000001E-2</v>
      </c>
      <c r="O215" s="1" t="str">
        <f t="shared" si="99"/>
        <v>0.0416267840361143-0.157034845477488i</v>
      </c>
      <c r="P215" s="1">
        <f t="shared" si="81"/>
        <v>-15.785156547561261</v>
      </c>
      <c r="Q215" s="1">
        <f t="shared" si="82"/>
        <v>-75.153494495580603</v>
      </c>
      <c r="R215" s="1" t="str">
        <f t="shared" si="83"/>
        <v>-0.000144868127680495+0.0049241758730561i</v>
      </c>
      <c r="S215" s="1">
        <f t="shared" si="84"/>
        <v>-46.149571589352135</v>
      </c>
      <c r="T215" s="1">
        <f t="shared" si="85"/>
        <v>91.685142661325187</v>
      </c>
      <c r="U215" s="1" t="str">
        <f>IMPRODUCT(COMPLEX(-1,0),IMDIV(COMPLEX(1,C215*Calculations!$B$195*Calculations!$B$197),IMPRODUCT(COMPLEX(0,C215*Calculations!$B$184),COMPLEX((Calculations!$B$197+Calculations!$B$199),C215*Calculations!$B$195*Calculations!$B$197*Calculations!$B$199))))</f>
        <v>-0.0247747555208342+0.155438901945965i</v>
      </c>
      <c r="V215" s="1">
        <f t="shared" si="86"/>
        <v>-16.059856225268518</v>
      </c>
      <c r="W215" s="1">
        <f t="shared" si="87"/>
        <v>99.055961614177804</v>
      </c>
      <c r="X215" s="1" t="str">
        <f t="shared" si="88"/>
        <v>-0.000761819418250608-0.000144513396090179i</v>
      </c>
      <c r="Y215" s="1">
        <f t="shared" si="89"/>
        <v>-62.209427814620668</v>
      </c>
      <c r="Z215" s="1">
        <f t="shared" si="90"/>
        <v>-169.25889572449702</v>
      </c>
    </row>
    <row r="216" spans="1:26">
      <c r="B216" s="1">
        <v>300000</v>
      </c>
      <c r="C216" s="1">
        <f t="shared" si="91"/>
        <v>1884955.5921538759</v>
      </c>
      <c r="D216" s="83" t="str">
        <f t="shared" si="92"/>
        <v>0.0031968239469328-0.000831063742969945i</v>
      </c>
      <c r="E216" s="1">
        <f t="shared" si="93"/>
        <v>-49.621613055358907</v>
      </c>
      <c r="F216" s="1">
        <f t="shared" si="94"/>
        <v>-14.572361405350096</v>
      </c>
      <c r="G216" s="1" t="str">
        <f t="shared" si="95"/>
        <v>-0.000731888328523485-11.2998911140016i</v>
      </c>
      <c r="H216" s="1">
        <f t="shared" si="77"/>
        <v>21.061485190867792</v>
      </c>
      <c r="I216" s="1">
        <f t="shared" si="78"/>
        <v>-90.003711019143239</v>
      </c>
      <c r="J216" s="83" t="str">
        <f t="shared" si="96"/>
        <v>-0.147336805322224+0.0240160620562524i</v>
      </c>
      <c r="K216" s="1">
        <f t="shared" si="79"/>
        <v>-16.519892044003143</v>
      </c>
      <c r="L216" s="1">
        <f t="shared" si="80"/>
        <v>170.74214343308822</v>
      </c>
      <c r="M216" s="1">
        <f t="shared" si="97"/>
        <v>0.192</v>
      </c>
      <c r="N216" s="1">
        <f t="shared" si="98"/>
        <v>2.5000000000000001E-2</v>
      </c>
      <c r="O216" s="1" t="str">
        <f t="shared" si="99"/>
        <v>0.0192113051132069-0.108680695329795i</v>
      </c>
      <c r="P216" s="1">
        <f t="shared" si="81"/>
        <v>-19.143324671519068</v>
      </c>
      <c r="Q216" s="1">
        <f t="shared" si="82"/>
        <v>-79.97547686131233</v>
      </c>
      <c r="R216" s="1" t="str">
        <f t="shared" si="83"/>
        <v>-0.0000459112174459879+0.00318172487189697i</v>
      </c>
      <c r="S216" s="1">
        <f t="shared" si="84"/>
        <v>-49.945843369202478</v>
      </c>
      <c r="T216" s="1">
        <f t="shared" si="85"/>
        <v>90.826701411765242</v>
      </c>
      <c r="U216" s="1" t="str">
        <f>IMPRODUCT(COMPLEX(-1,0),IMDIV(COMPLEX(1,C216*Calculations!$B$195*Calculations!$B$197),IMPRODUCT(COMPLEX(0,C216*Calculations!$B$184),COMPLEX((Calculations!$B$197+Calculations!$B$199),C216*Calculations!$B$195*Calculations!$B$197*Calculations!$B$199))))</f>
        <v>-0.011171375088797+0.105102962039346i</v>
      </c>
      <c r="V216" s="1">
        <f t="shared" si="86"/>
        <v>-19.518911439164256</v>
      </c>
      <c r="W216" s="1">
        <f t="shared" si="87"/>
        <v>96.067178578074575</v>
      </c>
      <c r="X216" s="1" t="str">
        <f t="shared" si="88"/>
        <v>-0.000333895816999758-0.0000403696469177215i</v>
      </c>
      <c r="Y216" s="1">
        <f t="shared" si="89"/>
        <v>-69.464754808366735</v>
      </c>
      <c r="Z216" s="1">
        <f t="shared" si="90"/>
        <v>-173.10612001016017</v>
      </c>
    </row>
    <row r="217" spans="1:26">
      <c r="B217" s="1">
        <v>400000</v>
      </c>
      <c r="C217" s="1">
        <f t="shared" si="91"/>
        <v>2513274.1228718343</v>
      </c>
      <c r="D217" s="83" t="str">
        <f t="shared" si="92"/>
        <v>0.00319672321816656-0.000623297828156817i</v>
      </c>
      <c r="E217" s="1">
        <f t="shared" si="93"/>
        <v>-49.743853416858812</v>
      </c>
      <c r="F217" s="1">
        <f t="shared" si="94"/>
        <v>-11.033117753258752</v>
      </c>
      <c r="G217" s="1" t="str">
        <f t="shared" si="95"/>
        <v>-0.000411717577164795-8.47482276744835i</v>
      </c>
      <c r="H217" s="1">
        <f t="shared" si="77"/>
        <v>18.562612503093867</v>
      </c>
      <c r="I217" s="1">
        <f t="shared" si="78"/>
        <v>-90.002783501219028</v>
      </c>
      <c r="J217" s="83" t="str">
        <f t="shared" si="96"/>
        <v>-0.145809869674395+0.018012403353644i</v>
      </c>
      <c r="K217" s="1">
        <f t="shared" si="79"/>
        <v>-16.658486558622279</v>
      </c>
      <c r="L217" s="1">
        <f t="shared" si="80"/>
        <v>172.95773017875769</v>
      </c>
      <c r="M217" s="1">
        <f t="shared" si="97"/>
        <v>0.192</v>
      </c>
      <c r="N217" s="1">
        <f t="shared" si="98"/>
        <v>2.5000000000000001E-2</v>
      </c>
      <c r="O217" s="1" t="str">
        <f t="shared" si="99"/>
        <v>0.0109535923499195-0.082613159094594i</v>
      </c>
      <c r="P217" s="1">
        <f t="shared" si="81"/>
        <v>-21.583330502300843</v>
      </c>
      <c r="Q217" s="1">
        <f t="shared" si="82"/>
        <v>-82.447265531077477</v>
      </c>
      <c r="R217" s="1" t="str">
        <f t="shared" si="83"/>
        <v>-0.0000220681507613566+0.00235859457333567i</v>
      </c>
      <c r="S217" s="1">
        <f t="shared" si="84"/>
        <v>-52.546553919269314</v>
      </c>
      <c r="T217" s="1">
        <f t="shared" si="85"/>
        <v>90.536071361896475</v>
      </c>
      <c r="U217" s="1" t="str">
        <f>IMPRODUCT(COMPLEX(-1,0),IMDIV(COMPLEX(1,C217*Calculations!$B$195*Calculations!$B$197),IMPRODUCT(COMPLEX(0,C217*Calculations!$B$184),COMPLEX((Calculations!$B$197+Calculations!$B$199),C217*Calculations!$B$195*Calculations!$B$197*Calculations!$B$199))))</f>
        <v>-0.00631609583988377+0.0792226037966251i</v>
      </c>
      <c r="V217" s="1">
        <f t="shared" si="86"/>
        <v>-21.995500386756181</v>
      </c>
      <c r="W217" s="1">
        <f t="shared" si="87"/>
        <v>94.558317780520881</v>
      </c>
      <c r="X217" s="1" t="str">
        <f t="shared" si="88"/>
        <v>-0.000186714618845024-0.000016645405736909i</v>
      </c>
      <c r="Y217" s="1">
        <f t="shared" si="89"/>
        <v>-74.542054306025506</v>
      </c>
      <c r="Z217" s="1">
        <f t="shared" si="90"/>
        <v>-174.90561085758264</v>
      </c>
    </row>
    <row r="218" spans="1:26">
      <c r="B218" s="1">
        <v>500000</v>
      </c>
      <c r="C218" s="1">
        <f t="shared" si="91"/>
        <v>3141592.653589793</v>
      </c>
      <c r="D218" s="83" t="str">
        <f t="shared" si="92"/>
        <v>0.00319667659513532-0.000498638270275296i</v>
      </c>
      <c r="E218" s="1">
        <f t="shared" si="93"/>
        <v>-49.80161952048217</v>
      </c>
      <c r="F218" s="1">
        <f t="shared" si="94"/>
        <v>-8.8659187662999628</v>
      </c>
      <c r="G218" s="1" t="str">
        <f t="shared" si="95"/>
        <v>-0.000263508252156001-6.77982282705229i</v>
      </c>
      <c r="H218" s="1">
        <f t="shared" si="77"/>
        <v>16.624366903845985</v>
      </c>
      <c r="I218" s="1">
        <f t="shared" si="78"/>
        <v>-90.002226888680269</v>
      </c>
      <c r="J218" s="83" t="str">
        <f t="shared" si="96"/>
        <v>-0.145103128178473+0.0144100547995287i</v>
      </c>
      <c r="K218" s="1">
        <f t="shared" si="79"/>
        <v>-16.723842949445864</v>
      </c>
      <c r="L218" s="1">
        <f t="shared" si="80"/>
        <v>174.3286057050085</v>
      </c>
      <c r="M218" s="1">
        <f t="shared" si="97"/>
        <v>0.192</v>
      </c>
      <c r="N218" s="1">
        <f t="shared" si="98"/>
        <v>2.5000000000000001E-2</v>
      </c>
      <c r="O218" s="1" t="str">
        <f t="shared" si="99"/>
        <v>0.00705478859105775-0.0665070075027824i</v>
      </c>
      <c r="P218" s="1">
        <f t="shared" si="81"/>
        <v>-23.494057536442735</v>
      </c>
      <c r="Q218" s="1">
        <f t="shared" si="82"/>
        <v>-83.944943353755164</v>
      </c>
      <c r="R218" s="1" t="str">
        <f t="shared" si="83"/>
        <v>-0.0000129968124451563+0.00187644898875801i</v>
      </c>
      <c r="S218" s="1">
        <f t="shared" si="84"/>
        <v>-54.533056406930598</v>
      </c>
      <c r="T218" s="1">
        <f t="shared" si="85"/>
        <v>90.39684030690205</v>
      </c>
      <c r="U218" s="1" t="str">
        <f>IMPRODUCT(COMPLEX(-1,0),IMDIV(COMPLEX(1,C218*Calculations!$B$195*Calculations!$B$197),IMPRODUCT(COMPLEX(0,C218*Calculations!$B$184),COMPLEX((Calculations!$B$197+Calculations!$B$199),C218*Calculations!$B$195*Calculations!$B$197*Calculations!$B$199))))</f>
        <v>-0.00405191077231849+0.063525587405933i</v>
      </c>
      <c r="V218" s="1">
        <f t="shared" si="86"/>
        <v>-23.923393268695065</v>
      </c>
      <c r="W218" s="1">
        <f t="shared" si="87"/>
        <v>93.649605246309775</v>
      </c>
      <c r="X218" s="1" t="str">
        <f t="shared" si="88"/>
        <v>-0.000119149862323769-8.42883401623801E-06i</v>
      </c>
      <c r="Y218" s="1">
        <f t="shared" si="89"/>
        <v>-78.456449675625677</v>
      </c>
      <c r="Z218" s="1">
        <f t="shared" si="90"/>
        <v>-175.95355444678813</v>
      </c>
    </row>
    <row r="219" spans="1:26">
      <c r="B219" s="1">
        <v>600000</v>
      </c>
      <c r="C219" s="1">
        <f t="shared" si="91"/>
        <v>3769911.1843077517</v>
      </c>
      <c r="D219" s="83" t="str">
        <f t="shared" si="92"/>
        <v>0.00319665126904369-0.00041553189540424i</v>
      </c>
      <c r="E219" s="1">
        <f t="shared" si="93"/>
        <v>-49.833323698229684</v>
      </c>
      <c r="F219" s="1">
        <f t="shared" si="94"/>
        <v>-7.4063345374447902</v>
      </c>
      <c r="G219" s="1" t="str">
        <f t="shared" si="95"/>
        <v>-0.000182995237823297-5.64983633724053i</v>
      </c>
      <c r="H219" s="1">
        <f t="shared" si="77"/>
        <v>15.040717354350871</v>
      </c>
      <c r="I219" s="1">
        <f t="shared" si="78"/>
        <v>-90.001855780268443</v>
      </c>
      <c r="J219" s="83" t="str">
        <f t="shared" si="96"/>
        <v>-0.144719222287907+0.0120084388042502i</v>
      </c>
      <c r="K219" s="1">
        <f t="shared" si="79"/>
        <v>-16.759675747038152</v>
      </c>
      <c r="L219" s="1">
        <f t="shared" si="80"/>
        <v>175.25660622985166</v>
      </c>
      <c r="M219" s="1">
        <f t="shared" si="97"/>
        <v>0.192</v>
      </c>
      <c r="N219" s="1">
        <f t="shared" si="98"/>
        <v>2.5000000000000001E-2</v>
      </c>
      <c r="O219" s="1" t="str">
        <f t="shared" si="99"/>
        <v>0.00491610640535665-0.0556128891871675i</v>
      </c>
      <c r="P219" s="1">
        <f t="shared" si="81"/>
        <v>-25.06268555596801</v>
      </c>
      <c r="Q219" s="1">
        <f t="shared" si="82"/>
        <v>-84.948259642157524</v>
      </c>
      <c r="R219" s="1" t="str">
        <f t="shared" si="83"/>
        <v>-8.59790654761224E-06+0.00155894949035956i</v>
      </c>
      <c r="S219" s="1">
        <f t="shared" si="84"/>
        <v>-56.143227013832096</v>
      </c>
      <c r="T219" s="1">
        <f t="shared" si="85"/>
        <v>90.315994049963805</v>
      </c>
      <c r="U219" s="1" t="str">
        <f>IMPRODUCT(COMPLEX(-1,0),IMDIV(COMPLEX(1,C219*Calculations!$B$195*Calculations!$B$197),IMPRODUCT(COMPLEX(0,C219*Calculations!$B$184),COMPLEX((Calculations!$B$197+Calculations!$B$199),C219*Calculations!$B$195*Calculations!$B$197*Calculations!$B$199))))</f>
        <v>-0.00281746519900286+0.05300500630108i</v>
      </c>
      <c r="V219" s="1">
        <f t="shared" si="86"/>
        <v>-25.50140884050488</v>
      </c>
      <c r="W219" s="1">
        <f t="shared" si="87"/>
        <v>93.042676501830826</v>
      </c>
      <c r="X219" s="1" t="str">
        <f t="shared" si="88"/>
        <v>-0.0000826079032570918-4.84801802682359E-06i</v>
      </c>
      <c r="Y219" s="1">
        <f t="shared" si="89"/>
        <v>-81.644635854336968</v>
      </c>
      <c r="Z219" s="1">
        <f t="shared" si="90"/>
        <v>-176.64132944820537</v>
      </c>
    </row>
    <row r="220" spans="1:26">
      <c r="B220" s="1">
        <v>700000</v>
      </c>
      <c r="C220" s="1">
        <f t="shared" si="91"/>
        <v>4398229.7150257099</v>
      </c>
      <c r="D220" s="83" t="str">
        <f t="shared" si="92"/>
        <v>0.003196635998209-0.000356170197873899i</v>
      </c>
      <c r="E220" s="1">
        <f t="shared" si="93"/>
        <v>-49.852552772109526</v>
      </c>
      <c r="F220" s="1">
        <f t="shared" si="94"/>
        <v>-6.3576913214638928</v>
      </c>
      <c r="G220" s="1" t="str">
        <f t="shared" si="95"/>
        <v>-0.00013444698527514-4.84270858161559i</v>
      </c>
      <c r="H220" s="1">
        <f t="shared" si="77"/>
        <v>13.701766711537243</v>
      </c>
      <c r="I220" s="1">
        <f t="shared" si="78"/>
        <v>-90.001590689320381</v>
      </c>
      <c r="J220" s="83" t="str">
        <f t="shared" si="96"/>
        <v>-0.144487740188777+0.0102929784549813i</v>
      </c>
      <c r="K220" s="1">
        <f t="shared" si="79"/>
        <v>-16.781396124048136</v>
      </c>
      <c r="L220" s="1">
        <f t="shared" si="80"/>
        <v>175.92526233787882</v>
      </c>
      <c r="M220" s="1">
        <f t="shared" si="97"/>
        <v>0.192</v>
      </c>
      <c r="N220" s="1">
        <f t="shared" si="98"/>
        <v>2.5000000000000001E-2</v>
      </c>
      <c r="O220" s="1" t="str">
        <f t="shared" si="99"/>
        <v>0.00361938276334505-0.0477671331237009i</v>
      </c>
      <c r="P220" s="1">
        <f t="shared" si="81"/>
        <v>-26.392553596905906</v>
      </c>
      <c r="Q220" s="1">
        <f t="shared" si="82"/>
        <v>-85.666898213280362</v>
      </c>
      <c r="R220" s="1" t="str">
        <f t="shared" si="83"/>
        <v>-6.12672528874841E-06+0.00133377215287988i</v>
      </c>
      <c r="S220" s="1">
        <f t="shared" si="84"/>
        <v>-57.498275447024554</v>
      </c>
      <c r="T220" s="1">
        <f t="shared" si="85"/>
        <v>90.263188155144817</v>
      </c>
      <c r="U220" s="1" t="str">
        <f>IMPRODUCT(COMPLEX(-1,0),IMDIV(COMPLEX(1,C220*Calculations!$B$195*Calculations!$B$197),IMPRODUCT(COMPLEX(0,C220*Calculations!$B$184),COMPLEX((Calculations!$B$197+Calculations!$B$199),C220*Calculations!$B$195*Calculations!$B$197*Calculations!$B$199))))</f>
        <v>-0.0020715895203167+0.0454675706862523i</v>
      </c>
      <c r="V220" s="1">
        <f t="shared" si="86"/>
        <v>-26.836958864810683</v>
      </c>
      <c r="W220" s="1">
        <f t="shared" si="87"/>
        <v>92.608701221495565</v>
      </c>
      <c r="X220" s="1" t="str">
        <f t="shared" si="88"/>
        <v>-0.0000606306875805188-3.04159572953762E-06i</v>
      </c>
      <c r="Y220" s="1">
        <f t="shared" si="89"/>
        <v>-84.335234311835237</v>
      </c>
      <c r="Z220" s="1">
        <f t="shared" si="90"/>
        <v>-177.12811062335962</v>
      </c>
    </row>
    <row r="221" spans="1:26">
      <c r="B221" s="1">
        <v>800000</v>
      </c>
      <c r="C221" s="1">
        <f t="shared" si="91"/>
        <v>5026548.2457436686</v>
      </c>
      <c r="D221" s="83" t="str">
        <f t="shared" si="92"/>
        <v>0.00319662608684986-0.00031164892416935i</v>
      </c>
      <c r="E221" s="1">
        <f t="shared" si="93"/>
        <v>-49.865078897921137</v>
      </c>
      <c r="F221" s="1">
        <f t="shared" si="94"/>
        <v>-5.5683443485704096</v>
      </c>
      <c r="G221" s="1" t="str">
        <f t="shared" si="95"/>
        <v>-0.000102936720675934-4.23736530728126i</v>
      </c>
      <c r="H221" s="1">
        <f t="shared" si="77"/>
        <v>12.541918133644913</v>
      </c>
      <c r="I221" s="1">
        <f t="shared" si="78"/>
        <v>-90.001391864808156</v>
      </c>
      <c r="J221" s="83" t="str">
        <f t="shared" si="96"/>
        <v>-0.144337499823806+0.00900637370117601i</v>
      </c>
      <c r="K221" s="1">
        <f t="shared" si="79"/>
        <v>-16.795539957463888</v>
      </c>
      <c r="L221" s="1">
        <f t="shared" si="80"/>
        <v>176.4294861475725</v>
      </c>
      <c r="M221" s="1">
        <f t="shared" si="97"/>
        <v>0.192</v>
      </c>
      <c r="N221" s="1">
        <f t="shared" si="98"/>
        <v>2.5000000000000001E-2</v>
      </c>
      <c r="O221" s="1" t="str">
        <f t="shared" si="99"/>
        <v>0.00277485436762005-0.0418526256653819i</v>
      </c>
      <c r="P221" s="1">
        <f t="shared" si="81"/>
        <v>-27.546497067864703</v>
      </c>
      <c r="Q221" s="1">
        <f t="shared" si="82"/>
        <v>-86.206806703769672</v>
      </c>
      <c r="R221" s="1" t="str">
        <f t="shared" si="83"/>
        <v>-4.59610553083545E-06+0.00116564379000479i</v>
      </c>
      <c r="S221" s="1">
        <f t="shared" si="84"/>
        <v>-58.668615394345871</v>
      </c>
      <c r="T221" s="1">
        <f t="shared" si="85"/>
        <v>90.225914714835426</v>
      </c>
      <c r="U221" s="1" t="str">
        <f>IMPRODUCT(COMPLEX(-1,0),IMDIV(COMPLEX(1,C221*Calculations!$B$195*Calculations!$B$197),IMPRODUCT(COMPLEX(0,C221*Calculations!$B$184),COMPLEX((Calculations!$B$197+Calculations!$B$199),C221*Calculations!$B$195*Calculations!$B$197*Calculations!$B$199))))</f>
        <v>-0.00158686432948847+0.0398038607791139i</v>
      </c>
      <c r="V221" s="1">
        <f t="shared" si="86"/>
        <v>-27.994598895894601</v>
      </c>
      <c r="W221" s="1">
        <f t="shared" si="87"/>
        <v>92.283007314872108</v>
      </c>
      <c r="X221" s="1" t="str">
        <f t="shared" si="88"/>
        <v>-0.0000463898297394679-2.03266129592384E-06i</v>
      </c>
      <c r="Y221" s="1">
        <f t="shared" si="89"/>
        <v>-86.663214290240461</v>
      </c>
      <c r="Z221" s="1">
        <f t="shared" si="90"/>
        <v>-177.49107797029245</v>
      </c>
    </row>
    <row r="222" spans="1:26">
      <c r="B222" s="1">
        <v>900000</v>
      </c>
      <c r="C222" s="1">
        <f t="shared" si="91"/>
        <v>5654866.7764616273</v>
      </c>
      <c r="D222" s="83" t="str">
        <f t="shared" si="92"/>
        <v>0.00319661929165463-0.000277021266555823i</v>
      </c>
      <c r="E222" s="1">
        <f t="shared" si="93"/>
        <v>-49.873687692020845</v>
      </c>
      <c r="F222" s="1">
        <f t="shared" si="94"/>
        <v>-4.9529181811948728</v>
      </c>
      <c r="G222" s="1" t="str">
        <f t="shared" si="95"/>
        <v>-0.0000813331225351912-3.7665440745454i</v>
      </c>
      <c r="H222" s="1">
        <f t="shared" si="77"/>
        <v>11.518861076690181</v>
      </c>
      <c r="I222" s="1">
        <f t="shared" si="78"/>
        <v>-90.00123722026423</v>
      </c>
      <c r="J222" s="83" t="str">
        <f t="shared" si="96"/>
        <v>-0.144234495715474+0.00800567620928328i</v>
      </c>
      <c r="K222" s="1">
        <f t="shared" si="79"/>
        <v>-16.805258190731017</v>
      </c>
      <c r="L222" s="1">
        <f t="shared" si="80"/>
        <v>176.823081148981</v>
      </c>
      <c r="M222" s="1">
        <f t="shared" si="97"/>
        <v>0.192</v>
      </c>
      <c r="N222" s="1">
        <f t="shared" si="98"/>
        <v>2.5000000000000001E-2</v>
      </c>
      <c r="O222" s="1" t="str">
        <f t="shared" si="99"/>
        <v>0.0021945214184351-0.0372367742889776i</v>
      </c>
      <c r="P222" s="1">
        <f t="shared" si="81"/>
        <v>-28.565500973253791</v>
      </c>
      <c r="Q222" s="1">
        <f t="shared" si="82"/>
        <v>-86.627217348746484</v>
      </c>
      <c r="R222" s="1" t="str">
        <f t="shared" si="83"/>
        <v>-3.58013550009782E-06+0.001035268851516i</v>
      </c>
      <c r="S222" s="1">
        <f t="shared" si="84"/>
        <v>-59.6988851144447</v>
      </c>
      <c r="T222" s="1">
        <f t="shared" si="85"/>
        <v>90.198137745810698</v>
      </c>
      <c r="U222" s="1" t="str">
        <f>IMPRODUCT(COMPLEX(-1,0),IMDIV(COMPLEX(1,C222*Calculations!$B$195*Calculations!$B$197),IMPRODUCT(COMPLEX(0,C222*Calculations!$B$184),COMPLEX((Calculations!$B$197+Calculations!$B$199),C222*Calculations!$B$195*Calculations!$B$197*Calculations!$B$199))))</f>
        <v>-0.00125425441797425+0.0353932476175725i</v>
      </c>
      <c r="V222" s="1">
        <f t="shared" si="86"/>
        <v>-29.016141136303759</v>
      </c>
      <c r="W222" s="1">
        <f t="shared" si="87"/>
        <v>92.029579914885431</v>
      </c>
      <c r="X222" s="1" t="str">
        <f t="shared" si="88"/>
        <v>-0.0000366370364116977-0.0000014252031530645i</v>
      </c>
      <c r="Y222" s="1">
        <f t="shared" si="89"/>
        <v>-88.715026250748465</v>
      </c>
      <c r="Z222" s="1">
        <f t="shared" si="90"/>
        <v>-177.77228233930384</v>
      </c>
    </row>
    <row r="223" spans="1:26" ht="15" thickBot="1">
      <c r="B223" s="98">
        <v>1000000</v>
      </c>
      <c r="C223" s="98">
        <f t="shared" si="91"/>
        <v>6283185.307179586</v>
      </c>
      <c r="D223" s="113" t="str">
        <f t="shared" si="92"/>
        <v>0.00319661443109143-0.00024931914030421i</v>
      </c>
      <c r="E223" s="98">
        <f t="shared" si="93"/>
        <v>-49.879855997386038</v>
      </c>
      <c r="F223" s="98">
        <f t="shared" si="94"/>
        <v>-4.4597414288275701</v>
      </c>
      <c r="G223" s="98" t="str">
        <f t="shared" si="95"/>
        <v>-0.0000658800638842756-3.38988782253987i</v>
      </c>
      <c r="H223" s="98">
        <f t="shared" si="77"/>
        <v>10.603706538811062</v>
      </c>
      <c r="I223" s="98">
        <f t="shared" si="78"/>
        <v>-90.001113502809446</v>
      </c>
      <c r="J223" s="113" t="str">
        <f t="shared" si="96"/>
        <v>-0.144160817578142+0.00720511547476471i</v>
      </c>
      <c r="K223" s="98">
        <f t="shared" si="79"/>
        <v>-16.812220243249637</v>
      </c>
      <c r="L223" s="98">
        <f t="shared" si="80"/>
        <v>177.13875455845681</v>
      </c>
      <c r="M223" s="98">
        <f t="shared" si="97"/>
        <v>0.192</v>
      </c>
      <c r="N223" s="98">
        <f t="shared" si="98"/>
        <v>2.5000000000000001E-2</v>
      </c>
      <c r="O223" s="98" t="str">
        <f t="shared" si="99"/>
        <v>0.00177874845159321-0.0335353038279558i</v>
      </c>
      <c r="P223" s="98">
        <f t="shared" si="81"/>
        <v>-29.477754000684119</v>
      </c>
      <c r="Q223" s="98">
        <f t="shared" si="82"/>
        <v>-86.963815611735271</v>
      </c>
      <c r="R223" s="98" t="str">
        <f t="shared" si="83"/>
        <v>-2.87012563531897E-06+0.000931188275375487i</v>
      </c>
      <c r="S223" s="98">
        <f t="shared" si="84"/>
        <v>-60.619208759453969</v>
      </c>
      <c r="T223" s="98">
        <f t="shared" si="85"/>
        <v>90.176597546573433</v>
      </c>
      <c r="U223" s="98" t="str">
        <f>IMPRODUCT(COMPLEX(-1,0),IMDIV(COMPLEX(1,C223*Calculations!$B$195*Calculations!$B$197),IMPRODUCT(COMPLEX(0,C223*Calculations!$B$184),COMPLEX((Calculations!$B$197+Calculations!$B$199),C223*Calculations!$B$195*Calculations!$B$197*Calculations!$B$199))))</f>
        <v>-0.0010161986618504+0.0318616771389146i</v>
      </c>
      <c r="V223" s="98">
        <f t="shared" si="86"/>
        <v>-29.930211813135976</v>
      </c>
      <c r="W223" s="98">
        <f t="shared" si="87"/>
        <v>91.826776533354561</v>
      </c>
      <c r="X223" s="98" t="str">
        <f t="shared" si="88"/>
        <v>-0.0000296663035677265-1.03771929570801E-06i</v>
      </c>
      <c r="Y223" s="98">
        <f t="shared" si="89"/>
        <v>-90.549420572589952</v>
      </c>
      <c r="Z223" s="98">
        <f t="shared" si="90"/>
        <v>-177.99662592007198</v>
      </c>
    </row>
    <row r="224" spans="1:26">
      <c r="A224" s="82" t="s">
        <v>407</v>
      </c>
      <c r="B224" s="106">
        <f>Calculations!B189</f>
        <v>2000</v>
      </c>
      <c r="C224" s="107">
        <f t="shared" si="91"/>
        <v>12566.370614359172</v>
      </c>
      <c r="D224" s="108" t="str">
        <f t="shared" si="92"/>
        <v>0.00836800042675561-0.124444668697876i</v>
      </c>
      <c r="E224" s="107">
        <f t="shared" si="93"/>
        <v>-18.08088134642303</v>
      </c>
      <c r="F224" s="107">
        <f t="shared" ref="F224" si="100">IMARGUMENT(D224)*(180/PI())</f>
        <v>-86.153065936089021</v>
      </c>
      <c r="G224" s="107" t="str">
        <f t="shared" si="95"/>
        <v>356.500868217953-3965.96049731777i</v>
      </c>
      <c r="H224" s="107">
        <f t="shared" si="77"/>
        <v>72.001918714556879</v>
      </c>
      <c r="I224" s="107">
        <f t="shared" ref="I224" si="101">IMARGUMENT(G224)*(180/PI())</f>
        <v>-84.863477666438669</v>
      </c>
      <c r="J224" s="108" t="str">
        <f t="shared" si="96"/>
        <v>-182.101880405739-23.1379764791747i</v>
      </c>
      <c r="K224" s="107">
        <f t="shared" si="79"/>
        <v>45.275842885714432</v>
      </c>
      <c r="L224" s="107">
        <f t="shared" ref="L224" si="102">IMARGUMENT(J224)*(180/PI())</f>
        <v>-172.75876525564129</v>
      </c>
      <c r="M224" s="107">
        <f t="shared" si="97"/>
        <v>0.192</v>
      </c>
      <c r="N224" s="107">
        <f t="shared" si="98"/>
        <v>2.5000000000000001E-2</v>
      </c>
      <c r="O224" s="107" t="str">
        <f t="shared" si="99"/>
        <v>0.624420511883016-0.139603987008698i</v>
      </c>
      <c r="P224" s="107">
        <f t="shared" si="81"/>
        <v>-3.8786250588826094</v>
      </c>
      <c r="Q224" s="107">
        <f t="shared" ref="Q224" si="103">IMARGUMENT(O224)*(180/PI())</f>
        <v>-12.602575075049378</v>
      </c>
      <c r="R224" s="107" t="str">
        <f t="shared" ref="R224" si="104">IMDIV(IMPRODUCT(O224,J224,COMPLEX(M224,0)),IMSUM(COMPLEX(1,0),IMPRODUCT(G224,O224,COMPLEX(M224,0),COMPLEX(N224,0))))</f>
        <v>-0.0836186183320398-1.85567315334909i</v>
      </c>
      <c r="S224" s="107">
        <f t="shared" si="84"/>
        <v>5.3788391031077651</v>
      </c>
      <c r="T224" s="107">
        <f t="shared" ref="T224" si="105">IMARGUMENT(R224)*(180/PI())</f>
        <v>-92.58006381721826</v>
      </c>
      <c r="U224" s="8" t="str">
        <f>IMPRODUCT(COMPLEX(-1,0),IMDIV(COMPLEX(1,C224*Calculations!$B$195*Calculations!$B$197),IMPRODUCT(COMPLEX(0,C224*Calculations!$B$184),COMPLEX((Calculations!$B$197+Calculations!$B$199),C224*Calculations!$B$195*Calculations!$B$197*Calculations!$B$199))))</f>
        <v>-0.955166444060245+0.390884311238777i</v>
      </c>
      <c r="V224" s="8">
        <f t="shared" si="86"/>
        <v>0.27404036196468179</v>
      </c>
      <c r="W224" s="8">
        <f t="shared" si="87"/>
        <v>157.74407035526522</v>
      </c>
      <c r="X224" s="8" t="str">
        <f t="shared" si="88"/>
        <v>0.805223220760594+1.73979152118905i</v>
      </c>
      <c r="Y224" s="8">
        <f t="shared" si="89"/>
        <v>5.6528794650724299</v>
      </c>
      <c r="Z224" s="9">
        <f t="shared" si="90"/>
        <v>65.164006538046905</v>
      </c>
    </row>
    <row r="225" spans="1:26">
      <c r="A225" t="s">
        <v>449</v>
      </c>
      <c r="B225" s="114">
        <f>Calculations!B200</f>
        <v>678.61230158996841</v>
      </c>
      <c r="C225" s="92">
        <f t="shared" si="91"/>
        <v>4263.8468426214113</v>
      </c>
      <c r="D225" s="93" t="str">
        <f t="shared" si="92"/>
        <v>0.047527709967066-0.361966184623954i</v>
      </c>
      <c r="E225" s="92">
        <f t="shared" si="93"/>
        <v>-8.7524022298619695</v>
      </c>
      <c r="F225" s="92">
        <f t="shared" ref="F225:F228" si="106">IMARGUMENT(D225)*(180/PI())</f>
        <v>-82.519612256841484</v>
      </c>
      <c r="G225" s="92" t="str">
        <f t="shared" si="95"/>
        <v>368.574569355037+1219.45572977394i</v>
      </c>
      <c r="H225" s="92">
        <f t="shared" si="77"/>
        <v>62.102969758381491</v>
      </c>
      <c r="I225" s="92">
        <f t="shared" ref="I225:I228" si="107">IMARGUMENT(G225)*(180/PI())</f>
        <v>73.182813105598782</v>
      </c>
      <c r="J225" s="93" t="str">
        <f t="shared" si="96"/>
        <v>167.86575762527-11.6385243519791i</v>
      </c>
      <c r="K225" s="92">
        <f t="shared" si="79"/>
        <v>44.520068696866126</v>
      </c>
      <c r="L225" s="92">
        <f t="shared" ref="L225:L228" si="108">IMARGUMENT(J225)*(180/PI())</f>
        <v>-3.9661031209401907</v>
      </c>
      <c r="M225" s="92">
        <f t="shared" si="97"/>
        <v>0.192</v>
      </c>
      <c r="N225" s="92">
        <f t="shared" si="98"/>
        <v>2.5000000000000001E-2</v>
      </c>
      <c r="O225" s="92" t="str">
        <f t="shared" si="99"/>
        <v>0.625195118399657-0.350472935819303i</v>
      </c>
      <c r="P225" s="92">
        <f t="shared" si="81"/>
        <v>-2.8929025266793258</v>
      </c>
      <c r="Q225" s="92">
        <f t="shared" ref="Q225:Q228" si="109">IMARGUMENT(O225)*(180/PI())</f>
        <v>-29.274191817478982</v>
      </c>
      <c r="R225" s="92" t="str">
        <f t="shared" ref="R225:R228" si="110">IMDIV(IMPRODUCT(O225,J225,COMPLEX(M225,0)),IMSUM(COMPLEX(1,0),IMPRODUCT(G225,O225,COMPLEX(M225,0),COMPLEX(N225,0))))</f>
        <v>1.58121785050583-4.20898248067643i</v>
      </c>
      <c r="S225" s="92">
        <f t="shared" si="84"/>
        <v>13.056905760196258</v>
      </c>
      <c r="T225" s="92">
        <f t="shared" ref="T225:T228" si="111">IMARGUMENT(R225)*(180/PI())</f>
        <v>-69.40995607085155</v>
      </c>
      <c r="U225" s="1" t="str">
        <f>IMPRODUCT(COMPLEX(-1,0),IMDIV(COMPLEX(1,C225*Calculations!$B$195*Calculations!$B$197),IMPRODUCT(COMPLEX(0,C225*Calculations!$B$184),COMPLEX((Calculations!$B$197+Calculations!$B$199),C225*Calculations!$B$195*Calculations!$B$197*Calculations!$B$199))))</f>
        <v>-0.958351409978309+0.999132321041215i</v>
      </c>
      <c r="V225" s="1">
        <f t="shared" si="86"/>
        <v>2.8255478180974967</v>
      </c>
      <c r="W225" s="1">
        <f t="shared" ref="W225:W228" si="112">IMARGUMENT(U225)*(180/PI())</f>
        <v>133.80651057601798</v>
      </c>
      <c r="X225" s="1" t="str">
        <f t="shared" ref="X225:X228" si="113">IMPRODUCT(U225,R225)</f>
        <v>2.68996807862492+5.61353015597795i</v>
      </c>
      <c r="Y225" s="1">
        <f t="shared" si="89"/>
        <v>15.882453578293756</v>
      </c>
      <c r="Z225" s="6">
        <f t="shared" ref="Z225:Z228" si="114">IMARGUMENT(X225)*(180/PI())</f>
        <v>64.396554505166449</v>
      </c>
    </row>
    <row r="226" spans="1:26">
      <c r="A226" t="s">
        <v>450</v>
      </c>
      <c r="B226" s="27">
        <f>Calculations!B201</f>
        <v>31894.778174728515</v>
      </c>
      <c r="C226" s="92">
        <f t="shared" si="91"/>
        <v>200400.80160320635</v>
      </c>
      <c r="D226" s="93" t="str">
        <f t="shared" si="92"/>
        <v>0.00321696300004262-0.00781687358768662i</v>
      </c>
      <c r="E226" s="92">
        <f t="shared" si="93"/>
        <v>-41.459834002631098</v>
      </c>
      <c r="F226" s="92">
        <f t="shared" si="106"/>
        <v>-67.630831169411891</v>
      </c>
      <c r="G226" s="92" t="str">
        <f t="shared" si="95"/>
        <v>-0.0637908716350221-106.526136166018i</v>
      </c>
      <c r="H226" s="92">
        <f t="shared" si="77"/>
        <v>40.549125055598296</v>
      </c>
      <c r="I226" s="92">
        <f t="shared" si="107"/>
        <v>-90.034310333696581</v>
      </c>
      <c r="J226" s="93" t="str">
        <f t="shared" si="96"/>
        <v>-0.45331276400236+0.224993479771958i</v>
      </c>
      <c r="K226" s="92">
        <f t="shared" si="79"/>
        <v>-5.9156578573142582</v>
      </c>
      <c r="L226" s="92">
        <f t="shared" si="108"/>
        <v>153.60333942877384</v>
      </c>
      <c r="M226" s="92">
        <f t="shared" si="97"/>
        <v>0.192</v>
      </c>
      <c r="N226" s="92">
        <f t="shared" si="98"/>
        <v>2.5000000000000001E-2</v>
      </c>
      <c r="O226" s="92" t="str">
        <f t="shared" si="99"/>
        <v>0.460931110800619-0.282534862088112i</v>
      </c>
      <c r="P226" s="92">
        <f t="shared" si="81"/>
        <v>-5.3419579407418807</v>
      </c>
      <c r="Q226" s="92">
        <f t="shared" si="109"/>
        <v>-31.506859758543161</v>
      </c>
      <c r="R226" s="92" t="str">
        <f t="shared" si="110"/>
        <v>-0.0436493142479708+0.040003453158328i</v>
      </c>
      <c r="S226" s="92">
        <f t="shared" si="84"/>
        <v>-24.552452094142659</v>
      </c>
      <c r="T226" s="92">
        <f t="shared" si="111"/>
        <v>137.4955580825843</v>
      </c>
      <c r="U226" s="1" t="str">
        <f>IMPRODUCT(COMPLEX(-1,0),IMDIV(COMPLEX(1,C226*Calculations!$B$195*Calculations!$B$197),IMPRODUCT(COMPLEX(0,C226*Calculations!$B$184),COMPLEX((Calculations!$B$197+Calculations!$B$199),C226*Calculations!$B$195*Calculations!$B$197*Calculations!$B$199))))</f>
        <v>-0.489474850432085+0.500110791048083i</v>
      </c>
      <c r="V226" s="1">
        <f t="shared" si="86"/>
        <v>-3.1007305983503541</v>
      </c>
      <c r="W226" s="1">
        <f t="shared" si="112"/>
        <v>134.38421595924925</v>
      </c>
      <c r="X226" s="1" t="str">
        <f t="shared" si="113"/>
        <v>0.00135908295932223-0.0414101773286985i</v>
      </c>
      <c r="Y226" s="1">
        <f t="shared" si="89"/>
        <v>-27.653182692493026</v>
      </c>
      <c r="Z226" s="6">
        <f t="shared" si="114"/>
        <v>-88.120225958166444</v>
      </c>
    </row>
    <row r="227" spans="1:26">
      <c r="A227" t="s">
        <v>451</v>
      </c>
      <c r="B227" s="27">
        <f>Calculations!B186</f>
        <v>166.40061554034898</v>
      </c>
      <c r="C227" s="92">
        <f t="shared" si="91"/>
        <v>1045.5259026687597</v>
      </c>
      <c r="D227" s="93" t="str">
        <f t="shared" si="92"/>
        <v>0.602136163481202-1.19915559955401i</v>
      </c>
      <c r="E227" s="92">
        <f t="shared" si="93"/>
        <v>2.5540328316203906</v>
      </c>
      <c r="F227" s="92">
        <f t="shared" si="106"/>
        <v>-63.337241192757453</v>
      </c>
      <c r="G227" s="92" t="str">
        <f t="shared" si="95"/>
        <v>248.484212305243+243.762258691387i</v>
      </c>
      <c r="H227" s="92">
        <f t="shared" si="77"/>
        <v>50.833751884782018</v>
      </c>
      <c r="I227" s="92">
        <f t="shared" si="107"/>
        <v>44.450397857584861</v>
      </c>
      <c r="J227" s="93" t="str">
        <f t="shared" si="96"/>
        <v>136.584173863775-1.98088480461901i</v>
      </c>
      <c r="K227" s="92">
        <f t="shared" si="79"/>
        <v>42.708920993187704</v>
      </c>
      <c r="L227" s="92">
        <f t="shared" si="108"/>
        <v>-0.83090433737711378</v>
      </c>
      <c r="M227" s="92">
        <f t="shared" si="97"/>
        <v>0.192</v>
      </c>
      <c r="N227" s="92">
        <f t="shared" si="98"/>
        <v>2.5000000000000001E-2</v>
      </c>
      <c r="O227" s="92" t="str">
        <f t="shared" si="99"/>
        <v>0.625289972948294-1.39884664284739i</v>
      </c>
      <c r="P227" s="92">
        <f t="shared" si="81"/>
        <v>3.7065360294488632</v>
      </c>
      <c r="Q227" s="92">
        <f t="shared" si="109"/>
        <v>-65.915168128316253</v>
      </c>
      <c r="R227" s="92" t="str">
        <f t="shared" si="110"/>
        <v>7.16402390672552-8.93119623933489i</v>
      </c>
      <c r="S227" s="92">
        <f t="shared" si="84"/>
        <v>21.175679228938414</v>
      </c>
      <c r="T227" s="92">
        <f t="shared" si="111"/>
        <v>-51.265684706678471</v>
      </c>
      <c r="U227" s="1" t="str">
        <f>IMPRODUCT(COMPLEX(-1,0),IMDIV(COMPLEX(1,C227*Calculations!$B$195*Calculations!$B$197),IMPRODUCT(COMPLEX(0,C227*Calculations!$B$184),COMPLEX((Calculations!$B$197+Calculations!$B$199),C227*Calculations!$B$195*Calculations!$B$197*Calculations!$B$199))))</f>
        <v>-0.958742341195895+3.99811939766271i</v>
      </c>
      <c r="V227" s="1">
        <f t="shared" si="86"/>
        <v>12.279932246223629</v>
      </c>
      <c r="W227" s="1">
        <f t="shared" si="112"/>
        <v>103.48480706853653</v>
      </c>
      <c r="X227" s="1" t="str">
        <f t="shared" si="113"/>
        <v>28.8395358760997+37.2053389389786i</v>
      </c>
      <c r="Y227" s="1">
        <f t="shared" si="89"/>
        <v>33.455611475162044</v>
      </c>
      <c r="Z227" s="6">
        <f t="shared" si="114"/>
        <v>52.219122361858055</v>
      </c>
    </row>
    <row r="228" spans="1:26" ht="15" thickBot="1">
      <c r="A228" t="s">
        <v>452</v>
      </c>
      <c r="B228" s="28">
        <f>Calculations!B187</f>
        <v>27842.708720567978</v>
      </c>
      <c r="C228" s="94">
        <f t="shared" si="91"/>
        <v>174940.89834515366</v>
      </c>
      <c r="D228" s="109" t="str">
        <f t="shared" si="92"/>
        <v>0.00322332323103807-0.00895447792064477i</v>
      </c>
      <c r="E228" s="94">
        <f t="shared" si="93"/>
        <v>-40.430037046285115</v>
      </c>
      <c r="F228" s="94">
        <f t="shared" si="106"/>
        <v>-70.20275967071349</v>
      </c>
      <c r="G228" s="94" t="str">
        <f t="shared" si="95"/>
        <v>-0.0833089508320889-122.116488926703i</v>
      </c>
      <c r="H228" s="94">
        <f t="shared" si="77"/>
        <v>41.735488202090579</v>
      </c>
      <c r="I228" s="94">
        <f t="shared" si="107"/>
        <v>-90.039087682423471</v>
      </c>
      <c r="J228" s="109" t="str">
        <f t="shared" si="96"/>
        <v>-0.550231114475715+0.257409716191403i</v>
      </c>
      <c r="K228" s="94">
        <f t="shared" si="79"/>
        <v>-4.3295710821822286</v>
      </c>
      <c r="L228" s="94">
        <f t="shared" si="108"/>
        <v>154.92881587032056</v>
      </c>
      <c r="M228" s="94">
        <f t="shared" si="97"/>
        <v>0.192</v>
      </c>
      <c r="N228" s="94">
        <f t="shared" si="98"/>
        <v>2.5000000000000001E-2</v>
      </c>
      <c r="O228" s="94" t="str">
        <f t="shared" si="99"/>
        <v>0.491684626364051-0.264658230028885i</v>
      </c>
      <c r="P228" s="94">
        <f t="shared" si="81"/>
        <v>-5.06127022367831</v>
      </c>
      <c r="Q228" s="94">
        <f t="shared" si="109"/>
        <v>-28.292170308422872</v>
      </c>
      <c r="R228" s="94" t="str">
        <f t="shared" si="110"/>
        <v>-0.0601190039463459+0.0413649029536493i</v>
      </c>
      <c r="S228" s="94">
        <f t="shared" si="84"/>
        <v>-22.736518573618206</v>
      </c>
      <c r="T228" s="94">
        <f t="shared" si="111"/>
        <v>145.47006955977338</v>
      </c>
      <c r="U228" s="87" t="str">
        <f>IMPRODUCT(COMPLEX(-1,0),IMDIV(COMPLEX(1,C228*Calculations!$B$195*Calculations!$B$197),IMPRODUCT(COMPLEX(0,C228*Calculations!$B$184),COMPLEX((Calculations!$B$197+Calculations!$B$199),C228*Calculations!$B$195*Calculations!$B$197*Calculations!$B$199))))</f>
        <v>-0.553999291062717+0.497406451445883i</v>
      </c>
      <c r="V228" s="87">
        <f t="shared" si="86"/>
        <v>-2.5623287647997124</v>
      </c>
      <c r="W228" s="87">
        <f t="shared" si="112"/>
        <v>138.08102259139832</v>
      </c>
      <c r="X228" s="87" t="str">
        <f t="shared" si="113"/>
        <v>0.0127307159730943-0.0528197073286128i</v>
      </c>
      <c r="Y228" s="87">
        <f t="shared" si="89"/>
        <v>-25.298847338417914</v>
      </c>
      <c r="Z228" s="88">
        <f t="shared" si="114"/>
        <v>-76.448907848828284</v>
      </c>
    </row>
  </sheetData>
  <mergeCells count="47">
    <mergeCell ref="X167:Z167"/>
    <mergeCell ref="G77:I77"/>
    <mergeCell ref="M77:N77"/>
    <mergeCell ref="D76:T76"/>
    <mergeCell ref="O77:Q77"/>
    <mergeCell ref="R77:T77"/>
    <mergeCell ref="U77:W77"/>
    <mergeCell ref="R167:T167"/>
    <mergeCell ref="M166:N166"/>
    <mergeCell ref="O166:Q166"/>
    <mergeCell ref="R166:T166"/>
    <mergeCell ref="U167:W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BR167:BT167"/>
    <mergeCell ref="BU167:BW167"/>
    <mergeCell ref="BX167:BZ167"/>
    <mergeCell ref="CD166:CO166"/>
    <mergeCell ref="CA167:CC167"/>
    <mergeCell ref="CD167:CF167"/>
    <mergeCell ref="CG167:CI167"/>
    <mergeCell ref="CJ167:CL167"/>
    <mergeCell ref="CM167:CO167"/>
    <mergeCell ref="BC167:BE167"/>
    <mergeCell ref="BF167:BH167"/>
    <mergeCell ref="BI167:BK167"/>
    <mergeCell ref="BL167:BN167"/>
    <mergeCell ref="BO167:BQ167"/>
    <mergeCell ref="B76:C77"/>
    <mergeCell ref="D77:F77"/>
    <mergeCell ref="J77:L77"/>
    <mergeCell ref="BC166:BN166"/>
    <mergeCell ref="BO166:BZ166"/>
  </mergeCells>
  <phoneticPr fontId="31"/>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baseColWidth="10" defaultColWidth="8.83203125" defaultRowHeight="14"/>
  <sheetData/>
  <phoneticPr fontId="31"/>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baseColWidth="10" defaultColWidth="8.83203125" defaultRowHeight="14"/>
  <cols>
    <col min="1" max="1" width="34.6640625" style="12" customWidth="1"/>
    <col min="2" max="2" width="9.1640625" style="5"/>
    <col min="3" max="3" width="12" style="1" bestFit="1" customWidth="1"/>
    <col min="4" max="4" width="9.1640625" style="6"/>
    <col min="5" max="5" width="9.1640625" style="13"/>
  </cols>
  <sheetData>
    <row r="1" spans="1:9">
      <c r="A1" s="10" t="s">
        <v>17</v>
      </c>
      <c r="B1" s="7" t="s">
        <v>18</v>
      </c>
      <c r="C1" s="8" t="s">
        <v>19</v>
      </c>
      <c r="D1" s="9" t="s">
        <v>20</v>
      </c>
      <c r="E1" s="11" t="s">
        <v>21</v>
      </c>
    </row>
    <row r="2" spans="1:9">
      <c r="A2" s="220" t="s">
        <v>91</v>
      </c>
      <c r="B2" s="201"/>
      <c r="C2" s="201"/>
      <c r="D2" s="201"/>
      <c r="E2" s="221"/>
    </row>
    <row r="3" spans="1:9">
      <c r="A3" s="12" t="s">
        <v>22</v>
      </c>
      <c r="C3" s="1">
        <f>200*(10^-9)</f>
        <v>2.0000000000000002E-7</v>
      </c>
      <c r="E3" s="13" t="s">
        <v>23</v>
      </c>
    </row>
    <row r="4" spans="1:9">
      <c r="A4" s="12" t="s">
        <v>41</v>
      </c>
      <c r="C4" s="1">
        <f>1*10^-3</f>
        <v>1E-3</v>
      </c>
      <c r="E4" s="13" t="s">
        <v>42</v>
      </c>
    </row>
    <row r="5" spans="1:9">
      <c r="A5" s="12" t="s">
        <v>43</v>
      </c>
      <c r="C5" s="1">
        <v>50</v>
      </c>
      <c r="E5" s="13" t="s">
        <v>42</v>
      </c>
    </row>
    <row r="6" spans="1:9">
      <c r="A6" s="12" t="s">
        <v>185</v>
      </c>
      <c r="C6" s="1">
        <v>0.05</v>
      </c>
      <c r="E6" s="13" t="s">
        <v>1</v>
      </c>
    </row>
    <row r="7" spans="1:9">
      <c r="A7" s="12" t="s">
        <v>46</v>
      </c>
      <c r="C7" s="1">
        <v>0.02</v>
      </c>
      <c r="E7" s="13" t="s">
        <v>42</v>
      </c>
    </row>
    <row r="8" spans="1:9">
      <c r="A8" s="12" t="s">
        <v>47</v>
      </c>
      <c r="C8" s="1">
        <v>6.25E-2</v>
      </c>
      <c r="E8" s="13" t="s">
        <v>42</v>
      </c>
    </row>
    <row r="9" spans="1:9">
      <c r="A9" s="12" t="s">
        <v>64</v>
      </c>
      <c r="C9" s="1">
        <f>100*10^3</f>
        <v>100000</v>
      </c>
      <c r="E9" s="13" t="s">
        <v>56</v>
      </c>
    </row>
    <row r="10" spans="1:9">
      <c r="A10" s="12" t="s">
        <v>45</v>
      </c>
      <c r="C10" s="1">
        <v>1.23</v>
      </c>
      <c r="E10" s="13" t="s">
        <v>1</v>
      </c>
      <c r="I10" t="s">
        <v>70</v>
      </c>
    </row>
    <row r="11" spans="1:9">
      <c r="A11" s="12" t="s">
        <v>69</v>
      </c>
      <c r="C11" s="1">
        <v>2.5</v>
      </c>
      <c r="E11" s="13" t="s">
        <v>1</v>
      </c>
    </row>
    <row r="12" spans="1:9">
      <c r="A12" s="12" t="s">
        <v>66</v>
      </c>
      <c r="C12" s="1">
        <v>1.25</v>
      </c>
      <c r="E12" s="13" t="s">
        <v>1</v>
      </c>
    </row>
    <row r="13" spans="1:9">
      <c r="A13" s="12" t="s">
        <v>180</v>
      </c>
      <c r="C13" s="1">
        <f>25*(10^-6)</f>
        <v>2.4999999999999998E-5</v>
      </c>
      <c r="E13" s="13" t="s">
        <v>4</v>
      </c>
    </row>
    <row r="14" spans="1:9">
      <c r="A14" s="12" t="s">
        <v>65</v>
      </c>
      <c r="C14" s="1">
        <v>8</v>
      </c>
      <c r="E14" s="13" t="s">
        <v>1</v>
      </c>
    </row>
    <row r="15" spans="1:9">
      <c r="A15" s="12" t="s">
        <v>48</v>
      </c>
      <c r="C15" s="1">
        <f>25*(10^-6)</f>
        <v>2.4999999999999998E-5</v>
      </c>
      <c r="E15" s="13" t="s">
        <v>4</v>
      </c>
    </row>
    <row r="16" spans="1:9">
      <c r="A16" s="12" t="s">
        <v>49</v>
      </c>
      <c r="C16" s="1">
        <v>200</v>
      </c>
      <c r="E16" s="13" t="s">
        <v>50</v>
      </c>
    </row>
    <row r="17" spans="1:5">
      <c r="A17" s="12" t="s">
        <v>53</v>
      </c>
      <c r="C17" s="1">
        <f>4*(10^9)</f>
        <v>4000000000</v>
      </c>
      <c r="E17" s="13" t="s">
        <v>51</v>
      </c>
    </row>
    <row r="18" spans="1:5">
      <c r="A18" s="12" t="s">
        <v>52</v>
      </c>
      <c r="C18" s="1">
        <v>1.1850000000000001</v>
      </c>
      <c r="E18" s="13" t="s">
        <v>1</v>
      </c>
    </row>
    <row r="19" spans="1:5">
      <c r="A19" s="12" t="s">
        <v>54</v>
      </c>
      <c r="C19" s="1">
        <f>3*10^6</f>
        <v>3000000</v>
      </c>
      <c r="E19" s="13" t="s">
        <v>56</v>
      </c>
    </row>
    <row r="20" spans="1:5">
      <c r="A20" s="12" t="s">
        <v>55</v>
      </c>
      <c r="C20" s="1">
        <f>1*10^6</f>
        <v>1000000</v>
      </c>
      <c r="E20" s="13" t="s">
        <v>56</v>
      </c>
    </row>
    <row r="21" spans="1:5">
      <c r="A21" s="12" t="s">
        <v>57</v>
      </c>
      <c r="C21" s="1">
        <f>25*(10^-6)</f>
        <v>2.4999999999999998E-5</v>
      </c>
      <c r="E21" s="13" t="s">
        <v>4</v>
      </c>
    </row>
    <row r="22" spans="1:5">
      <c r="A22" s="12" t="s">
        <v>63</v>
      </c>
      <c r="C22" s="1">
        <f>1.1*(10^-6)</f>
        <v>1.1000000000000001E-6</v>
      </c>
      <c r="E22" s="13" t="s">
        <v>4</v>
      </c>
    </row>
    <row r="23" spans="1:5">
      <c r="A23" s="12" t="s">
        <v>62</v>
      </c>
      <c r="C23" s="1">
        <f>3*10^-3</f>
        <v>3.0000000000000001E-3</v>
      </c>
      <c r="E23" s="13" t="s">
        <v>1</v>
      </c>
    </row>
    <row r="24" spans="1:5">
      <c r="A24" s="12" t="s">
        <v>58</v>
      </c>
      <c r="C24" s="1">
        <f>10*10^3</f>
        <v>10000</v>
      </c>
      <c r="E24" s="13" t="s">
        <v>56</v>
      </c>
    </row>
    <row r="25" spans="1:5">
      <c r="A25" s="12" t="s">
        <v>59</v>
      </c>
      <c r="C25" s="1">
        <f>50*10^3</f>
        <v>50000</v>
      </c>
      <c r="E25" s="13" t="s">
        <v>56</v>
      </c>
    </row>
    <row r="26" spans="1:5">
      <c r="A26" s="12" t="s">
        <v>60</v>
      </c>
      <c r="C26" s="1">
        <f>4*(10^-12)</f>
        <v>3.9999999999999999E-12</v>
      </c>
      <c r="E26" s="13" t="s">
        <v>61</v>
      </c>
    </row>
    <row r="27" spans="1:5">
      <c r="A27" s="12" t="s">
        <v>230</v>
      </c>
      <c r="C27" s="1">
        <f>16*(10^-9)</f>
        <v>1.6000000000000001E-8</v>
      </c>
      <c r="E27" s="13" t="s">
        <v>23</v>
      </c>
    </row>
    <row r="28" spans="1:5">
      <c r="A28" s="12" t="s">
        <v>68</v>
      </c>
      <c r="C28" s="1">
        <v>1.5</v>
      </c>
      <c r="E28" s="13" t="s">
        <v>1</v>
      </c>
    </row>
    <row r="29" spans="1:5">
      <c r="A29" s="12" t="s">
        <v>235</v>
      </c>
      <c r="C29" s="1">
        <f>36*(10^-9)</f>
        <v>3.6000000000000005E-8</v>
      </c>
      <c r="E29" s="13" t="s">
        <v>23</v>
      </c>
    </row>
    <row r="30" spans="1:5">
      <c r="A30" s="12" t="s">
        <v>236</v>
      </c>
      <c r="C30" s="1">
        <f>41*(10^-9)</f>
        <v>4.1000000000000003E-8</v>
      </c>
      <c r="E30" s="13" t="s">
        <v>23</v>
      </c>
    </row>
    <row r="31" spans="1:5">
      <c r="A31" s="12" t="s">
        <v>248</v>
      </c>
      <c r="C31" s="1">
        <f>15*(10^-9)</f>
        <v>1.5000000000000002E-8</v>
      </c>
      <c r="E31" s="13" t="s">
        <v>23</v>
      </c>
    </row>
    <row r="32" spans="1:5">
      <c r="A32" s="12" t="s">
        <v>249</v>
      </c>
      <c r="C32" s="1">
        <f>200*(10^-9)</f>
        <v>2.0000000000000002E-7</v>
      </c>
      <c r="E32" s="13" t="s">
        <v>23</v>
      </c>
    </row>
    <row r="33" spans="1:5">
      <c r="A33" s="12" t="s">
        <v>67</v>
      </c>
      <c r="C33" s="1">
        <f>25*(10^-6)</f>
        <v>2.4999999999999998E-5</v>
      </c>
      <c r="E33" s="13" t="s">
        <v>4</v>
      </c>
    </row>
    <row r="34" spans="1:5">
      <c r="A34" s="12" t="s">
        <v>159</v>
      </c>
      <c r="C34" s="1">
        <v>5</v>
      </c>
      <c r="E34" s="13" t="s">
        <v>1</v>
      </c>
    </row>
    <row r="36" spans="1:5">
      <c r="A36" s="12" t="s">
        <v>92</v>
      </c>
      <c r="B36" s="5">
        <v>0</v>
      </c>
      <c r="D36" s="6">
        <v>42</v>
      </c>
      <c r="E36" s="13" t="s">
        <v>1</v>
      </c>
    </row>
    <row r="37" spans="1:5">
      <c r="A37" s="12" t="s">
        <v>93</v>
      </c>
      <c r="B37" s="5">
        <v>3</v>
      </c>
      <c r="D37" s="6">
        <v>42</v>
      </c>
      <c r="E37" s="13" t="s">
        <v>1</v>
      </c>
    </row>
    <row r="38" spans="1:5">
      <c r="A38" s="12" t="s">
        <v>94</v>
      </c>
      <c r="B38" s="5">
        <v>6</v>
      </c>
      <c r="D38" s="6">
        <v>80</v>
      </c>
      <c r="E38" s="13" t="s">
        <v>1</v>
      </c>
    </row>
    <row r="39" spans="1:5">
      <c r="A39" s="12" t="s">
        <v>95</v>
      </c>
      <c r="B39" s="5">
        <v>50000</v>
      </c>
      <c r="D39" s="6">
        <v>500000</v>
      </c>
      <c r="E39" s="13" t="s">
        <v>87</v>
      </c>
    </row>
    <row r="40" spans="1:5">
      <c r="A40" s="12" t="s">
        <v>96</v>
      </c>
      <c r="B40" s="5">
        <v>15</v>
      </c>
      <c r="D40" s="6">
        <v>200</v>
      </c>
      <c r="E40" s="13" t="s">
        <v>97</v>
      </c>
    </row>
    <row r="43" spans="1:5">
      <c r="A43" s="12" t="s">
        <v>105</v>
      </c>
      <c r="C43" s="1">
        <v>14</v>
      </c>
      <c r="E43" s="13" t="s">
        <v>1</v>
      </c>
    </row>
    <row r="44" spans="1:5">
      <c r="A44" s="12" t="s">
        <v>106</v>
      </c>
      <c r="C44" s="1">
        <v>0.625</v>
      </c>
      <c r="E44" s="13" t="s">
        <v>1</v>
      </c>
    </row>
    <row r="46" spans="1:5">
      <c r="A46" s="12" t="s">
        <v>116</v>
      </c>
      <c r="C46" s="1">
        <v>2.5</v>
      </c>
      <c r="E46" s="13" t="s">
        <v>1</v>
      </c>
    </row>
    <row r="48" spans="1:5">
      <c r="A48" s="12" t="s">
        <v>187</v>
      </c>
      <c r="C48" s="1">
        <f>3.3</f>
        <v>3.3</v>
      </c>
      <c r="E48" s="13" t="s">
        <v>1</v>
      </c>
    </row>
  </sheetData>
  <autoFilter ref="A1:E33" xr:uid="{00000000-0009-0000-0000-000004000000}"/>
  <mergeCells count="1">
    <mergeCell ref="A2:E2"/>
  </mergeCells>
  <phoneticPr fontId="31"/>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baseColWidth="10" defaultColWidth="8.83203125" defaultRowHeight="14"/>
  <sheetData>
    <row r="1" spans="1:7">
      <c r="A1" t="s">
        <v>171</v>
      </c>
      <c r="C1" t="s">
        <v>221</v>
      </c>
      <c r="E1" t="s">
        <v>189</v>
      </c>
      <c r="G1" t="s">
        <v>96</v>
      </c>
    </row>
    <row r="2" spans="1:7" ht="15">
      <c r="A2" s="43" t="s">
        <v>172</v>
      </c>
      <c r="C2" t="s">
        <v>222</v>
      </c>
      <c r="E2">
        <v>1.8</v>
      </c>
      <c r="G2" t="s">
        <v>225</v>
      </c>
    </row>
    <row r="3" spans="1:7">
      <c r="A3" t="s">
        <v>173</v>
      </c>
      <c r="C3" t="s">
        <v>312</v>
      </c>
      <c r="E3">
        <v>3.3</v>
      </c>
      <c r="G3" t="s">
        <v>226</v>
      </c>
    </row>
  </sheetData>
  <phoneticPr fontId="31"/>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baseColWidth="10" defaultColWidth="8.83203125" defaultRowHeight="14"/>
  <cols>
    <col min="2" max="2" width="137.33203125" customWidth="1"/>
  </cols>
  <sheetData>
    <row r="1" spans="1:1">
      <c r="A1" t="s">
        <v>126</v>
      </c>
    </row>
    <row r="2" spans="1:1">
      <c r="A2" t="str">
        <f>"schematic_1"</f>
        <v>schematic_1</v>
      </c>
    </row>
    <row r="4" spans="1:1" ht="343.5" customHeight="1"/>
  </sheetData>
  <phoneticPr fontId="3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2025-06-06T10:33:50Z</dcterms:modified>
</cp:coreProperties>
</file>
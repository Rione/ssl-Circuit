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codeName="ThisWorkbook" defaultThemeVersion="124226"/>
  <mc:AlternateContent xmlns:mc="http://schemas.openxmlformats.org/markup-compatibility/2006">
    <mc:Choice Requires="x15">
      <x15ac:absPath xmlns:x15ac="http://schemas.microsoft.com/office/spreadsheetml/2010/11/ac" url="C:\Users\kamiokannde\Documents\GitHub\Ri-one\ssl-Circuit\2026\PCB\WheelVoltageBooster\"/>
    </mc:Choice>
  </mc:AlternateContent>
  <xr:revisionPtr revIDLastSave="0" documentId="13_ncr:1_{F45BE0FA-BBCF-4C69-B852-EB0DB3F60CA7}"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25710" yWindow="-1320" windowWidth="25820" windowHeight="1390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rgb="FF000000"/>
            <rFont val="Tahoma"/>
            <family val="2"/>
          </rPr>
          <t>Calculated RAMP1/RAMP2 Resistors</t>
        </r>
        <r>
          <rPr>
            <sz val="9"/>
            <color rgb="FF000000"/>
            <rFont val="Tahoma"/>
            <family val="2"/>
          </rPr>
          <t xml:space="preserve">
</t>
        </r>
        <r>
          <rPr>
            <sz val="9"/>
            <color rgb="FF000000"/>
            <rFont val="Tahoma"/>
            <family val="2"/>
          </rPr>
          <t xml:space="preserve">
</t>
        </r>
        <r>
          <rPr>
            <sz val="9"/>
            <color rgb="FF000000"/>
            <rFont val="Tahoma"/>
            <family val="2"/>
          </rPr>
          <t xml:space="preserve">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rgb="FF000000"/>
            <rFont val="Tahoma"/>
            <family val="2"/>
          </rPr>
          <t>Peak RAMP voltage at the HV minimum</t>
        </r>
        <r>
          <rPr>
            <sz val="9"/>
            <color rgb="FF000000"/>
            <rFont val="Tahoma"/>
            <family val="2"/>
          </rPr>
          <t xml:space="preserve">
</t>
        </r>
        <r>
          <rPr>
            <sz val="9"/>
            <color rgb="FF000000"/>
            <rFont val="Tahoma"/>
            <family val="2"/>
          </rPr>
          <t xml:space="preserve">
</t>
        </r>
        <r>
          <rPr>
            <sz val="9"/>
            <color rgb="FF000000"/>
            <rFont val="Tahoma"/>
            <family val="2"/>
          </rPr>
          <t>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rgb="FF000000"/>
            <rFont val="Tahoma"/>
            <family val="2"/>
          </rPr>
          <t>Calculated R</t>
        </r>
        <r>
          <rPr>
            <b/>
            <vertAlign val="subscript"/>
            <sz val="9"/>
            <color rgb="FF000000"/>
            <rFont val="Tahoma"/>
            <family val="2"/>
          </rPr>
          <t>UVLO3</t>
        </r>
        <r>
          <rPr>
            <b/>
            <sz val="9"/>
            <color rgb="FF000000"/>
            <rFont val="Tahoma"/>
            <family val="2"/>
          </rPr>
          <t xml:space="preserve"> Value</t>
        </r>
        <r>
          <rPr>
            <sz val="9"/>
            <color rgb="FF000000"/>
            <rFont val="Tahoma"/>
            <family val="2"/>
          </rPr>
          <t xml:space="preserve">
</t>
        </r>
        <r>
          <rPr>
            <sz val="9"/>
            <color rgb="FF000000"/>
            <rFont val="Tahoma"/>
            <family val="2"/>
          </rPr>
          <t xml:space="preserve">
</t>
        </r>
        <r>
          <rPr>
            <sz val="9"/>
            <color rgb="FF000000"/>
            <rFont val="Tahoma"/>
            <family val="2"/>
          </rPr>
          <t>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rgb="FF000000"/>
            <rFont val="Tahoma"/>
            <family val="2"/>
          </rPr>
          <t>Selected R</t>
        </r>
        <r>
          <rPr>
            <b/>
            <vertAlign val="subscript"/>
            <sz val="9"/>
            <color rgb="FF000000"/>
            <rFont val="Tahoma"/>
            <family val="2"/>
          </rPr>
          <t>UVLO3</t>
        </r>
        <r>
          <rPr>
            <b/>
            <sz val="9"/>
            <color rgb="FF000000"/>
            <rFont val="Tahoma"/>
            <family val="2"/>
          </rPr>
          <t xml:space="preserve"> Value
</t>
        </r>
        <r>
          <rPr>
            <b/>
            <sz val="9"/>
            <color rgb="FF000000"/>
            <rFont val="Tahoma"/>
            <family val="2"/>
          </rPr>
          <t xml:space="preserve">
</t>
        </r>
        <r>
          <rPr>
            <sz val="9"/>
            <color rgb="FF000000"/>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rgb="FF000000"/>
            <rFont val="Tahoma"/>
            <family val="2"/>
          </rPr>
          <t xml:space="preserve">UVLO Release Rising Edge
</t>
        </r>
        <r>
          <rPr>
            <b/>
            <sz val="9"/>
            <color rgb="FF000000"/>
            <rFont val="Tahoma"/>
            <family val="2"/>
          </rPr>
          <t xml:space="preserve">
</t>
        </r>
        <r>
          <rPr>
            <sz val="9"/>
            <color rgb="FF000000"/>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rgb="FF000000"/>
            <rFont val="Tahoma"/>
            <family val="2"/>
          </rPr>
          <t xml:space="preserve">UVLO Latch Falling Edge
</t>
        </r>
        <r>
          <rPr>
            <sz val="9"/>
            <color rgb="FF000000"/>
            <rFont val="Tahoma"/>
            <family val="2"/>
          </rPr>
          <t xml:space="preserve">
</t>
        </r>
        <r>
          <rPr>
            <sz val="9"/>
            <color rgb="FF000000"/>
            <rFont val="Tahoma"/>
            <family val="2"/>
          </rPr>
          <t>This is the UVLO input rail voltage at which an Undervoltage event occurs. If the input rail voltage is less than this value the LM5170 is in standby mode.</t>
        </r>
      </text>
    </comment>
    <comment ref="B105" authorId="0" shapeId="0" xr:uid="{00000000-0006-0000-0000-00003D000000}">
      <text>
        <r>
          <rPr>
            <b/>
            <sz val="9"/>
            <color rgb="FF000000"/>
            <rFont val="Tahoma"/>
            <family val="2"/>
          </rPr>
          <t xml:space="preserve">UVLO Shutdown Voltage
</t>
        </r>
        <r>
          <rPr>
            <b/>
            <sz val="9"/>
            <color rgb="FF000000"/>
            <rFont val="Tahoma"/>
            <family val="2"/>
          </rPr>
          <t xml:space="preserve">
</t>
        </r>
        <r>
          <rPr>
            <sz val="9"/>
            <color rgb="FF000000"/>
            <rFont val="Tahoma"/>
            <family val="2"/>
          </rPr>
          <t>This is the UVLO input rail voltage at which the LM5170 will enter shutdown mode.</t>
        </r>
        <r>
          <rPr>
            <b/>
            <sz val="9"/>
            <color rgb="FF000000"/>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rgb="FF000000"/>
            <rFont val="Tahoma"/>
            <family val="2"/>
          </rPr>
          <t>Dead Time Resistor</t>
        </r>
        <r>
          <rPr>
            <sz val="9"/>
            <color rgb="FF000000"/>
            <rFont val="Tahoma"/>
            <family val="2"/>
          </rPr>
          <t xml:space="preserve">
</t>
        </r>
        <r>
          <rPr>
            <sz val="9"/>
            <color rgb="FF000000"/>
            <rFont val="Tahoma"/>
            <family val="2"/>
          </rPr>
          <t xml:space="preserve">
</t>
        </r>
        <r>
          <rPr>
            <sz val="9"/>
            <color rgb="FF000000"/>
            <rFont val="Tahoma"/>
            <family val="2"/>
          </rPr>
          <t>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rgb="FF000000"/>
            <rFont val="Tahoma"/>
            <family val="2"/>
          </rPr>
          <t>LO falling to HO rising Dead Time</t>
        </r>
        <r>
          <rPr>
            <sz val="9"/>
            <color rgb="FF000000"/>
            <rFont val="Tahoma"/>
            <family val="2"/>
          </rPr>
          <t xml:space="preserve">
</t>
        </r>
        <r>
          <rPr>
            <sz val="9"/>
            <color rgb="FF000000"/>
            <rFont val="Tahoma"/>
            <family val="2"/>
          </rPr>
          <t xml:space="preserve">
</t>
        </r>
        <r>
          <rPr>
            <sz val="9"/>
            <color rgb="FF000000"/>
            <rFont val="Tahoma"/>
            <family val="2"/>
          </rPr>
          <t>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rgb="FF000000"/>
            <rFont val="Tahoma"/>
            <family val="2"/>
          </rPr>
          <t>Suggested Cross Over Frequency</t>
        </r>
        <r>
          <rPr>
            <sz val="9"/>
            <color rgb="FF000000"/>
            <rFont val="Tahoma"/>
            <family val="2"/>
          </rPr>
          <t xml:space="preserve">
</t>
        </r>
        <r>
          <rPr>
            <sz val="9"/>
            <color rgb="FF000000"/>
            <rFont val="Tahoma"/>
            <family val="2"/>
          </rPr>
          <t xml:space="preserve">
</t>
        </r>
        <r>
          <rPr>
            <sz val="9"/>
            <color rgb="FF000000"/>
            <rFont val="Tahoma"/>
            <family val="2"/>
          </rPr>
          <t>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rgb="FF000000"/>
            <rFont val="Tahoma"/>
            <family val="2"/>
          </rPr>
          <t>Selected C</t>
        </r>
        <r>
          <rPr>
            <b/>
            <vertAlign val="subscript"/>
            <sz val="9"/>
            <color rgb="FF000000"/>
            <rFont val="Tahoma"/>
            <family val="2"/>
          </rPr>
          <t>COMP</t>
        </r>
        <r>
          <rPr>
            <b/>
            <sz val="9"/>
            <color rgb="FF000000"/>
            <rFont val="Tahoma"/>
            <family val="2"/>
          </rPr>
          <t xml:space="preserve">
</t>
        </r>
        <r>
          <rPr>
            <sz val="9"/>
            <color rgb="FF000000"/>
            <rFont val="Tahoma"/>
            <family val="2"/>
          </rPr>
          <t xml:space="preserve">
</t>
        </r>
        <r>
          <rPr>
            <sz val="9"/>
            <color rgb="FF000000"/>
            <rFont val="Tahoma"/>
            <family val="2"/>
          </rPr>
          <t>This value should reflect the calculated value above. Adjusting this value will move the affect the zero location of the compensation.</t>
        </r>
        <r>
          <rPr>
            <b/>
            <sz val="9"/>
            <color rgb="FF000000"/>
            <rFont val="Tahoma"/>
            <family val="2"/>
          </rPr>
          <t xml:space="preserve">
</t>
        </r>
      </text>
    </comment>
    <comment ref="B142" authorId="0" shapeId="0" xr:uid="{00000000-0006-0000-0000-000055000000}">
      <text>
        <r>
          <rPr>
            <b/>
            <sz val="9"/>
            <color rgb="FF000000"/>
            <rFont val="Tahoma"/>
            <family val="2"/>
          </rPr>
          <t>Calculated CHF</t>
        </r>
        <r>
          <rPr>
            <sz val="9"/>
            <color rgb="FF000000"/>
            <rFont val="Tahoma"/>
            <family val="2"/>
          </rPr>
          <t xml:space="preserve">
</t>
        </r>
        <r>
          <rPr>
            <sz val="9"/>
            <color rgb="FF000000"/>
            <rFont val="Tahoma"/>
            <family val="2"/>
          </rPr>
          <t xml:space="preserve">
</t>
        </r>
        <r>
          <rPr>
            <sz val="9"/>
            <color rgb="FF000000"/>
            <rFont val="Tahoma"/>
            <family val="2"/>
          </rPr>
          <t xml:space="preserve">See datasheet for details on how to calculate this value
</t>
        </r>
      </text>
    </comment>
    <comment ref="B143" authorId="0" shapeId="0" xr:uid="{00000000-0006-0000-0000-000056000000}">
      <text>
        <r>
          <rPr>
            <b/>
            <sz val="9"/>
            <color rgb="FF000000"/>
            <rFont val="Tahoma"/>
            <family val="2"/>
          </rPr>
          <t>Selected C</t>
        </r>
        <r>
          <rPr>
            <b/>
            <vertAlign val="subscript"/>
            <sz val="9"/>
            <color rgb="FF000000"/>
            <rFont val="Tahoma"/>
            <family val="2"/>
          </rPr>
          <t>HF</t>
        </r>
        <r>
          <rPr>
            <b/>
            <sz val="9"/>
            <color rgb="FF000000"/>
            <rFont val="Tahoma"/>
            <family val="2"/>
          </rPr>
          <t xml:space="preserve">
</t>
        </r>
        <r>
          <rPr>
            <sz val="9"/>
            <color rgb="FF000000"/>
            <rFont val="Tahoma"/>
            <family val="2"/>
          </rPr>
          <t xml:space="preserve">
</t>
        </r>
        <r>
          <rPr>
            <sz val="9"/>
            <color rgb="FF000000"/>
            <rFont val="Tahoma"/>
            <family val="2"/>
          </rPr>
          <t xml:space="preserve">This value should reflect the calculated value above. Adjusting this value will move the affect the pole location of the compensation network.
</t>
        </r>
      </text>
    </comment>
    <comment ref="B144" authorId="0" shapeId="0" xr:uid="{00000000-0006-0000-0000-000057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53" authorId="0" shapeId="0" xr:uid="{00000000-0006-0000-0000-00005A000000}">
      <text>
        <r>
          <rPr>
            <b/>
            <sz val="9"/>
            <color rgb="FF000000"/>
            <rFont val="Tahoma"/>
            <family val="2"/>
          </rPr>
          <t>Selected Bottom Resistor</t>
        </r>
        <r>
          <rPr>
            <sz val="9"/>
            <color rgb="FF000000"/>
            <rFont val="Tahoma"/>
            <family val="2"/>
          </rPr>
          <t xml:space="preserve">
</t>
        </r>
        <r>
          <rPr>
            <sz val="9"/>
            <color rgb="FF000000"/>
            <rFont val="Tahoma"/>
            <family val="2"/>
          </rPr>
          <t xml:space="preserve">
</t>
        </r>
        <r>
          <rPr>
            <sz val="9"/>
            <color rgb="FF000000"/>
            <rFont val="Tahoma"/>
            <family val="2"/>
          </rPr>
          <t>This is the selected bottom resistor of the FB resistor divider. A good starting point for this value is in the 1kΩ to 20k</t>
        </r>
        <r>
          <rPr>
            <sz val="9"/>
            <color rgb="FF000000"/>
            <rFont val="Calibri"/>
            <family val="2"/>
          </rPr>
          <t>Ω</t>
        </r>
        <r>
          <rPr>
            <sz val="9"/>
            <color rgb="FF000000"/>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LV Port voltage.</t>
        </r>
      </text>
    </comment>
    <comment ref="B155" authorId="0" shapeId="0" xr:uid="{00000000-0006-0000-0000-00005C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sz val="9"/>
            <color rgb="FF000000"/>
            <rFont val="Tahoma"/>
            <family val="2"/>
          </rPr>
          <t xml:space="preserve">
</t>
        </r>
        <r>
          <rPr>
            <sz val="9"/>
            <color rgb="FF000000"/>
            <rFont val="Tahoma"/>
            <family val="2"/>
          </rPr>
          <t>The selected value should reflect the calculated value above.</t>
        </r>
      </text>
    </comment>
    <comment ref="B156" authorId="0" shapeId="0" xr:uid="{00000000-0006-0000-0000-00005D000000}">
      <text>
        <r>
          <rPr>
            <b/>
            <sz val="9"/>
            <color rgb="FF000000"/>
            <rFont val="Tahoma"/>
            <family val="2"/>
          </rPr>
          <t>Suggested Crossover Frequency</t>
        </r>
        <r>
          <rPr>
            <sz val="9"/>
            <color rgb="FF000000"/>
            <rFont val="Tahoma"/>
            <family val="2"/>
          </rPr>
          <t xml:space="preserve">
</t>
        </r>
        <r>
          <rPr>
            <sz val="9"/>
            <color rgb="FF000000"/>
            <rFont val="Tahoma"/>
            <family val="2"/>
          </rPr>
          <t xml:space="preserve">
</t>
        </r>
        <r>
          <rPr>
            <sz val="9"/>
            <color rgb="FF000000"/>
            <rFont val="Tahoma"/>
            <family val="2"/>
          </rPr>
          <t>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58" authorId="0" shapeId="0" xr:uid="{00000000-0006-0000-0000-00005F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t>
        </r>
      </text>
    </comment>
    <comment ref="B160" authorId="0" shapeId="0" xr:uid="{00000000-0006-0000-0000-000060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62" authorId="0" shapeId="0" xr:uid="{00000000-0006-0000-0000-000061000000}">
      <text>
        <r>
          <rPr>
            <b/>
            <sz val="9"/>
            <color rgb="FF000000"/>
            <rFont val="Tahoma"/>
            <family val="2"/>
          </rPr>
          <t>C</t>
        </r>
        <r>
          <rPr>
            <b/>
            <vertAlign val="subscript"/>
            <sz val="9"/>
            <color rgb="FF000000"/>
            <rFont val="Tahoma"/>
            <family val="2"/>
          </rPr>
          <t>HF</t>
        </r>
        <r>
          <rPr>
            <b/>
            <sz val="9"/>
            <color rgb="FF000000"/>
            <rFont val="Tahoma"/>
            <family val="2"/>
          </rPr>
          <t xml:space="preserve"> Calculated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64" authorId="0" shapeId="0" xr:uid="{00000000-0006-0000-0000-000062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65" authorId="0" shapeId="0" xr:uid="{00000000-0006-0000-0000-000063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text>
    </comment>
    <comment ref="B171" authorId="0" shapeId="0" xr:uid="{00000000-0006-0000-0000-000064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77" authorId="0" shapeId="0" xr:uid="{00000000-0006-0000-0000-00006A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
</t>
        </r>
      </text>
    </comment>
    <comment ref="B179" authorId="0" shapeId="0" xr:uid="{00000000-0006-0000-0000-00006B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81" authorId="0" shapeId="0" xr:uid="{00000000-0006-0000-0000-00006C000000}">
      <text>
        <r>
          <rPr>
            <b/>
            <sz val="9"/>
            <color rgb="FF000000"/>
            <rFont val="Tahoma"/>
            <family val="2"/>
          </rPr>
          <t>C</t>
        </r>
        <r>
          <rPr>
            <b/>
            <vertAlign val="subscript"/>
            <sz val="9"/>
            <color rgb="FF000000"/>
            <rFont val="Tahoma"/>
            <family val="2"/>
          </rPr>
          <t>HF</t>
        </r>
        <r>
          <rPr>
            <b/>
            <sz val="9"/>
            <color rgb="FF000000"/>
            <rFont val="Tahoma"/>
            <family val="2"/>
          </rPr>
          <t xml:space="preserve"> Calculated</t>
        </r>
        <r>
          <rPr>
            <sz val="9"/>
            <color rgb="FF000000"/>
            <rFont val="Tahoma"/>
            <family val="2"/>
          </rPr>
          <t xml:space="preserve">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83" authorId="0" shapeId="0" xr:uid="{00000000-0006-0000-0000-00006D000000}">
      <text>
        <r>
          <rPr>
            <b/>
            <sz val="9"/>
            <color rgb="FF000000"/>
            <rFont val="Tahoma"/>
            <family val="2"/>
          </rPr>
          <t>Compensation Zero Location (F</t>
        </r>
        <r>
          <rPr>
            <b/>
            <vertAlign val="subscript"/>
            <sz val="9"/>
            <color rgb="FF000000"/>
            <rFont val="Tahoma"/>
            <family val="2"/>
          </rPr>
          <t>Zcomp</t>
        </r>
        <r>
          <rPr>
            <b/>
            <sz val="9"/>
            <color rgb="FF000000"/>
            <rFont val="Tahoma"/>
            <family val="2"/>
          </rPr>
          <t>)</t>
        </r>
        <r>
          <rPr>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<sst xmlns="http://schemas.openxmlformats.org/spreadsheetml/2006/main" count="921" uniqueCount="497">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</sst>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6" x14ac:knownFonts="1">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7" fillId="0" borderId="0"/>
    <xf numFmtId="0" fontId="21" fillId="0" borderId="0" applyNumberFormat="0" applyFill="0" applyBorder="0" applyAlignment="0" applyProtection="0"/>
    <xf numFmtId="0" fontId="21"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8" fillId="0" borderId="42" xfId="1" applyFont="1" applyBorder="1"/>
    <xf numFmtId="0" fontId="19" fillId="0" borderId="42" xfId="1" applyFont="1" applyBorder="1" applyAlignment="1">
      <alignment horizontal="center"/>
    </xf>
    <xf numFmtId="0" fontId="19" fillId="0" borderId="42" xfId="1" applyFont="1" applyBorder="1" applyAlignment="1">
      <alignment horizontal="left"/>
    </xf>
    <xf numFmtId="0" fontId="20" fillId="0" borderId="42" xfId="1" applyFont="1" applyBorder="1"/>
    <xf numFmtId="0" fontId="22" fillId="0" borderId="42" xfId="2" applyFont="1" applyFill="1" applyBorder="1" applyAlignment="1">
      <alignment vertical="center"/>
    </xf>
    <xf numFmtId="0" fontId="22" fillId="0" borderId="42" xfId="2" applyFont="1" applyFill="1" applyBorder="1" applyAlignment="1">
      <alignment horizontal="right" vertical="center"/>
    </xf>
    <xf numFmtId="0" fontId="18" fillId="0" borderId="42" xfId="1" applyFont="1" applyBorder="1" applyAlignment="1">
      <alignment horizontal="center"/>
    </xf>
    <xf numFmtId="0" fontId="18" fillId="0" borderId="42" xfId="1" applyFont="1" applyBorder="1" applyAlignment="1">
      <alignment horizontal="left"/>
    </xf>
    <xf numFmtId="0" fontId="20" fillId="0" borderId="42" xfId="1" applyFont="1" applyBorder="1" applyAlignment="1">
      <alignment horizontal="center"/>
    </xf>
    <xf numFmtId="0" fontId="23" fillId="0" borderId="42" xfId="1" applyFont="1" applyBorder="1"/>
    <xf numFmtId="0" fontId="24" fillId="12" borderId="42" xfId="1" applyFont="1" applyFill="1" applyBorder="1" applyAlignment="1">
      <alignment horizontal="center"/>
    </xf>
    <xf numFmtId="0" fontId="25" fillId="0" borderId="42" xfId="2" applyFont="1" applyFill="1" applyBorder="1" applyAlignment="1">
      <alignment vertical="center"/>
    </xf>
    <xf numFmtId="0" fontId="21"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20" fillId="0" borderId="42" xfId="1" applyFont="1" applyBorder="1" applyAlignment="1">
      <alignment wrapText="1"/>
    </xf>
    <xf numFmtId="0" fontId="18" fillId="0" borderId="42" xfId="1" applyFont="1" applyBorder="1" applyAlignment="1">
      <alignment horizontal="center"/>
    </xf>
    <xf numFmtId="0" fontId="18" fillId="11" borderId="42" xfId="1" applyFont="1" applyFill="1" applyBorder="1" applyAlignment="1">
      <alignment horizontal="center"/>
    </xf>
    <xf numFmtId="0" fontId="24" fillId="12" borderId="42" xfId="1" applyFont="1" applyFill="1" applyBorder="1" applyAlignment="1">
      <alignment horizontal="left"/>
    </xf>
    <xf numFmtId="0" fontId="20" fillId="0" borderId="42" xfId="1" applyFont="1" applyBorder="1" applyAlignment="1">
      <alignment horizontal="left"/>
    </xf>
    <xf numFmtId="0" fontId="20" fillId="0" borderId="42" xfId="1" applyFont="1" applyBorder="1" applyAlignment="1">
      <alignment horizontal="left" wrapText="1"/>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4" borderId="4" xfId="0" applyFill="1" applyBorder="1" applyAlignment="1">
      <alignment horizontal="center"/>
    </xf>
    <xf numFmtId="0" fontId="0" fillId="0" borderId="0" xfId="0"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880.43160008282541</c:v>
                </c:pt>
              </c:numCache>
            </c:numRef>
          </c:xVal>
          <c:yVal>
            <c:numRef>
              <c:f>Compensation!$AD$9</c:f>
              <c:numCache>
                <c:formatCode>General</c:formatCode>
                <c:ptCount val="1"/>
                <c:pt idx="0">
                  <c:v>33.172582805277543</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947.35085173747234</c:v>
                </c:pt>
              </c:numCache>
            </c:numRef>
          </c:xVal>
          <c:yVal>
            <c:numRef>
              <c:f>Compensation!$AD$10</c:f>
              <c:numCache>
                <c:formatCode>General</c:formatCode>
                <c:ptCount val="1"/>
                <c:pt idx="0">
                  <c:v>32.512934072541391</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94735.08517374724</c:v>
                </c:pt>
              </c:numCache>
            </c:numRef>
          </c:xVal>
          <c:yVal>
            <c:numRef>
              <c:f>Compensation!$AD$11</c:f>
              <c:numCache>
                <c:formatCode>General</c:formatCode>
                <c:ptCount val="1"/>
                <c:pt idx="0">
                  <c:v>-10.760391445764517</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3.3244680851063833</c:v>
                </c:pt>
              </c:numCache>
            </c:numRef>
          </c:xVal>
          <c:yVal>
            <c:numRef>
              <c:f>Calculations!$B$55</c:f>
              <c:numCache>
                <c:formatCode>0.000</c:formatCode>
                <c:ptCount val="1"/>
                <c:pt idx="0">
                  <c:v>0.5</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0.79162280580252786</c:v>
                </c:pt>
                <c:pt idx="2">
                  <c:v>0.83333333333333337</c:v>
                </c:pt>
                <c:pt idx="3">
                  <c:v>0.83333333333333337</c:v>
                </c:pt>
                <c:pt idx="4">
                  <c:v>0.83333333333333337</c:v>
                </c:pt>
                <c:pt idx="5">
                  <c:v>0.83333333333333337</c:v>
                </c:pt>
                <c:pt idx="6">
                  <c:v>0.83333333333333337</c:v>
                </c:pt>
                <c:pt idx="7">
                  <c:v>0.83333333333333337</c:v>
                </c:pt>
                <c:pt idx="8">
                  <c:v>0.83333333333333337</c:v>
                </c:pt>
                <c:pt idx="9">
                  <c:v>0.83333333333333337</c:v>
                </c:pt>
                <c:pt idx="10">
                  <c:v>0.83333333333333337</c:v>
                </c:pt>
                <c:pt idx="11">
                  <c:v>0.83333333333333337</c:v>
                </c:pt>
                <c:pt idx="12">
                  <c:v>0.83333333333333337</c:v>
                </c:pt>
                <c:pt idx="13">
                  <c:v>0.83333333333333337</c:v>
                </c:pt>
                <c:pt idx="14">
                  <c:v>0.83333333333333337</c:v>
                </c:pt>
                <c:pt idx="15">
                  <c:v>0.83333333333333337</c:v>
                </c:pt>
                <c:pt idx="16">
                  <c:v>0.83333333333333337</c:v>
                </c:pt>
                <c:pt idx="17">
                  <c:v>0.83333333333333337</c:v>
                </c:pt>
                <c:pt idx="18">
                  <c:v>0.83333333333333337</c:v>
                </c:pt>
                <c:pt idx="19">
                  <c:v>0.83333333333333337</c:v>
                </c:pt>
                <c:pt idx="20">
                  <c:v>0.83333333333333337</c:v>
                </c:pt>
                <c:pt idx="21">
                  <c:v>0.83333333333333337</c:v>
                </c:pt>
                <c:pt idx="22">
                  <c:v>0.83333333333333337</c:v>
                </c:pt>
                <c:pt idx="23">
                  <c:v>0.83333333333333337</c:v>
                </c:pt>
                <c:pt idx="24">
                  <c:v>0.83333333333333337</c:v>
                </c:pt>
                <c:pt idx="25">
                  <c:v>0.83333333333333337</c:v>
                </c:pt>
                <c:pt idx="26">
                  <c:v>0.83333333333333337</c:v>
                </c:pt>
                <c:pt idx="27">
                  <c:v>0.83333333333333337</c:v>
                </c:pt>
                <c:pt idx="28">
                  <c:v>0.83333333333333337</c:v>
                </c:pt>
                <c:pt idx="29">
                  <c:v>0.83333333333333337</c:v>
                </c:pt>
                <c:pt idx="30">
                  <c:v>0.83333333333333337</c:v>
                </c:pt>
                <c:pt idx="31">
                  <c:v>0.83333333333333337</c:v>
                </c:pt>
                <c:pt idx="32">
                  <c:v>0.83333333333333337</c:v>
                </c:pt>
                <c:pt idx="33">
                  <c:v>0.83333333333333337</c:v>
                </c:pt>
                <c:pt idx="34">
                  <c:v>0.83333333333333337</c:v>
                </c:pt>
                <c:pt idx="35">
                  <c:v>0.83333333333333337</c:v>
                </c:pt>
                <c:pt idx="36">
                  <c:v>0.83333333333333337</c:v>
                </c:pt>
                <c:pt idx="37">
                  <c:v>0.83333333333333337</c:v>
                </c:pt>
                <c:pt idx="38">
                  <c:v>0.83333333333333337</c:v>
                </c:pt>
                <c:pt idx="39">
                  <c:v>0.83333333333333337</c:v>
                </c:pt>
                <c:pt idx="40">
                  <c:v>0.83333333333333337</c:v>
                </c:pt>
                <c:pt idx="41">
                  <c:v>0.83333333333333337</c:v>
                </c:pt>
                <c:pt idx="42">
                  <c:v>0.83333333333333337</c:v>
                </c:pt>
                <c:pt idx="43">
                  <c:v>0.83333333333333337</c:v>
                </c:pt>
                <c:pt idx="44">
                  <c:v>0.83333333333333337</c:v>
                </c:pt>
                <c:pt idx="45">
                  <c:v>0.83333333333333337</c:v>
                </c:pt>
                <c:pt idx="46">
                  <c:v>0.83333333333333337</c:v>
                </c:pt>
                <c:pt idx="47">
                  <c:v>0.83333333333333337</c:v>
                </c:pt>
                <c:pt idx="48">
                  <c:v>0.83333333333333337</c:v>
                </c:pt>
                <c:pt idx="49">
                  <c:v>0.83333333333333337</c:v>
                </c:pt>
                <c:pt idx="50">
                  <c:v>0.83333333333333337</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0.21157009420498152</c:v>
                </c:pt>
                <c:pt idx="2">
                  <c:v>0.29920529661723827</c:v>
                </c:pt>
                <c:pt idx="3">
                  <c:v>0.36645015252516172</c:v>
                </c:pt>
                <c:pt idx="4">
                  <c:v>0.41666666666666669</c:v>
                </c:pt>
                <c:pt idx="5">
                  <c:v>0.41666666666666669</c:v>
                </c:pt>
                <c:pt idx="6">
                  <c:v>0.41666666666666669</c:v>
                </c:pt>
                <c:pt idx="7">
                  <c:v>0.41666666666666669</c:v>
                </c:pt>
                <c:pt idx="8">
                  <c:v>0.41666666666666669</c:v>
                </c:pt>
                <c:pt idx="9">
                  <c:v>0.41666666666666669</c:v>
                </c:pt>
                <c:pt idx="10">
                  <c:v>0.41666666666666669</c:v>
                </c:pt>
                <c:pt idx="11">
                  <c:v>0.41666666666666669</c:v>
                </c:pt>
                <c:pt idx="12">
                  <c:v>0.41666666666666669</c:v>
                </c:pt>
                <c:pt idx="13">
                  <c:v>0.41666666666666669</c:v>
                </c:pt>
                <c:pt idx="14">
                  <c:v>0.41666666666666669</c:v>
                </c:pt>
                <c:pt idx="15">
                  <c:v>0.41666666666666669</c:v>
                </c:pt>
                <c:pt idx="16">
                  <c:v>0.41666666666666669</c:v>
                </c:pt>
                <c:pt idx="17">
                  <c:v>0.41666666666666669</c:v>
                </c:pt>
                <c:pt idx="18">
                  <c:v>0.41666666666666669</c:v>
                </c:pt>
                <c:pt idx="19">
                  <c:v>0.41666666666666669</c:v>
                </c:pt>
                <c:pt idx="20">
                  <c:v>0.41666666666666669</c:v>
                </c:pt>
                <c:pt idx="21">
                  <c:v>0.41666666666666669</c:v>
                </c:pt>
                <c:pt idx="22">
                  <c:v>0.41666666666666669</c:v>
                </c:pt>
                <c:pt idx="23">
                  <c:v>0.41666666666666669</c:v>
                </c:pt>
                <c:pt idx="24">
                  <c:v>0.41666666666666669</c:v>
                </c:pt>
                <c:pt idx="25">
                  <c:v>0.41666666666666669</c:v>
                </c:pt>
                <c:pt idx="26">
                  <c:v>0.41666666666666669</c:v>
                </c:pt>
                <c:pt idx="27">
                  <c:v>0.41666666666666669</c:v>
                </c:pt>
                <c:pt idx="28">
                  <c:v>0.41666666666666669</c:v>
                </c:pt>
                <c:pt idx="29">
                  <c:v>0.41666666666666669</c:v>
                </c:pt>
                <c:pt idx="30">
                  <c:v>0.41666666666666669</c:v>
                </c:pt>
                <c:pt idx="31">
                  <c:v>0.41666666666666669</c:v>
                </c:pt>
                <c:pt idx="32">
                  <c:v>0.41666666666666669</c:v>
                </c:pt>
                <c:pt idx="33">
                  <c:v>0.41666666666666669</c:v>
                </c:pt>
                <c:pt idx="34">
                  <c:v>0.41666666666666669</c:v>
                </c:pt>
                <c:pt idx="35">
                  <c:v>0.41666666666666669</c:v>
                </c:pt>
                <c:pt idx="36">
                  <c:v>0.41666666666666669</c:v>
                </c:pt>
                <c:pt idx="37">
                  <c:v>0.41666666666666669</c:v>
                </c:pt>
                <c:pt idx="38">
                  <c:v>0.41666666666666669</c:v>
                </c:pt>
                <c:pt idx="39">
                  <c:v>0.41666666666666669</c:v>
                </c:pt>
                <c:pt idx="40">
                  <c:v>0.41666666666666669</c:v>
                </c:pt>
                <c:pt idx="41">
                  <c:v>0.41666666666666669</c:v>
                </c:pt>
                <c:pt idx="42">
                  <c:v>0.41666666666666669</c:v>
                </c:pt>
                <c:pt idx="43">
                  <c:v>0.41666666666666669</c:v>
                </c:pt>
                <c:pt idx="44">
                  <c:v>0.41666666666666669</c:v>
                </c:pt>
                <c:pt idx="45">
                  <c:v>0.41666666666666669</c:v>
                </c:pt>
                <c:pt idx="46">
                  <c:v>0.41666666666666669</c:v>
                </c:pt>
                <c:pt idx="47">
                  <c:v>0.41666666666666669</c:v>
                </c:pt>
                <c:pt idx="48">
                  <c:v>0.41666666666666669</c:v>
                </c:pt>
                <c:pt idx="49">
                  <c:v>0.41666666666666669</c:v>
                </c:pt>
                <c:pt idx="50">
                  <c:v>0.41666666666666669</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1.1081560283687943</c:v>
                </c:pt>
              </c:numCache>
            </c:numRef>
          </c:xVal>
          <c:yVal>
            <c:numRef>
              <c:f>Calculations!$B$43</c:f>
              <c:numCache>
                <c:formatCode>General</c:formatCode>
                <c:ptCount val="1"/>
                <c:pt idx="0">
                  <c:v>0.83333333333333337</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3.3244680851063833</c:v>
                </c:pt>
              </c:numCache>
            </c:numRef>
          </c:xVal>
          <c:yVal>
            <c:numRef>
              <c:f>Calculations!$B$46</c:f>
              <c:numCache>
                <c:formatCode>0.0000</c:formatCode>
                <c:ptCount val="1"/>
                <c:pt idx="0">
                  <c:v>0.5</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3.878546099290781</c:v>
                </c:pt>
              </c:numCache>
            </c:numRef>
          </c:xVal>
          <c:yVal>
            <c:numRef>
              <c:f>Calculations!$B$49</c:f>
              <c:numCache>
                <c:formatCode>0.000</c:formatCode>
                <c:ptCount val="1"/>
                <c:pt idx="0">
                  <c:v>0.41666666666666669</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77.237289546583227</c:v>
                </c:pt>
                <c:pt idx="1">
                  <c:v>71.21623411645254</c:v>
                </c:pt>
                <c:pt idx="2">
                  <c:v>67.693649874725367</c:v>
                </c:pt>
                <c:pt idx="3">
                  <c:v>65.193812739278684</c:v>
                </c:pt>
                <c:pt idx="4">
                  <c:v>63.254247014478366</c:v>
                </c:pt>
                <c:pt idx="5">
                  <c:v>61.668953928826362</c:v>
                </c:pt>
                <c:pt idx="6">
                  <c:v>60.328047712454349</c:v>
                </c:pt>
                <c:pt idx="7">
                  <c:v>59.165936610432084</c:v>
                </c:pt>
                <c:pt idx="8">
                  <c:v>58.140312859597685</c:v>
                </c:pt>
                <c:pt idx="9">
                  <c:v>57.222289284833977</c:v>
                </c:pt>
                <c:pt idx="10">
                  <c:v>51.156630304431154</c:v>
                </c:pt>
                <c:pt idx="11">
                  <c:v>47.561000086523904</c:v>
                </c:pt>
                <c:pt idx="12">
                  <c:v>44.961511377715048</c:v>
                </c:pt>
                <c:pt idx="13">
                  <c:v>42.898070117880508</c:v>
                </c:pt>
                <c:pt idx="14">
                  <c:v>41.167447765509095</c:v>
                </c:pt>
                <c:pt idx="15">
                  <c:v>39.66275550522343</c:v>
                </c:pt>
                <c:pt idx="16">
                  <c:v>38.321474409092488</c:v>
                </c:pt>
                <c:pt idx="17">
                  <c:v>37.104317271682056</c:v>
                </c:pt>
                <c:pt idx="18">
                  <c:v>35.985265851365561</c:v>
                </c:pt>
                <c:pt idx="19">
                  <c:v>27.837001982348191</c:v>
                </c:pt>
                <c:pt idx="20">
                  <c:v>22.645636896745142</c:v>
                </c:pt>
                <c:pt idx="21">
                  <c:v>19.039992534790432</c:v>
                </c:pt>
                <c:pt idx="22">
                  <c:v>16.408849353245063</c:v>
                </c:pt>
                <c:pt idx="23">
                  <c:v>14.410221344784313</c:v>
                </c:pt>
                <c:pt idx="24">
                  <c:v>12.839690405201978</c:v>
                </c:pt>
                <c:pt idx="25">
                  <c:v>11.569468475331321</c:v>
                </c:pt>
                <c:pt idx="26">
                  <c:v>10.516533926642921</c:v>
                </c:pt>
                <c:pt idx="27">
                  <c:v>9.6250602130782923</c:v>
                </c:pt>
                <c:pt idx="28">
                  <c:v>4.5942368102159232</c:v>
                </c:pt>
                <c:pt idx="29">
                  <c:v>1.8518183309079501</c:v>
                </c:pt>
                <c:pt idx="30">
                  <c:v>-0.20450469670957719</c:v>
                </c:pt>
                <c:pt idx="31">
                  <c:v>-1.8879317252992742</c:v>
                </c:pt>
                <c:pt idx="32">
                  <c:v>-3.3175047791896981</c:v>
                </c:pt>
                <c:pt idx="33">
                  <c:v>-4.5590909723763478</c:v>
                </c:pt>
                <c:pt idx="34">
                  <c:v>-5.6554791566340414</c:v>
                </c:pt>
                <c:pt idx="35">
                  <c:v>-6.6365572337422494</c:v>
                </c:pt>
                <c:pt idx="36">
                  <c:v>-7.524093927041033</c:v>
                </c:pt>
                <c:pt idx="37">
                  <c:v>-13.581293018649749</c:v>
                </c:pt>
                <c:pt idx="38">
                  <c:v>-17.418537015823041</c:v>
                </c:pt>
                <c:pt idx="39">
                  <c:v>-20.505813352436746</c:v>
                </c:pt>
                <c:pt idx="40">
                  <c:v>-23.3329043185134</c:v>
                </c:pt>
                <c:pt idx="41">
                  <c:v>-26.072704340768844</c:v>
                </c:pt>
                <c:pt idx="42">
                  <c:v>-28.752098777809842</c:v>
                </c:pt>
                <c:pt idx="43">
                  <c:v>-31.344384059840277</c:v>
                </c:pt>
                <c:pt idx="44">
                  <c:v>-33.819140384262724</c:v>
                </c:pt>
                <c:pt idx="45">
                  <c:v>-36.158852001838312</c:v>
                </c:pt>
                <c:pt idx="46">
                  <c:v>-53.160692241944851</c:v>
                </c:pt>
                <c:pt idx="47">
                  <c:v>-63.591218742809168</c:v>
                </c:pt>
                <c:pt idx="48">
                  <c:v>-71.046182218683526</c:v>
                </c:pt>
                <c:pt idx="49">
                  <c:v>-76.842716573612179</c:v>
                </c:pt>
                <c:pt idx="50">
                  <c:v>-81.58406797702456</c:v>
                </c:pt>
                <c:pt idx="51">
                  <c:v>-85.59523268227727</c:v>
                </c:pt>
                <c:pt idx="52">
                  <c:v>-89.071127471745598</c:v>
                </c:pt>
                <c:pt idx="53">
                  <c:v>-92.137813940366556</c:v>
                </c:pt>
                <c:pt idx="54">
                  <c:v>-94.881509447097599</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237.64603277373453</c:v>
                </c:pt>
              </c:numCache>
            </c:numRef>
          </c:xVal>
          <c:yVal>
            <c:numRef>
              <c:f>Compensation!$Y$137</c:f>
              <c:numCache>
                <c:formatCode>General</c:formatCode>
                <c:ptCount val="1"/>
                <c:pt idx="0">
                  <c:v>25.638601943864082</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16.469068361353731</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1989.4367886486921</c:v>
                </c:pt>
              </c:numCache>
            </c:numRef>
          </c:xVal>
          <c:yVal>
            <c:numRef>
              <c:f>Compensation!$Y$136</c:f>
              <c:numCache>
                <c:formatCode>General</c:formatCode>
                <c:ptCount val="1"/>
                <c:pt idx="0">
                  <c:v>4.6297086300361396</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89.775264410753394</c:v>
                </c:pt>
                <c:pt idx="1">
                  <c:v>89.550556290479264</c:v>
                </c:pt>
                <c:pt idx="2">
                  <c:v>89.325903094699726</c:v>
                </c:pt>
                <c:pt idx="3">
                  <c:v>89.101332252052103</c:v>
                </c:pt>
                <c:pt idx="4">
                  <c:v>88.876871150886544</c:v>
                </c:pt>
                <c:pt idx="5">
                  <c:v>88.652547125911312</c:v>
                </c:pt>
                <c:pt idx="6">
                  <c:v>88.428387444901915</c:v>
                </c:pt>
                <c:pt idx="7">
                  <c:v>88.204419295489046</c:v>
                </c:pt>
                <c:pt idx="8">
                  <c:v>87.980669772041793</c:v>
                </c:pt>
                <c:pt idx="9">
                  <c:v>87.757165862660344</c:v>
                </c:pt>
                <c:pt idx="10">
                  <c:v>85.541471620126543</c:v>
                </c:pt>
                <c:pt idx="11">
                  <c:v>83.378763267895877</c:v>
                </c:pt>
                <c:pt idx="12">
                  <c:v>81.292445207183121</c:v>
                </c:pt>
                <c:pt idx="13">
                  <c:v>79.302595138667925</c:v>
                </c:pt>
                <c:pt idx="14">
                  <c:v>77.425407708049022</c:v>
                </c:pt>
                <c:pt idx="15">
                  <c:v>75.672977098467129</c:v>
                </c:pt>
                <c:pt idx="16">
                  <c:v>74.053381019210846</c:v>
                </c:pt>
                <c:pt idx="17">
                  <c:v>72.570997737726287</c:v>
                </c:pt>
                <c:pt idx="18">
                  <c:v>71.226975968042339</c:v>
                </c:pt>
                <c:pt idx="19">
                  <c:v>64.36773656048571</c:v>
                </c:pt>
                <c:pt idx="20">
                  <c:v>64.827269812650215</c:v>
                </c:pt>
                <c:pt idx="21">
                  <c:v>67.960565510783454</c:v>
                </c:pt>
                <c:pt idx="22">
                  <c:v>71.751755242958183</c:v>
                </c:pt>
                <c:pt idx="23">
                  <c:v>75.435386036530105</c:v>
                </c:pt>
                <c:pt idx="24">
                  <c:v>78.74967692377021</c:v>
                </c:pt>
                <c:pt idx="25">
                  <c:v>81.631802458864271</c:v>
                </c:pt>
                <c:pt idx="26">
                  <c:v>84.095290785187885</c:v>
                </c:pt>
                <c:pt idx="27">
                  <c:v>86.18018810009346</c:v>
                </c:pt>
                <c:pt idx="28">
                  <c:v>94.644413718622346</c:v>
                </c:pt>
                <c:pt idx="29">
                  <c:v>94.43825116878503</c:v>
                </c:pt>
                <c:pt idx="30">
                  <c:v>92.448176548855088</c:v>
                </c:pt>
                <c:pt idx="31">
                  <c:v>90.190030977846249</c:v>
                </c:pt>
                <c:pt idx="32">
                  <c:v>87.99713208133268</c:v>
                </c:pt>
                <c:pt idx="33">
                  <c:v>85.926309272006293</c:v>
                </c:pt>
                <c:pt idx="34">
                  <c:v>83.969498170414056</c:v>
                </c:pt>
                <c:pt idx="35">
                  <c:v>82.106361436812691</c:v>
                </c:pt>
                <c:pt idx="36">
                  <c:v>80.317370878982146</c:v>
                </c:pt>
                <c:pt idx="37">
                  <c:v>64.235997073164995</c:v>
                </c:pt>
                <c:pt idx="38">
                  <c:v>48.980648034069468</c:v>
                </c:pt>
                <c:pt idx="39">
                  <c:v>33.915449081818686</c:v>
                </c:pt>
                <c:pt idx="40">
                  <c:v>19.479874800959298</c:v>
                </c:pt>
                <c:pt idx="41">
                  <c:v>6.3135759351069716</c:v>
                </c:pt>
                <c:pt idx="42">
                  <c:v>-5.1615631416015093</c:v>
                </c:pt>
                <c:pt idx="43">
                  <c:v>-14.861852604982271</c:v>
                </c:pt>
                <c:pt idx="44">
                  <c:v>-22.941646036516591</c:v>
                </c:pt>
                <c:pt idx="45">
                  <c:v>-29.651379282056464</c:v>
                </c:pt>
                <c:pt idx="46">
                  <c:v>-60.526763482192713</c:v>
                </c:pt>
                <c:pt idx="47">
                  <c:v>-70.53174945655833</c:v>
                </c:pt>
                <c:pt idx="48">
                  <c:v>-75.451901589338433</c:v>
                </c:pt>
                <c:pt idx="49">
                  <c:v>-78.381981887870694</c:v>
                </c:pt>
                <c:pt idx="50">
                  <c:v>-80.327757582536933</c:v>
                </c:pt>
                <c:pt idx="51">
                  <c:v>-81.714436729895482</c:v>
                </c:pt>
                <c:pt idx="52">
                  <c:v>-82.752950263516567</c:v>
                </c:pt>
                <c:pt idx="53">
                  <c:v>-83.559902789866456</c:v>
                </c:pt>
                <c:pt idx="54">
                  <c:v>-84.205026166200966</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76.784763844977263</c:v>
                </c:pt>
                <c:pt idx="1">
                  <c:v>70.763511251873211</c:v>
                </c:pt>
                <c:pt idx="2">
                  <c:v>67.240598795023615</c:v>
                </c:pt>
                <c:pt idx="3">
                  <c:v>64.740302976119878</c:v>
                </c:pt>
                <c:pt idx="4">
                  <c:v>62.800148915001571</c:v>
                </c:pt>
                <c:pt idx="5">
                  <c:v>61.214138885445415</c:v>
                </c:pt>
                <c:pt idx="6">
                  <c:v>59.872388390283184</c:v>
                </c:pt>
                <c:pt idx="7">
                  <c:v>58.709307171825301</c:v>
                </c:pt>
                <c:pt idx="8">
                  <c:v>57.682589185308316</c:v>
                </c:pt>
                <c:pt idx="9">
                  <c:v>56.763349191305899</c:v>
                </c:pt>
                <c:pt idx="10">
                  <c:v>50.679377166985688</c:v>
                </c:pt>
                <c:pt idx="11">
                  <c:v>47.056740250550206</c:v>
                </c:pt>
                <c:pt idx="12">
                  <c:v>44.426060145502724</c:v>
                </c:pt>
                <c:pt idx="13">
                  <c:v>42.332293870967504</c:v>
                </c:pt>
                <c:pt idx="14">
                  <c:v>40.577027550862084</c:v>
                </c:pt>
                <c:pt idx="15">
                  <c:v>39.057383713329521</c:v>
                </c:pt>
                <c:pt idx="16">
                  <c:v>37.713752563683215</c:v>
                </c:pt>
                <c:pt idx="17">
                  <c:v>36.508593530526149</c:v>
                </c:pt>
                <c:pt idx="18">
                  <c:v>35.416578632088324</c:v>
                </c:pt>
                <c:pt idx="19">
                  <c:v>28.147196449072879</c:v>
                </c:pt>
                <c:pt idx="20">
                  <c:v>24.099938038397912</c:v>
                </c:pt>
                <c:pt idx="21">
                  <c:v>21.385897499264264</c:v>
                </c:pt>
                <c:pt idx="22">
                  <c:v>19.362656341539413</c:v>
                </c:pt>
                <c:pt idx="23">
                  <c:v>17.754568648080316</c:v>
                </c:pt>
                <c:pt idx="24">
                  <c:v>16.421652787160411</c:v>
                </c:pt>
                <c:pt idx="25">
                  <c:v>15.283822278935704</c:v>
                </c:pt>
                <c:pt idx="26">
                  <c:v>14.291242457608773</c:v>
                </c:pt>
                <c:pt idx="27">
                  <c:v>13.410950447310832</c:v>
                </c:pt>
                <c:pt idx="28">
                  <c:v>7.7718250816920689</c:v>
                </c:pt>
                <c:pt idx="29">
                  <c:v>4.6660139510411893</c:v>
                </c:pt>
                <c:pt idx="30">
                  <c:v>2.6510807013306787</c:v>
                </c:pt>
                <c:pt idx="31">
                  <c:v>1.2569768101633438</c:v>
                </c:pt>
                <c:pt idx="32">
                  <c:v>0.25894746994615953</c:v>
                </c:pt>
                <c:pt idx="33">
                  <c:v>-0.47076683900160954</c:v>
                </c:pt>
                <c:pt idx="34">
                  <c:v>-1.0118151475589201</c:v>
                </c:pt>
                <c:pt idx="35">
                  <c:v>-1.4166021897887195</c:v>
                </c:pt>
                <c:pt idx="36">
                  <c:v>-1.7208373656019087</c:v>
                </c:pt>
                <c:pt idx="37">
                  <c:v>-2.456184232612856</c:v>
                </c:pt>
                <c:pt idx="38">
                  <c:v>-2.0960392967795425</c:v>
                </c:pt>
                <c:pt idx="39">
                  <c:v>-1.7878778542464222</c:v>
                </c:pt>
                <c:pt idx="40">
                  <c:v>-1.7926918596485355</c:v>
                </c:pt>
                <c:pt idx="41">
                  <c:v>-2.1229176829052339</c:v>
                </c:pt>
                <c:pt idx="42">
                  <c:v>-2.6918707644402557</c:v>
                </c:pt>
                <c:pt idx="43">
                  <c:v>-3.400989075790787</c:v>
                </c:pt>
                <c:pt idx="44">
                  <c:v>-4.1764090008901125</c:v>
                </c:pt>
                <c:pt idx="45">
                  <c:v>-4.9723887667193285</c:v>
                </c:pt>
                <c:pt idx="46">
                  <c:v>-11.871088052275706</c:v>
                </c:pt>
                <c:pt idx="47">
                  <c:v>-16.972921187828977</c:v>
                </c:pt>
                <c:pt idx="48">
                  <c:v>-21.0340913130937</c:v>
                </c:pt>
                <c:pt idx="49">
                  <c:v>-24.400354700172006</c:v>
                </c:pt>
                <c:pt idx="50">
                  <c:v>-27.263781597681973</c:v>
                </c:pt>
                <c:pt idx="51">
                  <c:v>-29.747837812796163</c:v>
                </c:pt>
                <c:pt idx="52">
                  <c:v>-31.937011772533545</c:v>
                </c:pt>
                <c:pt idx="53">
                  <c:v>-33.891355398237728</c:v>
                </c:pt>
                <c:pt idx="54">
                  <c:v>-35.654829804301727</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116.93937662638552</c:v>
                </c:pt>
              </c:numCache>
            </c:numRef>
          </c:xVal>
          <c:yVal>
            <c:numRef>
              <c:f>Compensation!$Y$227</c:f>
              <c:numCache>
                <c:formatCode>General</c:formatCode>
                <c:ptCount val="1"/>
                <c:pt idx="0">
                  <c:v>33.776244711038927</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29.875819598712106</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-15.344514661339886</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35797.768355015964</c:v>
                </c:pt>
              </c:numCache>
            </c:numRef>
          </c:xVal>
          <c:yVal>
            <c:numRef>
              <c:f>Compensation!$Y$228</c:f>
              <c:numCache>
                <c:formatCode>General</c:formatCode>
                <c:ptCount val="1"/>
                <c:pt idx="0">
                  <c:v>-1.8863631371842848</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89.818579267837222</c:v>
                </c:pt>
                <c:pt idx="1">
                  <c:v>89.637224957570538</c:v>
                </c:pt>
                <c:pt idx="2">
                  <c:v>89.456003408981744</c:v>
                </c:pt>
                <c:pt idx="3">
                  <c:v>89.274980797848514</c:v>
                </c:pt>
                <c:pt idx="4">
                  <c:v>89.094223054502521</c:v>
                </c:pt>
                <c:pt idx="5">
                  <c:v>88.913795783056329</c:v>
                </c:pt>
                <c:pt idx="6">
                  <c:v>88.733764181517785</c:v>
                </c:pt>
                <c:pt idx="7">
                  <c:v>88.554192963004027</c:v>
                </c:pt>
                <c:pt idx="8">
                  <c:v>88.375146278265504</c:v>
                </c:pt>
                <c:pt idx="9">
                  <c:v>88.196687639719954</c:v>
                </c:pt>
                <c:pt idx="10">
                  <c:v>86.457817713135285</c:v>
                </c:pt>
                <c:pt idx="11">
                  <c:v>84.840313315625195</c:v>
                </c:pt>
                <c:pt idx="12">
                  <c:v>83.387908667469148</c:v>
                </c:pt>
                <c:pt idx="13">
                  <c:v>82.128412691873649</c:v>
                </c:pt>
                <c:pt idx="14">
                  <c:v>81.073923797925517</c:v>
                </c:pt>
                <c:pt idx="15">
                  <c:v>80.22320116985361</c:v>
                </c:pt>
                <c:pt idx="16">
                  <c:v>79.565102417480603</c:v>
                </c:pt>
                <c:pt idx="17">
                  <c:v>79.082141543632318</c:v>
                </c:pt>
                <c:pt idx="18">
                  <c:v>78.753567988494581</c:v>
                </c:pt>
                <c:pt idx="19">
                  <c:v>79.951193673100335</c:v>
                </c:pt>
                <c:pt idx="20">
                  <c:v>82.986439759765403</c:v>
                </c:pt>
                <c:pt idx="21">
                  <c:v>85.531122695717471</c:v>
                </c:pt>
                <c:pt idx="22">
                  <c:v>87.516483978142091</c:v>
                </c:pt>
                <c:pt idx="23">
                  <c:v>89.08803431836715</c:v>
                </c:pt>
                <c:pt idx="24">
                  <c:v>90.364761710366793</c:v>
                </c:pt>
                <c:pt idx="25">
                  <c:v>91.428916529869497</c:v>
                </c:pt>
                <c:pt idx="26">
                  <c:v>92.337098036250808</c:v>
                </c:pt>
                <c:pt idx="27">
                  <c:v>93.129036828348305</c:v>
                </c:pt>
                <c:pt idx="28">
                  <c:v>98.355887172468314</c:v>
                </c:pt>
                <c:pt idx="29">
                  <c:v>102.02765080790627</c:v>
                </c:pt>
                <c:pt idx="30">
                  <c:v>104.98836474740818</c:v>
                </c:pt>
                <c:pt idx="31">
                  <c:v>107.29192336842736</c:v>
                </c:pt>
                <c:pt idx="32">
                  <c:v>108.96177219439868</c:v>
                </c:pt>
                <c:pt idx="33">
                  <c:v>110.04470762719829</c:v>
                </c:pt>
                <c:pt idx="34">
                  <c:v>110.60324562574189</c:v>
                </c:pt>
                <c:pt idx="35">
                  <c:v>110.70471539002341</c:v>
                </c:pt>
                <c:pt idx="36">
                  <c:v>110.41410387488934</c:v>
                </c:pt>
                <c:pt idx="37">
                  <c:v>95.640760763712706</c:v>
                </c:pt>
                <c:pt idx="38">
                  <c:v>73.488334246844374</c:v>
                </c:pt>
                <c:pt idx="39">
                  <c:v>50.851875980764959</c:v>
                </c:pt>
                <c:pt idx="40">
                  <c:v>29.772709778694896</c:v>
                </c:pt>
                <c:pt idx="41">
                  <c:v>11.129549590489958</c:v>
                </c:pt>
                <c:pt idx="42">
                  <c:v>-4.8434147161597343</c:v>
                </c:pt>
                <c:pt idx="43">
                  <c:v>-18.338313649843165</c:v>
                </c:pt>
                <c:pt idx="44">
                  <c:v>-29.733337781950276</c:v>
                </c:pt>
                <c:pt idx="45">
                  <c:v>-39.42619422725334</c:v>
                </c:pt>
                <c:pt idx="46">
                  <c:v>-91.680904450936509</c:v>
                </c:pt>
                <c:pt idx="47">
                  <c:v>-115.05385988570116</c:v>
                </c:pt>
                <c:pt idx="48">
                  <c:v>-128.8791767921312</c:v>
                </c:pt>
                <c:pt idx="49">
                  <c:v>-138.00677337875672</c:v>
                </c:pt>
                <c:pt idx="50">
                  <c:v>-144.44895308322492</c:v>
                </c:pt>
                <c:pt idx="51">
                  <c:v>-149.21917683014814</c:v>
                </c:pt>
                <c:pt idx="52">
                  <c:v>-152.88346009575585</c:v>
                </c:pt>
                <c:pt idx="53">
                  <c:v>-155.78117385352917</c:v>
                </c:pt>
                <c:pt idx="54">
                  <c:v>-158.12721574114858</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3.3244680851063833</c:v>
                </c:pt>
              </c:numCache>
            </c:numRef>
          </c:xVal>
          <c:yVal>
            <c:numRef>
              <c:f>Calculations!$B$55</c:f>
              <c:numCache>
                <c:formatCode>0.000</c:formatCode>
                <c:ptCount val="1"/>
                <c:pt idx="0">
                  <c:v>0.5</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0.79162280580252786</c:v>
                </c:pt>
                <c:pt idx="2">
                  <c:v>0.83333333333333337</c:v>
                </c:pt>
                <c:pt idx="3">
                  <c:v>0.83333333333333337</c:v>
                </c:pt>
                <c:pt idx="4">
                  <c:v>0.83333333333333337</c:v>
                </c:pt>
                <c:pt idx="5">
                  <c:v>0.83333333333333337</c:v>
                </c:pt>
                <c:pt idx="6">
                  <c:v>0.83333333333333337</c:v>
                </c:pt>
                <c:pt idx="7">
                  <c:v>0.83333333333333337</c:v>
                </c:pt>
                <c:pt idx="8">
                  <c:v>0.83333333333333337</c:v>
                </c:pt>
                <c:pt idx="9">
                  <c:v>0.83333333333333337</c:v>
                </c:pt>
                <c:pt idx="10">
                  <c:v>0.83333333333333337</c:v>
                </c:pt>
                <c:pt idx="11">
                  <c:v>0.83333333333333337</c:v>
                </c:pt>
                <c:pt idx="12">
                  <c:v>0.83333333333333337</c:v>
                </c:pt>
                <c:pt idx="13">
                  <c:v>0.83333333333333337</c:v>
                </c:pt>
                <c:pt idx="14">
                  <c:v>0.83333333333333337</c:v>
                </c:pt>
                <c:pt idx="15">
                  <c:v>0.83333333333333337</c:v>
                </c:pt>
                <c:pt idx="16">
                  <c:v>0.83333333333333337</c:v>
                </c:pt>
                <c:pt idx="17">
                  <c:v>0.83333333333333337</c:v>
                </c:pt>
                <c:pt idx="18">
                  <c:v>0.83333333333333337</c:v>
                </c:pt>
                <c:pt idx="19">
                  <c:v>0.83333333333333337</c:v>
                </c:pt>
                <c:pt idx="20">
                  <c:v>0.83333333333333337</c:v>
                </c:pt>
                <c:pt idx="21">
                  <c:v>0.83333333333333337</c:v>
                </c:pt>
                <c:pt idx="22">
                  <c:v>0.83333333333333337</c:v>
                </c:pt>
                <c:pt idx="23">
                  <c:v>0.83333333333333337</c:v>
                </c:pt>
                <c:pt idx="24">
                  <c:v>0.83333333333333337</c:v>
                </c:pt>
                <c:pt idx="25">
                  <c:v>0.83333333333333337</c:v>
                </c:pt>
                <c:pt idx="26">
                  <c:v>0.83333333333333337</c:v>
                </c:pt>
                <c:pt idx="27">
                  <c:v>0.83333333333333337</c:v>
                </c:pt>
                <c:pt idx="28">
                  <c:v>0.83333333333333337</c:v>
                </c:pt>
                <c:pt idx="29">
                  <c:v>0.83333333333333337</c:v>
                </c:pt>
                <c:pt idx="30">
                  <c:v>0.83333333333333337</c:v>
                </c:pt>
                <c:pt idx="31">
                  <c:v>0.83333333333333337</c:v>
                </c:pt>
                <c:pt idx="32">
                  <c:v>0.83333333333333337</c:v>
                </c:pt>
                <c:pt idx="33">
                  <c:v>0.83333333333333337</c:v>
                </c:pt>
                <c:pt idx="34">
                  <c:v>0.83333333333333337</c:v>
                </c:pt>
                <c:pt idx="35">
                  <c:v>0.83333333333333337</c:v>
                </c:pt>
                <c:pt idx="36">
                  <c:v>0.83333333333333337</c:v>
                </c:pt>
                <c:pt idx="37">
                  <c:v>0.83333333333333337</c:v>
                </c:pt>
                <c:pt idx="38">
                  <c:v>0.83333333333333337</c:v>
                </c:pt>
                <c:pt idx="39">
                  <c:v>0.83333333333333337</c:v>
                </c:pt>
                <c:pt idx="40">
                  <c:v>0.83333333333333337</c:v>
                </c:pt>
                <c:pt idx="41">
                  <c:v>0.83333333333333337</c:v>
                </c:pt>
                <c:pt idx="42">
                  <c:v>0.83333333333333337</c:v>
                </c:pt>
                <c:pt idx="43">
                  <c:v>0.83333333333333337</c:v>
                </c:pt>
                <c:pt idx="44">
                  <c:v>0.83333333333333337</c:v>
                </c:pt>
                <c:pt idx="45">
                  <c:v>0.83333333333333337</c:v>
                </c:pt>
                <c:pt idx="46">
                  <c:v>0.83333333333333337</c:v>
                </c:pt>
                <c:pt idx="47">
                  <c:v>0.83333333333333337</c:v>
                </c:pt>
                <c:pt idx="48">
                  <c:v>0.83333333333333337</c:v>
                </c:pt>
                <c:pt idx="49">
                  <c:v>0.83333333333333337</c:v>
                </c:pt>
                <c:pt idx="50">
                  <c:v>0.83333333333333337</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0.21157009420498152</c:v>
                </c:pt>
                <c:pt idx="2">
                  <c:v>0.29920529661723827</c:v>
                </c:pt>
                <c:pt idx="3">
                  <c:v>0.36645015252516172</c:v>
                </c:pt>
                <c:pt idx="4">
                  <c:v>0.41666666666666669</c:v>
                </c:pt>
                <c:pt idx="5">
                  <c:v>0.41666666666666669</c:v>
                </c:pt>
                <c:pt idx="6">
                  <c:v>0.41666666666666669</c:v>
                </c:pt>
                <c:pt idx="7">
                  <c:v>0.41666666666666669</c:v>
                </c:pt>
                <c:pt idx="8">
                  <c:v>0.41666666666666669</c:v>
                </c:pt>
                <c:pt idx="9">
                  <c:v>0.41666666666666669</c:v>
                </c:pt>
                <c:pt idx="10">
                  <c:v>0.41666666666666669</c:v>
                </c:pt>
                <c:pt idx="11">
                  <c:v>0.41666666666666669</c:v>
                </c:pt>
                <c:pt idx="12">
                  <c:v>0.41666666666666669</c:v>
                </c:pt>
                <c:pt idx="13">
                  <c:v>0.41666666666666669</c:v>
                </c:pt>
                <c:pt idx="14">
                  <c:v>0.41666666666666669</c:v>
                </c:pt>
                <c:pt idx="15">
                  <c:v>0.41666666666666669</c:v>
                </c:pt>
                <c:pt idx="16">
                  <c:v>0.41666666666666669</c:v>
                </c:pt>
                <c:pt idx="17">
                  <c:v>0.41666666666666669</c:v>
                </c:pt>
                <c:pt idx="18">
                  <c:v>0.41666666666666669</c:v>
                </c:pt>
                <c:pt idx="19">
                  <c:v>0.41666666666666669</c:v>
                </c:pt>
                <c:pt idx="20">
                  <c:v>0.41666666666666669</c:v>
                </c:pt>
                <c:pt idx="21">
                  <c:v>0.41666666666666669</c:v>
                </c:pt>
                <c:pt idx="22">
                  <c:v>0.41666666666666669</c:v>
                </c:pt>
                <c:pt idx="23">
                  <c:v>0.41666666666666669</c:v>
                </c:pt>
                <c:pt idx="24">
                  <c:v>0.41666666666666669</c:v>
                </c:pt>
                <c:pt idx="25">
                  <c:v>0.41666666666666669</c:v>
                </c:pt>
                <c:pt idx="26">
                  <c:v>0.41666666666666669</c:v>
                </c:pt>
                <c:pt idx="27">
                  <c:v>0.41666666666666669</c:v>
                </c:pt>
                <c:pt idx="28">
                  <c:v>0.41666666666666669</c:v>
                </c:pt>
                <c:pt idx="29">
                  <c:v>0.41666666666666669</c:v>
                </c:pt>
                <c:pt idx="30">
                  <c:v>0.41666666666666669</c:v>
                </c:pt>
                <c:pt idx="31">
                  <c:v>0.41666666666666669</c:v>
                </c:pt>
                <c:pt idx="32">
                  <c:v>0.41666666666666669</c:v>
                </c:pt>
                <c:pt idx="33">
                  <c:v>0.41666666666666669</c:v>
                </c:pt>
                <c:pt idx="34">
                  <c:v>0.41666666666666669</c:v>
                </c:pt>
                <c:pt idx="35">
                  <c:v>0.41666666666666669</c:v>
                </c:pt>
                <c:pt idx="36">
                  <c:v>0.41666666666666669</c:v>
                </c:pt>
                <c:pt idx="37">
                  <c:v>0.41666666666666669</c:v>
                </c:pt>
                <c:pt idx="38">
                  <c:v>0.41666666666666669</c:v>
                </c:pt>
                <c:pt idx="39">
                  <c:v>0.41666666666666669</c:v>
                </c:pt>
                <c:pt idx="40">
                  <c:v>0.41666666666666669</c:v>
                </c:pt>
                <c:pt idx="41">
                  <c:v>0.41666666666666669</c:v>
                </c:pt>
                <c:pt idx="42">
                  <c:v>0.41666666666666669</c:v>
                </c:pt>
                <c:pt idx="43">
                  <c:v>0.41666666666666669</c:v>
                </c:pt>
                <c:pt idx="44">
                  <c:v>0.41666666666666669</c:v>
                </c:pt>
                <c:pt idx="45">
                  <c:v>0.41666666666666669</c:v>
                </c:pt>
                <c:pt idx="46">
                  <c:v>0.41666666666666669</c:v>
                </c:pt>
                <c:pt idx="47">
                  <c:v>0.41666666666666669</c:v>
                </c:pt>
                <c:pt idx="48">
                  <c:v>0.41666666666666669</c:v>
                </c:pt>
                <c:pt idx="49">
                  <c:v>0.41666666666666669</c:v>
                </c:pt>
                <c:pt idx="50">
                  <c:v>0.41666666666666669</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1.1081560283687943</c:v>
                </c:pt>
              </c:numCache>
            </c:numRef>
          </c:xVal>
          <c:yVal>
            <c:numRef>
              <c:f>Calculations!$B$43</c:f>
              <c:numCache>
                <c:formatCode>General</c:formatCode>
                <c:ptCount val="1"/>
                <c:pt idx="0">
                  <c:v>0.83333333333333337</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3.3244680851063833</c:v>
                </c:pt>
              </c:numCache>
            </c:numRef>
          </c:xVal>
          <c:yVal>
            <c:numRef>
              <c:f>Calculations!$B$46</c:f>
              <c:numCache>
                <c:formatCode>0.0000</c:formatCode>
                <c:ptCount val="1"/>
                <c:pt idx="0">
                  <c:v>0.5</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3.878546099290781</c:v>
                </c:pt>
              </c:numCache>
            </c:numRef>
          </c:xVal>
          <c:yVal>
            <c:numRef>
              <c:f>Calculations!$B$49</c:f>
              <c:numCache>
                <c:formatCode>0.000</c:formatCode>
                <c:ptCount val="1"/>
                <c:pt idx="0">
                  <c:v>0.41666666666666669</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51.345952098734102</c:v>
                </c:pt>
                <c:pt idx="1">
                  <c:v>51.34593529085474</c:v>
                </c:pt>
                <c:pt idx="2">
                  <c:v>51.345907277867028</c:v>
                </c:pt>
                <c:pt idx="3">
                  <c:v>51.345868059987822</c:v>
                </c:pt>
                <c:pt idx="4">
                  <c:v>51.345817637520632</c:v>
                </c:pt>
                <c:pt idx="5">
                  <c:v>51.345756010855709</c:v>
                </c:pt>
                <c:pt idx="6">
                  <c:v>51.345683180470054</c:v>
                </c:pt>
                <c:pt idx="7">
                  <c:v>51.345599146927306</c:v>
                </c:pt>
                <c:pt idx="8">
                  <c:v>51.345503910877795</c:v>
                </c:pt>
                <c:pt idx="9">
                  <c:v>51.345397473058554</c:v>
                </c:pt>
                <c:pt idx="10">
                  <c:v>51.343717221586516</c:v>
                </c:pt>
                <c:pt idx="11">
                  <c:v>51.34091824627339</c:v>
                </c:pt>
                <c:pt idx="12">
                  <c:v>51.337002708924729</c:v>
                </c:pt>
                <c:pt idx="13">
                  <c:v>51.331973628280451</c:v>
                </c:pt>
                <c:pt idx="14">
                  <c:v>51.325834872277312</c:v>
                </c:pt>
                <c:pt idx="15">
                  <c:v>51.31859114817216</c:v>
                </c:pt>
                <c:pt idx="16">
                  <c:v>51.310247990578823</c:v>
                </c:pt>
                <c:pt idx="17">
                  <c:v>51.300811747482122</c:v>
                </c:pt>
                <c:pt idx="18">
                  <c:v>51.290289564302178</c:v>
                </c:pt>
                <c:pt idx="19">
                  <c:v>51.127442581158924</c:v>
                </c:pt>
                <c:pt idx="20">
                  <c:v>50.868906807073373</c:v>
                </c:pt>
                <c:pt idx="21">
                  <c:v>50.531011829600857</c:v>
                </c:pt>
                <c:pt idx="22">
                  <c:v>50.131954447809903</c:v>
                </c:pt>
                <c:pt idx="23">
                  <c:v>49.689300097368758</c:v>
                </c:pt>
                <c:pt idx="24">
                  <c:v>49.21841628748102</c:v>
                </c:pt>
                <c:pt idx="25">
                  <c:v>48.731815295375192</c:v>
                </c:pt>
                <c:pt idx="26">
                  <c:v>48.239139628286985</c:v>
                </c:pt>
                <c:pt idx="27">
                  <c:v>47.747495585300932</c:v>
                </c:pt>
                <c:pt idx="28">
                  <c:v>43.449991035089141</c:v>
                </c:pt>
                <c:pt idx="29">
                  <c:v>40.338631476032248</c:v>
                </c:pt>
                <c:pt idx="30">
                  <c:v>37.993203474831944</c:v>
                </c:pt>
                <c:pt idx="31">
                  <c:v>36.127856469618727</c:v>
                </c:pt>
                <c:pt idx="32">
                  <c:v>34.584324449087553</c:v>
                </c:pt>
                <c:pt idx="33">
                  <c:v>33.269743504936862</c:v>
                </c:pt>
                <c:pt idx="34">
                  <c:v>32.125785204136839</c:v>
                </c:pt>
                <c:pt idx="35">
                  <c:v>31.113656120091147</c:v>
                </c:pt>
                <c:pt idx="36">
                  <c:v>30.206335179910543</c:v>
                </c:pt>
                <c:pt idx="37">
                  <c:v>24.210862175361015</c:v>
                </c:pt>
                <c:pt idx="38">
                  <c:v>20.693706121270495</c:v>
                </c:pt>
                <c:pt idx="39">
                  <c:v>18.196566770215124</c:v>
                </c:pt>
                <c:pt idx="40">
                  <c:v>16.259123666416627</c:v>
                </c:pt>
                <c:pt idx="41">
                  <c:v>14.675910095613659</c:v>
                </c:pt>
                <c:pt idx="42">
                  <c:v>13.337222352998046</c:v>
                </c:pt>
                <c:pt idx="43">
                  <c:v>12.177544415014518</c:v>
                </c:pt>
                <c:pt idx="44">
                  <c:v>11.154604351662238</c:v>
                </c:pt>
                <c:pt idx="45">
                  <c:v>10.239533500337021</c:v>
                </c:pt>
                <c:pt idx="46">
                  <c:v>4.2191860605443896</c:v>
                </c:pt>
                <c:pt idx="47">
                  <c:v>0.69740763539091033</c:v>
                </c:pt>
                <c:pt idx="48">
                  <c:v>-1.8013507320701041</c:v>
                </c:pt>
                <c:pt idx="49">
                  <c:v>-3.7395434176897728</c:v>
                </c:pt>
                <c:pt idx="50">
                  <c:v>-5.3231642240709789</c:v>
                </c:pt>
                <c:pt idx="51">
                  <c:v>-6.6620975357246479</c:v>
                </c:pt>
                <c:pt idx="52">
                  <c:v>-7.8219348650401175</c:v>
                </c:pt>
                <c:pt idx="53">
                  <c:v>-8.8449842100133349</c:v>
                </c:pt>
                <c:pt idx="54">
                  <c:v>-9.7601332315602605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-6.5076895092640766E-2</c:v>
                </c:pt>
                <c:pt idx="1">
                  <c:v>-0.13015362228010594</c:v>
                </c:pt>
                <c:pt idx="2">
                  <c:v>-0.19523001365982051</c:v>
                </c:pt>
                <c:pt idx="3">
                  <c:v>-0.26030590133440634</c:v>
                </c:pt>
                <c:pt idx="4">
                  <c:v>-0.32538111741428183</c:v>
                </c:pt>
                <c:pt idx="5">
                  <c:v>-0.39045549402026641</c:v>
                </c:pt>
                <c:pt idx="6">
                  <c:v>-0.4555288632861676</c:v>
                </c:pt>
                <c:pt idx="7">
                  <c:v>-0.52060105736138751</c:v>
                </c:pt>
                <c:pt idx="8">
                  <c:v>-0.58567190841351979</c:v>
                </c:pt>
                <c:pt idx="9">
                  <c:v>-0.65074124863094418</c:v>
                </c:pt>
                <c:pt idx="10">
                  <c:v>-1.3013146563941138</c:v>
                </c:pt>
                <c:pt idx="11">
                  <c:v>-1.9515526420164087</c:v>
                </c:pt>
                <c:pt idx="12">
                  <c:v>-2.601288142411057</c:v>
                </c:pt>
                <c:pt idx="13">
                  <c:v>-3.2503548692706445</c:v>
                </c:pt>
                <c:pt idx="14">
                  <c:v>-3.8985875626800706</c:v>
                </c:pt>
                <c:pt idx="15">
                  <c:v>-4.545822240789585</c:v>
                </c:pt>
                <c:pt idx="16">
                  <c:v>-5.1918964446156428</c:v>
                </c:pt>
                <c:pt idx="17">
                  <c:v>-5.8366494770724833</c:v>
                </c:pt>
                <c:pt idx="18">
                  <c:v>-6.4799226353771768</c:v>
                </c:pt>
                <c:pt idx="19">
                  <c:v>-12.79819599264974</c:v>
                </c:pt>
                <c:pt idx="20">
                  <c:v>-18.816131350201932</c:v>
                </c:pt>
                <c:pt idx="21">
                  <c:v>-24.433373095750845</c:v>
                </c:pt>
                <c:pt idx="22">
                  <c:v>-29.592385294176545</c:v>
                </c:pt>
                <c:pt idx="23">
                  <c:v>-34.273801914058431</c:v>
                </c:pt>
                <c:pt idx="24">
                  <c:v>-38.486967382384705</c:v>
                </c:pt>
                <c:pt idx="25">
                  <c:v>-42.259705847696146</c:v>
                </c:pt>
                <c:pt idx="26">
                  <c:v>-45.629702137707604</c:v>
                </c:pt>
                <c:pt idx="27">
                  <c:v>-48.638289298201457</c:v>
                </c:pt>
                <c:pt idx="28">
                  <c:v>-66.240147390567344</c:v>
                </c:pt>
                <c:pt idx="29">
                  <c:v>-73.64423886080391</c:v>
                </c:pt>
                <c:pt idx="30">
                  <c:v>-77.586684795950404</c:v>
                </c:pt>
                <c:pt idx="31">
                  <c:v>-80.013373607633923</c:v>
                </c:pt>
                <c:pt idx="32">
                  <c:v>-81.652073771038275</c:v>
                </c:pt>
                <c:pt idx="33">
                  <c:v>-82.831213561251147</c:v>
                </c:pt>
                <c:pt idx="34">
                  <c:v>-83.719647375662532</c:v>
                </c:pt>
                <c:pt idx="35">
                  <c:v>-84.412776104330575</c:v>
                </c:pt>
                <c:pt idx="36">
                  <c:v>-84.968472544019519</c:v>
                </c:pt>
                <c:pt idx="37">
                  <c:v>-87.479376655932839</c:v>
                </c:pt>
                <c:pt idx="38">
                  <c:v>-88.318982008631139</c:v>
                </c:pt>
                <c:pt idx="39">
                  <c:v>-88.739078231137967</c:v>
                </c:pt>
                <c:pt idx="40">
                  <c:v>-88.991203958438604</c:v>
                </c:pt>
                <c:pt idx="41">
                  <c:v>-89.159310089015364</c:v>
                </c:pt>
                <c:pt idx="42">
                  <c:v>-89.279394928247399</c:v>
                </c:pt>
                <c:pt idx="43">
                  <c:v>-89.369462770364692</c:v>
                </c:pt>
                <c:pt idx="44">
                  <c:v>-89.439517713863523</c:v>
                </c:pt>
                <c:pt idx="45">
                  <c:v>-89.495562885362773</c:v>
                </c:pt>
                <c:pt idx="46">
                  <c:v>-89.747776555097062</c:v>
                </c:pt>
                <c:pt idx="47">
                  <c:v>-89.831850433300971</c:v>
                </c:pt>
                <c:pt idx="48">
                  <c:v>-89.87388766657385</c:v>
                </c:pt>
                <c:pt idx="49">
                  <c:v>-89.899110074604948</c:v>
                </c:pt>
                <c:pt idx="50">
                  <c:v>-89.915925035619495</c:v>
                </c:pt>
                <c:pt idx="51">
                  <c:v>-89.92793573109418</c:v>
                </c:pt>
                <c:pt idx="52">
                  <c:v>-89.93694375691426</c:v>
                </c:pt>
                <c:pt idx="53">
                  <c:v>-89.943950001396715</c:v>
                </c:pt>
                <c:pt idx="54">
                  <c:v>-89.949554998199616</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41.027419282220841</c:v>
                </c:pt>
                <c:pt idx="1">
                  <c:v>35.006833884711327</c:v>
                </c:pt>
                <c:pt idx="2">
                  <c:v>31.485032896439989</c:v>
                </c:pt>
                <c:pt idx="3">
                  <c:v>28.986292034026771</c:v>
                </c:pt>
                <c:pt idx="4">
                  <c:v>27.048135320302404</c:v>
                </c:pt>
                <c:pt idx="5">
                  <c:v>25.464563622179522</c:v>
                </c:pt>
                <c:pt idx="6">
                  <c:v>24.125690728433959</c:v>
                </c:pt>
                <c:pt idx="7">
                  <c:v>22.965924363363452</c:v>
                </c:pt>
                <c:pt idx="8">
                  <c:v>21.942956164030413</c:v>
                </c:pt>
                <c:pt idx="9">
                  <c:v>21.027898277013101</c:v>
                </c:pt>
                <c:pt idx="10">
                  <c:v>15.00874954051935</c:v>
                </c:pt>
                <c:pt idx="11">
                  <c:v>11.489341910124939</c:v>
                </c:pt>
                <c:pt idx="12">
                  <c:v>8.9939494892427181</c:v>
                </c:pt>
                <c:pt idx="13">
                  <c:v>7.0600940472352569</c:v>
                </c:pt>
                <c:pt idx="14">
                  <c:v>5.4817735622799901</c:v>
                </c:pt>
                <c:pt idx="15">
                  <c:v>4.1490983055308908</c:v>
                </c:pt>
                <c:pt idx="16">
                  <c:v>2.9964718625155355</c:v>
                </c:pt>
                <c:pt idx="17">
                  <c:v>1.9815811194374902</c:v>
                </c:pt>
                <c:pt idx="18">
                  <c:v>1.0755328702682743</c:v>
                </c:pt>
                <c:pt idx="19">
                  <c:v>-4.8038308097981437</c:v>
                </c:pt>
                <c:pt idx="20">
                  <c:v>-8.1000152464728874</c:v>
                </c:pt>
                <c:pt idx="21">
                  <c:v>-10.301382791726832</c:v>
                </c:pt>
                <c:pt idx="22">
                  <c:v>-11.884894070855861</c:v>
                </c:pt>
                <c:pt idx="23">
                  <c:v>-13.071009447546309</c:v>
                </c:pt>
                <c:pt idx="24">
                  <c:v>-13.982748394065636</c:v>
                </c:pt>
                <c:pt idx="25">
                  <c:v>-14.696829107782367</c:v>
                </c:pt>
                <c:pt idx="26">
                  <c:v>-15.264496900359848</c:v>
                </c:pt>
                <c:pt idx="27">
                  <c:v>-15.721519396957159</c:v>
                </c:pt>
                <c:pt idx="28">
                  <c:v>-17.625578477035006</c:v>
                </c:pt>
                <c:pt idx="29">
                  <c:v>-18.094251371956044</c:v>
                </c:pt>
                <c:pt idx="30">
                  <c:v>-18.273367947712238</c:v>
                </c:pt>
                <c:pt idx="31">
                  <c:v>-18.361471804687085</c:v>
                </c:pt>
                <c:pt idx="32">
                  <c:v>-18.412905187073399</c:v>
                </c:pt>
                <c:pt idx="33">
                  <c:v>-18.44716007014264</c:v>
                </c:pt>
                <c:pt idx="34">
                  <c:v>-18.472578627732595</c:v>
                </c:pt>
                <c:pt idx="35">
                  <c:v>-18.493202915686343</c:v>
                </c:pt>
                <c:pt idx="36">
                  <c:v>-18.511179719162772</c:v>
                </c:pt>
                <c:pt idx="37">
                  <c:v>-18.678790148061097</c:v>
                </c:pt>
                <c:pt idx="38">
                  <c:v>-18.905705762824486</c:v>
                </c:pt>
                <c:pt idx="39">
                  <c:v>-19.199878776519444</c:v>
                </c:pt>
                <c:pt idx="40">
                  <c:v>-19.549769973495426</c:v>
                </c:pt>
                <c:pt idx="41">
                  <c:v>-19.941923931058572</c:v>
                </c:pt>
                <c:pt idx="42">
                  <c:v>-20.363710933975749</c:v>
                </c:pt>
                <c:pt idx="43">
                  <c:v>-20.804285160373045</c:v>
                </c:pt>
                <c:pt idx="44">
                  <c:v>-21.254858907131535</c:v>
                </c:pt>
                <c:pt idx="45">
                  <c:v>-21.708619042266779</c:v>
                </c:pt>
                <c:pt idx="46">
                  <c:v>-25.801749003096152</c:v>
                </c:pt>
                <c:pt idx="47">
                  <c:v>-28.849266593143724</c:v>
                </c:pt>
                <c:pt idx="48">
                  <c:v>-31.16898541598654</c:v>
                </c:pt>
                <c:pt idx="49">
                  <c:v>-33.021740567577361</c:v>
                </c:pt>
                <c:pt idx="50">
                  <c:v>-34.558236317116567</c:v>
                </c:pt>
                <c:pt idx="51">
                  <c:v>-35.868505502546718</c:v>
                </c:pt>
                <c:pt idx="52">
                  <c:v>-37.009636915911472</c:v>
                </c:pt>
                <c:pt idx="53">
                  <c:v>-38.019814815073175</c:v>
                </c:pt>
                <c:pt idx="54">
                  <c:v>-38.925733499539952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90.059881165655796</c:v>
                </c:pt>
                <c:pt idx="1">
                  <c:v>90.119762196533827</c:v>
                </c:pt>
                <c:pt idx="2">
                  <c:v>90.179642957858178</c:v>
                </c:pt>
                <c:pt idx="3">
                  <c:v>90.23952331485647</c:v>
                </c:pt>
                <c:pt idx="4">
                  <c:v>90.299403132761782</c:v>
                </c:pt>
                <c:pt idx="5">
                  <c:v>90.359282276814383</c:v>
                </c:pt>
                <c:pt idx="6">
                  <c:v>90.419160612263553</c:v>
                </c:pt>
                <c:pt idx="7">
                  <c:v>90.479038004369372</c:v>
                </c:pt>
                <c:pt idx="8">
                  <c:v>90.538914318404537</c:v>
                </c:pt>
                <c:pt idx="9">
                  <c:v>90.598789419656171</c:v>
                </c:pt>
                <c:pt idx="10">
                  <c:v>91.197444106148353</c:v>
                </c:pt>
                <c:pt idx="11">
                  <c:v>91.795829506322249</c:v>
                </c:pt>
                <c:pt idx="12">
                  <c:v>92.393811426442156</c:v>
                </c:pt>
                <c:pt idx="13">
                  <c:v>92.991256210401787</c:v>
                </c:pt>
                <c:pt idx="14">
                  <c:v>93.588030916147844</c:v>
                </c:pt>
                <c:pt idx="15">
                  <c:v>94.184003489737037</c:v>
                </c:pt>
                <c:pt idx="16">
                  <c:v>94.779042936463355</c:v>
                </c:pt>
                <c:pt idx="17">
                  <c:v>95.373019488509073</c:v>
                </c:pt>
                <c:pt idx="18">
                  <c:v>95.965804768594481</c:v>
                </c:pt>
                <c:pt idx="19">
                  <c:v>101.80119109181959</c:v>
                </c:pt>
                <c:pt idx="20">
                  <c:v>107.39192162263257</c:v>
                </c:pt>
                <c:pt idx="21">
                  <c:v>112.6514090676655</c:v>
                </c:pt>
                <c:pt idx="22">
                  <c:v>117.52513179904075</c:v>
                </c:pt>
                <c:pt idx="23">
                  <c:v>121.98864139265082</c:v>
                </c:pt>
                <c:pt idx="24">
                  <c:v>126.04163034614822</c:v>
                </c:pt>
                <c:pt idx="25">
                  <c:v>129.70071936675993</c:v>
                </c:pt>
                <c:pt idx="26">
                  <c:v>132.99281507893298</c:v>
                </c:pt>
                <c:pt idx="27">
                  <c:v>135.94989813407162</c:v>
                </c:pt>
                <c:pt idx="28">
                  <c:v>153.45678575645775</c:v>
                </c:pt>
                <c:pt idx="29">
                  <c:v>160.67888942316881</c:v>
                </c:pt>
                <c:pt idx="30">
                  <c:v>164.28185340209458</c:v>
                </c:pt>
                <c:pt idx="31">
                  <c:v>166.27999649441304</c:v>
                </c:pt>
                <c:pt idx="32">
                  <c:v>167.43936403467035</c:v>
                </c:pt>
                <c:pt idx="33">
                  <c:v>168.10842663553532</c:v>
                </c:pt>
                <c:pt idx="34">
                  <c:v>168.4671712563686</c:v>
                </c:pt>
                <c:pt idx="35">
                  <c:v>168.61760785663651</c:v>
                </c:pt>
                <c:pt idx="36">
                  <c:v>168.62177244420891</c:v>
                </c:pt>
                <c:pt idx="37">
                  <c:v>165.48181413238098</c:v>
                </c:pt>
                <c:pt idx="38">
                  <c:v>160.78314717400769</c:v>
                </c:pt>
                <c:pt idx="39">
                  <c:v>155.95592889978093</c:v>
                </c:pt>
                <c:pt idx="40">
                  <c:v>151.32469006486753</c:v>
                </c:pt>
                <c:pt idx="41">
                  <c:v>147.00465254449242</c:v>
                </c:pt>
                <c:pt idx="42">
                  <c:v>143.0359231610035</c:v>
                </c:pt>
                <c:pt idx="43">
                  <c:v>139.42257582808224</c:v>
                </c:pt>
                <c:pt idx="44">
                  <c:v>136.14979455278444</c:v>
                </c:pt>
                <c:pt idx="45">
                  <c:v>133.19324736893566</c:v>
                </c:pt>
                <c:pt idx="46">
                  <c:v>115.29562636230865</c:v>
                </c:pt>
                <c:pt idx="47">
                  <c:v>107.50870809195946</c:v>
                </c:pt>
                <c:pt idx="48">
                  <c:v>103.3170174829781</c:v>
                </c:pt>
                <c:pt idx="49">
                  <c:v>100.72486657652355</c:v>
                </c:pt>
                <c:pt idx="50">
                  <c:v>98.970241034083671</c:v>
                </c:pt>
                <c:pt idx="51">
                  <c:v>97.705936118809518</c:v>
                </c:pt>
                <c:pt idx="52">
                  <c:v>96.752502403496436</c:v>
                </c:pt>
                <c:pt idx="53">
                  <c:v>96.008227888500457</c:v>
                </c:pt>
                <c:pt idx="54">
                  <c:v>95.411281790215497</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29.118270007821994</c:v>
                </c:pt>
                <c:pt idx="1">
                  <c:v>29.117162881289943</c:v>
                </c:pt>
                <c:pt idx="2">
                  <c:v>29.115318300033035</c:v>
                </c:pt>
                <c:pt idx="3">
                  <c:v>29.11273720737104</c:v>
                </c:pt>
                <c:pt idx="4">
                  <c:v>29.109420921706004</c:v>
                </c:pt>
                <c:pt idx="5">
                  <c:v>29.105371134285591</c:v>
                </c:pt>
                <c:pt idx="6">
                  <c:v>29.100589906341764</c:v>
                </c:pt>
                <c:pt idx="7">
                  <c:v>29.095079665613994</c:v>
                </c:pt>
                <c:pt idx="8">
                  <c:v>29.088843202269715</c:v>
                </c:pt>
                <c:pt idx="9">
                  <c:v>29.081883664236781</c:v>
                </c:pt>
                <c:pt idx="10">
                  <c:v>28.973455436456735</c:v>
                </c:pt>
                <c:pt idx="11">
                  <c:v>28.798573610398922</c:v>
                </c:pt>
                <c:pt idx="12">
                  <c:v>28.565047644051489</c:v>
                </c:pt>
                <c:pt idx="13">
                  <c:v>28.282226074502304</c:v>
                </c:pt>
                <c:pt idx="14">
                  <c:v>27.959949586472533</c:v>
                </c:pt>
                <c:pt idx="15">
                  <c:v>27.607703021492128</c:v>
                </c:pt>
                <c:pt idx="16">
                  <c:v>27.23405089975655</c:v>
                </c:pt>
                <c:pt idx="17">
                  <c:v>26.84634747592494</c:v>
                </c:pt>
                <c:pt idx="18">
                  <c:v>26.450660557572022</c:v>
                </c:pt>
                <c:pt idx="19">
                  <c:v>22.707811663587442</c:v>
                </c:pt>
                <c:pt idx="20">
                  <c:v>19.806566685899302</c:v>
                </c:pt>
                <c:pt idx="21">
                  <c:v>17.577647458241184</c:v>
                </c:pt>
                <c:pt idx="22">
                  <c:v>15.798717257687061</c:v>
                </c:pt>
                <c:pt idx="23">
                  <c:v>14.329340678880094</c:v>
                </c:pt>
                <c:pt idx="24">
                  <c:v>13.082259562500875</c:v>
                </c:pt>
                <c:pt idx="25">
                  <c:v>12.001064792565092</c:v>
                </c:pt>
                <c:pt idx="26">
                  <c:v>11.047749458267219</c:v>
                </c:pt>
                <c:pt idx="27">
                  <c:v>10.195766586539561</c:v>
                </c:pt>
                <c:pt idx="28">
                  <c:v>4.6485609056992203</c:v>
                </c:pt>
                <c:pt idx="29">
                  <c:v>1.5602605966361613</c:v>
                </c:pt>
                <c:pt idx="30">
                  <c:v>-0.44820416559096848</c:v>
                </c:pt>
                <c:pt idx="31">
                  <c:v>-1.838956282790948</c:v>
                </c:pt>
                <c:pt idx="32">
                  <c:v>-2.8347876419755997</c:v>
                </c:pt>
                <c:pt idx="33">
                  <c:v>-3.5627841765812551</c:v>
                </c:pt>
                <c:pt idx="34">
                  <c:v>-4.1023133671516332</c:v>
                </c:pt>
                <c:pt idx="35">
                  <c:v>-4.5056454236893932</c:v>
                </c:pt>
                <c:pt idx="36">
                  <c:v>-4.8084189188639224</c:v>
                </c:pt>
                <c:pt idx="37">
                  <c:v>-5.5244043046400755</c:v>
                </c:pt>
                <c:pt idx="38">
                  <c:v>-5.1335459995633217</c:v>
                </c:pt>
                <c:pt idx="39">
                  <c:v>-4.7829250166277495</c:v>
                </c:pt>
                <c:pt idx="40">
                  <c:v>-4.7337992269266085</c:v>
                </c:pt>
                <c:pt idx="41">
                  <c:v>-4.9990137463782087</c:v>
                </c:pt>
                <c:pt idx="42">
                  <c:v>-5.492377521507283</c:v>
                </c:pt>
                <c:pt idx="43">
                  <c:v>-6.115885734623328</c:v>
                </c:pt>
                <c:pt idx="44">
                  <c:v>-6.7962805852827435</c:v>
                </c:pt>
                <c:pt idx="45">
                  <c:v>-7.4884611715535794</c:v>
                </c:pt>
                <c:pt idx="46">
                  <c:v>-13.010780581600894</c:v>
                </c:pt>
                <c:pt idx="47">
                  <c:v>-16.490893853463749</c:v>
                </c:pt>
                <c:pt idx="48">
                  <c:v>-18.979708143053703</c:v>
                </c:pt>
                <c:pt idx="49">
                  <c:v>-20.914145065719346</c:v>
                </c:pt>
                <c:pt idx="50">
                  <c:v>-22.495953632460228</c:v>
                </c:pt>
                <c:pt idx="51">
                  <c:v>-23.833872320903772</c:v>
                </c:pt>
                <c:pt idx="52">
                  <c:v>-24.993082691383041</c:v>
                </c:pt>
                <c:pt idx="53">
                  <c:v>-26.015716591688584</c:v>
                </c:pt>
                <c:pt idx="54">
                  <c:v>-26.930575644704039</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-0.51960093521248629</c:v>
                </c:pt>
                <c:pt idx="1">
                  <c:v>-1.0391118420970309</c:v>
                </c:pt>
                <c:pt idx="2">
                  <c:v>-1.5584427843191919</c:v>
                </c:pt>
                <c:pt idx="3">
                  <c:v>-2.077504009296673</c:v>
                </c:pt>
                <c:pt idx="4">
                  <c:v>-2.5962060394893909</c:v>
                </c:pt>
                <c:pt idx="5">
                  <c:v>-3.114459762989906</c:v>
                </c:pt>
                <c:pt idx="6">
                  <c:v>-3.6321765231851466</c:v>
                </c:pt>
                <c:pt idx="7">
                  <c:v>-4.1492682072672942</c:v>
                </c:pt>
                <c:pt idx="8">
                  <c:v>-4.665647333373399</c:v>
                </c:pt>
                <c:pt idx="9">
                  <c:v>-5.1812271361435682</c:v>
                </c:pt>
                <c:pt idx="10">
                  <c:v>-10.274647444617466</c:v>
                </c:pt>
                <c:pt idx="11">
                  <c:v>-15.200928181196049</c:v>
                </c:pt>
                <c:pt idx="12">
                  <c:v>-19.895739487338997</c:v>
                </c:pt>
                <c:pt idx="13">
                  <c:v>-24.313176461430245</c:v>
                </c:pt>
                <c:pt idx="14">
                  <c:v>-28.426008059544095</c:v>
                </c:pt>
                <c:pt idx="15">
                  <c:v>-32.223533562254211</c:v>
                </c:pt>
                <c:pt idx="16">
                  <c:v>-35.708153867293717</c:v>
                </c:pt>
                <c:pt idx="17">
                  <c:v>-38.891642981649362</c:v>
                </c:pt>
                <c:pt idx="18">
                  <c:v>-41.791769508956172</c:v>
                </c:pt>
                <c:pt idx="19">
                  <c:v>-59.755421727392964</c:v>
                </c:pt>
                <c:pt idx="20">
                  <c:v>-67.509321366007384</c:v>
                </c:pt>
                <c:pt idx="21">
                  <c:v>-71.440348881365182</c:v>
                </c:pt>
                <c:pt idx="22">
                  <c:v>-73.668069135651095</c:v>
                </c:pt>
                <c:pt idx="23">
                  <c:v>-75.023933322910878</c:v>
                </c:pt>
                <c:pt idx="24">
                  <c:v>-75.886768313749414</c:v>
                </c:pt>
                <c:pt idx="25">
                  <c:v>-76.448527324729042</c:v>
                </c:pt>
                <c:pt idx="26">
                  <c:v>-76.814303639124475</c:v>
                </c:pt>
                <c:pt idx="27">
                  <c:v>-77.045274737455685</c:v>
                </c:pt>
                <c:pt idx="28">
                  <c:v>-76.373452257104262</c:v>
                </c:pt>
                <c:pt idx="29">
                  <c:v>-74.094562096421328</c:v>
                </c:pt>
                <c:pt idx="30">
                  <c:v>-71.72445752546885</c:v>
                </c:pt>
                <c:pt idx="31">
                  <c:v>-69.689441401146823</c:v>
                </c:pt>
                <c:pt idx="32">
                  <c:v>-68.126876611929035</c:v>
                </c:pt>
                <c:pt idx="33">
                  <c:v>-67.059025142150446</c:v>
                </c:pt>
                <c:pt idx="34">
                  <c:v>-66.457939738754774</c:v>
                </c:pt>
                <c:pt idx="35">
                  <c:v>-66.27551090192118</c:v>
                </c:pt>
                <c:pt idx="36">
                  <c:v>-66.458290668329099</c:v>
                </c:pt>
                <c:pt idx="37">
                  <c:v>-79.565101158996669</c:v>
                </c:pt>
                <c:pt idx="38">
                  <c:v>-99.739803522662186</c:v>
                </c:pt>
                <c:pt idx="39">
                  <c:v>-120.33560096074194</c:v>
                </c:pt>
                <c:pt idx="40">
                  <c:v>-139.36517524868336</c:v>
                </c:pt>
                <c:pt idx="41">
                  <c:v>-155.97111489513622</c:v>
                </c:pt>
                <c:pt idx="42">
                  <c:v>-169.93085892876169</c:v>
                </c:pt>
                <c:pt idx="43">
                  <c:v>178.55578184485299</c:v>
                </c:pt>
                <c:pt idx="44">
                  <c:v>169.10499317893201</c:v>
                </c:pt>
                <c:pt idx="45">
                  <c:v>161.31474785752573</c:v>
                </c:pt>
                <c:pt idx="46">
                  <c:v>125.36567181187037</c:v>
                </c:pt>
                <c:pt idx="47">
                  <c:v>113.47740827457652</c:v>
                </c:pt>
                <c:pt idx="48">
                  <c:v>107.57806157533605</c:v>
                </c:pt>
                <c:pt idx="49">
                  <c:v>104.05080279425384</c:v>
                </c:pt>
                <c:pt idx="50">
                  <c:v>101.70361081126202</c:v>
                </c:pt>
                <c:pt idx="51">
                  <c:v>100.02884506771048</c:v>
                </c:pt>
                <c:pt idx="52">
                  <c:v>98.773624894686748</c:v>
                </c:pt>
                <c:pt idx="53">
                  <c:v>97.797788789725487</c:v>
                </c:pt>
                <c:pt idx="54">
                  <c:v>97.017371066420438</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29.118470406187157</c:v>
                </c:pt>
                <c:pt idx="1">
                  <c:v>29.117964326441527</c:v>
                </c:pt>
                <c:pt idx="2">
                  <c:v>29.117120995754256</c:v>
                </c:pt>
                <c:pt idx="3">
                  <c:v>29.115940617346308</c:v>
                </c:pt>
                <c:pt idx="4">
                  <c:v>29.114423475501923</c:v>
                </c:pt>
                <c:pt idx="5">
                  <c:v>29.112569935344794</c:v>
                </c:pt>
                <c:pt idx="6">
                  <c:v>29.110380442549722</c:v>
                </c:pt>
                <c:pt idx="7">
                  <c:v>29.107855522992342</c:v>
                </c:pt>
                <c:pt idx="8">
                  <c:v>29.104995782335649</c:v>
                </c:pt>
                <c:pt idx="9">
                  <c:v>29.101801905555149</c:v>
                </c:pt>
                <c:pt idx="10">
                  <c:v>29.051691804402957</c:v>
                </c:pt>
                <c:pt idx="11">
                  <c:v>28.969482496408091</c:v>
                </c:pt>
                <c:pt idx="12">
                  <c:v>28.85703207025184</c:v>
                </c:pt>
                <c:pt idx="13">
                  <c:v>28.716751688403019</c:v>
                </c:pt>
                <c:pt idx="14">
                  <c:v>28.551449142597271</c:v>
                </c:pt>
                <c:pt idx="15">
                  <c:v>28.364166691955969</c:v>
                </c:pt>
                <c:pt idx="16">
                  <c:v>28.158029864118028</c:v>
                </c:pt>
                <c:pt idx="17">
                  <c:v>27.936118917128834</c:v>
                </c:pt>
                <c:pt idx="18">
                  <c:v>27.701369044816545</c:v>
                </c:pt>
                <c:pt idx="19">
                  <c:v>25.115846597743335</c:v>
                </c:pt>
                <c:pt idx="20">
                  <c:v>22.784396231317729</c:v>
                </c:pt>
                <c:pt idx="21">
                  <c:v>20.906877733850926</c:v>
                </c:pt>
                <c:pt idx="22">
                  <c:v>19.408199338810174</c:v>
                </c:pt>
                <c:pt idx="23">
                  <c:v>18.199073280482999</c:v>
                </c:pt>
                <c:pt idx="24">
                  <c:v>17.210579154625883</c:v>
                </c:pt>
                <c:pt idx="25">
                  <c:v>16.392525525854889</c:v>
                </c:pt>
                <c:pt idx="26">
                  <c:v>15.708279702692785</c:v>
                </c:pt>
                <c:pt idx="27">
                  <c:v>15.130674723317824</c:v>
                </c:pt>
                <c:pt idx="28">
                  <c:v>12.314687010027377</c:v>
                </c:pt>
                <c:pt idx="29">
                  <c:v>11.449766580447102</c:v>
                </c:pt>
                <c:pt idx="30">
                  <c:v>11.091091841223648</c:v>
                </c:pt>
                <c:pt idx="31">
                  <c:v>10.910444903974287</c:v>
                </c:pt>
                <c:pt idx="32">
                  <c:v>10.806046771263473</c:v>
                </c:pt>
                <c:pt idx="33">
                  <c:v>10.738981279977828</c:v>
                </c:pt>
                <c:pt idx="34">
                  <c:v>10.691955636368331</c:v>
                </c:pt>
                <c:pt idx="35">
                  <c:v>10.65637326117136</c:v>
                </c:pt>
                <c:pt idx="36">
                  <c:v>10.62757111307741</c:v>
                </c:pt>
                <c:pt idx="37">
                  <c:v>10.405049465278564</c:v>
                </c:pt>
                <c:pt idx="38">
                  <c:v>10.05423174893377</c:v>
                </c:pt>
                <c:pt idx="39">
                  <c:v>9.4532662615897589</c:v>
                </c:pt>
                <c:pt idx="40">
                  <c:v>8.558593408670836</c:v>
                </c:pt>
                <c:pt idx="41">
                  <c:v>7.3992738881987314</c:v>
                </c:pt>
                <c:pt idx="42">
                  <c:v>6.0569180654077837</c:v>
                </c:pt>
                <c:pt idx="43">
                  <c:v>4.6232399005137346</c:v>
                </c:pt>
                <c:pt idx="44">
                  <c:v>3.1706892728661562</c:v>
                </c:pt>
                <c:pt idx="45">
                  <c:v>1.7455231110170466</c:v>
                </c:pt>
                <c:pt idx="46">
                  <c:v>-9.2376501745782562</c:v>
                </c:pt>
                <c:pt idx="47">
                  <c:v>-16.146709551959919</c:v>
                </c:pt>
                <c:pt idx="48">
                  <c:v>-21.103023623394908</c:v>
                </c:pt>
                <c:pt idx="49">
                  <c:v>-24.961415728322358</c:v>
                </c:pt>
                <c:pt idx="50">
                  <c:v>-28.119173722825966</c:v>
                </c:pt>
                <c:pt idx="51">
                  <c:v>-30.791421636354542</c:v>
                </c:pt>
                <c:pt idx="52">
                  <c:v>-33.107489818624558</c:v>
                </c:pt>
                <c:pt idx="53">
                  <c:v>-35.151134293342075</c:v>
                </c:pt>
                <c:pt idx="54">
                  <c:v>-36.979686036714028</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-0.31689543525340796</c:v>
                </c:pt>
                <c:pt idx="1">
                  <c:v>-0.63376247758420645</c:v>
                </c:pt>
                <c:pt idx="2">
                  <c:v>-0.95057274756532206</c:v>
                </c:pt>
                <c:pt idx="3">
                  <c:v>-1.267297892744784</c:v>
                </c:pt>
                <c:pt idx="4">
                  <c:v>-1.5839096010932889</c:v>
                </c:pt>
                <c:pt idx="5">
                  <c:v>-1.9003796144040379</c:v>
                </c:pt>
                <c:pt idx="6">
                  <c:v>-2.2166797416287221</c:v>
                </c:pt>
                <c:pt idx="7">
                  <c:v>-2.5327818721346071</c:v>
                </c:pt>
                <c:pt idx="8">
                  <c:v>-2.8486579888665138</c:v>
                </c:pt>
                <c:pt idx="9">
                  <c:v>-3.1642801813990094</c:v>
                </c:pt>
                <c:pt idx="10">
                  <c:v>-6.3004976344328414</c:v>
                </c:pt>
                <c:pt idx="11">
                  <c:v>-9.3818880287770483</c:v>
                </c:pt>
                <c:pt idx="12">
                  <c:v>-12.384137571570278</c:v>
                </c:pt>
                <c:pt idx="13">
                  <c:v>-15.286272450765512</c:v>
                </c:pt>
                <c:pt idx="14">
                  <c:v>-18.071219368652329</c:v>
                </c:pt>
                <c:pt idx="15">
                  <c:v>-20.726026923297667</c:v>
                </c:pt>
                <c:pt idx="16">
                  <c:v>-23.241785345747044</c:v>
                </c:pt>
                <c:pt idx="17">
                  <c:v>-25.613312908490439</c:v>
                </c:pt>
                <c:pt idx="18">
                  <c:v>-27.838689160498191</c:v>
                </c:pt>
                <c:pt idx="19">
                  <c:v>-42.940396342990653</c:v>
                </c:pt>
                <c:pt idx="20">
                  <c:v>-49.391754098483496</c:v>
                </c:pt>
                <c:pt idx="21">
                  <c:v>-51.70960487786796</c:v>
                </c:pt>
                <c:pt idx="22">
                  <c:v>-52.031527440790676</c:v>
                </c:pt>
                <c:pt idx="23">
                  <c:v>-51.343442090121243</c:v>
                </c:pt>
                <c:pt idx="24">
                  <c:v>-50.13482400975127</c:v>
                </c:pt>
                <c:pt idx="25">
                  <c:v>-48.666086461750439</c:v>
                </c:pt>
                <c:pt idx="26">
                  <c:v>-47.082961856537011</c:v>
                </c:pt>
                <c:pt idx="27">
                  <c:v>-45.469697811977561</c:v>
                </c:pt>
                <c:pt idx="28">
                  <c:v>-32.582666828414986</c:v>
                </c:pt>
                <c:pt idx="29">
                  <c:v>-25.804928276228296</c:v>
                </c:pt>
                <c:pt idx="30">
                  <c:v>-22.333230111222335</c:v>
                </c:pt>
                <c:pt idx="31">
                  <c:v>-20.573217076602383</c:v>
                </c:pt>
                <c:pt idx="32">
                  <c:v>-19.776615278512228</c:v>
                </c:pt>
                <c:pt idx="33">
                  <c:v>-19.567496414918871</c:v>
                </c:pt>
                <c:pt idx="34">
                  <c:v>-19.740838434118022</c:v>
                </c:pt>
                <c:pt idx="35">
                  <c:v>-20.176612447949612</c:v>
                </c:pt>
                <c:pt idx="36">
                  <c:v>-20.800335195924639</c:v>
                </c:pt>
                <c:pt idx="37">
                  <c:v>-31.427235947768615</c:v>
                </c:pt>
                <c:pt idx="38">
                  <c:v>-44.808149767217756</c:v>
                </c:pt>
                <c:pt idx="39">
                  <c:v>-58.929667280484509</c:v>
                </c:pt>
                <c:pt idx="40">
                  <c:v>-72.797524411849182</c:v>
                </c:pt>
                <c:pt idx="41">
                  <c:v>-85.584848757481353</c:v>
                </c:pt>
                <c:pt idx="42">
                  <c:v>-96.789090501826166</c:v>
                </c:pt>
                <c:pt idx="43">
                  <c:v>-106.28611301499272</c:v>
                </c:pt>
                <c:pt idx="44">
                  <c:v>-114.20776134235786</c:v>
                </c:pt>
                <c:pt idx="45">
                  <c:v>-120.79095134451995</c:v>
                </c:pt>
                <c:pt idx="46">
                  <c:v>-151.09665872328372</c:v>
                </c:pt>
                <c:pt idx="47">
                  <c:v>-160.91169310446494</c:v>
                </c:pt>
                <c:pt idx="48">
                  <c:v>-165.73686286590123</c:v>
                </c:pt>
                <c:pt idx="49">
                  <c:v>-168.60995222020156</c:v>
                </c:pt>
                <c:pt idx="50">
                  <c:v>-170.51773345298028</c:v>
                </c:pt>
                <c:pt idx="51">
                  <c:v>-171.87727349701692</c:v>
                </c:pt>
                <c:pt idx="52">
                  <c:v>-172.8954326089497</c:v>
                </c:pt>
                <c:pt idx="53">
                  <c:v>-173.68655386974712</c:v>
                </c:pt>
                <c:pt idx="54">
                  <c:v>-174.31901220643729</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77.237289546583227</c:v>
                </c:pt>
                <c:pt idx="1">
                  <c:v>71.21623411645254</c:v>
                </c:pt>
                <c:pt idx="2">
                  <c:v>67.693649874725367</c:v>
                </c:pt>
                <c:pt idx="3">
                  <c:v>65.193812739278684</c:v>
                </c:pt>
                <c:pt idx="4">
                  <c:v>63.254247014478366</c:v>
                </c:pt>
                <c:pt idx="5">
                  <c:v>61.668953928826362</c:v>
                </c:pt>
                <c:pt idx="6">
                  <c:v>60.328047712454349</c:v>
                </c:pt>
                <c:pt idx="7">
                  <c:v>59.165936610432084</c:v>
                </c:pt>
                <c:pt idx="8">
                  <c:v>58.140312859597685</c:v>
                </c:pt>
                <c:pt idx="9">
                  <c:v>57.222289284833977</c:v>
                </c:pt>
                <c:pt idx="10">
                  <c:v>51.156630304431154</c:v>
                </c:pt>
                <c:pt idx="11">
                  <c:v>47.561000086523904</c:v>
                </c:pt>
                <c:pt idx="12">
                  <c:v>44.961511377715048</c:v>
                </c:pt>
                <c:pt idx="13">
                  <c:v>42.898070117880508</c:v>
                </c:pt>
                <c:pt idx="14">
                  <c:v>41.167447765509095</c:v>
                </c:pt>
                <c:pt idx="15">
                  <c:v>39.66275550522343</c:v>
                </c:pt>
                <c:pt idx="16">
                  <c:v>38.321474409092488</c:v>
                </c:pt>
                <c:pt idx="17">
                  <c:v>37.104317271682056</c:v>
                </c:pt>
                <c:pt idx="18">
                  <c:v>35.985265851365561</c:v>
                </c:pt>
                <c:pt idx="19">
                  <c:v>27.837001982348191</c:v>
                </c:pt>
                <c:pt idx="20">
                  <c:v>22.645636896745142</c:v>
                </c:pt>
                <c:pt idx="21">
                  <c:v>19.039992534790432</c:v>
                </c:pt>
                <c:pt idx="22">
                  <c:v>16.408849353245063</c:v>
                </c:pt>
                <c:pt idx="23">
                  <c:v>14.410221344784313</c:v>
                </c:pt>
                <c:pt idx="24">
                  <c:v>12.839690405201978</c:v>
                </c:pt>
                <c:pt idx="25">
                  <c:v>11.569468475331321</c:v>
                </c:pt>
                <c:pt idx="26">
                  <c:v>10.516533926642921</c:v>
                </c:pt>
                <c:pt idx="27">
                  <c:v>9.6250602130782923</c:v>
                </c:pt>
                <c:pt idx="28">
                  <c:v>4.5942368102159232</c:v>
                </c:pt>
                <c:pt idx="29">
                  <c:v>1.8518183309079501</c:v>
                </c:pt>
                <c:pt idx="30">
                  <c:v>-0.20450469670957719</c:v>
                </c:pt>
                <c:pt idx="31">
                  <c:v>-1.8879317252992742</c:v>
                </c:pt>
                <c:pt idx="32">
                  <c:v>-3.3175047791896981</c:v>
                </c:pt>
                <c:pt idx="33">
                  <c:v>-4.5590909723763478</c:v>
                </c:pt>
                <c:pt idx="34">
                  <c:v>-5.6554791566340414</c:v>
                </c:pt>
                <c:pt idx="35">
                  <c:v>-6.6365572337422494</c:v>
                </c:pt>
                <c:pt idx="36">
                  <c:v>-7.524093927041033</c:v>
                </c:pt>
                <c:pt idx="37">
                  <c:v>-13.581293018649749</c:v>
                </c:pt>
                <c:pt idx="38">
                  <c:v>-17.418537015823041</c:v>
                </c:pt>
                <c:pt idx="39">
                  <c:v>-20.505813352436746</c:v>
                </c:pt>
                <c:pt idx="40">
                  <c:v>-23.3329043185134</c:v>
                </c:pt>
                <c:pt idx="41">
                  <c:v>-26.072704340768844</c:v>
                </c:pt>
                <c:pt idx="42">
                  <c:v>-28.752098777809842</c:v>
                </c:pt>
                <c:pt idx="43">
                  <c:v>-31.344384059840277</c:v>
                </c:pt>
                <c:pt idx="44">
                  <c:v>-33.819140384262724</c:v>
                </c:pt>
                <c:pt idx="45">
                  <c:v>-36.158852001838312</c:v>
                </c:pt>
                <c:pt idx="46">
                  <c:v>-53.160692241944851</c:v>
                </c:pt>
                <c:pt idx="47">
                  <c:v>-63.591218742809168</c:v>
                </c:pt>
                <c:pt idx="48">
                  <c:v>-71.046182218683526</c:v>
                </c:pt>
                <c:pt idx="49">
                  <c:v>-76.842716573612179</c:v>
                </c:pt>
                <c:pt idx="50">
                  <c:v>-81.58406797702456</c:v>
                </c:pt>
                <c:pt idx="51">
                  <c:v>-85.59523268227727</c:v>
                </c:pt>
                <c:pt idx="52">
                  <c:v>-89.071127471745598</c:v>
                </c:pt>
                <c:pt idx="53">
                  <c:v>-92.137813940366556</c:v>
                </c:pt>
                <c:pt idx="54">
                  <c:v>-94.881509447097599</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237.64603277373453</c:v>
                </c:pt>
              </c:numCache>
            </c:numRef>
          </c:xVal>
          <c:yVal>
            <c:numRef>
              <c:f>Compensation!$Y$137</c:f>
              <c:numCache>
                <c:formatCode>General</c:formatCode>
                <c:ptCount val="1"/>
                <c:pt idx="0">
                  <c:v>25.638601943864082</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16.469068361353731</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237.64603277373453</c:v>
                </c:pt>
              </c:numCache>
            </c:numRef>
          </c:xVal>
          <c:yVal>
            <c:numRef>
              <c:f>Compensation!$Y$136</c:f>
              <c:numCache>
                <c:formatCode>General</c:formatCode>
                <c:ptCount val="1"/>
                <c:pt idx="0">
                  <c:v>4.6297086300361396</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89.775264410753394</c:v>
                </c:pt>
                <c:pt idx="1">
                  <c:v>89.550556290479264</c:v>
                </c:pt>
                <c:pt idx="2">
                  <c:v>89.325903094699726</c:v>
                </c:pt>
                <c:pt idx="3">
                  <c:v>89.101332252052103</c:v>
                </c:pt>
                <c:pt idx="4">
                  <c:v>88.876871150886544</c:v>
                </c:pt>
                <c:pt idx="5">
                  <c:v>88.652547125911312</c:v>
                </c:pt>
                <c:pt idx="6">
                  <c:v>88.428387444901915</c:v>
                </c:pt>
                <c:pt idx="7">
                  <c:v>88.204419295489046</c:v>
                </c:pt>
                <c:pt idx="8">
                  <c:v>87.980669772041793</c:v>
                </c:pt>
                <c:pt idx="9">
                  <c:v>87.757165862660344</c:v>
                </c:pt>
                <c:pt idx="10">
                  <c:v>85.541471620126543</c:v>
                </c:pt>
                <c:pt idx="11">
                  <c:v>83.378763267895877</c:v>
                </c:pt>
                <c:pt idx="12">
                  <c:v>81.292445207183121</c:v>
                </c:pt>
                <c:pt idx="13">
                  <c:v>79.302595138667925</c:v>
                </c:pt>
                <c:pt idx="14">
                  <c:v>77.425407708049022</c:v>
                </c:pt>
                <c:pt idx="15">
                  <c:v>75.672977098467129</c:v>
                </c:pt>
                <c:pt idx="16">
                  <c:v>74.053381019210846</c:v>
                </c:pt>
                <c:pt idx="17">
                  <c:v>72.570997737726287</c:v>
                </c:pt>
                <c:pt idx="18">
                  <c:v>71.226975968042339</c:v>
                </c:pt>
                <c:pt idx="19">
                  <c:v>64.36773656048571</c:v>
                </c:pt>
                <c:pt idx="20">
                  <c:v>64.827269812650215</c:v>
                </c:pt>
                <c:pt idx="21">
                  <c:v>67.960565510783454</c:v>
                </c:pt>
                <c:pt idx="22">
                  <c:v>71.751755242958183</c:v>
                </c:pt>
                <c:pt idx="23">
                  <c:v>75.435386036530105</c:v>
                </c:pt>
                <c:pt idx="24">
                  <c:v>78.74967692377021</c:v>
                </c:pt>
                <c:pt idx="25">
                  <c:v>81.631802458864271</c:v>
                </c:pt>
                <c:pt idx="26">
                  <c:v>84.095290785187885</c:v>
                </c:pt>
                <c:pt idx="27">
                  <c:v>86.18018810009346</c:v>
                </c:pt>
                <c:pt idx="28">
                  <c:v>94.644413718622346</c:v>
                </c:pt>
                <c:pt idx="29">
                  <c:v>94.43825116878503</c:v>
                </c:pt>
                <c:pt idx="30">
                  <c:v>92.448176548855088</c:v>
                </c:pt>
                <c:pt idx="31">
                  <c:v>90.190030977846249</c:v>
                </c:pt>
                <c:pt idx="32">
                  <c:v>87.99713208133268</c:v>
                </c:pt>
                <c:pt idx="33">
                  <c:v>85.926309272006293</c:v>
                </c:pt>
                <c:pt idx="34">
                  <c:v>83.969498170414056</c:v>
                </c:pt>
                <c:pt idx="35">
                  <c:v>82.106361436812691</c:v>
                </c:pt>
                <c:pt idx="36">
                  <c:v>80.317370878982146</c:v>
                </c:pt>
                <c:pt idx="37">
                  <c:v>64.235997073164995</c:v>
                </c:pt>
                <c:pt idx="38">
                  <c:v>48.980648034069468</c:v>
                </c:pt>
                <c:pt idx="39">
                  <c:v>33.915449081818686</c:v>
                </c:pt>
                <c:pt idx="40">
                  <c:v>19.479874800959298</c:v>
                </c:pt>
                <c:pt idx="41">
                  <c:v>6.3135759351069716</c:v>
                </c:pt>
                <c:pt idx="42">
                  <c:v>-5.1615631416015093</c:v>
                </c:pt>
                <c:pt idx="43">
                  <c:v>-14.861852604982271</c:v>
                </c:pt>
                <c:pt idx="44">
                  <c:v>-22.941646036516591</c:v>
                </c:pt>
                <c:pt idx="45">
                  <c:v>-29.651379282056464</c:v>
                </c:pt>
                <c:pt idx="46">
                  <c:v>-60.526763482192713</c:v>
                </c:pt>
                <c:pt idx="47">
                  <c:v>-70.53174945655833</c:v>
                </c:pt>
                <c:pt idx="48">
                  <c:v>-75.451901589338433</c:v>
                </c:pt>
                <c:pt idx="49">
                  <c:v>-78.381981887870694</c:v>
                </c:pt>
                <c:pt idx="50">
                  <c:v>-80.327757582536933</c:v>
                </c:pt>
                <c:pt idx="51">
                  <c:v>-81.714436729895482</c:v>
                </c:pt>
                <c:pt idx="52">
                  <c:v>-82.752950263516567</c:v>
                </c:pt>
                <c:pt idx="53">
                  <c:v>-83.559902789866456</c:v>
                </c:pt>
                <c:pt idx="54">
                  <c:v>-84.205026166200966</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76.784763844977263</c:v>
                </c:pt>
                <c:pt idx="1">
                  <c:v>70.763511251873211</c:v>
                </c:pt>
                <c:pt idx="2">
                  <c:v>67.240598795023615</c:v>
                </c:pt>
                <c:pt idx="3">
                  <c:v>64.740302976119878</c:v>
                </c:pt>
                <c:pt idx="4">
                  <c:v>62.800148915001571</c:v>
                </c:pt>
                <c:pt idx="5">
                  <c:v>61.214138885445415</c:v>
                </c:pt>
                <c:pt idx="6">
                  <c:v>59.872388390283184</c:v>
                </c:pt>
                <c:pt idx="7">
                  <c:v>58.709307171825301</c:v>
                </c:pt>
                <c:pt idx="8">
                  <c:v>57.682589185308316</c:v>
                </c:pt>
                <c:pt idx="9">
                  <c:v>56.763349191305899</c:v>
                </c:pt>
                <c:pt idx="10">
                  <c:v>50.679377166985688</c:v>
                </c:pt>
                <c:pt idx="11">
                  <c:v>47.056740250550206</c:v>
                </c:pt>
                <c:pt idx="12">
                  <c:v>44.426060145502724</c:v>
                </c:pt>
                <c:pt idx="13">
                  <c:v>42.332293870967504</c:v>
                </c:pt>
                <c:pt idx="14">
                  <c:v>40.577027550862084</c:v>
                </c:pt>
                <c:pt idx="15">
                  <c:v>39.057383713329521</c:v>
                </c:pt>
                <c:pt idx="16">
                  <c:v>37.713752563683215</c:v>
                </c:pt>
                <c:pt idx="17">
                  <c:v>36.508593530526149</c:v>
                </c:pt>
                <c:pt idx="18">
                  <c:v>35.416578632088324</c:v>
                </c:pt>
                <c:pt idx="19">
                  <c:v>28.147196449072879</c:v>
                </c:pt>
                <c:pt idx="20">
                  <c:v>24.099938038397912</c:v>
                </c:pt>
                <c:pt idx="21">
                  <c:v>21.385897499264264</c:v>
                </c:pt>
                <c:pt idx="22">
                  <c:v>19.362656341539413</c:v>
                </c:pt>
                <c:pt idx="23">
                  <c:v>17.754568648080316</c:v>
                </c:pt>
                <c:pt idx="24">
                  <c:v>16.421652787160411</c:v>
                </c:pt>
                <c:pt idx="25">
                  <c:v>15.283822278935704</c:v>
                </c:pt>
                <c:pt idx="26">
                  <c:v>14.291242457608773</c:v>
                </c:pt>
                <c:pt idx="27">
                  <c:v>13.410950447310832</c:v>
                </c:pt>
                <c:pt idx="28">
                  <c:v>7.7718250816920689</c:v>
                </c:pt>
                <c:pt idx="29">
                  <c:v>4.6660139510411893</c:v>
                </c:pt>
                <c:pt idx="30">
                  <c:v>2.6510807013306787</c:v>
                </c:pt>
                <c:pt idx="31">
                  <c:v>1.2569768101633438</c:v>
                </c:pt>
                <c:pt idx="32">
                  <c:v>0.25894746994615953</c:v>
                </c:pt>
                <c:pt idx="33">
                  <c:v>-0.47076683900160954</c:v>
                </c:pt>
                <c:pt idx="34">
                  <c:v>-1.0118151475589201</c:v>
                </c:pt>
                <c:pt idx="35">
                  <c:v>-1.4166021897887195</c:v>
                </c:pt>
                <c:pt idx="36">
                  <c:v>-1.7208373656019087</c:v>
                </c:pt>
                <c:pt idx="37">
                  <c:v>-2.456184232612856</c:v>
                </c:pt>
                <c:pt idx="38">
                  <c:v>-2.0960392967795425</c:v>
                </c:pt>
                <c:pt idx="39">
                  <c:v>-1.7878778542464222</c:v>
                </c:pt>
                <c:pt idx="40">
                  <c:v>-1.7926918596485355</c:v>
                </c:pt>
                <c:pt idx="41">
                  <c:v>-2.1229176829052339</c:v>
                </c:pt>
                <c:pt idx="42">
                  <c:v>-2.6918707644402557</c:v>
                </c:pt>
                <c:pt idx="43">
                  <c:v>-3.400989075790787</c:v>
                </c:pt>
                <c:pt idx="44">
                  <c:v>-4.1764090008901125</c:v>
                </c:pt>
                <c:pt idx="45">
                  <c:v>-4.9723887667193285</c:v>
                </c:pt>
                <c:pt idx="46">
                  <c:v>-11.871088052275706</c:v>
                </c:pt>
                <c:pt idx="47">
                  <c:v>-16.972921187828977</c:v>
                </c:pt>
                <c:pt idx="48">
                  <c:v>-21.0340913130937</c:v>
                </c:pt>
                <c:pt idx="49">
                  <c:v>-24.400354700172006</c:v>
                </c:pt>
                <c:pt idx="50">
                  <c:v>-27.263781597681973</c:v>
                </c:pt>
                <c:pt idx="51">
                  <c:v>-29.747837812796163</c:v>
                </c:pt>
                <c:pt idx="52">
                  <c:v>-31.937011772533545</c:v>
                </c:pt>
                <c:pt idx="53">
                  <c:v>-33.891355398237728</c:v>
                </c:pt>
                <c:pt idx="54">
                  <c:v>-35.654829804301727</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116.93937662638552</c:v>
                </c:pt>
              </c:numCache>
            </c:numRef>
          </c:xVal>
          <c:yVal>
            <c:numRef>
              <c:f>Compensation!$Y$227</c:f>
              <c:numCache>
                <c:formatCode>General</c:formatCode>
                <c:ptCount val="1"/>
                <c:pt idx="0">
                  <c:v>33.776244711038927</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29.875819598712106</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-15.344514661339886</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35797.768355015964</c:v>
                </c:pt>
              </c:numCache>
            </c:numRef>
          </c:xVal>
          <c:yVal>
            <c:numRef>
              <c:f>Compensation!$Y$228</c:f>
              <c:numCache>
                <c:formatCode>General</c:formatCode>
                <c:ptCount val="1"/>
                <c:pt idx="0">
                  <c:v>-1.8863631371842848</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89.818579267837222</c:v>
                </c:pt>
                <c:pt idx="1">
                  <c:v>89.637224957570538</c:v>
                </c:pt>
                <c:pt idx="2">
                  <c:v>89.456003408981744</c:v>
                </c:pt>
                <c:pt idx="3">
                  <c:v>89.274980797848514</c:v>
                </c:pt>
                <c:pt idx="4">
                  <c:v>89.094223054502521</c:v>
                </c:pt>
                <c:pt idx="5">
                  <c:v>88.913795783056329</c:v>
                </c:pt>
                <c:pt idx="6">
                  <c:v>88.733764181517785</c:v>
                </c:pt>
                <c:pt idx="7">
                  <c:v>88.554192963004027</c:v>
                </c:pt>
                <c:pt idx="8">
                  <c:v>88.375146278265504</c:v>
                </c:pt>
                <c:pt idx="9">
                  <c:v>88.196687639719954</c:v>
                </c:pt>
                <c:pt idx="10">
                  <c:v>86.457817713135285</c:v>
                </c:pt>
                <c:pt idx="11">
                  <c:v>84.840313315625195</c:v>
                </c:pt>
                <c:pt idx="12">
                  <c:v>83.387908667469148</c:v>
                </c:pt>
                <c:pt idx="13">
                  <c:v>82.128412691873649</c:v>
                </c:pt>
                <c:pt idx="14">
                  <c:v>81.073923797925517</c:v>
                </c:pt>
                <c:pt idx="15">
                  <c:v>80.22320116985361</c:v>
                </c:pt>
                <c:pt idx="16">
                  <c:v>79.565102417480603</c:v>
                </c:pt>
                <c:pt idx="17">
                  <c:v>79.082141543632318</c:v>
                </c:pt>
                <c:pt idx="18">
                  <c:v>78.753567988494581</c:v>
                </c:pt>
                <c:pt idx="19">
                  <c:v>79.951193673100335</c:v>
                </c:pt>
                <c:pt idx="20">
                  <c:v>82.986439759765403</c:v>
                </c:pt>
                <c:pt idx="21">
                  <c:v>85.531122695717471</c:v>
                </c:pt>
                <c:pt idx="22">
                  <c:v>87.516483978142091</c:v>
                </c:pt>
                <c:pt idx="23">
                  <c:v>89.08803431836715</c:v>
                </c:pt>
                <c:pt idx="24">
                  <c:v>90.364761710366793</c:v>
                </c:pt>
                <c:pt idx="25">
                  <c:v>91.428916529869497</c:v>
                </c:pt>
                <c:pt idx="26">
                  <c:v>92.337098036250808</c:v>
                </c:pt>
                <c:pt idx="27">
                  <c:v>93.129036828348305</c:v>
                </c:pt>
                <c:pt idx="28">
                  <c:v>98.355887172468314</c:v>
                </c:pt>
                <c:pt idx="29">
                  <c:v>102.02765080790627</c:v>
                </c:pt>
                <c:pt idx="30">
                  <c:v>104.98836474740818</c:v>
                </c:pt>
                <c:pt idx="31">
                  <c:v>107.29192336842736</c:v>
                </c:pt>
                <c:pt idx="32">
                  <c:v>108.96177219439868</c:v>
                </c:pt>
                <c:pt idx="33">
                  <c:v>110.04470762719829</c:v>
                </c:pt>
                <c:pt idx="34">
                  <c:v>110.60324562574189</c:v>
                </c:pt>
                <c:pt idx="35">
                  <c:v>110.70471539002341</c:v>
                </c:pt>
                <c:pt idx="36">
                  <c:v>110.41410387488934</c:v>
                </c:pt>
                <c:pt idx="37">
                  <c:v>95.640760763712706</c:v>
                </c:pt>
                <c:pt idx="38">
                  <c:v>73.488334246844374</c:v>
                </c:pt>
                <c:pt idx="39">
                  <c:v>50.851875980764959</c:v>
                </c:pt>
                <c:pt idx="40">
                  <c:v>29.772709778694896</c:v>
                </c:pt>
                <c:pt idx="41">
                  <c:v>11.129549590489958</c:v>
                </c:pt>
                <c:pt idx="42">
                  <c:v>-4.8434147161597343</c:v>
                </c:pt>
                <c:pt idx="43">
                  <c:v>-18.338313649843165</c:v>
                </c:pt>
                <c:pt idx="44">
                  <c:v>-29.733337781950276</c:v>
                </c:pt>
                <c:pt idx="45">
                  <c:v>-39.42619422725334</c:v>
                </c:pt>
                <c:pt idx="46">
                  <c:v>-91.680904450936509</c:v>
                </c:pt>
                <c:pt idx="47">
                  <c:v>-115.05385988570116</c:v>
                </c:pt>
                <c:pt idx="48">
                  <c:v>-128.8791767921312</c:v>
                </c:pt>
                <c:pt idx="49">
                  <c:v>-138.00677337875672</c:v>
                </c:pt>
                <c:pt idx="50">
                  <c:v>-144.44895308322492</c:v>
                </c:pt>
                <c:pt idx="51">
                  <c:v>-149.21917683014814</c:v>
                </c:pt>
                <c:pt idx="52">
                  <c:v>-152.88346009575585</c:v>
                </c:pt>
                <c:pt idx="53">
                  <c:v>-155.78117385352917</c:v>
                </c:pt>
                <c:pt idx="54">
                  <c:v>-158.12721574114858</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14781</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168571</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92373</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129922</xdr:colOff>
      <xdr:row>103</xdr:row>
      <xdr:rowOff>111739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245708</xdr:colOff>
      <xdr:row>116</xdr:row>
      <xdr:rowOff>130175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72646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282589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16656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131337</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topLeftCell="A26" zoomScale="110" zoomScaleNormal="110" workbookViewId="0">
      <selection activeCell="D44" sqref="D44"/>
    </sheetView>
  </sheetViews>
  <sheetFormatPr defaultColWidth="9.125" defaultRowHeight="13.5" x14ac:dyDescent="0.15"/>
  <cols>
    <col min="1" max="1" width="50.125" style="127" customWidth="1"/>
    <col min="2" max="2" width="10" style="128" customWidth="1"/>
    <col min="3" max="3" width="4.625" style="128" customWidth="1"/>
    <col min="4" max="4" width="9.125" style="128"/>
    <col min="5" max="5" width="10" style="128" bestFit="1" customWidth="1"/>
    <col min="6" max="9" width="9.125" style="128"/>
    <col min="10" max="10" width="9.125" style="128" customWidth="1"/>
    <col min="11" max="17" width="9.125" style="128"/>
    <col min="18" max="18" width="12.625" style="128" customWidth="1"/>
    <col min="19" max="19" width="9.125" style="148"/>
    <col min="20" max="16384" width="9.125" style="128"/>
  </cols>
  <sheetData>
    <row r="1" spans="1:22" s="178" customFormat="1" x14ac:dyDescent="0.15">
      <c r="A1" s="177" t="s">
        <v>462</v>
      </c>
    </row>
    <row r="2" spans="1:22" s="180" customFormat="1" x14ac:dyDescent="0.15">
      <c r="A2" s="179"/>
    </row>
    <row r="3" spans="1:22" s="180" customFormat="1" ht="12.75" customHeight="1" x14ac:dyDescent="0.15">
      <c r="A3" s="179"/>
    </row>
    <row r="4" spans="1:22" s="116" customFormat="1" ht="14.25" thickBot="1" x14ac:dyDescent="0.2">
      <c r="A4" s="115"/>
      <c r="F4" s="117"/>
      <c r="G4" s="117"/>
      <c r="H4" s="117"/>
      <c r="I4" s="117"/>
      <c r="J4" s="117"/>
      <c r="K4" s="117"/>
      <c r="L4" s="117"/>
      <c r="M4" s="117"/>
      <c r="N4" s="117"/>
      <c r="O4" s="117"/>
      <c r="P4" s="117"/>
      <c r="Q4" s="117"/>
      <c r="R4" s="117"/>
      <c r="S4" s="118"/>
      <c r="T4" s="117"/>
      <c r="U4" s="117"/>
      <c r="V4" s="117"/>
    </row>
    <row r="5" spans="1:22" s="116" customFormat="1" ht="14.25" thickBot="1" x14ac:dyDescent="0.2">
      <c r="A5" s="119"/>
      <c r="B5" s="120"/>
      <c r="C5" s="121" t="s">
        <v>127</v>
      </c>
      <c r="F5" s="117"/>
      <c r="G5" s="122" t="s">
        <v>284</v>
      </c>
      <c r="H5" s="122"/>
      <c r="I5" s="122"/>
      <c r="K5" s="117"/>
      <c r="L5" s="117"/>
      <c r="M5" s="117"/>
      <c r="N5" s="117"/>
      <c r="O5" s="117"/>
      <c r="P5" s="117"/>
      <c r="R5" s="172" t="s">
        <v>285</v>
      </c>
      <c r="S5" s="118"/>
      <c r="T5" s="117"/>
      <c r="U5" s="117"/>
      <c r="V5" s="117"/>
    </row>
    <row r="6" spans="1:22" s="124" customFormat="1" ht="14.25" thickBot="1" x14ac:dyDescent="0.2">
      <c r="A6" s="123"/>
      <c r="F6" s="125"/>
      <c r="G6" s="125"/>
      <c r="H6" s="125"/>
      <c r="I6" s="125"/>
      <c r="J6" s="125"/>
      <c r="K6" s="125"/>
      <c r="L6" s="125"/>
      <c r="M6" s="125"/>
      <c r="N6" s="125"/>
      <c r="O6" s="125"/>
      <c r="P6" s="125"/>
      <c r="Q6" s="125"/>
      <c r="R6" s="125"/>
      <c r="S6" s="126"/>
      <c r="T6" s="125"/>
      <c r="U6" s="125"/>
      <c r="V6" s="125"/>
    </row>
    <row r="7" spans="1:22" x14ac:dyDescent="0.15">
      <c r="F7" s="129"/>
      <c r="G7" s="129"/>
      <c r="H7" s="129"/>
      <c r="I7" s="129"/>
      <c r="J7" s="129"/>
      <c r="K7" s="129"/>
      <c r="L7" s="129"/>
      <c r="M7" s="129"/>
      <c r="N7" s="129"/>
      <c r="O7" s="129"/>
      <c r="P7" s="129"/>
      <c r="Q7" s="129"/>
      <c r="R7" s="129"/>
      <c r="S7" s="130"/>
      <c r="T7" s="129"/>
      <c r="U7" s="129"/>
      <c r="V7" s="129"/>
    </row>
    <row r="8" spans="1:22" ht="17.25" x14ac:dyDescent="0.2">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x14ac:dyDescent="0.25">
      <c r="A9" s="131"/>
      <c r="B9" s="131"/>
      <c r="C9" s="131"/>
      <c r="F9" s="129"/>
      <c r="G9" s="129"/>
      <c r="H9" s="129"/>
      <c r="I9" s="129"/>
      <c r="J9" s="129"/>
      <c r="K9" s="129"/>
      <c r="L9" s="129"/>
      <c r="M9" s="129"/>
      <c r="N9" s="129"/>
      <c r="O9" s="129"/>
      <c r="P9" s="129"/>
      <c r="Q9" s="129"/>
      <c r="R9" s="129"/>
      <c r="S9" s="130"/>
      <c r="T9" s="129"/>
      <c r="U9" s="129"/>
      <c r="V9" s="129"/>
    </row>
    <row r="10" spans="1:22" ht="17.25" customHeight="1" thickBot="1" x14ac:dyDescent="0.2">
      <c r="A10" s="174" t="s">
        <v>321</v>
      </c>
      <c r="B10" s="175"/>
      <c r="C10" s="176"/>
      <c r="F10" s="129"/>
      <c r="G10" s="184" t="s">
        <v>281</v>
      </c>
      <c r="H10" s="184"/>
      <c r="I10" s="184"/>
      <c r="J10" s="184"/>
      <c r="K10" s="184"/>
      <c r="L10" s="184"/>
      <c r="M10" s="184"/>
      <c r="N10" s="132"/>
      <c r="O10" s="132"/>
      <c r="P10" s="129"/>
      <c r="Q10" s="129"/>
      <c r="R10" s="129"/>
      <c r="S10" s="130"/>
      <c r="T10" s="129"/>
      <c r="U10" s="129"/>
      <c r="V10" s="129"/>
    </row>
    <row r="11" spans="1:22" ht="15" customHeight="1" x14ac:dyDescent="0.15">
      <c r="A11" s="133" t="s">
        <v>330</v>
      </c>
      <c r="B11" s="154">
        <v>30</v>
      </c>
      <c r="C11" s="134" t="s">
        <v>1</v>
      </c>
      <c r="F11" s="129"/>
      <c r="G11" s="184"/>
      <c r="H11" s="184"/>
      <c r="I11" s="184"/>
      <c r="J11" s="184"/>
      <c r="K11" s="184"/>
      <c r="L11" s="184"/>
      <c r="M11" s="184"/>
      <c r="N11" s="132"/>
      <c r="O11" s="132"/>
      <c r="Q11" s="129"/>
      <c r="R11" s="129"/>
      <c r="S11" s="130"/>
      <c r="T11" s="129"/>
      <c r="U11" s="129"/>
      <c r="V11" s="129"/>
    </row>
    <row r="12" spans="1:22" ht="15" customHeight="1" x14ac:dyDescent="0.15">
      <c r="A12" s="133" t="s">
        <v>331</v>
      </c>
      <c r="B12" s="154">
        <v>50</v>
      </c>
      <c r="C12" s="134" t="s">
        <v>1</v>
      </c>
      <c r="F12" s="129"/>
      <c r="G12" s="129"/>
      <c r="Q12" s="129"/>
      <c r="R12" s="129"/>
      <c r="S12" s="130"/>
      <c r="T12" s="129"/>
      <c r="U12" s="129"/>
      <c r="V12" s="129"/>
    </row>
    <row r="13" spans="1:22" ht="14.25" thickBot="1" x14ac:dyDescent="0.2">
      <c r="A13" s="135" t="s">
        <v>332</v>
      </c>
      <c r="B13" s="155">
        <v>60</v>
      </c>
      <c r="C13" s="136" t="s">
        <v>1</v>
      </c>
      <c r="F13" s="129"/>
      <c r="G13" s="129"/>
      <c r="H13" s="129"/>
      <c r="I13" s="129"/>
      <c r="J13" s="129"/>
      <c r="K13" s="129"/>
      <c r="L13" s="129"/>
      <c r="M13" s="129"/>
      <c r="N13" s="129"/>
      <c r="O13" s="129"/>
      <c r="P13" s="129"/>
      <c r="Q13" s="129"/>
      <c r="R13" s="129"/>
      <c r="S13" s="130"/>
      <c r="T13" s="129"/>
      <c r="U13" s="129"/>
      <c r="V13" s="129"/>
    </row>
    <row r="14" spans="1:22" ht="14.25" thickBot="1" x14ac:dyDescent="0.2">
      <c r="B14" s="137"/>
      <c r="F14" s="129"/>
      <c r="G14" s="129"/>
      <c r="H14" s="129"/>
      <c r="I14" s="129"/>
      <c r="J14" s="129"/>
      <c r="K14" s="129"/>
      <c r="L14" s="129"/>
      <c r="M14" s="129"/>
      <c r="N14" s="129"/>
      <c r="O14" s="129"/>
      <c r="P14" s="129"/>
      <c r="Q14" s="129"/>
      <c r="R14" s="129"/>
      <c r="S14" s="130"/>
      <c r="T14" s="129"/>
      <c r="U14" s="129"/>
      <c r="V14" s="129"/>
    </row>
    <row r="15" spans="1:22" ht="14.25" thickBot="1" x14ac:dyDescent="0.2">
      <c r="A15" s="174" t="s">
        <v>320</v>
      </c>
      <c r="B15" s="175"/>
      <c r="C15" s="176"/>
      <c r="F15" s="129"/>
      <c r="G15" s="129"/>
      <c r="H15" s="129"/>
      <c r="I15" s="129"/>
      <c r="J15" s="129"/>
      <c r="K15" s="129"/>
      <c r="L15" s="129"/>
      <c r="M15" s="129"/>
      <c r="N15" s="129"/>
      <c r="O15" s="129"/>
      <c r="P15" s="129"/>
      <c r="Q15" s="129"/>
      <c r="R15" s="129"/>
      <c r="S15" s="130"/>
      <c r="T15" s="129"/>
      <c r="U15" s="129"/>
      <c r="V15" s="129"/>
    </row>
    <row r="16" spans="1:22" x14ac:dyDescent="0.15">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x14ac:dyDescent="0.15">
      <c r="A17" s="133" t="s">
        <v>328</v>
      </c>
      <c r="B17" s="154">
        <v>25</v>
      </c>
      <c r="C17" s="134" t="s">
        <v>1</v>
      </c>
      <c r="F17" s="129"/>
      <c r="G17" s="129"/>
      <c r="H17" s="129"/>
      <c r="I17" s="129"/>
      <c r="J17" s="129"/>
      <c r="K17" s="129"/>
      <c r="L17" s="129"/>
      <c r="M17" s="129"/>
      <c r="N17" s="129"/>
      <c r="O17" s="129"/>
      <c r="P17" s="129"/>
      <c r="Q17" s="129"/>
      <c r="R17" s="129"/>
      <c r="S17" s="130"/>
      <c r="T17" s="129"/>
      <c r="U17" s="129"/>
      <c r="V17" s="129"/>
    </row>
    <row r="18" spans="1:22" ht="14.25" thickBot="1" x14ac:dyDescent="0.2">
      <c r="A18" s="135" t="s">
        <v>329</v>
      </c>
      <c r="B18" s="155">
        <v>26</v>
      </c>
      <c r="C18" s="136" t="s">
        <v>1</v>
      </c>
      <c r="F18" s="129"/>
      <c r="G18" s="129"/>
      <c r="H18" s="129"/>
      <c r="I18" s="129"/>
      <c r="J18" s="129"/>
      <c r="K18" s="129"/>
      <c r="L18" s="129"/>
      <c r="M18" s="129"/>
      <c r="N18" s="129"/>
      <c r="O18" s="129"/>
      <c r="P18" s="129"/>
      <c r="Q18" s="129"/>
      <c r="R18" s="129"/>
      <c r="S18" s="130"/>
      <c r="T18" s="129"/>
      <c r="U18" s="129"/>
      <c r="V18" s="129"/>
    </row>
    <row r="19" spans="1:22" ht="14.25" thickBot="1" x14ac:dyDescent="0.2">
      <c r="B19" s="137"/>
      <c r="F19" s="129"/>
      <c r="G19" s="129"/>
      <c r="H19" s="129"/>
      <c r="I19" s="129"/>
      <c r="J19" s="129"/>
      <c r="K19" s="129"/>
      <c r="L19" s="129"/>
      <c r="M19" s="129"/>
      <c r="N19" s="129"/>
      <c r="O19" s="129"/>
      <c r="P19" s="129"/>
      <c r="Q19" s="129"/>
      <c r="R19" s="129"/>
      <c r="S19" s="130"/>
      <c r="T19" s="129"/>
      <c r="U19" s="129"/>
      <c r="V19" s="129"/>
    </row>
    <row r="20" spans="1:22" ht="14.25" thickBot="1" x14ac:dyDescent="0.2">
      <c r="A20" s="174" t="s">
        <v>2</v>
      </c>
      <c r="B20" s="175"/>
      <c r="C20" s="176"/>
      <c r="F20" s="129"/>
      <c r="G20" s="129"/>
      <c r="H20" s="129"/>
      <c r="I20" s="129"/>
      <c r="J20" s="129"/>
      <c r="K20" s="129"/>
      <c r="L20" s="129"/>
      <c r="M20" s="129"/>
      <c r="N20" s="129"/>
      <c r="O20" s="129"/>
      <c r="P20" s="129"/>
      <c r="Q20" s="129"/>
      <c r="R20" s="129"/>
      <c r="S20" s="130"/>
      <c r="T20" s="129"/>
      <c r="U20" s="129"/>
      <c r="V20" s="129"/>
    </row>
    <row r="21" spans="1:22" x14ac:dyDescent="0.15">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25" thickBot="1" x14ac:dyDescent="0.3">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4.25" thickBot="1" x14ac:dyDescent="0.2">
      <c r="F23" s="129"/>
      <c r="G23" s="129"/>
      <c r="H23" s="129"/>
      <c r="I23" s="129"/>
      <c r="J23" s="129"/>
      <c r="K23" s="129"/>
      <c r="L23" s="129"/>
      <c r="M23" s="129"/>
      <c r="N23" s="129"/>
      <c r="O23" s="129"/>
      <c r="P23" s="129"/>
      <c r="Q23" s="129"/>
      <c r="R23" s="129"/>
      <c r="S23" s="130"/>
      <c r="T23" s="129"/>
      <c r="U23" s="129"/>
      <c r="V23" s="129"/>
    </row>
    <row r="24" spans="1:22" ht="14.25" thickBot="1" x14ac:dyDescent="0.2">
      <c r="A24" s="174" t="s">
        <v>282</v>
      </c>
      <c r="B24" s="175"/>
      <c r="C24" s="176"/>
      <c r="F24" s="129"/>
      <c r="G24" s="129"/>
      <c r="H24" s="129"/>
      <c r="I24" s="129"/>
      <c r="J24" s="129"/>
      <c r="K24" s="129"/>
      <c r="L24" s="129"/>
      <c r="M24" s="129"/>
      <c r="N24" s="129"/>
      <c r="O24" s="129"/>
      <c r="P24" s="129"/>
      <c r="Q24" s="129"/>
      <c r="R24" s="129"/>
      <c r="S24" s="130"/>
      <c r="T24" s="129"/>
      <c r="U24" s="129"/>
      <c r="V24" s="129"/>
    </row>
    <row r="25" spans="1:22" x14ac:dyDescent="0.15">
      <c r="A25" s="133" t="s">
        <v>27</v>
      </c>
      <c r="B25" s="154">
        <v>2</v>
      </c>
      <c r="C25" s="134"/>
      <c r="F25" s="129"/>
      <c r="G25" s="129"/>
      <c r="H25" s="129"/>
      <c r="I25" s="129"/>
      <c r="J25" s="129"/>
      <c r="K25" s="129"/>
      <c r="L25" s="129"/>
      <c r="M25" s="129"/>
      <c r="N25" s="129"/>
      <c r="O25" s="129"/>
      <c r="P25" s="129"/>
      <c r="Q25" s="129"/>
      <c r="R25" s="129"/>
      <c r="S25" s="130"/>
      <c r="T25" s="129"/>
      <c r="U25" s="129"/>
      <c r="V25" s="129"/>
    </row>
    <row r="26" spans="1:22" x14ac:dyDescent="0.15">
      <c r="A26" s="133" t="s">
        <v>325</v>
      </c>
      <c r="B26" s="154">
        <v>35</v>
      </c>
      <c r="C26" s="134" t="s">
        <v>4</v>
      </c>
      <c r="F26" s="129"/>
      <c r="G26" s="129"/>
      <c r="H26" s="129"/>
      <c r="I26" s="129"/>
      <c r="J26" s="129"/>
      <c r="K26" s="129"/>
      <c r="L26" s="129"/>
      <c r="M26" s="129"/>
      <c r="N26" s="129"/>
      <c r="O26" s="129"/>
      <c r="P26" s="129"/>
      <c r="Q26" s="129"/>
      <c r="R26" s="129"/>
      <c r="S26" s="130"/>
      <c r="T26" s="129"/>
      <c r="U26" s="129"/>
      <c r="V26" s="129"/>
    </row>
    <row r="27" spans="1:22" ht="16.5" x14ac:dyDescent="0.25">
      <c r="A27" s="133" t="s">
        <v>324</v>
      </c>
      <c r="B27" s="139">
        <f>Calculations!B27</f>
        <v>2.8571428571428572</v>
      </c>
      <c r="C27" s="134" t="s">
        <v>7</v>
      </c>
      <c r="F27" s="129"/>
      <c r="G27" s="129"/>
      <c r="H27" s="129"/>
      <c r="I27" s="129"/>
      <c r="J27" s="129"/>
      <c r="K27" s="129"/>
      <c r="L27" s="129"/>
      <c r="M27" s="129"/>
      <c r="N27" s="129"/>
      <c r="O27" s="129"/>
      <c r="P27" s="129"/>
      <c r="Q27" s="129"/>
      <c r="R27" s="129"/>
      <c r="S27" s="130"/>
      <c r="T27" s="129"/>
      <c r="U27" s="129"/>
      <c r="V27" s="129"/>
    </row>
    <row r="28" spans="1:22" ht="16.5" x14ac:dyDescent="0.25">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x14ac:dyDescent="0.15">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4.25" thickBot="1" x14ac:dyDescent="0.2">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25" x14ac:dyDescent="0.2">
      <c r="A31" s="181"/>
      <c r="B31" s="181"/>
      <c r="C31" s="181"/>
      <c r="F31" s="129"/>
      <c r="G31" s="129"/>
      <c r="H31" s="129"/>
      <c r="I31" s="129"/>
      <c r="J31" s="129"/>
      <c r="K31" s="129"/>
      <c r="L31" s="129"/>
      <c r="M31" s="129"/>
      <c r="N31" s="129"/>
      <c r="O31" s="129"/>
      <c r="P31" s="129"/>
      <c r="Q31" s="129"/>
      <c r="R31" s="129"/>
      <c r="S31" s="130"/>
      <c r="T31" s="129"/>
      <c r="U31" s="129"/>
      <c r="V31" s="129"/>
    </row>
    <row r="32" spans="1:22" ht="17.25" x14ac:dyDescent="0.2">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x14ac:dyDescent="0.25">
      <c r="A33" s="140"/>
      <c r="B33" s="140"/>
      <c r="C33" s="140"/>
      <c r="F33" s="129"/>
      <c r="G33" s="129"/>
      <c r="H33" s="129"/>
      <c r="I33" s="129"/>
      <c r="J33" s="129"/>
      <c r="K33" s="129"/>
      <c r="L33" s="129"/>
      <c r="M33" s="129"/>
      <c r="N33" s="129"/>
      <c r="O33" s="129"/>
      <c r="P33" s="129"/>
      <c r="Q33" s="129"/>
      <c r="R33" s="129"/>
      <c r="S33" s="130"/>
      <c r="T33" s="129"/>
      <c r="U33" s="129"/>
      <c r="V33" s="129"/>
    </row>
    <row r="34" spans="1:22" ht="14.25" thickBot="1" x14ac:dyDescent="0.2">
      <c r="A34" s="174" t="s">
        <v>9</v>
      </c>
      <c r="B34" s="175"/>
      <c r="C34" s="176"/>
      <c r="F34" s="129"/>
      <c r="G34" s="129"/>
      <c r="H34" s="129"/>
      <c r="I34" s="129"/>
      <c r="J34" s="129"/>
      <c r="K34" s="129"/>
      <c r="L34" s="129"/>
      <c r="M34" s="129"/>
      <c r="N34" s="129"/>
      <c r="O34" s="129"/>
      <c r="P34" s="129"/>
      <c r="Q34" s="129"/>
      <c r="R34" s="129"/>
      <c r="S34" s="130"/>
      <c r="T34" s="129"/>
      <c r="U34" s="129"/>
      <c r="V34" s="129"/>
    </row>
    <row r="35" spans="1:22" x14ac:dyDescent="0.15">
      <c r="A35" s="133" t="s">
        <v>471</v>
      </c>
      <c r="B35" s="156">
        <v>30</v>
      </c>
      <c r="C35" s="141" t="s">
        <v>26</v>
      </c>
      <c r="F35" s="129"/>
      <c r="G35" s="129"/>
      <c r="H35" s="129"/>
      <c r="I35" s="129"/>
      <c r="J35" s="129"/>
      <c r="K35" s="129"/>
      <c r="L35" s="129"/>
      <c r="M35" s="129"/>
      <c r="N35" s="129"/>
      <c r="O35" s="129"/>
      <c r="P35" s="129"/>
      <c r="Q35" s="129"/>
      <c r="R35" s="129"/>
      <c r="S35" s="130"/>
      <c r="T35" s="129"/>
      <c r="U35" s="129"/>
      <c r="V35" s="129"/>
    </row>
    <row r="36" spans="1:22" x14ac:dyDescent="0.15">
      <c r="A36" s="133" t="s">
        <v>472</v>
      </c>
      <c r="B36" s="139">
        <f>Calculations!B37</f>
        <v>6.9444444444444446</v>
      </c>
      <c r="C36" s="134" t="s">
        <v>6</v>
      </c>
      <c r="F36" s="129"/>
      <c r="G36" s="129"/>
      <c r="H36" s="129"/>
      <c r="I36" s="129"/>
      <c r="J36" s="129"/>
      <c r="K36" s="129"/>
      <c r="L36" s="129"/>
      <c r="M36" s="129"/>
      <c r="N36" s="129"/>
      <c r="O36" s="129"/>
      <c r="P36" s="129"/>
      <c r="Q36" s="129"/>
      <c r="R36" s="129"/>
      <c r="S36" s="130"/>
      <c r="T36" s="129"/>
      <c r="U36" s="129"/>
      <c r="V36" s="129"/>
    </row>
    <row r="37" spans="1:22" ht="16.5" x14ac:dyDescent="0.25">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x14ac:dyDescent="0.25">
      <c r="A38" s="133" t="s">
        <v>29</v>
      </c>
      <c r="B38" s="154">
        <v>2.25</v>
      </c>
      <c r="C38" s="134" t="s">
        <v>7</v>
      </c>
      <c r="F38" s="129"/>
      <c r="G38" s="129"/>
      <c r="H38" s="129"/>
      <c r="I38" s="129"/>
      <c r="J38" s="129"/>
      <c r="K38" s="129"/>
      <c r="L38" s="129"/>
      <c r="M38" s="129"/>
      <c r="N38" s="129"/>
      <c r="O38" s="129"/>
      <c r="P38" s="129"/>
      <c r="Q38" s="129"/>
      <c r="R38" s="129"/>
      <c r="S38" s="130"/>
      <c r="T38" s="129"/>
      <c r="U38" s="129"/>
      <c r="V38" s="129"/>
    </row>
    <row r="39" spans="1:22" ht="14.25" thickBot="1" x14ac:dyDescent="0.2">
      <c r="A39" s="135" t="s">
        <v>474</v>
      </c>
      <c r="B39" s="143">
        <f>I_Channel_Peak_No_Ilimit</f>
        <v>21.37854609929078</v>
      </c>
      <c r="C39" s="136" t="s">
        <v>4</v>
      </c>
      <c r="F39" s="129"/>
      <c r="G39" s="129"/>
      <c r="H39" s="129"/>
      <c r="I39" s="129"/>
      <c r="J39" s="129"/>
      <c r="K39" s="129"/>
      <c r="L39" s="129"/>
      <c r="M39" s="129"/>
      <c r="N39" s="129"/>
      <c r="O39" s="129"/>
      <c r="P39" s="129"/>
      <c r="Q39" s="129"/>
      <c r="R39" s="129"/>
      <c r="S39" s="130"/>
      <c r="T39" s="129"/>
      <c r="U39" s="129"/>
      <c r="V39" s="129"/>
    </row>
    <row r="40" spans="1:22" x14ac:dyDescent="0.15">
      <c r="A40" s="133"/>
      <c r="B40" s="144"/>
      <c r="F40" s="129"/>
      <c r="G40" s="129"/>
      <c r="H40" s="129"/>
      <c r="I40" s="129"/>
      <c r="J40" s="129"/>
      <c r="K40" s="129"/>
      <c r="L40" s="129"/>
      <c r="M40" s="129"/>
      <c r="N40" s="129"/>
      <c r="O40" s="129"/>
      <c r="P40" s="129"/>
      <c r="Q40" s="129"/>
      <c r="R40" s="129"/>
      <c r="S40" s="130"/>
      <c r="T40" s="129"/>
      <c r="U40" s="129"/>
      <c r="V40" s="129"/>
    </row>
    <row r="41" spans="1:22" ht="17.25" x14ac:dyDescent="0.2">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x14ac:dyDescent="0.2">
      <c r="A42" s="133"/>
      <c r="B42" s="144"/>
      <c r="F42" s="129"/>
      <c r="G42" s="129"/>
      <c r="H42" s="129"/>
      <c r="I42" s="129"/>
      <c r="J42" s="129"/>
      <c r="K42" s="129"/>
      <c r="L42" s="129"/>
      <c r="M42" s="129"/>
      <c r="N42" s="129"/>
      <c r="O42" s="129"/>
      <c r="P42" s="129"/>
      <c r="Q42" s="129"/>
      <c r="R42" s="129"/>
      <c r="S42" s="130"/>
      <c r="T42" s="129"/>
      <c r="U42" s="129"/>
      <c r="V42" s="129"/>
    </row>
    <row r="43" spans="1:22" ht="14.25" thickBot="1" x14ac:dyDescent="0.2">
      <c r="A43" s="174" t="s">
        <v>287</v>
      </c>
      <c r="B43" s="175"/>
      <c r="C43" s="176"/>
      <c r="F43" s="129"/>
      <c r="G43" s="129"/>
      <c r="H43" s="129"/>
      <c r="I43" s="129"/>
      <c r="J43" s="129"/>
      <c r="K43" s="129"/>
      <c r="L43" s="129"/>
      <c r="M43" s="129"/>
      <c r="N43" s="129"/>
      <c r="O43" s="129"/>
      <c r="P43" s="129"/>
      <c r="Q43" s="129"/>
      <c r="R43" s="129"/>
      <c r="S43" s="130"/>
      <c r="T43" s="129"/>
      <c r="U43" s="129"/>
      <c r="V43" s="129"/>
    </row>
    <row r="44" spans="1:22" x14ac:dyDescent="0.15">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x14ac:dyDescent="0.15">
      <c r="A45" s="133" t="s">
        <v>344</v>
      </c>
      <c r="B45" s="144">
        <f>I_Channel_Peak_Select</f>
        <v>23.516400709219859</v>
      </c>
      <c r="C45" s="134" t="s">
        <v>4</v>
      </c>
      <c r="F45" s="129"/>
      <c r="G45" s="129"/>
      <c r="H45" s="129"/>
      <c r="I45" s="129"/>
      <c r="J45" s="129"/>
      <c r="K45" s="129"/>
      <c r="L45" s="129"/>
      <c r="M45" s="129"/>
      <c r="N45" s="129"/>
      <c r="O45" s="129"/>
      <c r="P45" s="129"/>
      <c r="Q45" s="129"/>
      <c r="R45" s="129"/>
      <c r="S45" s="130"/>
      <c r="T45" s="129"/>
      <c r="U45" s="129"/>
      <c r="V45" s="129"/>
    </row>
    <row r="46" spans="1:22" ht="16.5" x14ac:dyDescent="0.25">
      <c r="A46" s="133" t="s">
        <v>341</v>
      </c>
      <c r="B46" s="144">
        <f>Calculations!B68</f>
        <v>21.37854609929078</v>
      </c>
      <c r="C46" s="134" t="s">
        <v>16</v>
      </c>
      <c r="F46" s="129"/>
      <c r="G46" s="129"/>
      <c r="H46" s="129"/>
      <c r="I46" s="129"/>
      <c r="J46" s="129"/>
      <c r="K46" s="129"/>
      <c r="L46" s="129"/>
      <c r="M46" s="129"/>
      <c r="N46" s="129"/>
      <c r="O46" s="129"/>
      <c r="P46" s="129"/>
      <c r="Q46" s="129"/>
      <c r="R46" s="129"/>
      <c r="S46" s="130"/>
      <c r="T46" s="129"/>
      <c r="U46" s="129"/>
      <c r="V46" s="129"/>
    </row>
    <row r="47" spans="1:22" ht="16.5" x14ac:dyDescent="0.25">
      <c r="A47" s="133" t="s">
        <v>342</v>
      </c>
      <c r="B47" s="157">
        <v>21</v>
      </c>
      <c r="C47" s="134" t="s">
        <v>16</v>
      </c>
      <c r="F47" s="129"/>
      <c r="G47" s="129"/>
      <c r="H47" s="129"/>
      <c r="I47" s="129"/>
      <c r="J47" s="129"/>
      <c r="K47" s="129"/>
      <c r="L47" s="129"/>
      <c r="M47" s="129"/>
      <c r="N47" s="129"/>
      <c r="O47" s="129"/>
      <c r="P47" s="129"/>
      <c r="Q47" s="129"/>
      <c r="R47" s="129"/>
      <c r="S47" s="130"/>
      <c r="T47" s="129"/>
      <c r="U47" s="129"/>
      <c r="V47" s="129"/>
    </row>
    <row r="48" spans="1:22" ht="14.25" thickBot="1" x14ac:dyDescent="0.2">
      <c r="A48" s="135" t="s">
        <v>343</v>
      </c>
      <c r="B48" s="143">
        <f>Calculations!B70</f>
        <v>23.1</v>
      </c>
      <c r="C48" s="136" t="s">
        <v>4</v>
      </c>
      <c r="F48" s="129"/>
      <c r="G48" s="129"/>
      <c r="H48" s="129"/>
      <c r="I48" s="129"/>
      <c r="J48" s="129"/>
      <c r="K48" s="129"/>
      <c r="L48" s="129"/>
      <c r="M48" s="129"/>
      <c r="N48" s="129"/>
      <c r="O48" s="129"/>
      <c r="P48" s="129"/>
      <c r="Q48" s="129"/>
      <c r="R48" s="129"/>
      <c r="S48" s="130"/>
      <c r="T48" s="129"/>
      <c r="U48" s="129"/>
      <c r="V48" s="129"/>
    </row>
    <row r="49" spans="1:22" x14ac:dyDescent="0.15">
      <c r="B49" s="144"/>
      <c r="F49" s="129"/>
      <c r="G49" s="129"/>
      <c r="H49" s="129"/>
      <c r="I49" s="129"/>
      <c r="J49" s="129"/>
      <c r="K49" s="129"/>
      <c r="L49" s="129"/>
      <c r="M49" s="129"/>
      <c r="N49" s="129"/>
      <c r="O49" s="129"/>
      <c r="P49" s="129"/>
      <c r="Q49" s="129"/>
      <c r="R49" s="129"/>
      <c r="S49" s="130"/>
      <c r="T49" s="129"/>
      <c r="U49" s="129"/>
      <c r="V49" s="129"/>
    </row>
    <row r="50" spans="1:22" ht="17.25" x14ac:dyDescent="0.2">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x14ac:dyDescent="0.2">
      <c r="B51" s="144"/>
      <c r="F51" s="129"/>
      <c r="G51" s="129"/>
      <c r="H51" s="129"/>
      <c r="I51" s="129"/>
      <c r="J51" s="129"/>
      <c r="K51" s="129"/>
      <c r="L51" s="129"/>
      <c r="M51" s="129"/>
      <c r="N51" s="129"/>
      <c r="O51" s="129"/>
      <c r="P51" s="129"/>
      <c r="Q51" s="129"/>
      <c r="R51" s="129"/>
      <c r="S51" s="130"/>
      <c r="T51" s="129"/>
      <c r="U51" s="129"/>
      <c r="V51" s="129"/>
    </row>
    <row r="52" spans="1:22" ht="14.25" thickBot="1" x14ac:dyDescent="0.2">
      <c r="A52" s="174" t="s">
        <v>338</v>
      </c>
      <c r="B52" s="175"/>
      <c r="C52" s="176"/>
      <c r="F52" s="129"/>
      <c r="G52" s="129"/>
      <c r="H52" s="129"/>
      <c r="I52" s="129"/>
      <c r="J52" s="129"/>
      <c r="K52" s="129"/>
      <c r="L52" s="129"/>
      <c r="M52" s="129"/>
      <c r="N52" s="129"/>
      <c r="O52" s="129"/>
      <c r="P52" s="129"/>
      <c r="Q52" s="129"/>
      <c r="R52" s="129"/>
      <c r="S52" s="130"/>
      <c r="T52" s="129"/>
      <c r="U52" s="129"/>
      <c r="V52" s="129"/>
    </row>
    <row r="53" spans="1:22" ht="16.5" x14ac:dyDescent="0.25">
      <c r="A53" s="133" t="s">
        <v>347</v>
      </c>
      <c r="B53" s="154">
        <v>937.6</v>
      </c>
      <c r="C53" s="145" t="s">
        <v>32</v>
      </c>
      <c r="F53" s="129"/>
      <c r="G53" s="129"/>
      <c r="H53" s="129"/>
      <c r="I53" s="129"/>
      <c r="J53" s="129"/>
      <c r="K53" s="129"/>
      <c r="L53" s="129"/>
      <c r="M53" s="129"/>
      <c r="N53" s="129"/>
      <c r="O53" s="129"/>
      <c r="P53" s="129"/>
      <c r="Q53" s="129"/>
      <c r="R53" s="129"/>
      <c r="S53" s="130"/>
      <c r="T53" s="129"/>
      <c r="U53" s="129"/>
      <c r="V53" s="129"/>
    </row>
    <row r="54" spans="1:22" ht="15.75" thickBot="1" x14ac:dyDescent="0.3">
      <c r="A54" s="135" t="s">
        <v>345</v>
      </c>
      <c r="B54" s="155">
        <v>112</v>
      </c>
      <c r="C54" s="136" t="s">
        <v>7</v>
      </c>
      <c r="F54" s="129"/>
      <c r="G54" s="129"/>
      <c r="H54" s="129"/>
      <c r="I54" s="129"/>
      <c r="J54" s="129"/>
      <c r="K54" s="129"/>
      <c r="L54" s="129"/>
      <c r="M54" s="129"/>
      <c r="N54" s="129"/>
      <c r="O54" s="129"/>
      <c r="P54" s="129"/>
      <c r="Q54" s="129"/>
      <c r="R54" s="129"/>
      <c r="S54" s="130"/>
      <c r="T54" s="129"/>
      <c r="U54" s="129"/>
      <c r="V54" s="129"/>
    </row>
    <row r="55" spans="1:22" ht="14.25" thickBot="1" x14ac:dyDescent="0.2">
      <c r="A55" s="174" t="s">
        <v>339</v>
      </c>
      <c r="B55" s="175"/>
      <c r="C55" s="176"/>
      <c r="F55" s="129"/>
      <c r="G55" s="129"/>
      <c r="H55" s="129"/>
      <c r="I55" s="129"/>
      <c r="J55" s="129"/>
      <c r="K55" s="129"/>
      <c r="L55" s="129"/>
      <c r="M55" s="129"/>
      <c r="N55" s="129"/>
      <c r="O55" s="129"/>
      <c r="P55" s="129"/>
      <c r="Q55" s="129"/>
      <c r="R55" s="129"/>
      <c r="S55" s="130"/>
      <c r="T55" s="129"/>
      <c r="U55" s="129"/>
      <c r="V55" s="129"/>
    </row>
    <row r="56" spans="1:22" ht="16.5" x14ac:dyDescent="0.25">
      <c r="A56" s="133" t="s">
        <v>348</v>
      </c>
      <c r="B56" s="154">
        <v>705</v>
      </c>
      <c r="C56" s="145" t="s">
        <v>32</v>
      </c>
      <c r="F56" s="129"/>
      <c r="G56" s="129"/>
      <c r="H56" s="129"/>
      <c r="I56" s="129"/>
      <c r="J56" s="129"/>
      <c r="K56" s="129"/>
      <c r="L56" s="129"/>
      <c r="M56" s="129"/>
      <c r="N56" s="129"/>
      <c r="O56" s="129"/>
      <c r="P56" s="129"/>
      <c r="Q56" s="129"/>
      <c r="R56" s="129"/>
      <c r="S56" s="130"/>
      <c r="T56" s="129"/>
      <c r="U56" s="129"/>
      <c r="V56" s="129"/>
    </row>
    <row r="57" spans="1:22" ht="15.75" thickBot="1" x14ac:dyDescent="0.3">
      <c r="A57" s="135" t="s">
        <v>346</v>
      </c>
      <c r="B57" s="155">
        <v>30</v>
      </c>
      <c r="C57" s="136" t="s">
        <v>7</v>
      </c>
      <c r="F57" s="129"/>
      <c r="G57" s="129"/>
      <c r="H57" s="129"/>
      <c r="I57" s="129"/>
      <c r="J57" s="129"/>
      <c r="K57" s="129"/>
      <c r="L57" s="129"/>
      <c r="M57" s="129"/>
      <c r="N57" s="129"/>
      <c r="O57" s="129"/>
      <c r="P57" s="129"/>
      <c r="Q57" s="129"/>
      <c r="R57" s="129"/>
      <c r="S57" s="130"/>
      <c r="T57" s="129"/>
      <c r="U57" s="129"/>
      <c r="V57" s="129"/>
    </row>
    <row r="58" spans="1:22" x14ac:dyDescent="0.15">
      <c r="F58" s="129"/>
      <c r="G58" s="129"/>
      <c r="H58" s="129"/>
      <c r="I58" s="129"/>
      <c r="J58" s="129"/>
      <c r="K58" s="129"/>
      <c r="L58" s="129"/>
      <c r="M58" s="129"/>
      <c r="N58" s="129"/>
      <c r="O58" s="129"/>
      <c r="P58" s="129"/>
      <c r="Q58" s="129"/>
      <c r="R58" s="129"/>
      <c r="S58" s="130"/>
      <c r="T58" s="129"/>
      <c r="U58" s="129"/>
      <c r="V58" s="129"/>
    </row>
    <row r="59" spans="1:22" ht="17.25" x14ac:dyDescent="0.2">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x14ac:dyDescent="0.2">
      <c r="F60" s="129"/>
      <c r="G60" s="129"/>
      <c r="H60" s="129"/>
      <c r="I60" s="129"/>
      <c r="J60" s="129"/>
      <c r="K60" s="129"/>
      <c r="L60" s="129"/>
      <c r="M60" s="129"/>
      <c r="N60" s="129"/>
      <c r="O60" s="129"/>
      <c r="P60" s="129"/>
      <c r="Q60" s="129"/>
      <c r="R60" s="129"/>
      <c r="S60" s="130"/>
      <c r="T60" s="129"/>
      <c r="U60" s="129"/>
      <c r="V60" s="129"/>
    </row>
    <row r="61" spans="1:22" ht="14.25" thickBot="1" x14ac:dyDescent="0.2">
      <c r="A61" s="174" t="s">
        <v>296</v>
      </c>
      <c r="B61" s="175"/>
      <c r="C61" s="176"/>
      <c r="F61" s="129"/>
      <c r="G61" s="129"/>
      <c r="H61" s="129"/>
      <c r="I61" s="129"/>
      <c r="J61" s="129"/>
      <c r="K61" s="129"/>
      <c r="L61" s="129"/>
      <c r="M61" s="129"/>
      <c r="N61" s="129"/>
      <c r="O61" s="129"/>
      <c r="P61" s="187" t="s">
        <v>384</v>
      </c>
      <c r="Q61" s="188"/>
      <c r="R61" s="129"/>
      <c r="S61" s="130"/>
      <c r="T61" s="129"/>
      <c r="U61" s="129"/>
      <c r="V61" s="129"/>
    </row>
    <row r="62" spans="1:22" ht="16.5" x14ac:dyDescent="0.25">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5" x14ac:dyDescent="0.25">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5" x14ac:dyDescent="0.25">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x14ac:dyDescent="0.15">
      <c r="A65" s="133" t="s">
        <v>475</v>
      </c>
      <c r="B65" s="144">
        <f>Calculations!B78</f>
        <v>3.125</v>
      </c>
      <c r="C65" s="134" t="s">
        <v>1</v>
      </c>
      <c r="F65" s="129"/>
      <c r="G65" s="129"/>
      <c r="H65" s="129"/>
      <c r="I65" s="129"/>
      <c r="J65" s="129"/>
      <c r="K65" s="129"/>
      <c r="L65" s="129"/>
      <c r="M65" s="129"/>
      <c r="N65" s="129"/>
      <c r="O65" s="129"/>
      <c r="P65" s="129"/>
      <c r="Q65" s="129"/>
      <c r="R65" s="129"/>
      <c r="S65" s="130"/>
      <c r="T65" s="129"/>
      <c r="U65" s="129"/>
      <c r="V65" s="129"/>
    </row>
    <row r="66" spans="1:22" x14ac:dyDescent="0.15">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4.25" thickBot="1" x14ac:dyDescent="0.2">
      <c r="A67" s="135" t="s">
        <v>477</v>
      </c>
      <c r="B67" s="143">
        <f>Calculations!B80</f>
        <v>6.25</v>
      </c>
      <c r="C67" s="136" t="s">
        <v>1</v>
      </c>
      <c r="F67" s="129"/>
      <c r="G67" s="129"/>
      <c r="H67" s="129"/>
      <c r="I67" s="129"/>
      <c r="J67" s="129"/>
      <c r="K67" s="129"/>
      <c r="L67" s="129"/>
      <c r="M67" s="129"/>
      <c r="N67" s="129"/>
      <c r="O67" s="129"/>
      <c r="P67" s="129"/>
      <c r="Q67" s="129"/>
      <c r="R67" s="129"/>
      <c r="S67" s="130"/>
      <c r="T67" s="129"/>
      <c r="U67" s="129"/>
      <c r="V67" s="129"/>
    </row>
    <row r="68" spans="1:22" x14ac:dyDescent="0.15">
      <c r="F68" s="129"/>
      <c r="G68" s="129"/>
      <c r="H68" s="129"/>
      <c r="I68" s="129"/>
      <c r="J68" s="129"/>
      <c r="K68" s="129"/>
      <c r="L68" s="129"/>
      <c r="M68" s="129"/>
      <c r="N68" s="129"/>
      <c r="O68" s="129"/>
      <c r="P68" s="129"/>
      <c r="Q68" s="129"/>
      <c r="R68" s="129"/>
      <c r="S68" s="130"/>
      <c r="T68" s="129"/>
      <c r="U68" s="129"/>
      <c r="V68" s="129"/>
    </row>
    <row r="69" spans="1:22" ht="17.25" x14ac:dyDescent="0.2">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x14ac:dyDescent="0.2">
      <c r="F70" s="129"/>
      <c r="G70" s="129"/>
      <c r="H70" s="129"/>
      <c r="I70" s="129"/>
      <c r="J70" s="129"/>
      <c r="K70" s="129"/>
      <c r="L70" s="129"/>
      <c r="M70" s="129"/>
      <c r="N70" s="129"/>
      <c r="O70" s="129"/>
      <c r="P70" s="129"/>
      <c r="Q70" s="129"/>
      <c r="R70" s="129"/>
      <c r="S70" s="130"/>
      <c r="T70" s="129"/>
      <c r="U70" s="129"/>
      <c r="V70" s="129"/>
    </row>
    <row r="71" spans="1:22" ht="14.25" thickBot="1" x14ac:dyDescent="0.2">
      <c r="A71" s="174" t="s">
        <v>112</v>
      </c>
      <c r="B71" s="175"/>
      <c r="C71" s="176"/>
      <c r="F71" s="129"/>
      <c r="G71" s="129"/>
      <c r="H71" s="129"/>
      <c r="I71" s="129"/>
      <c r="J71" s="129"/>
      <c r="K71" s="129"/>
      <c r="L71" s="129"/>
      <c r="M71" s="129"/>
      <c r="N71" s="129"/>
      <c r="O71" s="129"/>
      <c r="P71" s="129"/>
      <c r="Q71" s="129"/>
      <c r="R71" s="129"/>
      <c r="S71" s="130"/>
      <c r="T71" s="129"/>
      <c r="U71" s="129"/>
      <c r="V71" s="129"/>
    </row>
    <row r="72" spans="1:22" ht="14.25" thickBot="1" x14ac:dyDescent="0.2">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25" thickBot="1" x14ac:dyDescent="0.3">
      <c r="A73" s="133" t="s">
        <v>353</v>
      </c>
      <c r="B73" s="128">
        <f>Calculations!B84</f>
        <v>0.01</v>
      </c>
      <c r="C73" s="134" t="s">
        <v>32</v>
      </c>
      <c r="P73" s="187" t="s">
        <v>384</v>
      </c>
      <c r="Q73" s="188"/>
    </row>
    <row r="74" spans="1:22" ht="16.5" x14ac:dyDescent="0.25">
      <c r="A74" s="133" t="s">
        <v>354</v>
      </c>
      <c r="B74" s="154">
        <v>0.01</v>
      </c>
      <c r="C74" s="134" t="s">
        <v>32</v>
      </c>
    </row>
    <row r="75" spans="1:22" ht="14.25" thickBot="1" x14ac:dyDescent="0.2">
      <c r="A75" s="135" t="s">
        <v>182</v>
      </c>
      <c r="B75" s="138">
        <f>Calculations!B86</f>
        <v>2</v>
      </c>
      <c r="C75" s="136" t="s">
        <v>114</v>
      </c>
    </row>
    <row r="77" spans="1:22" ht="17.25" x14ac:dyDescent="0.2">
      <c r="A77" s="173" t="s">
        <v>300</v>
      </c>
      <c r="B77" s="173"/>
      <c r="C77" s="173"/>
    </row>
    <row r="78" spans="1:22" ht="7.5" customHeight="1" thickBot="1" x14ac:dyDescent="0.2"/>
    <row r="79" spans="1:22" ht="14.25" thickBot="1" x14ac:dyDescent="0.2">
      <c r="A79" s="174" t="s">
        <v>298</v>
      </c>
      <c r="B79" s="175"/>
      <c r="C79" s="176"/>
    </row>
    <row r="80" spans="1:22" x14ac:dyDescent="0.15">
      <c r="A80" s="133" t="s">
        <v>337</v>
      </c>
      <c r="B80" s="154">
        <v>60</v>
      </c>
      <c r="C80" s="134" t="s">
        <v>1</v>
      </c>
    </row>
    <row r="81" spans="1:19" ht="16.5" x14ac:dyDescent="0.25">
      <c r="A81" s="133" t="s">
        <v>355</v>
      </c>
      <c r="B81" s="144">
        <f>Calculations!B90</f>
        <v>59.443764345830147</v>
      </c>
      <c r="C81" s="134" t="s">
        <v>104</v>
      </c>
    </row>
    <row r="82" spans="1:19" ht="16.5" x14ac:dyDescent="0.25">
      <c r="A82" s="133" t="s">
        <v>356</v>
      </c>
      <c r="B82" s="154">
        <v>60</v>
      </c>
      <c r="C82" s="134" t="s">
        <v>104</v>
      </c>
    </row>
    <row r="83" spans="1:19" ht="14.25" thickBot="1" x14ac:dyDescent="0.2">
      <c r="A83" s="135" t="s">
        <v>336</v>
      </c>
      <c r="B83" s="143">
        <f>Calculations!B92</f>
        <v>59.44426229508197</v>
      </c>
      <c r="C83" s="136" t="s">
        <v>1</v>
      </c>
    </row>
    <row r="84" spans="1:19" ht="14.25" thickBot="1" x14ac:dyDescent="0.2">
      <c r="A84" s="174" t="s">
        <v>299</v>
      </c>
      <c r="B84" s="175"/>
      <c r="C84" s="176"/>
    </row>
    <row r="85" spans="1:19" x14ac:dyDescent="0.15">
      <c r="A85" s="133" t="s">
        <v>335</v>
      </c>
      <c r="B85" s="154">
        <v>28</v>
      </c>
      <c r="C85" s="134" t="s">
        <v>1</v>
      </c>
    </row>
    <row r="86" spans="1:19" ht="16.5" x14ac:dyDescent="0.25">
      <c r="A86" s="133" t="s">
        <v>357</v>
      </c>
      <c r="B86" s="144">
        <f>Calculations!B94</f>
        <v>43.191683759090061</v>
      </c>
      <c r="C86" s="134" t="s">
        <v>104</v>
      </c>
    </row>
    <row r="87" spans="1:19" ht="16.5" x14ac:dyDescent="0.25">
      <c r="A87" s="133" t="s">
        <v>358</v>
      </c>
      <c r="B87" s="154">
        <v>43</v>
      </c>
      <c r="C87" s="134" t="s">
        <v>104</v>
      </c>
    </row>
    <row r="88" spans="1:19" ht="14.25" thickBot="1" x14ac:dyDescent="0.2">
      <c r="A88" s="135" t="s">
        <v>334</v>
      </c>
      <c r="B88" s="143">
        <f>Calculations!B96</f>
        <v>28.743139534883721</v>
      </c>
      <c r="C88" s="136" t="s">
        <v>1</v>
      </c>
    </row>
    <row r="90" spans="1:19" ht="17.25" x14ac:dyDescent="0.2">
      <c r="A90" s="173" t="s">
        <v>463</v>
      </c>
      <c r="B90" s="173"/>
      <c r="C90" s="173"/>
    </row>
    <row r="91" spans="1:19" ht="6" customHeight="1" thickBot="1" x14ac:dyDescent="0.2">
      <c r="E91" s="129"/>
      <c r="F91" s="129"/>
      <c r="G91" s="129"/>
      <c r="H91" s="129"/>
      <c r="I91" s="129"/>
      <c r="J91" s="129"/>
      <c r="K91" s="129"/>
      <c r="L91" s="129"/>
      <c r="M91" s="129"/>
      <c r="N91" s="129"/>
      <c r="O91" s="129"/>
      <c r="P91" s="129"/>
      <c r="Q91" s="129"/>
      <c r="R91" s="129"/>
      <c r="S91" s="130"/>
    </row>
    <row r="92" spans="1:19" ht="14.25" thickBot="1" x14ac:dyDescent="0.2">
      <c r="A92" s="174" t="s">
        <v>113</v>
      </c>
      <c r="B92" s="175"/>
      <c r="C92" s="176"/>
      <c r="E92" s="129"/>
      <c r="F92" s="129"/>
      <c r="G92" s="129"/>
      <c r="H92" s="129"/>
      <c r="I92" s="129"/>
      <c r="J92" s="129"/>
      <c r="K92" s="129"/>
      <c r="L92" s="129"/>
      <c r="M92" s="129"/>
      <c r="N92" s="129"/>
      <c r="O92" s="129"/>
      <c r="P92" s="129"/>
      <c r="Q92" s="129"/>
      <c r="R92" s="129"/>
      <c r="S92" s="130"/>
    </row>
    <row r="93" spans="1:19" x14ac:dyDescent="0.15">
      <c r="A93" s="133" t="s">
        <v>117</v>
      </c>
      <c r="B93" s="182" t="s">
        <v>172</v>
      </c>
      <c r="C93" s="183"/>
      <c r="E93" s="129"/>
      <c r="F93" s="185" t="s">
        <v>309</v>
      </c>
      <c r="G93" s="185"/>
      <c r="H93" s="185"/>
      <c r="I93" s="129"/>
      <c r="J93" s="129"/>
      <c r="K93" s="185" t="s">
        <v>307</v>
      </c>
      <c r="L93" s="185"/>
      <c r="M93" s="185"/>
      <c r="N93" s="129"/>
      <c r="O93" s="129"/>
      <c r="P93" s="129"/>
      <c r="Q93" s="185" t="s">
        <v>308</v>
      </c>
      <c r="R93" s="185"/>
      <c r="S93" s="130"/>
    </row>
    <row r="94" spans="1:19" x14ac:dyDescent="0.15">
      <c r="A94" s="133" t="s">
        <v>318</v>
      </c>
      <c r="B94" s="154">
        <v>24</v>
      </c>
      <c r="C94" s="134" t="s">
        <v>1</v>
      </c>
      <c r="E94" s="129"/>
      <c r="F94" s="129"/>
      <c r="G94" s="129"/>
      <c r="H94" s="129"/>
      <c r="I94" s="129"/>
      <c r="J94" s="129"/>
      <c r="K94" s="129"/>
      <c r="L94" s="129"/>
      <c r="M94" s="129"/>
      <c r="N94" s="129"/>
      <c r="O94" s="129"/>
      <c r="P94" s="129"/>
      <c r="Q94" s="129"/>
      <c r="R94" s="129"/>
      <c r="S94" s="130"/>
    </row>
    <row r="95" spans="1:19" ht="16.5" x14ac:dyDescent="0.25">
      <c r="A95" s="133" t="s">
        <v>310</v>
      </c>
      <c r="B95" s="154">
        <v>10</v>
      </c>
      <c r="C95" s="134" t="s">
        <v>104</v>
      </c>
      <c r="E95" s="129"/>
      <c r="F95" s="129"/>
      <c r="G95" s="129"/>
      <c r="H95" s="129"/>
      <c r="I95" s="129"/>
      <c r="J95" s="129"/>
      <c r="K95" s="129"/>
      <c r="L95" s="129"/>
      <c r="M95" s="129"/>
      <c r="N95" s="129"/>
      <c r="O95" s="129"/>
      <c r="P95" s="129"/>
      <c r="Q95" s="129"/>
      <c r="R95" s="129"/>
      <c r="S95" s="130"/>
    </row>
    <row r="96" spans="1:19" ht="16.5" x14ac:dyDescent="0.25">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5" x14ac:dyDescent="0.25">
      <c r="A97" s="133" t="s">
        <v>311</v>
      </c>
      <c r="B97" s="154">
        <v>86.6</v>
      </c>
      <c r="C97" s="134" t="s">
        <v>104</v>
      </c>
      <c r="E97" s="129"/>
      <c r="F97" s="129"/>
      <c r="G97" s="129"/>
      <c r="H97" s="129"/>
      <c r="I97" s="129"/>
      <c r="J97" s="129"/>
      <c r="K97" s="129"/>
      <c r="L97" s="129"/>
      <c r="M97" s="129"/>
      <c r="N97" s="129"/>
      <c r="O97" s="129"/>
      <c r="P97" s="129"/>
      <c r="Q97" s="129"/>
      <c r="R97" s="129"/>
      <c r="S97" s="130"/>
    </row>
    <row r="98" spans="1:21" x14ac:dyDescent="0.15">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x14ac:dyDescent="0.15">
      <c r="A99" s="133" t="s">
        <v>241</v>
      </c>
      <c r="B99" s="154">
        <v>2.4</v>
      </c>
      <c r="C99" s="134" t="s">
        <v>1</v>
      </c>
      <c r="E99" s="129"/>
      <c r="F99" s="129"/>
      <c r="G99" s="129"/>
      <c r="H99" s="129"/>
      <c r="I99" s="129"/>
      <c r="J99" s="129"/>
      <c r="K99" s="129"/>
      <c r="L99" s="129"/>
      <c r="M99" s="129"/>
      <c r="N99" s="129"/>
      <c r="O99" s="129"/>
      <c r="P99" s="129"/>
      <c r="Q99" s="129"/>
      <c r="R99" s="129"/>
      <c r="S99" s="130"/>
    </row>
    <row r="100" spans="1:21" ht="16.5" x14ac:dyDescent="0.25">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5" x14ac:dyDescent="0.25">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x14ac:dyDescent="0.15">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x14ac:dyDescent="0.15">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x14ac:dyDescent="0.15">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4.25" thickBot="1" x14ac:dyDescent="0.2">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x14ac:dyDescent="0.15">
      <c r="E106" s="129"/>
      <c r="F106" s="151"/>
      <c r="G106" s="151"/>
      <c r="H106" s="151"/>
      <c r="I106" s="151"/>
      <c r="J106" s="151"/>
      <c r="K106" s="151"/>
      <c r="L106" s="151"/>
      <c r="M106" s="129"/>
      <c r="N106" s="129"/>
      <c r="O106" s="129"/>
      <c r="P106" s="129"/>
      <c r="Q106" s="129"/>
      <c r="R106" s="129"/>
      <c r="S106" s="130"/>
    </row>
    <row r="107" spans="1:21" ht="17.25" x14ac:dyDescent="0.2">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x14ac:dyDescent="0.2">
      <c r="E108" s="129"/>
      <c r="F108" s="151"/>
      <c r="G108" s="151"/>
      <c r="H108" s="151"/>
      <c r="I108" s="151"/>
      <c r="J108" s="151"/>
      <c r="K108" s="151"/>
      <c r="L108" s="151"/>
      <c r="M108" s="129"/>
      <c r="N108" s="129"/>
      <c r="O108" s="129"/>
      <c r="P108" s="129"/>
      <c r="Q108" s="129"/>
      <c r="R108" s="129"/>
      <c r="S108" s="130"/>
    </row>
    <row r="109" spans="1:21" ht="14.25" thickBot="1" x14ac:dyDescent="0.2">
      <c r="A109" s="174" t="s">
        <v>302</v>
      </c>
      <c r="B109" s="175"/>
      <c r="C109" s="176"/>
      <c r="E109" s="129"/>
      <c r="F109" s="129"/>
      <c r="G109" s="129"/>
      <c r="H109" s="129"/>
      <c r="I109" s="129"/>
      <c r="J109" s="129"/>
      <c r="K109" s="129"/>
      <c r="L109" s="129"/>
      <c r="M109" s="129"/>
      <c r="N109" s="129"/>
      <c r="O109" s="129"/>
      <c r="P109" s="129"/>
      <c r="Q109" s="129"/>
      <c r="R109" s="129"/>
      <c r="S109" s="130"/>
    </row>
    <row r="110" spans="1:21" ht="16.5" x14ac:dyDescent="0.25">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5" x14ac:dyDescent="0.25">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5" x14ac:dyDescent="0.25">
      <c r="A112" s="133" t="s">
        <v>364</v>
      </c>
      <c r="B112" s="154">
        <v>12</v>
      </c>
      <c r="C112" s="134" t="s">
        <v>104</v>
      </c>
      <c r="E112" s="129"/>
      <c r="F112" s="129"/>
      <c r="G112" s="129"/>
      <c r="H112" s="129"/>
      <c r="I112" s="129"/>
      <c r="J112" s="129"/>
      <c r="K112" s="129"/>
      <c r="L112" s="129"/>
      <c r="M112" s="129"/>
      <c r="N112" s="129"/>
      <c r="O112" s="129"/>
      <c r="P112" s="129"/>
      <c r="Q112" s="129"/>
      <c r="R112" s="129"/>
      <c r="S112" s="130"/>
    </row>
    <row r="113" spans="1:19" ht="16.5" x14ac:dyDescent="0.25">
      <c r="A113" s="133" t="s">
        <v>480</v>
      </c>
      <c r="B113" s="139">
        <f>Calculations!B118</f>
        <v>3.3</v>
      </c>
      <c r="C113" s="134" t="s">
        <v>1</v>
      </c>
      <c r="E113" s="129"/>
      <c r="F113" s="129"/>
      <c r="G113" s="129"/>
      <c r="H113" s="129"/>
      <c r="I113" s="129"/>
      <c r="J113" s="129"/>
      <c r="K113" s="129"/>
      <c r="L113" s="129"/>
      <c r="M113" s="129"/>
      <c r="N113" s="129"/>
      <c r="O113" s="129"/>
      <c r="P113" s="129"/>
      <c r="Q113" s="129"/>
      <c r="R113" s="129"/>
      <c r="S113" s="130"/>
    </row>
    <row r="114" spans="1:19" ht="16.5" x14ac:dyDescent="0.25">
      <c r="A114" s="133" t="s">
        <v>479</v>
      </c>
      <c r="B114" s="139">
        <f>Calculations!B119</f>
        <v>0.3</v>
      </c>
      <c r="C114" s="134" t="s">
        <v>1</v>
      </c>
      <c r="E114" s="129"/>
      <c r="F114" s="129"/>
      <c r="G114" s="129"/>
      <c r="H114" s="129"/>
      <c r="I114" s="129"/>
      <c r="J114" s="129"/>
      <c r="K114" s="129"/>
      <c r="L114" s="129"/>
      <c r="M114" s="129"/>
      <c r="N114" s="129"/>
      <c r="O114" s="129"/>
      <c r="P114" s="129"/>
      <c r="Q114" s="129"/>
      <c r="R114" s="129"/>
      <c r="S114" s="130"/>
    </row>
    <row r="115" spans="1:19" ht="16.5" x14ac:dyDescent="0.25">
      <c r="A115" s="133" t="s">
        <v>365</v>
      </c>
      <c r="B115" s="144">
        <f>Calculations!B120</f>
        <v>8.3333333333333321</v>
      </c>
      <c r="C115" s="134" t="s">
        <v>40</v>
      </c>
      <c r="E115" s="129"/>
      <c r="F115" s="129"/>
      <c r="G115" s="129"/>
      <c r="H115" s="129"/>
      <c r="I115" s="129"/>
      <c r="J115" s="129"/>
      <c r="K115" s="129"/>
      <c r="L115" s="129"/>
      <c r="M115" s="129"/>
      <c r="N115" s="129"/>
      <c r="O115" s="129"/>
      <c r="P115" s="129"/>
      <c r="Q115" s="129"/>
      <c r="R115" s="129"/>
      <c r="S115" s="130"/>
    </row>
    <row r="116" spans="1:19" ht="16.5" x14ac:dyDescent="0.25">
      <c r="A116" s="133" t="s">
        <v>366</v>
      </c>
      <c r="B116" s="154">
        <v>8.1999999999999993</v>
      </c>
      <c r="C116" s="134" t="s">
        <v>40</v>
      </c>
      <c r="E116" s="129"/>
      <c r="F116" s="129"/>
      <c r="G116" s="129"/>
      <c r="H116" s="129"/>
      <c r="I116" s="129"/>
      <c r="J116" s="129"/>
      <c r="K116" s="129"/>
      <c r="L116" s="129"/>
      <c r="M116" s="129"/>
      <c r="N116" s="129"/>
      <c r="O116" s="129"/>
      <c r="P116" s="129"/>
      <c r="Q116" s="129"/>
      <c r="R116" s="129"/>
      <c r="S116" s="130"/>
    </row>
    <row r="117" spans="1:19" ht="16.5" x14ac:dyDescent="0.25">
      <c r="A117" s="133" t="s">
        <v>481</v>
      </c>
      <c r="B117" s="149">
        <f>Calculations!B123</f>
        <v>1.8819810479021848</v>
      </c>
      <c r="C117" s="134" t="s">
        <v>72</v>
      </c>
      <c r="E117" s="129"/>
      <c r="F117" s="129"/>
      <c r="G117" s="129"/>
      <c r="H117" s="129"/>
      <c r="I117" s="129"/>
      <c r="J117" s="129"/>
      <c r="K117" s="129"/>
      <c r="L117" s="129"/>
      <c r="M117" s="129"/>
      <c r="N117" s="129"/>
      <c r="O117" s="129"/>
      <c r="P117" s="129"/>
      <c r="Q117" s="129"/>
      <c r="R117" s="129"/>
      <c r="S117" s="130"/>
    </row>
    <row r="118" spans="1:19" ht="17.25" thickBot="1" x14ac:dyDescent="0.3">
      <c r="A118" s="135" t="s">
        <v>482</v>
      </c>
      <c r="B118" s="143">
        <f>Calculations!B122</f>
        <v>1.6174282834542213</v>
      </c>
      <c r="C118" s="136" t="s">
        <v>3</v>
      </c>
      <c r="E118" s="129"/>
      <c r="F118" s="129"/>
      <c r="G118" s="129"/>
      <c r="H118" s="129"/>
      <c r="I118" s="129"/>
      <c r="J118" s="129"/>
      <c r="K118" s="129"/>
      <c r="L118" s="129"/>
      <c r="M118" s="129"/>
      <c r="N118" s="129"/>
      <c r="O118" s="129"/>
      <c r="P118" s="129"/>
      <c r="Q118" s="129"/>
      <c r="R118" s="129"/>
      <c r="S118" s="130"/>
    </row>
    <row r="119" spans="1:19" x14ac:dyDescent="0.15">
      <c r="E119" s="129"/>
      <c r="F119" s="129"/>
      <c r="G119" s="129"/>
      <c r="H119" s="129"/>
      <c r="I119" s="129"/>
      <c r="J119" s="129"/>
      <c r="K119" s="129"/>
      <c r="L119" s="129"/>
      <c r="M119" s="129"/>
      <c r="N119" s="129"/>
      <c r="O119" s="129"/>
      <c r="P119" s="129"/>
      <c r="Q119" s="129"/>
      <c r="R119" s="129"/>
      <c r="S119" s="130"/>
    </row>
    <row r="120" spans="1:19" ht="17.25" x14ac:dyDescent="0.2">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x14ac:dyDescent="0.2">
      <c r="E121" s="129"/>
      <c r="F121" s="129"/>
      <c r="G121" s="129"/>
      <c r="H121" s="129"/>
      <c r="I121" s="129"/>
      <c r="J121" s="129"/>
      <c r="K121" s="129"/>
      <c r="L121" s="129"/>
      <c r="M121" s="129"/>
      <c r="N121" s="129"/>
      <c r="O121" s="129"/>
      <c r="P121" s="129"/>
      <c r="Q121" s="129"/>
      <c r="R121" s="129"/>
      <c r="S121" s="130"/>
    </row>
    <row r="122" spans="1:19" ht="14.25" thickBot="1" x14ac:dyDescent="0.2">
      <c r="A122" s="174" t="s">
        <v>303</v>
      </c>
      <c r="B122" s="175"/>
      <c r="C122" s="176"/>
      <c r="E122" s="186" t="s">
        <v>361</v>
      </c>
      <c r="F122" s="186"/>
      <c r="G122" s="186"/>
      <c r="I122" s="186" t="s">
        <v>362</v>
      </c>
      <c r="J122" s="186"/>
      <c r="K122" s="186"/>
    </row>
    <row r="123" spans="1:19" x14ac:dyDescent="0.15">
      <c r="A123" s="133" t="s">
        <v>224</v>
      </c>
      <c r="B123" s="182" t="s">
        <v>226</v>
      </c>
      <c r="C123" s="183"/>
    </row>
    <row r="124" spans="1:19" x14ac:dyDescent="0.15">
      <c r="A124" s="133" t="s">
        <v>359</v>
      </c>
      <c r="B124" s="154">
        <v>55</v>
      </c>
      <c r="C124" s="134" t="s">
        <v>97</v>
      </c>
    </row>
    <row r="125" spans="1:19" ht="16.5" x14ac:dyDescent="0.25">
      <c r="A125" s="133" t="s">
        <v>466</v>
      </c>
      <c r="B125" s="128">
        <f>Calculations!B129</f>
        <v>9.75</v>
      </c>
      <c r="C125" s="134" t="s">
        <v>104</v>
      </c>
    </row>
    <row r="126" spans="1:19" ht="16.5" x14ac:dyDescent="0.25">
      <c r="A126" s="133" t="s">
        <v>360</v>
      </c>
      <c r="B126" s="154">
        <v>10</v>
      </c>
      <c r="C126" s="134" t="s">
        <v>104</v>
      </c>
    </row>
    <row r="127" spans="1:19" x14ac:dyDescent="0.15">
      <c r="A127" s="133" t="s">
        <v>237</v>
      </c>
      <c r="B127" s="128">
        <f>Calculations!B131</f>
        <v>56</v>
      </c>
      <c r="C127" s="134" t="s">
        <v>97</v>
      </c>
    </row>
    <row r="128" spans="1:19" ht="14.25" thickBot="1" x14ac:dyDescent="0.2">
      <c r="A128" s="135" t="s">
        <v>238</v>
      </c>
      <c r="B128" s="138">
        <f>Calculations!B132</f>
        <v>56</v>
      </c>
      <c r="C128" s="136" t="s">
        <v>97</v>
      </c>
    </row>
    <row r="131" spans="1:3" ht="17.25" x14ac:dyDescent="0.2">
      <c r="A131" s="173" t="s">
        <v>305</v>
      </c>
      <c r="B131" s="173"/>
      <c r="C131" s="173"/>
    </row>
    <row r="132" spans="1:3" ht="14.25" thickBot="1" x14ac:dyDescent="0.2"/>
    <row r="133" spans="1:3" ht="14.25" thickBot="1" x14ac:dyDescent="0.2">
      <c r="A133" s="174" t="s">
        <v>306</v>
      </c>
      <c r="B133" s="175"/>
      <c r="C133" s="176"/>
    </row>
    <row r="134" spans="1:3" x14ac:dyDescent="0.15">
      <c r="A134" s="133" t="s">
        <v>250</v>
      </c>
      <c r="B134" s="154">
        <v>25</v>
      </c>
      <c r="C134" s="134" t="s">
        <v>251</v>
      </c>
    </row>
    <row r="135" spans="1:3" ht="16.5" x14ac:dyDescent="0.25">
      <c r="A135" s="133" t="s">
        <v>363</v>
      </c>
      <c r="B135" s="139">
        <f>Calculations!B137</f>
        <v>0.88043160008282539</v>
      </c>
      <c r="C135" s="134" t="s">
        <v>3</v>
      </c>
    </row>
    <row r="136" spans="1:3" ht="16.5" x14ac:dyDescent="0.25">
      <c r="A136" s="133" t="s">
        <v>467</v>
      </c>
      <c r="B136" s="128">
        <f>Calculations!B139/1000</f>
        <v>40</v>
      </c>
      <c r="C136" s="134" t="s">
        <v>3</v>
      </c>
    </row>
    <row r="137" spans="1:3" ht="16.5" x14ac:dyDescent="0.25">
      <c r="A137" s="133" t="s">
        <v>468</v>
      </c>
      <c r="B137" s="154">
        <v>40</v>
      </c>
      <c r="C137" s="134" t="s">
        <v>3</v>
      </c>
    </row>
    <row r="138" spans="1:3" ht="16.5" x14ac:dyDescent="0.25">
      <c r="A138" s="133" t="s">
        <v>367</v>
      </c>
      <c r="B138" s="139">
        <f>Calculations!B143</f>
        <v>2.4615102986900763</v>
      </c>
      <c r="C138" s="134" t="s">
        <v>104</v>
      </c>
    </row>
    <row r="139" spans="1:3" ht="16.5" x14ac:dyDescent="0.25">
      <c r="A139" s="133" t="s">
        <v>368</v>
      </c>
      <c r="B139" s="154">
        <v>2.4</v>
      </c>
      <c r="C139" s="134" t="s">
        <v>104</v>
      </c>
    </row>
    <row r="140" spans="1:3" ht="16.5" x14ac:dyDescent="0.25">
      <c r="A140" s="133" t="s">
        <v>370</v>
      </c>
      <c r="B140" s="144">
        <f>Calculations!B145</f>
        <v>73.438340219591751</v>
      </c>
      <c r="C140" s="134" t="s">
        <v>40</v>
      </c>
    </row>
    <row r="141" spans="1:3" ht="16.5" x14ac:dyDescent="0.25">
      <c r="A141" s="133" t="s">
        <v>369</v>
      </c>
      <c r="B141" s="154">
        <v>70</v>
      </c>
      <c r="C141" s="134" t="s">
        <v>40</v>
      </c>
    </row>
    <row r="142" spans="1:3" ht="16.5" x14ac:dyDescent="0.25">
      <c r="A142" s="133" t="s">
        <v>372</v>
      </c>
      <c r="B142" s="144">
        <f>Calculations!B147</f>
        <v>0.73438340219591747</v>
      </c>
      <c r="C142" s="134" t="s">
        <v>40</v>
      </c>
    </row>
    <row r="143" spans="1:3" ht="16.5" x14ac:dyDescent="0.25">
      <c r="A143" s="133" t="s">
        <v>371</v>
      </c>
      <c r="B143" s="154">
        <v>0.7</v>
      </c>
      <c r="C143" s="134" t="s">
        <v>40</v>
      </c>
    </row>
    <row r="144" spans="1:3" ht="16.5" x14ac:dyDescent="0.25">
      <c r="A144" s="133" t="s">
        <v>374</v>
      </c>
      <c r="B144" s="139">
        <f>Calculations!B149</f>
        <v>0.94735085173747235</v>
      </c>
      <c r="C144" s="134" t="s">
        <v>3</v>
      </c>
    </row>
    <row r="145" spans="1:3" ht="17.25" thickBot="1" x14ac:dyDescent="0.3">
      <c r="A145" s="135" t="s">
        <v>373</v>
      </c>
      <c r="B145" s="152">
        <f>Calculations!B150</f>
        <v>94.735085173747237</v>
      </c>
      <c r="C145" s="136" t="s">
        <v>3</v>
      </c>
    </row>
    <row r="149" spans="1:3" ht="17.25" x14ac:dyDescent="0.2">
      <c r="A149" s="173" t="s">
        <v>460</v>
      </c>
      <c r="B149" s="173"/>
      <c r="C149" s="173"/>
    </row>
    <row r="150" spans="1:3" ht="8.25" customHeight="1" thickBot="1" x14ac:dyDescent="0.2"/>
    <row r="151" spans="1:3" ht="14.25" thickBot="1" x14ac:dyDescent="0.2">
      <c r="A151" s="174" t="s">
        <v>459</v>
      </c>
      <c r="B151" s="175"/>
      <c r="C151" s="176"/>
    </row>
    <row r="152" spans="1:3" ht="16.5" x14ac:dyDescent="0.25">
      <c r="A152" s="146" t="s">
        <v>484</v>
      </c>
      <c r="B152" s="158">
        <v>3.3</v>
      </c>
      <c r="C152" s="147" t="s">
        <v>1</v>
      </c>
    </row>
    <row r="153" spans="1:3" ht="16.5" x14ac:dyDescent="0.25">
      <c r="A153" s="133" t="s">
        <v>485</v>
      </c>
      <c r="B153" s="154">
        <v>5</v>
      </c>
      <c r="C153" s="134" t="s">
        <v>104</v>
      </c>
    </row>
    <row r="154" spans="1:3" ht="16.5" x14ac:dyDescent="0.25">
      <c r="A154" s="133" t="s">
        <v>487</v>
      </c>
      <c r="B154" s="128">
        <f>Calculations!B159/1000</f>
        <v>32.878787878787882</v>
      </c>
      <c r="C154" s="134" t="s">
        <v>104</v>
      </c>
    </row>
    <row r="155" spans="1:3" ht="16.5" x14ac:dyDescent="0.25">
      <c r="A155" s="133" t="s">
        <v>486</v>
      </c>
      <c r="B155" s="154">
        <v>25</v>
      </c>
      <c r="C155" s="134" t="s">
        <v>104</v>
      </c>
    </row>
    <row r="156" spans="1:3" x14ac:dyDescent="0.15">
      <c r="A156" s="133" t="s">
        <v>432</v>
      </c>
      <c r="B156" s="128">
        <f>Calculations!B164/1000</f>
        <v>4</v>
      </c>
      <c r="C156" s="134" t="s">
        <v>3</v>
      </c>
    </row>
    <row r="157" spans="1:3" x14ac:dyDescent="0.15">
      <c r="A157" s="133" t="s">
        <v>258</v>
      </c>
      <c r="B157" s="154">
        <v>4</v>
      </c>
      <c r="C157" s="134" t="s">
        <v>3</v>
      </c>
    </row>
    <row r="158" spans="1:3" ht="16.5" x14ac:dyDescent="0.25">
      <c r="A158" s="133" t="s">
        <v>455</v>
      </c>
      <c r="B158" s="139">
        <f>Calculations!B170/1000</f>
        <v>19.643832988178808</v>
      </c>
      <c r="C158" s="134" t="s">
        <v>104</v>
      </c>
    </row>
    <row r="159" spans="1:3" ht="16.5" x14ac:dyDescent="0.25">
      <c r="A159" s="133" t="s">
        <v>456</v>
      </c>
      <c r="B159" s="154">
        <v>16</v>
      </c>
      <c r="C159" s="134" t="s">
        <v>104</v>
      </c>
    </row>
    <row r="160" spans="1:3" ht="16.5" x14ac:dyDescent="0.25">
      <c r="A160" s="133" t="s">
        <v>457</v>
      </c>
      <c r="B160" s="144">
        <f>Calculations!B172*(10^9)</f>
        <v>34.092851742188188</v>
      </c>
      <c r="C160" s="134" t="s">
        <v>40</v>
      </c>
    </row>
    <row r="161" spans="1:3" ht="16.5" x14ac:dyDescent="0.25">
      <c r="A161" s="133" t="s">
        <v>458</v>
      </c>
      <c r="B161" s="154">
        <v>20</v>
      </c>
      <c r="C161" s="134" t="s">
        <v>40</v>
      </c>
    </row>
    <row r="162" spans="1:3" ht="16.5" x14ac:dyDescent="0.25">
      <c r="A162" s="133" t="s">
        <v>454</v>
      </c>
      <c r="B162" s="139">
        <f>Calculations!B174*(10^9)</f>
        <v>5.3457591531751083</v>
      </c>
      <c r="C162" s="134" t="s">
        <v>40</v>
      </c>
    </row>
    <row r="163" spans="1:3" ht="16.5" x14ac:dyDescent="0.25">
      <c r="A163" s="133" t="s">
        <v>453</v>
      </c>
      <c r="B163" s="154">
        <v>5</v>
      </c>
      <c r="C163" s="134" t="s">
        <v>40</v>
      </c>
    </row>
    <row r="164" spans="1:3" ht="16.5" x14ac:dyDescent="0.25">
      <c r="A164" s="133" t="s">
        <v>374</v>
      </c>
      <c r="B164" s="139">
        <f>Calculations!B176</f>
        <v>0.49735919716217303</v>
      </c>
      <c r="C164" s="134" t="s">
        <v>3</v>
      </c>
    </row>
    <row r="165" spans="1:3" ht="17.25" thickBot="1" x14ac:dyDescent="0.3">
      <c r="A165" s="135" t="s">
        <v>373</v>
      </c>
      <c r="B165" s="143">
        <f>Calculations!B177</f>
        <v>1.9894367886486921</v>
      </c>
      <c r="C165" s="136" t="s">
        <v>3</v>
      </c>
    </row>
    <row r="168" spans="1:3" ht="17.25" x14ac:dyDescent="0.2">
      <c r="A168" s="173" t="s">
        <v>483</v>
      </c>
      <c r="B168" s="173"/>
      <c r="C168" s="173"/>
    </row>
    <row r="169" spans="1:3" ht="14.25" thickBot="1" x14ac:dyDescent="0.2"/>
    <row r="170" spans="1:3" ht="14.25" thickBot="1" x14ac:dyDescent="0.2">
      <c r="A170" s="174" t="s">
        <v>461</v>
      </c>
      <c r="B170" s="175"/>
      <c r="C170" s="176"/>
    </row>
    <row r="171" spans="1:3" ht="16.5" x14ac:dyDescent="0.25">
      <c r="A171" s="146" t="s">
        <v>484</v>
      </c>
      <c r="B171" s="158">
        <v>3.3</v>
      </c>
      <c r="C171" s="147" t="s">
        <v>1</v>
      </c>
    </row>
    <row r="172" spans="1:3" ht="16.5" x14ac:dyDescent="0.25">
      <c r="A172" s="133" t="s">
        <v>485</v>
      </c>
      <c r="B172" s="154">
        <v>1</v>
      </c>
      <c r="C172" s="134" t="s">
        <v>104</v>
      </c>
    </row>
    <row r="173" spans="1:3" ht="16.5" x14ac:dyDescent="0.25">
      <c r="A173" s="133" t="s">
        <v>487</v>
      </c>
      <c r="B173" s="128">
        <f>Calculations!B183/1000</f>
        <v>14.151515151515152</v>
      </c>
      <c r="C173" s="134" t="s">
        <v>104</v>
      </c>
    </row>
    <row r="174" spans="1:3" ht="16.5" x14ac:dyDescent="0.25">
      <c r="A174" s="133" t="s">
        <v>486</v>
      </c>
      <c r="B174" s="154">
        <v>14</v>
      </c>
      <c r="C174" s="134" t="s">
        <v>104</v>
      </c>
    </row>
    <row r="175" spans="1:3" x14ac:dyDescent="0.15">
      <c r="A175" s="133" t="s">
        <v>432</v>
      </c>
      <c r="B175" s="139">
        <f>Calculations!B188/1000</f>
        <v>7.1595536710031933</v>
      </c>
      <c r="C175" s="134" t="s">
        <v>3</v>
      </c>
    </row>
    <row r="176" spans="1:3" x14ac:dyDescent="0.15">
      <c r="A176" s="133" t="s">
        <v>258</v>
      </c>
      <c r="B176" s="159">
        <v>5.5</v>
      </c>
      <c r="C176" s="134" t="s">
        <v>3</v>
      </c>
    </row>
    <row r="177" spans="1:3" ht="16.5" x14ac:dyDescent="0.25">
      <c r="A177" s="133" t="s">
        <v>428</v>
      </c>
      <c r="B177" s="144">
        <f>Calculations!B194/1000</f>
        <v>18.409203773936785</v>
      </c>
      <c r="C177" s="134" t="s">
        <v>104</v>
      </c>
    </row>
    <row r="178" spans="1:3" ht="16.5" x14ac:dyDescent="0.25">
      <c r="A178" s="133" t="s">
        <v>427</v>
      </c>
      <c r="B178" s="154">
        <v>20</v>
      </c>
      <c r="C178" s="134" t="s">
        <v>104</v>
      </c>
    </row>
    <row r="179" spans="1:3" ht="16.5" x14ac:dyDescent="0.25">
      <c r="A179" s="133" t="s">
        <v>426</v>
      </c>
      <c r="B179" s="139">
        <f>Calculations!B196*(10^9)</f>
        <v>73.930620667621184</v>
      </c>
      <c r="C179" s="134" t="s">
        <v>40</v>
      </c>
    </row>
    <row r="180" spans="1:3" ht="16.5" x14ac:dyDescent="0.25">
      <c r="A180" s="133" t="s">
        <v>429</v>
      </c>
      <c r="B180" s="154">
        <v>47</v>
      </c>
      <c r="C180" s="134" t="s">
        <v>40</v>
      </c>
    </row>
    <row r="181" spans="1:3" ht="16.5" x14ac:dyDescent="0.25">
      <c r="A181" s="133" t="s">
        <v>430</v>
      </c>
      <c r="B181" s="153">
        <f>Calculations!B198*(10^9)</f>
        <v>4.3227003472366979E-2</v>
      </c>
      <c r="C181" s="134" t="s">
        <v>40</v>
      </c>
    </row>
    <row r="182" spans="1:3" ht="16.5" x14ac:dyDescent="0.25">
      <c r="A182" s="133" t="s">
        <v>431</v>
      </c>
      <c r="B182" s="154">
        <v>0.03</v>
      </c>
      <c r="C182" s="134" t="s">
        <v>40</v>
      </c>
    </row>
    <row r="183" spans="1:3" ht="16.5" x14ac:dyDescent="0.25">
      <c r="A183" s="133" t="s">
        <v>374</v>
      </c>
      <c r="B183" s="139">
        <f>Calculations!B200/1000</f>
        <v>0.16931376924669714</v>
      </c>
      <c r="C183" s="134" t="s">
        <v>3</v>
      </c>
    </row>
    <row r="184" spans="1:3" ht="17.25" thickBot="1" x14ac:dyDescent="0.3">
      <c r="A184" s="135" t="s">
        <v>373</v>
      </c>
      <c r="B184" s="143">
        <f>Calculations!B201/1000</f>
        <v>265.25823848649225</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 ref="A90:C90"/>
    <mergeCell ref="A109:C109"/>
    <mergeCell ref="A107:C107"/>
    <mergeCell ref="A122:C122"/>
    <mergeCell ref="B123:C123"/>
    <mergeCell ref="B98:C98"/>
    <mergeCell ref="A52:C52"/>
    <mergeCell ref="A55:C55"/>
    <mergeCell ref="A59:C59"/>
    <mergeCell ref="A69:C69"/>
    <mergeCell ref="A84:C84"/>
    <mergeCell ref="A77:C77"/>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s>
  <phoneticPr fontId="30"/>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defaultColWidth="9.125" defaultRowHeight="14.25" x14ac:dyDescent="0.2"/>
  <cols>
    <col min="1" max="1" width="25.625" style="166" bestFit="1" customWidth="1"/>
    <col min="2" max="2" width="56.5" style="167" customWidth="1"/>
    <col min="3" max="11" width="9.125" style="160"/>
    <col min="12" max="12" width="20.5" style="160" customWidth="1"/>
    <col min="13" max="16384" width="9.125" style="160"/>
  </cols>
  <sheetData>
    <row r="1" spans="1:12" x14ac:dyDescent="0.2">
      <c r="A1" s="190"/>
      <c r="B1" s="190"/>
      <c r="C1" s="190"/>
      <c r="D1" s="190"/>
      <c r="E1" s="190"/>
      <c r="F1" s="190"/>
      <c r="G1" s="190"/>
      <c r="H1" s="190"/>
      <c r="I1" s="190"/>
      <c r="J1" s="190"/>
      <c r="K1" s="190"/>
      <c r="L1" s="190"/>
    </row>
    <row r="2" spans="1:12" x14ac:dyDescent="0.2">
      <c r="A2" s="190"/>
      <c r="B2" s="190"/>
      <c r="C2" s="190"/>
      <c r="D2" s="190"/>
      <c r="E2" s="190"/>
      <c r="F2" s="190"/>
      <c r="G2" s="190"/>
      <c r="H2" s="190"/>
      <c r="I2" s="190"/>
      <c r="J2" s="190"/>
      <c r="K2" s="190"/>
      <c r="L2" s="190"/>
    </row>
    <row r="3" spans="1:12" x14ac:dyDescent="0.2">
      <c r="A3" s="190"/>
      <c r="B3" s="190"/>
      <c r="C3" s="190"/>
      <c r="D3" s="190"/>
      <c r="E3" s="190"/>
      <c r="F3" s="190"/>
      <c r="G3" s="190"/>
      <c r="H3" s="190"/>
      <c r="I3" s="190"/>
      <c r="J3" s="190"/>
      <c r="K3" s="190"/>
      <c r="L3" s="190"/>
    </row>
    <row r="4" spans="1:12" x14ac:dyDescent="0.2">
      <c r="A4" s="191"/>
      <c r="B4" s="191"/>
      <c r="C4" s="191"/>
      <c r="D4" s="191"/>
      <c r="E4" s="191"/>
      <c r="F4" s="191"/>
      <c r="G4" s="191"/>
      <c r="H4" s="191"/>
      <c r="I4" s="191"/>
      <c r="J4" s="191"/>
      <c r="K4" s="191"/>
      <c r="L4" s="191"/>
    </row>
    <row r="5" spans="1:12" x14ac:dyDescent="0.2">
      <c r="A5" s="161" t="s">
        <v>489</v>
      </c>
      <c r="B5" s="162" t="str">
        <f>LOOKUP(2,1/((A37:A46)&lt;&gt;""),(A37:A46))</f>
        <v>1.1.0</v>
      </c>
      <c r="C5" s="163"/>
      <c r="D5" s="163"/>
      <c r="E5" s="163"/>
      <c r="F5" s="163"/>
      <c r="G5" s="163"/>
      <c r="H5" s="163"/>
      <c r="I5" s="163"/>
      <c r="J5" s="163"/>
      <c r="K5" s="164"/>
      <c r="L5" s="165"/>
    </row>
    <row r="6" spans="1:12" x14ac:dyDescent="0.2">
      <c r="A6" s="161"/>
      <c r="B6" s="162"/>
      <c r="C6" s="163"/>
      <c r="D6" s="163"/>
      <c r="E6" s="163"/>
      <c r="F6" s="163"/>
      <c r="G6" s="163"/>
      <c r="H6" s="163"/>
      <c r="I6" s="163"/>
      <c r="J6" s="165"/>
      <c r="K6" s="165"/>
      <c r="L6" s="165"/>
    </row>
    <row r="35" spans="1:39" x14ac:dyDescent="0.2">
      <c r="A35" s="168" t="s">
        <v>491</v>
      </c>
      <c r="B35" s="169"/>
      <c r="C35" s="163"/>
      <c r="D35" s="163"/>
      <c r="E35" s="163"/>
      <c r="F35" s="163"/>
      <c r="G35" s="163"/>
      <c r="H35" s="163"/>
      <c r="I35" s="163"/>
      <c r="J35" s="163"/>
      <c r="K35" s="163"/>
    </row>
    <row r="36" spans="1:39" x14ac:dyDescent="0.2">
      <c r="A36" s="170" t="s">
        <v>492</v>
      </c>
      <c r="B36" s="192" t="s">
        <v>493</v>
      </c>
      <c r="C36" s="192"/>
      <c r="D36" s="192"/>
      <c r="E36" s="192"/>
      <c r="F36" s="192"/>
      <c r="G36" s="192"/>
      <c r="H36" s="192"/>
      <c r="I36" s="192"/>
      <c r="J36" s="192"/>
      <c r="K36" s="192"/>
    </row>
    <row r="37" spans="1:39" x14ac:dyDescent="0.2">
      <c r="A37" s="168" t="s">
        <v>490</v>
      </c>
      <c r="B37" s="193" t="s">
        <v>494</v>
      </c>
      <c r="C37" s="193"/>
      <c r="D37" s="193"/>
      <c r="E37" s="193"/>
      <c r="F37" s="193"/>
      <c r="G37" s="193"/>
      <c r="H37" s="193"/>
      <c r="I37" s="193"/>
      <c r="J37" s="193"/>
      <c r="K37" s="193"/>
    </row>
    <row r="38" spans="1:39" ht="14.25" customHeight="1" x14ac:dyDescent="0.3">
      <c r="A38" s="168" t="s">
        <v>495</v>
      </c>
      <c r="B38" s="194" t="s">
        <v>496</v>
      </c>
      <c r="C38" s="193"/>
      <c r="D38" s="193"/>
      <c r="E38" s="193"/>
      <c r="F38" s="193"/>
      <c r="G38" s="193"/>
      <c r="H38" s="193"/>
      <c r="I38" s="193"/>
      <c r="J38" s="193"/>
      <c r="K38" s="193"/>
    </row>
    <row r="39" spans="1:39" ht="14.25" customHeight="1" x14ac:dyDescent="0.2">
      <c r="A39" s="168"/>
      <c r="B39" s="189"/>
      <c r="C39" s="189"/>
      <c r="D39" s="189"/>
      <c r="E39" s="189"/>
      <c r="F39" s="189"/>
      <c r="G39" s="189"/>
      <c r="H39" s="189"/>
      <c r="I39" s="189"/>
      <c r="J39" s="189"/>
      <c r="K39" s="189"/>
    </row>
    <row r="40" spans="1:39" ht="14.25" customHeight="1" x14ac:dyDescent="0.2">
      <c r="A40" s="168"/>
      <c r="B40" s="189"/>
      <c r="C40" s="189"/>
      <c r="D40" s="189"/>
      <c r="E40" s="189"/>
      <c r="F40" s="189"/>
      <c r="G40" s="189"/>
      <c r="H40" s="189"/>
      <c r="I40" s="189"/>
      <c r="J40" s="189"/>
      <c r="K40" s="189"/>
    </row>
    <row r="41" spans="1:39" ht="14.25" customHeight="1" x14ac:dyDescent="0.2">
      <c r="A41" s="168"/>
      <c r="B41" s="189"/>
      <c r="C41" s="189"/>
      <c r="D41" s="189"/>
      <c r="E41" s="189"/>
      <c r="F41" s="189"/>
      <c r="G41" s="189"/>
      <c r="H41" s="189"/>
      <c r="I41" s="189"/>
      <c r="J41" s="189"/>
      <c r="K41" s="189"/>
    </row>
    <row r="42" spans="1:39" x14ac:dyDescent="0.2">
      <c r="A42" s="168"/>
      <c r="B42" s="189"/>
      <c r="C42" s="189"/>
      <c r="D42" s="189"/>
      <c r="E42" s="189"/>
      <c r="F42" s="189"/>
      <c r="G42" s="189"/>
      <c r="H42" s="189"/>
      <c r="I42" s="189"/>
      <c r="J42" s="189"/>
      <c r="K42" s="189"/>
    </row>
    <row r="43" spans="1:39" x14ac:dyDescent="0.2">
      <c r="A43" s="168"/>
      <c r="B43" s="189"/>
      <c r="C43" s="189"/>
      <c r="D43" s="189"/>
      <c r="E43" s="189"/>
      <c r="F43" s="189"/>
      <c r="G43" s="189"/>
      <c r="H43" s="189"/>
      <c r="I43" s="189"/>
      <c r="J43" s="189"/>
      <c r="K43" s="189"/>
    </row>
    <row r="44" spans="1:39" ht="15" x14ac:dyDescent="0.2">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x14ac:dyDescent="0.2">
      <c r="A45" s="168"/>
      <c r="B45" s="189"/>
      <c r="C45" s="189"/>
      <c r="D45" s="189"/>
      <c r="E45" s="189"/>
      <c r="F45" s="189"/>
      <c r="G45" s="189"/>
      <c r="H45" s="189"/>
      <c r="I45" s="189"/>
      <c r="J45" s="189"/>
      <c r="K45" s="189"/>
    </row>
    <row r="46" spans="1:39" x14ac:dyDescent="0.2">
      <c r="A46" s="168"/>
      <c r="B46" s="189"/>
      <c r="C46" s="189"/>
      <c r="D46" s="189"/>
      <c r="E46" s="189"/>
      <c r="F46" s="189"/>
      <c r="G46" s="189"/>
      <c r="H46" s="189"/>
      <c r="I46" s="189"/>
      <c r="J46" s="189"/>
      <c r="K46" s="189"/>
    </row>
    <row r="47" spans="1:39" x14ac:dyDescent="0.2">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39:K39"/>
    <mergeCell ref="A1:L3"/>
    <mergeCell ref="A4:L4"/>
    <mergeCell ref="B36:K36"/>
    <mergeCell ref="B37:K37"/>
    <mergeCell ref="B38:K38"/>
    <mergeCell ref="B46:K46"/>
    <mergeCell ref="B47:K47"/>
    <mergeCell ref="B40:K40"/>
    <mergeCell ref="B41:K41"/>
    <mergeCell ref="B42:K42"/>
    <mergeCell ref="B43:K43"/>
    <mergeCell ref="B44:K44"/>
    <mergeCell ref="B45:K45"/>
  </mergeCells>
  <phoneticPr fontId="30"/>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defaultColWidth="8.875" defaultRowHeight="13.5" x14ac:dyDescent="0.15"/>
  <cols>
    <col min="1" max="1" width="46.5" style="34" customWidth="1"/>
    <col min="2" max="2" width="12.625" style="33" bestFit="1" customWidth="1"/>
    <col min="3" max="3" width="10" style="34" bestFit="1" customWidth="1"/>
    <col min="4" max="4" width="10.375" style="34" bestFit="1" customWidth="1"/>
    <col min="5" max="5" width="10.375" style="34" customWidth="1"/>
    <col min="6" max="11" width="10.375" customWidth="1"/>
    <col min="12" max="12" width="10.87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75" customWidth="1"/>
    <col min="56" max="56" width="9.125" customWidth="1"/>
    <col min="59" max="59" width="9.125" customWidth="1"/>
  </cols>
  <sheetData>
    <row r="2" spans="1:39" x14ac:dyDescent="0.15">
      <c r="N2" t="s">
        <v>28</v>
      </c>
    </row>
    <row r="3" spans="1:39" ht="14.25" thickBot="1" x14ac:dyDescent="0.2"/>
    <row r="4" spans="1:39" x14ac:dyDescent="0.15">
      <c r="P4" s="203" t="s">
        <v>375</v>
      </c>
      <c r="Q4" s="204"/>
      <c r="R4" s="204"/>
      <c r="S4" s="205"/>
      <c r="T4" s="203" t="s">
        <v>24</v>
      </c>
      <c r="U4" s="204"/>
      <c r="V4" s="204"/>
      <c r="W4" s="205"/>
      <c r="X4" s="203" t="s">
        <v>75</v>
      </c>
      <c r="Y4" s="204"/>
      <c r="Z4" s="204"/>
      <c r="AA4" s="205"/>
      <c r="AB4" s="203" t="s">
        <v>376</v>
      </c>
      <c r="AC4" s="204"/>
      <c r="AD4" s="204"/>
      <c r="AE4" s="205"/>
      <c r="AF4" s="203" t="s">
        <v>377</v>
      </c>
      <c r="AG4" s="204"/>
      <c r="AH4" s="204"/>
      <c r="AI4" s="205"/>
      <c r="AJ4" s="203" t="s">
        <v>378</v>
      </c>
      <c r="AK4" s="204"/>
      <c r="AL4" s="204"/>
      <c r="AM4" s="205"/>
    </row>
    <row r="5" spans="1:39" ht="40.5" x14ac:dyDescent="0.1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x14ac:dyDescent="0.15">
      <c r="A6" s="195" t="s">
        <v>118</v>
      </c>
      <c r="B6" s="195"/>
      <c r="C6" s="195"/>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x14ac:dyDescent="0.15">
      <c r="A7" s="31" t="s">
        <v>108</v>
      </c>
      <c r="B7" s="49">
        <f>Design_Converter!B11</f>
        <v>30</v>
      </c>
      <c r="C7" s="31" t="s">
        <v>1</v>
      </c>
      <c r="E7" s="34" t="s">
        <v>119</v>
      </c>
      <c r="I7" s="36"/>
      <c r="J7" t="s">
        <v>127</v>
      </c>
      <c r="N7">
        <v>1E-3</v>
      </c>
      <c r="O7">
        <f t="shared" si="0"/>
        <v>1</v>
      </c>
      <c r="P7" s="5">
        <f t="shared" si="1"/>
        <v>0.79162280580252786</v>
      </c>
      <c r="Q7" s="1">
        <f t="shared" si="2"/>
        <v>0.15832456116050558</v>
      </c>
      <c r="R7" s="1">
        <f t="shared" si="3"/>
        <v>2.1053798026662975</v>
      </c>
      <c r="S7" s="6">
        <f t="shared" si="4"/>
        <v>2.1053798026662975</v>
      </c>
      <c r="T7" s="5">
        <f t="shared" si="5"/>
        <v>0.27422618401604176</v>
      </c>
      <c r="U7" s="1">
        <f t="shared" si="6"/>
        <v>0.27422618401604176</v>
      </c>
      <c r="V7" s="1">
        <f t="shared" si="7"/>
        <v>3.6466247874473638</v>
      </c>
      <c r="W7" s="6">
        <f t="shared" si="8"/>
        <v>3.6466247874473638</v>
      </c>
      <c r="X7" s="5">
        <f t="shared" si="9"/>
        <v>0.21157009420498152</v>
      </c>
      <c r="Y7" s="1">
        <f t="shared" si="10"/>
        <v>0.29619813188697408</v>
      </c>
      <c r="Z7" s="1">
        <f t="shared" si="11"/>
        <v>3.9388049453055074</v>
      </c>
      <c r="AA7" s="6">
        <f t="shared" si="12"/>
        <v>3.9388049453055074</v>
      </c>
      <c r="AB7" s="5">
        <f t="shared" si="13"/>
        <v>0.21015489374525487</v>
      </c>
      <c r="AC7" s="1">
        <f t="shared" si="14"/>
        <v>0.35783130556624476</v>
      </c>
      <c r="AD7" s="1">
        <f t="shared" si="15"/>
        <v>3.5212123154125154</v>
      </c>
      <c r="AE7" s="6">
        <f t="shared" si="16"/>
        <v>3.5212123154125154</v>
      </c>
      <c r="AF7" s="5">
        <f t="shared" si="17"/>
        <v>0.27422618401604176</v>
      </c>
      <c r="AG7" s="1">
        <f t="shared" si="18"/>
        <v>0.27422618401604176</v>
      </c>
      <c r="AH7" s="1">
        <f t="shared" ref="AH7:AH56" si="25">IF($O7&lt;((V48_Nom-V12_Nom)*V12_Nom)/((2*Lm*Fsw)*V48_Nom),(AF7/(Fsw*Lm))*(V48_Nom-V12_Nom),((AF7/(Fsw*Lm))*(V48_Nom-V12_Nom)))</f>
        <v>3.6466247874473638</v>
      </c>
      <c r="AI7" s="6">
        <f t="shared" ref="AI7:AI56" si="26">IF($O7&lt;((V48_Nom-V12_Nom)*V12_Nom)/((2*Lm*Fsw)*V48_Nom),(AF7/(Fsw*Lm))*(V48_Nom-V12_Nom),(AH7/2)+$O7)</f>
        <v>3.6466247874473638</v>
      </c>
      <c r="AJ7" s="5">
        <f t="shared" si="21"/>
        <v>0.28542366171476857</v>
      </c>
      <c r="AK7" s="1">
        <f t="shared" si="22"/>
        <v>0.26346799542901717</v>
      </c>
      <c r="AL7" s="1">
        <f t="shared" si="23"/>
        <v>3.6437063197630035</v>
      </c>
      <c r="AM7" s="6">
        <f t="shared" si="24"/>
        <v>3.6437063197630035</v>
      </c>
    </row>
    <row r="8" spans="1:39" x14ac:dyDescent="0.15">
      <c r="A8" s="31" t="s">
        <v>109</v>
      </c>
      <c r="B8" s="49">
        <f>Design_Converter!B12</f>
        <v>50</v>
      </c>
      <c r="C8" s="31" t="s">
        <v>1</v>
      </c>
      <c r="E8" s="34" t="s">
        <v>120</v>
      </c>
      <c r="I8" s="37"/>
      <c r="J8" t="s">
        <v>128</v>
      </c>
      <c r="N8">
        <v>2E-3</v>
      </c>
      <c r="O8">
        <f t="shared" si="0"/>
        <v>2</v>
      </c>
      <c r="P8" s="5">
        <f t="shared" si="1"/>
        <v>0.83333333333333337</v>
      </c>
      <c r="Q8" s="1">
        <f t="shared" si="2"/>
        <v>0.16666666666666663</v>
      </c>
      <c r="R8" s="1">
        <f t="shared" si="3"/>
        <v>2.2163120567375887</v>
      </c>
      <c r="S8" s="6">
        <f t="shared" si="4"/>
        <v>3.1081560283687946</v>
      </c>
      <c r="T8" s="5">
        <f t="shared" si="5"/>
        <v>0.3878143885933063</v>
      </c>
      <c r="U8" s="1">
        <f t="shared" si="6"/>
        <v>0.3878143885933063</v>
      </c>
      <c r="V8" s="1">
        <f t="shared" si="7"/>
        <v>5.1571062312939668</v>
      </c>
      <c r="W8" s="6">
        <f t="shared" si="8"/>
        <v>5.1571062312939668</v>
      </c>
      <c r="X8" s="5">
        <f t="shared" si="9"/>
        <v>0.29920529661723827</v>
      </c>
      <c r="Y8" s="1">
        <f t="shared" si="10"/>
        <v>0.41888741526413353</v>
      </c>
      <c r="Z8" s="1">
        <f t="shared" si="11"/>
        <v>5.5703113731932659</v>
      </c>
      <c r="AA8" s="6">
        <f t="shared" si="12"/>
        <v>5.5703113731932659</v>
      </c>
      <c r="AB8" s="5">
        <f t="shared" si="13"/>
        <v>0.29720390093361615</v>
      </c>
      <c r="AC8" s="1">
        <f t="shared" si="14"/>
        <v>0.50604988537345452</v>
      </c>
      <c r="AD8" s="1">
        <f t="shared" si="15"/>
        <v>4.9797462124515475</v>
      </c>
      <c r="AE8" s="6">
        <f t="shared" si="16"/>
        <v>4.9797462124515475</v>
      </c>
      <c r="AF8" s="5">
        <f t="shared" si="17"/>
        <v>0.3878143885933063</v>
      </c>
      <c r="AG8" s="1">
        <f t="shared" si="18"/>
        <v>0.3878143885933063</v>
      </c>
      <c r="AH8" s="1">
        <f t="shared" si="25"/>
        <v>5.1571062312939668</v>
      </c>
      <c r="AI8" s="6">
        <f t="shared" si="26"/>
        <v>5.1571062312939668</v>
      </c>
      <c r="AJ8" s="5">
        <f t="shared" si="21"/>
        <v>0.40365001341921608</v>
      </c>
      <c r="AK8" s="1">
        <f t="shared" si="22"/>
        <v>0.37260001238696872</v>
      </c>
      <c r="AL8" s="1">
        <f t="shared" si="23"/>
        <v>5.1529788947133968</v>
      </c>
      <c r="AM8" s="6">
        <f t="shared" si="24"/>
        <v>5.1529788947133968</v>
      </c>
    </row>
    <row r="9" spans="1:39" x14ac:dyDescent="0.15">
      <c r="A9" s="31" t="s">
        <v>110</v>
      </c>
      <c r="B9" s="49">
        <f>Design_Converter!B13</f>
        <v>60</v>
      </c>
      <c r="C9" s="31" t="s">
        <v>1</v>
      </c>
      <c r="E9" s="34" t="s">
        <v>125</v>
      </c>
      <c r="I9" s="38"/>
      <c r="J9" t="s">
        <v>138</v>
      </c>
      <c r="N9">
        <v>3.0000000000000001E-3</v>
      </c>
      <c r="O9">
        <f t="shared" si="0"/>
        <v>3</v>
      </c>
      <c r="P9" s="5">
        <f t="shared" si="1"/>
        <v>0.83333333333333337</v>
      </c>
      <c r="Q9" s="1">
        <f t="shared" si="2"/>
        <v>0.16666666666666663</v>
      </c>
      <c r="R9" s="1">
        <f t="shared" si="3"/>
        <v>2.2163120567375887</v>
      </c>
      <c r="S9" s="6">
        <f t="shared" si="4"/>
        <v>4.1081560283687946</v>
      </c>
      <c r="T9" s="5">
        <f t="shared" si="5"/>
        <v>0.4749736834815167</v>
      </c>
      <c r="U9" s="1">
        <f t="shared" si="6"/>
        <v>0.4749736834815167</v>
      </c>
      <c r="V9" s="1">
        <f t="shared" si="7"/>
        <v>6.3161394079988931</v>
      </c>
      <c r="W9" s="6">
        <f t="shared" si="8"/>
        <v>6.3161394079988931</v>
      </c>
      <c r="X9" s="5">
        <f t="shared" si="9"/>
        <v>0.36645015252516172</v>
      </c>
      <c r="Y9" s="1">
        <f t="shared" si="10"/>
        <v>0.51303021353522638</v>
      </c>
      <c r="Z9" s="1">
        <f t="shared" si="11"/>
        <v>6.8222102863726919</v>
      </c>
      <c r="AA9" s="6">
        <f t="shared" si="12"/>
        <v>6.8222102863726919</v>
      </c>
      <c r="AB9" s="5">
        <f t="shared" si="13"/>
        <v>0.36399895342602034</v>
      </c>
      <c r="AC9" s="1">
        <f t="shared" si="14"/>
        <v>0.61978200177943998</v>
      </c>
      <c r="AD9" s="1">
        <f t="shared" si="15"/>
        <v>6.0989186345317243</v>
      </c>
      <c r="AE9" s="6">
        <f t="shared" si="16"/>
        <v>6.0989186345317243</v>
      </c>
      <c r="AF9" s="5">
        <f t="shared" si="17"/>
        <v>0.4749736834815167</v>
      </c>
      <c r="AG9" s="1">
        <f t="shared" si="18"/>
        <v>0.4749736834815167</v>
      </c>
      <c r="AH9" s="1">
        <f t="shared" si="25"/>
        <v>6.3161394079988931</v>
      </c>
      <c r="AI9" s="6">
        <f t="shared" si="26"/>
        <v>6.3161394079988931</v>
      </c>
      <c r="AJ9" s="5">
        <f t="shared" si="21"/>
        <v>0.49436828377233105</v>
      </c>
      <c r="AK9" s="1">
        <f t="shared" si="22"/>
        <v>0.45633995425138252</v>
      </c>
      <c r="AL9" s="1">
        <f t="shared" si="23"/>
        <v>6.3110844736893332</v>
      </c>
      <c r="AM9" s="6">
        <f t="shared" si="24"/>
        <v>6.3110844736893332</v>
      </c>
    </row>
    <row r="10" spans="1:39" x14ac:dyDescent="0.15">
      <c r="A10" s="195" t="s">
        <v>121</v>
      </c>
      <c r="B10" s="195"/>
      <c r="C10" s="195"/>
      <c r="I10" s="39"/>
      <c r="J10" t="s">
        <v>145</v>
      </c>
      <c r="N10">
        <v>4.0000000000000001E-3</v>
      </c>
      <c r="O10">
        <f t="shared" si="0"/>
        <v>4</v>
      </c>
      <c r="P10" s="5">
        <f t="shared" si="1"/>
        <v>0.83333333333333337</v>
      </c>
      <c r="Q10" s="1">
        <f t="shared" si="2"/>
        <v>0.16666666666666663</v>
      </c>
      <c r="R10" s="1">
        <f t="shared" si="3"/>
        <v>2.2163120567375887</v>
      </c>
      <c r="S10" s="6">
        <f t="shared" si="4"/>
        <v>5.1081560283687946</v>
      </c>
      <c r="T10" s="5">
        <f t="shared" si="5"/>
        <v>0.5</v>
      </c>
      <c r="U10" s="1">
        <f t="shared" si="6"/>
        <v>0.5</v>
      </c>
      <c r="V10" s="1">
        <f t="shared" si="7"/>
        <v>6.6489361702127656</v>
      </c>
      <c r="W10" s="6">
        <f t="shared" si="8"/>
        <v>7.3244680851063828</v>
      </c>
      <c r="X10" s="5">
        <f t="shared" si="9"/>
        <v>0.41666666666666669</v>
      </c>
      <c r="Y10" s="1">
        <f t="shared" si="10"/>
        <v>0.58333333333333326</v>
      </c>
      <c r="Z10" s="1">
        <f t="shared" si="11"/>
        <v>7.7570921985815611</v>
      </c>
      <c r="AA10" s="6">
        <f t="shared" si="12"/>
        <v>7.8785460992907801</v>
      </c>
      <c r="AB10" s="5">
        <f t="shared" si="13"/>
        <v>0.37</v>
      </c>
      <c r="AC10" s="1">
        <f t="shared" si="14"/>
        <v>0.63</v>
      </c>
      <c r="AD10" s="1">
        <f t="shared" si="15"/>
        <v>6.1994680851063828</v>
      </c>
      <c r="AE10" s="6">
        <f t="shared" si="16"/>
        <v>7.099734042553191</v>
      </c>
      <c r="AF10" s="5">
        <f t="shared" si="17"/>
        <v>0.5</v>
      </c>
      <c r="AG10" s="1">
        <f t="shared" si="18"/>
        <v>0.5</v>
      </c>
      <c r="AH10" s="1">
        <f t="shared" si="25"/>
        <v>6.6489361702127656</v>
      </c>
      <c r="AI10" s="6">
        <f t="shared" si="26"/>
        <v>7.3244680851063828</v>
      </c>
      <c r="AJ10" s="5">
        <f t="shared" si="21"/>
        <v>0.52</v>
      </c>
      <c r="AK10" s="1">
        <f t="shared" si="22"/>
        <v>0.48</v>
      </c>
      <c r="AL10" s="1">
        <f t="shared" si="23"/>
        <v>6.6382978723404253</v>
      </c>
      <c r="AM10" s="6">
        <f t="shared" si="24"/>
        <v>7.3191489361702127</v>
      </c>
    </row>
    <row r="11" spans="1:39" x14ac:dyDescent="0.15">
      <c r="A11" s="31" t="s">
        <v>76</v>
      </c>
      <c r="B11" s="49">
        <f>Design_Converter!B16</f>
        <v>18.5</v>
      </c>
      <c r="C11" s="31" t="s">
        <v>1</v>
      </c>
      <c r="E11" s="34" t="s">
        <v>122</v>
      </c>
      <c r="N11">
        <v>5.0000000000000001E-3</v>
      </c>
      <c r="O11">
        <f t="shared" si="0"/>
        <v>5</v>
      </c>
      <c r="P11" s="5">
        <f t="shared" si="1"/>
        <v>0.83333333333333337</v>
      </c>
      <c r="Q11" s="1">
        <f t="shared" si="2"/>
        <v>0.16666666666666663</v>
      </c>
      <c r="R11" s="1">
        <f t="shared" si="3"/>
        <v>2.2163120567375887</v>
      </c>
      <c r="S11" s="6">
        <f t="shared" si="4"/>
        <v>6.1081560283687946</v>
      </c>
      <c r="T11" s="5">
        <f t="shared" si="5"/>
        <v>0.5</v>
      </c>
      <c r="U11" s="1">
        <f t="shared" si="6"/>
        <v>0.5</v>
      </c>
      <c r="V11" s="1">
        <f t="shared" si="7"/>
        <v>6.6489361702127656</v>
      </c>
      <c r="W11" s="6">
        <f t="shared" si="8"/>
        <v>8.3244680851063819</v>
      </c>
      <c r="X11" s="5">
        <f t="shared" si="9"/>
        <v>0.41666666666666669</v>
      </c>
      <c r="Y11" s="1">
        <f t="shared" si="10"/>
        <v>0.58333333333333326</v>
      </c>
      <c r="Z11" s="1">
        <f t="shared" si="11"/>
        <v>7.7570921985815611</v>
      </c>
      <c r="AA11" s="6">
        <f t="shared" si="12"/>
        <v>8.8785460992907801</v>
      </c>
      <c r="AB11" s="5">
        <f t="shared" si="13"/>
        <v>0.37</v>
      </c>
      <c r="AC11" s="1">
        <f t="shared" si="14"/>
        <v>0.63</v>
      </c>
      <c r="AD11" s="1">
        <f t="shared" si="15"/>
        <v>6.1994680851063828</v>
      </c>
      <c r="AE11" s="6">
        <f t="shared" si="16"/>
        <v>8.099734042553191</v>
      </c>
      <c r="AF11" s="5">
        <f t="shared" si="17"/>
        <v>0.5</v>
      </c>
      <c r="AG11" s="1">
        <f t="shared" si="18"/>
        <v>0.5</v>
      </c>
      <c r="AH11" s="1">
        <f t="shared" si="25"/>
        <v>6.6489361702127656</v>
      </c>
      <c r="AI11" s="6">
        <f t="shared" si="26"/>
        <v>8.3244680851063819</v>
      </c>
      <c r="AJ11" s="5">
        <f t="shared" si="21"/>
        <v>0.52</v>
      </c>
      <c r="AK11" s="1">
        <f t="shared" si="22"/>
        <v>0.48</v>
      </c>
      <c r="AL11" s="1">
        <f t="shared" si="23"/>
        <v>6.6382978723404253</v>
      </c>
      <c r="AM11" s="6">
        <f t="shared" si="24"/>
        <v>8.3191489361702118</v>
      </c>
    </row>
    <row r="12" spans="1:39" x14ac:dyDescent="0.15">
      <c r="A12" s="31" t="s">
        <v>77</v>
      </c>
      <c r="B12" s="49">
        <f>Design_Converter!B17</f>
        <v>25</v>
      </c>
      <c r="C12" s="31" t="s">
        <v>1</v>
      </c>
      <c r="E12" s="34" t="s">
        <v>123</v>
      </c>
      <c r="N12">
        <v>6.0000000000000001E-3</v>
      </c>
      <c r="O12">
        <f t="shared" si="0"/>
        <v>6</v>
      </c>
      <c r="P12" s="5">
        <f t="shared" si="1"/>
        <v>0.83333333333333337</v>
      </c>
      <c r="Q12" s="1">
        <f t="shared" si="2"/>
        <v>0.16666666666666663</v>
      </c>
      <c r="R12" s="1">
        <f t="shared" si="3"/>
        <v>2.2163120567375887</v>
      </c>
      <c r="S12" s="6">
        <f t="shared" si="4"/>
        <v>7.1081560283687946</v>
      </c>
      <c r="T12" s="5">
        <f t="shared" si="5"/>
        <v>0.5</v>
      </c>
      <c r="U12" s="1">
        <f t="shared" si="6"/>
        <v>0.5</v>
      </c>
      <c r="V12" s="1">
        <f t="shared" si="7"/>
        <v>6.6489361702127656</v>
      </c>
      <c r="W12" s="6">
        <f t="shared" si="8"/>
        <v>9.3244680851063819</v>
      </c>
      <c r="X12" s="5">
        <f t="shared" si="9"/>
        <v>0.41666666666666669</v>
      </c>
      <c r="Y12" s="1">
        <f t="shared" si="10"/>
        <v>0.58333333333333326</v>
      </c>
      <c r="Z12" s="1">
        <f t="shared" si="11"/>
        <v>7.7570921985815611</v>
      </c>
      <c r="AA12" s="6">
        <f t="shared" si="12"/>
        <v>9.8785460992907801</v>
      </c>
      <c r="AB12" s="5">
        <f t="shared" si="13"/>
        <v>0.37</v>
      </c>
      <c r="AC12" s="1">
        <f t="shared" si="14"/>
        <v>0.63</v>
      </c>
      <c r="AD12" s="1">
        <f t="shared" si="15"/>
        <v>6.1994680851063828</v>
      </c>
      <c r="AE12" s="6">
        <f t="shared" si="16"/>
        <v>9.099734042553191</v>
      </c>
      <c r="AF12" s="5">
        <f t="shared" si="17"/>
        <v>0.5</v>
      </c>
      <c r="AG12" s="1">
        <f t="shared" si="18"/>
        <v>0.5</v>
      </c>
      <c r="AH12" s="1">
        <f t="shared" si="25"/>
        <v>6.6489361702127656</v>
      </c>
      <c r="AI12" s="6">
        <f t="shared" si="26"/>
        <v>9.3244680851063819</v>
      </c>
      <c r="AJ12" s="5">
        <f t="shared" si="21"/>
        <v>0.52</v>
      </c>
      <c r="AK12" s="1">
        <f t="shared" si="22"/>
        <v>0.48</v>
      </c>
      <c r="AL12" s="1">
        <f t="shared" si="23"/>
        <v>6.6382978723404253</v>
      </c>
      <c r="AM12" s="6">
        <f t="shared" si="24"/>
        <v>9.3191489361702118</v>
      </c>
    </row>
    <row r="13" spans="1:39" x14ac:dyDescent="0.15">
      <c r="A13" s="31" t="s">
        <v>78</v>
      </c>
      <c r="B13" s="49">
        <f>Design_Converter!B18</f>
        <v>26</v>
      </c>
      <c r="C13" s="31" t="s">
        <v>1</v>
      </c>
      <c r="E13" s="34" t="s">
        <v>124</v>
      </c>
      <c r="N13">
        <v>7.0000000000000001E-3</v>
      </c>
      <c r="O13">
        <f t="shared" si="0"/>
        <v>7</v>
      </c>
      <c r="P13" s="5">
        <f t="shared" si="1"/>
        <v>0.83333333333333337</v>
      </c>
      <c r="Q13" s="1">
        <f t="shared" si="2"/>
        <v>0.16666666666666663</v>
      </c>
      <c r="R13" s="1">
        <f t="shared" si="3"/>
        <v>2.2163120567375887</v>
      </c>
      <c r="S13" s="6">
        <f t="shared" si="4"/>
        <v>8.1081560283687946</v>
      </c>
      <c r="T13" s="5">
        <f t="shared" si="5"/>
        <v>0.5</v>
      </c>
      <c r="U13" s="1">
        <f t="shared" si="6"/>
        <v>0.5</v>
      </c>
      <c r="V13" s="1">
        <f t="shared" si="7"/>
        <v>6.6489361702127656</v>
      </c>
      <c r="W13" s="6">
        <f t="shared" si="8"/>
        <v>10.324468085106382</v>
      </c>
      <c r="X13" s="5">
        <f t="shared" si="9"/>
        <v>0.41666666666666669</v>
      </c>
      <c r="Y13" s="1">
        <f t="shared" si="10"/>
        <v>0.58333333333333326</v>
      </c>
      <c r="Z13" s="1">
        <f t="shared" si="11"/>
        <v>7.7570921985815611</v>
      </c>
      <c r="AA13" s="6">
        <f t="shared" si="12"/>
        <v>10.87854609929078</v>
      </c>
      <c r="AB13" s="5">
        <f t="shared" si="13"/>
        <v>0.37</v>
      </c>
      <c r="AC13" s="1">
        <f t="shared" si="14"/>
        <v>0.63</v>
      </c>
      <c r="AD13" s="1">
        <f t="shared" si="15"/>
        <v>6.1994680851063828</v>
      </c>
      <c r="AE13" s="6">
        <f t="shared" si="16"/>
        <v>10.099734042553191</v>
      </c>
      <c r="AF13" s="5">
        <f t="shared" si="17"/>
        <v>0.5</v>
      </c>
      <c r="AG13" s="1">
        <f t="shared" si="18"/>
        <v>0.5</v>
      </c>
      <c r="AH13" s="1">
        <f t="shared" si="25"/>
        <v>6.6489361702127656</v>
      </c>
      <c r="AI13" s="6">
        <f t="shared" si="26"/>
        <v>10.324468085106382</v>
      </c>
      <c r="AJ13" s="5">
        <f t="shared" si="21"/>
        <v>0.52</v>
      </c>
      <c r="AK13" s="1">
        <f t="shared" si="22"/>
        <v>0.48</v>
      </c>
      <c r="AL13" s="1">
        <f t="shared" si="23"/>
        <v>6.6382978723404253</v>
      </c>
      <c r="AM13" s="6">
        <f t="shared" si="24"/>
        <v>10.319148936170212</v>
      </c>
    </row>
    <row r="14" spans="1:39" x14ac:dyDescent="0.15">
      <c r="A14" s="195" t="s">
        <v>86</v>
      </c>
      <c r="B14" s="195"/>
      <c r="C14" s="195"/>
      <c r="N14">
        <v>8.0000000000000002E-3</v>
      </c>
      <c r="O14">
        <f t="shared" si="0"/>
        <v>8</v>
      </c>
      <c r="P14" s="5">
        <f t="shared" si="1"/>
        <v>0.83333333333333337</v>
      </c>
      <c r="Q14" s="1">
        <f t="shared" si="2"/>
        <v>0.16666666666666663</v>
      </c>
      <c r="R14" s="1">
        <f t="shared" si="3"/>
        <v>2.2163120567375887</v>
      </c>
      <c r="S14" s="6">
        <f t="shared" si="4"/>
        <v>9.1081560283687946</v>
      </c>
      <c r="T14" s="5">
        <f t="shared" si="5"/>
        <v>0.5</v>
      </c>
      <c r="U14" s="1">
        <f t="shared" si="6"/>
        <v>0.5</v>
      </c>
      <c r="V14" s="1">
        <f t="shared" si="7"/>
        <v>6.6489361702127656</v>
      </c>
      <c r="W14" s="6">
        <f t="shared" si="8"/>
        <v>11.324468085106382</v>
      </c>
      <c r="X14" s="5">
        <f t="shared" si="9"/>
        <v>0.41666666666666669</v>
      </c>
      <c r="Y14" s="1">
        <f t="shared" si="10"/>
        <v>0.58333333333333326</v>
      </c>
      <c r="Z14" s="1">
        <f t="shared" si="11"/>
        <v>7.7570921985815611</v>
      </c>
      <c r="AA14" s="6">
        <f t="shared" si="12"/>
        <v>11.87854609929078</v>
      </c>
      <c r="AB14" s="5">
        <f t="shared" si="13"/>
        <v>0.37</v>
      </c>
      <c r="AC14" s="1">
        <f t="shared" si="14"/>
        <v>0.63</v>
      </c>
      <c r="AD14" s="1">
        <f t="shared" si="15"/>
        <v>6.1994680851063828</v>
      </c>
      <c r="AE14" s="6">
        <f t="shared" si="16"/>
        <v>11.099734042553191</v>
      </c>
      <c r="AF14" s="5">
        <f t="shared" si="17"/>
        <v>0.5</v>
      </c>
      <c r="AG14" s="1">
        <f t="shared" si="18"/>
        <v>0.5</v>
      </c>
      <c r="AH14" s="1">
        <f t="shared" si="25"/>
        <v>6.6489361702127656</v>
      </c>
      <c r="AI14" s="6">
        <f t="shared" si="26"/>
        <v>11.324468085106382</v>
      </c>
      <c r="AJ14" s="5">
        <f t="shared" si="21"/>
        <v>0.52</v>
      </c>
      <c r="AK14" s="1">
        <f t="shared" si="22"/>
        <v>0.48</v>
      </c>
      <c r="AL14" s="1">
        <f t="shared" si="23"/>
        <v>6.6382978723404253</v>
      </c>
      <c r="AM14" s="6">
        <f t="shared" si="24"/>
        <v>11.319148936170212</v>
      </c>
    </row>
    <row r="15" spans="1:39" x14ac:dyDescent="0.15">
      <c r="A15" s="31" t="s">
        <v>129</v>
      </c>
      <c r="B15" s="49">
        <f>Design_Converter!B21*1000</f>
        <v>400000</v>
      </c>
      <c r="C15" s="31" t="s">
        <v>87</v>
      </c>
      <c r="D15" s="34">
        <f>IF(AND(B15&lt;=Constants!B39,B15&lt;=Constants!D39),1,0)</f>
        <v>0</v>
      </c>
      <c r="E15" s="34" t="s">
        <v>130</v>
      </c>
      <c r="N15">
        <v>8.9999999999999993E-3</v>
      </c>
      <c r="O15">
        <f t="shared" si="0"/>
        <v>9</v>
      </c>
      <c r="P15" s="5">
        <f t="shared" si="1"/>
        <v>0.83333333333333337</v>
      </c>
      <c r="Q15" s="1">
        <f t="shared" si="2"/>
        <v>0.16666666666666663</v>
      </c>
      <c r="R15" s="1">
        <f t="shared" si="3"/>
        <v>2.2163120567375887</v>
      </c>
      <c r="S15" s="6">
        <f t="shared" si="4"/>
        <v>10.108156028368795</v>
      </c>
      <c r="T15" s="5">
        <f t="shared" si="5"/>
        <v>0.5</v>
      </c>
      <c r="U15" s="1">
        <f t="shared" si="6"/>
        <v>0.5</v>
      </c>
      <c r="V15" s="1">
        <f t="shared" si="7"/>
        <v>6.6489361702127656</v>
      </c>
      <c r="W15" s="6">
        <f t="shared" si="8"/>
        <v>12.324468085106382</v>
      </c>
      <c r="X15" s="5">
        <f t="shared" si="9"/>
        <v>0.41666666666666669</v>
      </c>
      <c r="Y15" s="1">
        <f t="shared" si="10"/>
        <v>0.58333333333333326</v>
      </c>
      <c r="Z15" s="1">
        <f t="shared" si="11"/>
        <v>7.7570921985815611</v>
      </c>
      <c r="AA15" s="6">
        <f t="shared" si="12"/>
        <v>12.87854609929078</v>
      </c>
      <c r="AB15" s="5">
        <f t="shared" si="13"/>
        <v>0.37</v>
      </c>
      <c r="AC15" s="1">
        <f t="shared" si="14"/>
        <v>0.63</v>
      </c>
      <c r="AD15" s="1">
        <f t="shared" si="15"/>
        <v>6.1994680851063828</v>
      </c>
      <c r="AE15" s="6">
        <f t="shared" si="16"/>
        <v>12.099734042553191</v>
      </c>
      <c r="AF15" s="5">
        <f t="shared" si="17"/>
        <v>0.5</v>
      </c>
      <c r="AG15" s="1">
        <f t="shared" si="18"/>
        <v>0.5</v>
      </c>
      <c r="AH15" s="1">
        <f t="shared" si="25"/>
        <v>6.6489361702127656</v>
      </c>
      <c r="AI15" s="6">
        <f t="shared" si="26"/>
        <v>12.324468085106382</v>
      </c>
      <c r="AJ15" s="5">
        <f t="shared" si="21"/>
        <v>0.52</v>
      </c>
      <c r="AK15" s="1">
        <f t="shared" si="22"/>
        <v>0.48</v>
      </c>
      <c r="AL15" s="1">
        <f t="shared" si="23"/>
        <v>6.6382978723404253</v>
      </c>
      <c r="AM15" s="6">
        <f t="shared" si="24"/>
        <v>12.319148936170212</v>
      </c>
    </row>
    <row r="16" spans="1:39" x14ac:dyDescent="0.15">
      <c r="A16" s="31" t="s">
        <v>149</v>
      </c>
      <c r="B16" s="50">
        <f>Constants!C17/(Fsw*1000)</f>
        <v>10</v>
      </c>
      <c r="C16" s="31" t="s">
        <v>39</v>
      </c>
      <c r="D16" s="34" t="s">
        <v>98</v>
      </c>
      <c r="E16" s="34" t="s">
        <v>150</v>
      </c>
      <c r="N16">
        <v>0.01</v>
      </c>
      <c r="O16">
        <f t="shared" si="0"/>
        <v>10</v>
      </c>
      <c r="P16" s="5">
        <f t="shared" si="1"/>
        <v>0.83333333333333337</v>
      </c>
      <c r="Q16" s="1">
        <f t="shared" si="2"/>
        <v>0.16666666666666663</v>
      </c>
      <c r="R16" s="1">
        <f t="shared" si="3"/>
        <v>2.2163120567375887</v>
      </c>
      <c r="S16" s="6">
        <f t="shared" si="4"/>
        <v>11.108156028368795</v>
      </c>
      <c r="T16" s="5">
        <f t="shared" si="5"/>
        <v>0.5</v>
      </c>
      <c r="U16" s="1">
        <f t="shared" si="6"/>
        <v>0.5</v>
      </c>
      <c r="V16" s="1">
        <f t="shared" si="7"/>
        <v>6.6489361702127656</v>
      </c>
      <c r="W16" s="6">
        <f t="shared" si="8"/>
        <v>13.324468085106382</v>
      </c>
      <c r="X16" s="5">
        <f t="shared" si="9"/>
        <v>0.41666666666666669</v>
      </c>
      <c r="Y16" s="1">
        <f t="shared" si="10"/>
        <v>0.58333333333333326</v>
      </c>
      <c r="Z16" s="1">
        <f t="shared" si="11"/>
        <v>7.7570921985815611</v>
      </c>
      <c r="AA16" s="6">
        <f t="shared" si="12"/>
        <v>13.87854609929078</v>
      </c>
      <c r="AB16" s="5">
        <f t="shared" si="13"/>
        <v>0.37</v>
      </c>
      <c r="AC16" s="1">
        <f t="shared" si="14"/>
        <v>0.63</v>
      </c>
      <c r="AD16" s="1">
        <f t="shared" si="15"/>
        <v>6.1994680851063828</v>
      </c>
      <c r="AE16" s="6">
        <f t="shared" si="16"/>
        <v>13.099734042553191</v>
      </c>
      <c r="AF16" s="5">
        <f t="shared" si="17"/>
        <v>0.5</v>
      </c>
      <c r="AG16" s="1">
        <f t="shared" si="18"/>
        <v>0.5</v>
      </c>
      <c r="AH16" s="1">
        <f t="shared" si="25"/>
        <v>6.6489361702127656</v>
      </c>
      <c r="AI16" s="6">
        <f t="shared" si="26"/>
        <v>13.324468085106382</v>
      </c>
      <c r="AJ16" s="5">
        <f t="shared" si="21"/>
        <v>0.52</v>
      </c>
      <c r="AK16" s="1">
        <f t="shared" si="22"/>
        <v>0.48</v>
      </c>
      <c r="AL16" s="1">
        <f t="shared" si="23"/>
        <v>6.6382978723404253</v>
      </c>
      <c r="AM16" s="6">
        <f t="shared" si="24"/>
        <v>13.319148936170212</v>
      </c>
    </row>
    <row r="17" spans="1:39" x14ac:dyDescent="0.15">
      <c r="A17" s="31" t="s">
        <v>88</v>
      </c>
      <c r="B17" s="51">
        <f>(1-(V12_Max/V48_Min))/Fsw</f>
        <v>3.3333333333333325E-7</v>
      </c>
      <c r="C17" s="31" t="s">
        <v>23</v>
      </c>
      <c r="D17" s="34">
        <f>IF(B17&lt;Constants!C3,1,0)</f>
        <v>0</v>
      </c>
      <c r="N17">
        <v>1.0999999999999999E-2</v>
      </c>
      <c r="O17">
        <f t="shared" si="0"/>
        <v>11</v>
      </c>
      <c r="P17" s="5">
        <f t="shared" si="1"/>
        <v>0.83333333333333337</v>
      </c>
      <c r="Q17" s="1">
        <f t="shared" si="2"/>
        <v>0.16666666666666663</v>
      </c>
      <c r="R17" s="1">
        <f t="shared" si="3"/>
        <v>2.2163120567375887</v>
      </c>
      <c r="S17" s="6">
        <f t="shared" si="4"/>
        <v>12.108156028368795</v>
      </c>
      <c r="T17" s="5">
        <f t="shared" si="5"/>
        <v>0.5</v>
      </c>
      <c r="U17" s="1">
        <f t="shared" si="6"/>
        <v>0.5</v>
      </c>
      <c r="V17" s="1">
        <f t="shared" si="7"/>
        <v>6.6489361702127656</v>
      </c>
      <c r="W17" s="6">
        <f t="shared" si="8"/>
        <v>14.324468085106382</v>
      </c>
      <c r="X17" s="5">
        <f t="shared" si="9"/>
        <v>0.41666666666666669</v>
      </c>
      <c r="Y17" s="1">
        <f t="shared" si="10"/>
        <v>0.58333333333333326</v>
      </c>
      <c r="Z17" s="1">
        <f t="shared" si="11"/>
        <v>7.7570921985815611</v>
      </c>
      <c r="AA17" s="6">
        <f t="shared" si="12"/>
        <v>14.87854609929078</v>
      </c>
      <c r="AB17" s="5">
        <f t="shared" si="13"/>
        <v>0.37</v>
      </c>
      <c r="AC17" s="1">
        <f t="shared" si="14"/>
        <v>0.63</v>
      </c>
      <c r="AD17" s="1">
        <f t="shared" si="15"/>
        <v>6.1994680851063828</v>
      </c>
      <c r="AE17" s="6">
        <f t="shared" si="16"/>
        <v>14.099734042553191</v>
      </c>
      <c r="AF17" s="5">
        <f t="shared" si="17"/>
        <v>0.5</v>
      </c>
      <c r="AG17" s="1">
        <f t="shared" si="18"/>
        <v>0.5</v>
      </c>
      <c r="AH17" s="1">
        <f t="shared" si="25"/>
        <v>6.6489361702127656</v>
      </c>
      <c r="AI17" s="6">
        <f t="shared" si="26"/>
        <v>14.324468085106382</v>
      </c>
      <c r="AJ17" s="5">
        <f t="shared" si="21"/>
        <v>0.52</v>
      </c>
      <c r="AK17" s="1">
        <f t="shared" si="22"/>
        <v>0.48</v>
      </c>
      <c r="AL17" s="1">
        <f t="shared" si="23"/>
        <v>6.6382978723404253</v>
      </c>
      <c r="AM17" s="6">
        <f t="shared" si="24"/>
        <v>14.319148936170212</v>
      </c>
    </row>
    <row r="18" spans="1:39" x14ac:dyDescent="0.15">
      <c r="A18" s="31" t="s">
        <v>89</v>
      </c>
      <c r="B18" s="51">
        <f>(V12_Min/V48_Max)/Fsw</f>
        <v>7.708333333333334E-7</v>
      </c>
      <c r="C18" s="31" t="s">
        <v>23</v>
      </c>
      <c r="D18" s="34">
        <f>IF(B18&lt;Constants!C3,1,0)</f>
        <v>0</v>
      </c>
      <c r="N18">
        <v>1.2E-2</v>
      </c>
      <c r="O18">
        <f t="shared" si="0"/>
        <v>12</v>
      </c>
      <c r="P18" s="5">
        <f t="shared" si="1"/>
        <v>0.83333333333333337</v>
      </c>
      <c r="Q18" s="1">
        <f t="shared" si="2"/>
        <v>0.16666666666666663</v>
      </c>
      <c r="R18" s="1">
        <f t="shared" si="3"/>
        <v>2.2163120567375887</v>
      </c>
      <c r="S18" s="6">
        <f t="shared" si="4"/>
        <v>13.108156028368795</v>
      </c>
      <c r="T18" s="5">
        <f t="shared" si="5"/>
        <v>0.5</v>
      </c>
      <c r="U18" s="1">
        <f t="shared" si="6"/>
        <v>0.5</v>
      </c>
      <c r="V18" s="1">
        <f t="shared" si="7"/>
        <v>6.6489361702127656</v>
      </c>
      <c r="W18" s="6">
        <f t="shared" si="8"/>
        <v>15.324468085106382</v>
      </c>
      <c r="X18" s="5">
        <f t="shared" si="9"/>
        <v>0.41666666666666669</v>
      </c>
      <c r="Y18" s="1">
        <f t="shared" si="10"/>
        <v>0.58333333333333326</v>
      </c>
      <c r="Z18" s="1">
        <f t="shared" si="11"/>
        <v>7.7570921985815611</v>
      </c>
      <c r="AA18" s="6">
        <f t="shared" si="12"/>
        <v>15.87854609929078</v>
      </c>
      <c r="AB18" s="5">
        <f t="shared" si="13"/>
        <v>0.37</v>
      </c>
      <c r="AC18" s="1">
        <f t="shared" si="14"/>
        <v>0.63</v>
      </c>
      <c r="AD18" s="1">
        <f t="shared" si="15"/>
        <v>6.1994680851063828</v>
      </c>
      <c r="AE18" s="6">
        <f t="shared" si="16"/>
        <v>15.099734042553191</v>
      </c>
      <c r="AF18" s="5">
        <f t="shared" si="17"/>
        <v>0.5</v>
      </c>
      <c r="AG18" s="1">
        <f t="shared" si="18"/>
        <v>0.5</v>
      </c>
      <c r="AH18" s="1">
        <f t="shared" si="25"/>
        <v>6.6489361702127656</v>
      </c>
      <c r="AI18" s="6">
        <f t="shared" si="26"/>
        <v>15.324468085106382</v>
      </c>
      <c r="AJ18" s="5">
        <f t="shared" si="21"/>
        <v>0.52</v>
      </c>
      <c r="AK18" s="1">
        <f t="shared" si="22"/>
        <v>0.48</v>
      </c>
      <c r="AL18" s="1">
        <f t="shared" si="23"/>
        <v>6.6382978723404253</v>
      </c>
      <c r="AM18" s="6">
        <f t="shared" si="24"/>
        <v>15.319148936170212</v>
      </c>
    </row>
    <row r="19" spans="1:39" x14ac:dyDescent="0.15">
      <c r="N19">
        <v>1.2999999999999999E-2</v>
      </c>
      <c r="O19">
        <f t="shared" si="0"/>
        <v>13</v>
      </c>
      <c r="P19" s="5">
        <f t="shared" si="1"/>
        <v>0.83333333333333337</v>
      </c>
      <c r="Q19" s="1">
        <f t="shared" si="2"/>
        <v>0.16666666666666663</v>
      </c>
      <c r="R19" s="1">
        <f t="shared" si="3"/>
        <v>2.2163120567375887</v>
      </c>
      <c r="S19" s="6">
        <f t="shared" si="4"/>
        <v>14.108156028368795</v>
      </c>
      <c r="T19" s="5">
        <f t="shared" si="5"/>
        <v>0.5</v>
      </c>
      <c r="U19" s="1">
        <f t="shared" si="6"/>
        <v>0.5</v>
      </c>
      <c r="V19" s="1">
        <f t="shared" si="7"/>
        <v>6.6489361702127656</v>
      </c>
      <c r="W19" s="6">
        <f t="shared" si="8"/>
        <v>16.324468085106382</v>
      </c>
      <c r="X19" s="5">
        <f t="shared" si="9"/>
        <v>0.41666666666666669</v>
      </c>
      <c r="Y19" s="1">
        <f t="shared" si="10"/>
        <v>0.58333333333333326</v>
      </c>
      <c r="Z19" s="1">
        <f t="shared" si="11"/>
        <v>7.7570921985815611</v>
      </c>
      <c r="AA19" s="6">
        <f t="shared" si="12"/>
        <v>16.87854609929078</v>
      </c>
      <c r="AB19" s="5">
        <f t="shared" si="13"/>
        <v>0.37</v>
      </c>
      <c r="AC19" s="1">
        <f t="shared" si="14"/>
        <v>0.63</v>
      </c>
      <c r="AD19" s="1">
        <f t="shared" si="15"/>
        <v>6.1994680851063828</v>
      </c>
      <c r="AE19" s="6">
        <f t="shared" si="16"/>
        <v>16.099734042553191</v>
      </c>
      <c r="AF19" s="5">
        <f t="shared" si="17"/>
        <v>0.5</v>
      </c>
      <c r="AG19" s="1">
        <f t="shared" si="18"/>
        <v>0.5</v>
      </c>
      <c r="AH19" s="1">
        <f t="shared" si="25"/>
        <v>6.6489361702127656</v>
      </c>
      <c r="AI19" s="6">
        <f t="shared" si="26"/>
        <v>16.324468085106382</v>
      </c>
      <c r="AJ19" s="5">
        <f t="shared" si="21"/>
        <v>0.52</v>
      </c>
      <c r="AK19" s="1">
        <f t="shared" si="22"/>
        <v>0.48</v>
      </c>
      <c r="AL19" s="1">
        <f t="shared" si="23"/>
        <v>6.6382978723404253</v>
      </c>
      <c r="AM19" s="6">
        <f t="shared" si="24"/>
        <v>16.319148936170212</v>
      </c>
    </row>
    <row r="20" spans="1:39" x14ac:dyDescent="0.15">
      <c r="N20">
        <v>1.4E-2</v>
      </c>
      <c r="O20">
        <f t="shared" si="0"/>
        <v>14</v>
      </c>
      <c r="P20" s="5">
        <f t="shared" si="1"/>
        <v>0.83333333333333337</v>
      </c>
      <c r="Q20" s="1">
        <f t="shared" si="2"/>
        <v>0.16666666666666663</v>
      </c>
      <c r="R20" s="1">
        <f t="shared" si="3"/>
        <v>2.2163120567375887</v>
      </c>
      <c r="S20" s="6">
        <f t="shared" si="4"/>
        <v>15.108156028368795</v>
      </c>
      <c r="T20" s="5">
        <f t="shared" si="5"/>
        <v>0.5</v>
      </c>
      <c r="U20" s="1">
        <f t="shared" si="6"/>
        <v>0.5</v>
      </c>
      <c r="V20" s="1">
        <f t="shared" si="7"/>
        <v>6.6489361702127656</v>
      </c>
      <c r="W20" s="6">
        <f t="shared" si="8"/>
        <v>17.324468085106382</v>
      </c>
      <c r="X20" s="5">
        <f t="shared" si="9"/>
        <v>0.41666666666666669</v>
      </c>
      <c r="Y20" s="1">
        <f t="shared" si="10"/>
        <v>0.58333333333333326</v>
      </c>
      <c r="Z20" s="1">
        <f t="shared" si="11"/>
        <v>7.7570921985815611</v>
      </c>
      <c r="AA20" s="6">
        <f t="shared" si="12"/>
        <v>17.87854609929078</v>
      </c>
      <c r="AB20" s="5">
        <f t="shared" si="13"/>
        <v>0.37</v>
      </c>
      <c r="AC20" s="1">
        <f t="shared" si="14"/>
        <v>0.63</v>
      </c>
      <c r="AD20" s="1">
        <f t="shared" si="15"/>
        <v>6.1994680851063828</v>
      </c>
      <c r="AE20" s="6">
        <f t="shared" si="16"/>
        <v>17.099734042553191</v>
      </c>
      <c r="AF20" s="5">
        <f t="shared" si="17"/>
        <v>0.5</v>
      </c>
      <c r="AG20" s="1">
        <f t="shared" si="18"/>
        <v>0.5</v>
      </c>
      <c r="AH20" s="1">
        <f t="shared" si="25"/>
        <v>6.6489361702127656</v>
      </c>
      <c r="AI20" s="6">
        <f t="shared" si="26"/>
        <v>17.324468085106382</v>
      </c>
      <c r="AJ20" s="5">
        <f t="shared" si="21"/>
        <v>0.52</v>
      </c>
      <c r="AK20" s="1">
        <f t="shared" si="22"/>
        <v>0.48</v>
      </c>
      <c r="AL20" s="1">
        <f t="shared" si="23"/>
        <v>6.6382978723404253</v>
      </c>
      <c r="AM20" s="6">
        <f t="shared" si="24"/>
        <v>17.319148936170212</v>
      </c>
    </row>
    <row r="21" spans="1:39" x14ac:dyDescent="0.15">
      <c r="A21" s="196" t="s">
        <v>131</v>
      </c>
      <c r="B21" s="197"/>
      <c r="C21" s="198"/>
      <c r="N21">
        <v>1.4999999999999999E-2</v>
      </c>
      <c r="O21">
        <f t="shared" si="0"/>
        <v>15</v>
      </c>
      <c r="P21" s="5">
        <f t="shared" si="1"/>
        <v>0.83333333333333337</v>
      </c>
      <c r="Q21" s="1">
        <f t="shared" si="2"/>
        <v>0.16666666666666663</v>
      </c>
      <c r="R21" s="1">
        <f t="shared" si="3"/>
        <v>2.2163120567375887</v>
      </c>
      <c r="S21" s="6">
        <f t="shared" si="4"/>
        <v>16.108156028368793</v>
      </c>
      <c r="T21" s="5">
        <f t="shared" si="5"/>
        <v>0.5</v>
      </c>
      <c r="U21" s="1">
        <f t="shared" si="6"/>
        <v>0.5</v>
      </c>
      <c r="V21" s="1">
        <f t="shared" si="7"/>
        <v>6.6489361702127656</v>
      </c>
      <c r="W21" s="6">
        <f t="shared" si="8"/>
        <v>18.324468085106382</v>
      </c>
      <c r="X21" s="5">
        <f t="shared" si="9"/>
        <v>0.41666666666666669</v>
      </c>
      <c r="Y21" s="1">
        <f t="shared" si="10"/>
        <v>0.58333333333333326</v>
      </c>
      <c r="Z21" s="1">
        <f t="shared" si="11"/>
        <v>7.7570921985815611</v>
      </c>
      <c r="AA21" s="6">
        <f t="shared" si="12"/>
        <v>18.87854609929078</v>
      </c>
      <c r="AB21" s="5">
        <f t="shared" si="13"/>
        <v>0.37</v>
      </c>
      <c r="AC21" s="1">
        <f t="shared" si="14"/>
        <v>0.63</v>
      </c>
      <c r="AD21" s="1">
        <f t="shared" si="15"/>
        <v>6.1994680851063828</v>
      </c>
      <c r="AE21" s="6">
        <f t="shared" si="16"/>
        <v>18.099734042553191</v>
      </c>
      <c r="AF21" s="5">
        <f t="shared" si="17"/>
        <v>0.5</v>
      </c>
      <c r="AG21" s="1">
        <f t="shared" si="18"/>
        <v>0.5</v>
      </c>
      <c r="AH21" s="1">
        <f t="shared" si="25"/>
        <v>6.6489361702127656</v>
      </c>
      <c r="AI21" s="6">
        <f t="shared" si="26"/>
        <v>18.324468085106382</v>
      </c>
      <c r="AJ21" s="5">
        <f t="shared" si="21"/>
        <v>0.52</v>
      </c>
      <c r="AK21" s="1">
        <f t="shared" si="22"/>
        <v>0.48</v>
      </c>
      <c r="AL21" s="1">
        <f t="shared" si="23"/>
        <v>6.6382978723404253</v>
      </c>
      <c r="AM21" s="6">
        <f t="shared" si="24"/>
        <v>18.319148936170212</v>
      </c>
    </row>
    <row r="22" spans="1:39" x14ac:dyDescent="0.15">
      <c r="A22" s="31" t="s">
        <v>44</v>
      </c>
      <c r="B22" s="49">
        <f>Design_Converter!B26</f>
        <v>35</v>
      </c>
      <c r="C22" s="31" t="s">
        <v>4</v>
      </c>
      <c r="N22">
        <v>1.6E-2</v>
      </c>
      <c r="O22">
        <f t="shared" si="0"/>
        <v>16</v>
      </c>
      <c r="P22" s="5">
        <f t="shared" si="1"/>
        <v>0.83333333333333337</v>
      </c>
      <c r="Q22" s="1">
        <f t="shared" si="2"/>
        <v>0.16666666666666663</v>
      </c>
      <c r="R22" s="1">
        <f t="shared" si="3"/>
        <v>2.2163120567375887</v>
      </c>
      <c r="S22" s="6">
        <f t="shared" si="4"/>
        <v>17.108156028368793</v>
      </c>
      <c r="T22" s="5">
        <f t="shared" si="5"/>
        <v>0.5</v>
      </c>
      <c r="U22" s="1">
        <f t="shared" si="6"/>
        <v>0.5</v>
      </c>
      <c r="V22" s="1">
        <f t="shared" si="7"/>
        <v>6.6489361702127656</v>
      </c>
      <c r="W22" s="6">
        <f t="shared" si="8"/>
        <v>19.324468085106382</v>
      </c>
      <c r="X22" s="5">
        <f t="shared" si="9"/>
        <v>0.41666666666666669</v>
      </c>
      <c r="Y22" s="1">
        <f t="shared" si="10"/>
        <v>0.58333333333333326</v>
      </c>
      <c r="Z22" s="1">
        <f t="shared" si="11"/>
        <v>7.7570921985815611</v>
      </c>
      <c r="AA22" s="6">
        <f t="shared" si="12"/>
        <v>19.87854609929078</v>
      </c>
      <c r="AB22" s="5">
        <f t="shared" si="13"/>
        <v>0.37</v>
      </c>
      <c r="AC22" s="1">
        <f t="shared" si="14"/>
        <v>0.63</v>
      </c>
      <c r="AD22" s="1">
        <f t="shared" si="15"/>
        <v>6.1994680851063828</v>
      </c>
      <c r="AE22" s="6">
        <f t="shared" si="16"/>
        <v>19.099734042553191</v>
      </c>
      <c r="AF22" s="5">
        <f t="shared" si="17"/>
        <v>0.5</v>
      </c>
      <c r="AG22" s="1">
        <f t="shared" si="18"/>
        <v>0.5</v>
      </c>
      <c r="AH22" s="1">
        <f t="shared" si="25"/>
        <v>6.6489361702127656</v>
      </c>
      <c r="AI22" s="6">
        <f t="shared" si="26"/>
        <v>19.324468085106382</v>
      </c>
      <c r="AJ22" s="5">
        <f t="shared" si="21"/>
        <v>0.52</v>
      </c>
      <c r="AK22" s="1">
        <f t="shared" si="22"/>
        <v>0.48</v>
      </c>
      <c r="AL22" s="1">
        <f t="shared" si="23"/>
        <v>6.6382978723404253</v>
      </c>
      <c r="AM22" s="6">
        <f t="shared" si="24"/>
        <v>19.319148936170212</v>
      </c>
    </row>
    <row r="23" spans="1:39" x14ac:dyDescent="0.15">
      <c r="A23" s="31" t="s">
        <v>132</v>
      </c>
      <c r="B23" s="50">
        <f>(V12_Max/V48_Min)*B22</f>
        <v>30.333333333333336</v>
      </c>
      <c r="C23" s="31" t="s">
        <v>4</v>
      </c>
      <c r="E23" s="34" t="s">
        <v>133</v>
      </c>
      <c r="N23">
        <v>1.7000000000000001E-2</v>
      </c>
      <c r="O23">
        <f t="shared" si="0"/>
        <v>17</v>
      </c>
      <c r="P23" s="5">
        <f t="shared" si="1"/>
        <v>0.83333333333333337</v>
      </c>
      <c r="Q23" s="1">
        <f t="shared" si="2"/>
        <v>0.16666666666666663</v>
      </c>
      <c r="R23" s="1">
        <f t="shared" si="3"/>
        <v>2.2163120567375887</v>
      </c>
      <c r="S23" s="6">
        <f t="shared" si="4"/>
        <v>18.108156028368793</v>
      </c>
      <c r="T23" s="5">
        <f t="shared" si="5"/>
        <v>0.5</v>
      </c>
      <c r="U23" s="1">
        <f t="shared" si="6"/>
        <v>0.5</v>
      </c>
      <c r="V23" s="1">
        <f t="shared" si="7"/>
        <v>6.6489361702127656</v>
      </c>
      <c r="W23" s="6">
        <f t="shared" si="8"/>
        <v>20.324468085106382</v>
      </c>
      <c r="X23" s="5">
        <f t="shared" si="9"/>
        <v>0.41666666666666669</v>
      </c>
      <c r="Y23" s="1">
        <f t="shared" si="10"/>
        <v>0.58333333333333326</v>
      </c>
      <c r="Z23" s="1">
        <f t="shared" si="11"/>
        <v>7.7570921985815611</v>
      </c>
      <c r="AA23" s="6">
        <f t="shared" si="12"/>
        <v>20.87854609929078</v>
      </c>
      <c r="AB23" s="5">
        <f t="shared" si="13"/>
        <v>0.37</v>
      </c>
      <c r="AC23" s="1">
        <f t="shared" si="14"/>
        <v>0.63</v>
      </c>
      <c r="AD23" s="1">
        <f t="shared" si="15"/>
        <v>6.1994680851063828</v>
      </c>
      <c r="AE23" s="6">
        <f t="shared" si="16"/>
        <v>20.099734042553191</v>
      </c>
      <c r="AF23" s="5">
        <f t="shared" si="17"/>
        <v>0.5</v>
      </c>
      <c r="AG23" s="1">
        <f t="shared" si="18"/>
        <v>0.5</v>
      </c>
      <c r="AH23" s="1">
        <f t="shared" si="25"/>
        <v>6.6489361702127656</v>
      </c>
      <c r="AI23" s="6">
        <f t="shared" si="26"/>
        <v>20.324468085106382</v>
      </c>
      <c r="AJ23" s="5">
        <f t="shared" si="21"/>
        <v>0.52</v>
      </c>
      <c r="AK23" s="1">
        <f t="shared" si="22"/>
        <v>0.48</v>
      </c>
      <c r="AL23" s="1">
        <f t="shared" si="23"/>
        <v>6.6382978723404253</v>
      </c>
      <c r="AM23" s="6">
        <f t="shared" si="24"/>
        <v>20.319148936170212</v>
      </c>
    </row>
    <row r="24" spans="1:39" x14ac:dyDescent="0.15">
      <c r="A24" s="31" t="s">
        <v>134</v>
      </c>
      <c r="B24" s="49">
        <f>Design_Converter!B25</f>
        <v>2</v>
      </c>
      <c r="C24" s="31"/>
      <c r="E24" s="34" t="s">
        <v>135</v>
      </c>
      <c r="N24">
        <v>1.7999999999999999E-2</v>
      </c>
      <c r="O24">
        <f t="shared" si="0"/>
        <v>18</v>
      </c>
      <c r="P24" s="5">
        <f t="shared" si="1"/>
        <v>0.83333333333333337</v>
      </c>
      <c r="Q24" s="1">
        <f t="shared" si="2"/>
        <v>0.16666666666666663</v>
      </c>
      <c r="R24" s="1">
        <f t="shared" si="3"/>
        <v>2.2163120567375887</v>
      </c>
      <c r="S24" s="6">
        <f t="shared" si="4"/>
        <v>19.108156028368793</v>
      </c>
      <c r="T24" s="5">
        <f t="shared" si="5"/>
        <v>0.5</v>
      </c>
      <c r="U24" s="1">
        <f t="shared" si="6"/>
        <v>0.5</v>
      </c>
      <c r="V24" s="1">
        <f t="shared" si="7"/>
        <v>6.6489361702127656</v>
      </c>
      <c r="W24" s="6">
        <f t="shared" si="8"/>
        <v>21.324468085106382</v>
      </c>
      <c r="X24" s="5">
        <f t="shared" si="9"/>
        <v>0.41666666666666669</v>
      </c>
      <c r="Y24" s="1">
        <f t="shared" si="10"/>
        <v>0.58333333333333326</v>
      </c>
      <c r="Z24" s="1">
        <f t="shared" si="11"/>
        <v>7.7570921985815611</v>
      </c>
      <c r="AA24" s="6">
        <f t="shared" si="12"/>
        <v>21.87854609929078</v>
      </c>
      <c r="AB24" s="5">
        <f t="shared" si="13"/>
        <v>0.37</v>
      </c>
      <c r="AC24" s="1">
        <f t="shared" si="14"/>
        <v>0.63</v>
      </c>
      <c r="AD24" s="1">
        <f t="shared" si="15"/>
        <v>6.1994680851063828</v>
      </c>
      <c r="AE24" s="6">
        <f t="shared" si="16"/>
        <v>21.099734042553191</v>
      </c>
      <c r="AF24" s="5">
        <f t="shared" si="17"/>
        <v>0.5</v>
      </c>
      <c r="AG24" s="1">
        <f t="shared" si="18"/>
        <v>0.5</v>
      </c>
      <c r="AH24" s="1">
        <f t="shared" si="25"/>
        <v>6.6489361702127656</v>
      </c>
      <c r="AI24" s="6">
        <f t="shared" si="26"/>
        <v>21.324468085106382</v>
      </c>
      <c r="AJ24" s="5">
        <f t="shared" si="21"/>
        <v>0.52</v>
      </c>
      <c r="AK24" s="1">
        <f t="shared" si="22"/>
        <v>0.48</v>
      </c>
      <c r="AL24" s="1">
        <f t="shared" si="23"/>
        <v>6.6382978723404253</v>
      </c>
      <c r="AM24" s="6">
        <f t="shared" si="24"/>
        <v>21.319148936170212</v>
      </c>
    </row>
    <row r="25" spans="1:39" x14ac:dyDescent="0.15">
      <c r="A25" s="31" t="s">
        <v>143</v>
      </c>
      <c r="B25" s="50">
        <f>B22/B24</f>
        <v>17.5</v>
      </c>
      <c r="C25" s="31" t="s">
        <v>4</v>
      </c>
      <c r="E25" s="34" t="s">
        <v>196</v>
      </c>
      <c r="N25">
        <v>1.9E-2</v>
      </c>
      <c r="O25">
        <f t="shared" si="0"/>
        <v>19</v>
      </c>
      <c r="P25" s="5">
        <f t="shared" si="1"/>
        <v>0.83333333333333337</v>
      </c>
      <c r="Q25" s="1">
        <f t="shared" si="2"/>
        <v>0.16666666666666663</v>
      </c>
      <c r="R25" s="1">
        <f t="shared" si="3"/>
        <v>2.2163120567375887</v>
      </c>
      <c r="S25" s="6">
        <f t="shared" si="4"/>
        <v>20.108156028368793</v>
      </c>
      <c r="T25" s="5">
        <f t="shared" si="5"/>
        <v>0.5</v>
      </c>
      <c r="U25" s="1">
        <f t="shared" si="6"/>
        <v>0.5</v>
      </c>
      <c r="V25" s="1">
        <f t="shared" si="7"/>
        <v>6.6489361702127656</v>
      </c>
      <c r="W25" s="6">
        <f t="shared" si="8"/>
        <v>22.324468085106382</v>
      </c>
      <c r="X25" s="5">
        <f t="shared" si="9"/>
        <v>0.41666666666666669</v>
      </c>
      <c r="Y25" s="1">
        <f t="shared" si="10"/>
        <v>0.58333333333333326</v>
      </c>
      <c r="Z25" s="1">
        <f t="shared" si="11"/>
        <v>7.7570921985815611</v>
      </c>
      <c r="AA25" s="6">
        <f t="shared" si="12"/>
        <v>22.87854609929078</v>
      </c>
      <c r="AB25" s="5">
        <f t="shared" si="13"/>
        <v>0.37</v>
      </c>
      <c r="AC25" s="1">
        <f t="shared" si="14"/>
        <v>0.63</v>
      </c>
      <c r="AD25" s="1">
        <f t="shared" si="15"/>
        <v>6.1994680851063828</v>
      </c>
      <c r="AE25" s="6">
        <f t="shared" si="16"/>
        <v>22.099734042553191</v>
      </c>
      <c r="AF25" s="5">
        <f t="shared" si="17"/>
        <v>0.5</v>
      </c>
      <c r="AG25" s="1">
        <f t="shared" si="18"/>
        <v>0.5</v>
      </c>
      <c r="AH25" s="1">
        <f t="shared" si="25"/>
        <v>6.6489361702127656</v>
      </c>
      <c r="AI25" s="6">
        <f t="shared" si="26"/>
        <v>22.324468085106382</v>
      </c>
      <c r="AJ25" s="5">
        <f t="shared" si="21"/>
        <v>0.52</v>
      </c>
      <c r="AK25" s="1">
        <f t="shared" si="22"/>
        <v>0.48</v>
      </c>
      <c r="AL25" s="1">
        <f t="shared" si="23"/>
        <v>6.6382978723404253</v>
      </c>
      <c r="AM25" s="6">
        <f t="shared" si="24"/>
        <v>22.319148936170212</v>
      </c>
    </row>
    <row r="26" spans="1:39" x14ac:dyDescent="0.15">
      <c r="A26" s="31" t="s">
        <v>197</v>
      </c>
      <c r="B26" s="50">
        <f>B25*V12_Nom</f>
        <v>437.5</v>
      </c>
      <c r="C26" s="31" t="s">
        <v>136</v>
      </c>
      <c r="E26" s="34" t="s">
        <v>198</v>
      </c>
      <c r="N26">
        <v>0.02</v>
      </c>
      <c r="O26">
        <f t="shared" si="0"/>
        <v>20</v>
      </c>
      <c r="P26" s="5">
        <f t="shared" si="1"/>
        <v>0.83333333333333337</v>
      </c>
      <c r="Q26" s="1">
        <f t="shared" si="2"/>
        <v>0.16666666666666663</v>
      </c>
      <c r="R26" s="1">
        <f t="shared" si="3"/>
        <v>2.2163120567375887</v>
      </c>
      <c r="S26" s="6">
        <f t="shared" si="4"/>
        <v>21.108156028368793</v>
      </c>
      <c r="T26" s="5">
        <f t="shared" si="5"/>
        <v>0.5</v>
      </c>
      <c r="U26" s="1">
        <f t="shared" si="6"/>
        <v>0.5</v>
      </c>
      <c r="V26" s="1">
        <f t="shared" si="7"/>
        <v>6.6489361702127656</v>
      </c>
      <c r="W26" s="6">
        <f t="shared" si="8"/>
        <v>23.324468085106382</v>
      </c>
      <c r="X26" s="5">
        <f t="shared" si="9"/>
        <v>0.41666666666666669</v>
      </c>
      <c r="Y26" s="1">
        <f t="shared" si="10"/>
        <v>0.58333333333333326</v>
      </c>
      <c r="Z26" s="1">
        <f t="shared" si="11"/>
        <v>7.7570921985815611</v>
      </c>
      <c r="AA26" s="6">
        <f t="shared" si="12"/>
        <v>23.87854609929078</v>
      </c>
      <c r="AB26" s="5">
        <f t="shared" si="13"/>
        <v>0.37</v>
      </c>
      <c r="AC26" s="1">
        <f t="shared" si="14"/>
        <v>0.63</v>
      </c>
      <c r="AD26" s="1">
        <f t="shared" si="15"/>
        <v>6.1994680851063828</v>
      </c>
      <c r="AE26" s="6">
        <f t="shared" si="16"/>
        <v>23.099734042553191</v>
      </c>
      <c r="AF26" s="5">
        <f t="shared" si="17"/>
        <v>0.5</v>
      </c>
      <c r="AG26" s="1">
        <f t="shared" si="18"/>
        <v>0.5</v>
      </c>
      <c r="AH26" s="1">
        <f t="shared" si="25"/>
        <v>6.6489361702127656</v>
      </c>
      <c r="AI26" s="6">
        <f t="shared" si="26"/>
        <v>23.324468085106382</v>
      </c>
      <c r="AJ26" s="5">
        <f t="shared" si="21"/>
        <v>0.52</v>
      </c>
      <c r="AK26" s="1">
        <f t="shared" si="22"/>
        <v>0.48</v>
      </c>
      <c r="AL26" s="1">
        <f t="shared" si="23"/>
        <v>6.6382978723404253</v>
      </c>
      <c r="AM26" s="6">
        <f t="shared" si="24"/>
        <v>23.319148936170212</v>
      </c>
    </row>
    <row r="27" spans="1:39" x14ac:dyDescent="0.15">
      <c r="A27" s="31" t="s">
        <v>139</v>
      </c>
      <c r="B27" s="50">
        <f>(VCS_Max/B25)*1000</f>
        <v>2.8571428571428572</v>
      </c>
      <c r="C27" s="31" t="s">
        <v>137</v>
      </c>
      <c r="E27" s="34" t="s">
        <v>140</v>
      </c>
      <c r="N27">
        <v>2.1000000000000001E-2</v>
      </c>
      <c r="O27">
        <f t="shared" si="0"/>
        <v>21</v>
      </c>
      <c r="P27" s="5">
        <f t="shared" si="1"/>
        <v>0.83333333333333337</v>
      </c>
      <c r="Q27" s="1">
        <f t="shared" si="2"/>
        <v>0.16666666666666663</v>
      </c>
      <c r="R27" s="1">
        <f t="shared" si="3"/>
        <v>2.2163120567375887</v>
      </c>
      <c r="S27" s="6">
        <f t="shared" si="4"/>
        <v>22.108156028368793</v>
      </c>
      <c r="T27" s="5">
        <f t="shared" si="5"/>
        <v>0.5</v>
      </c>
      <c r="U27" s="1">
        <f t="shared" si="6"/>
        <v>0.5</v>
      </c>
      <c r="V27" s="1">
        <f t="shared" si="7"/>
        <v>6.6489361702127656</v>
      </c>
      <c r="W27" s="6">
        <f t="shared" si="8"/>
        <v>24.324468085106382</v>
      </c>
      <c r="X27" s="5">
        <f t="shared" si="9"/>
        <v>0.41666666666666669</v>
      </c>
      <c r="Y27" s="1">
        <f t="shared" si="10"/>
        <v>0.58333333333333326</v>
      </c>
      <c r="Z27" s="1">
        <f t="shared" si="11"/>
        <v>7.7570921985815611</v>
      </c>
      <c r="AA27" s="6">
        <f t="shared" si="12"/>
        <v>24.87854609929078</v>
      </c>
      <c r="AB27" s="5">
        <f t="shared" si="13"/>
        <v>0.37</v>
      </c>
      <c r="AC27" s="1">
        <f t="shared" si="14"/>
        <v>0.63</v>
      </c>
      <c r="AD27" s="1">
        <f t="shared" si="15"/>
        <v>6.1994680851063828</v>
      </c>
      <c r="AE27" s="6">
        <f t="shared" si="16"/>
        <v>24.099734042553191</v>
      </c>
      <c r="AF27" s="5">
        <f t="shared" si="17"/>
        <v>0.5</v>
      </c>
      <c r="AG27" s="1">
        <f t="shared" si="18"/>
        <v>0.5</v>
      </c>
      <c r="AH27" s="1">
        <f t="shared" si="25"/>
        <v>6.6489361702127656</v>
      </c>
      <c r="AI27" s="6">
        <f t="shared" si="26"/>
        <v>24.324468085106382</v>
      </c>
      <c r="AJ27" s="5">
        <f t="shared" si="21"/>
        <v>0.52</v>
      </c>
      <c r="AK27" s="1">
        <f t="shared" si="22"/>
        <v>0.48</v>
      </c>
      <c r="AL27" s="1">
        <f t="shared" si="23"/>
        <v>6.6382978723404253</v>
      </c>
      <c r="AM27" s="6">
        <f t="shared" si="24"/>
        <v>24.319148936170212</v>
      </c>
    </row>
    <row r="28" spans="1:39" x14ac:dyDescent="0.15">
      <c r="A28" s="31" t="s">
        <v>141</v>
      </c>
      <c r="B28" s="49">
        <f>Design_Converter!B28</f>
        <v>1</v>
      </c>
      <c r="C28" s="31" t="s">
        <v>137</v>
      </c>
      <c r="E28" s="34" t="s">
        <v>8</v>
      </c>
      <c r="N28">
        <v>2.1999999999999999E-2</v>
      </c>
      <c r="O28">
        <f t="shared" si="0"/>
        <v>22</v>
      </c>
      <c r="P28" s="5">
        <f t="shared" si="1"/>
        <v>0.83333333333333337</v>
      </c>
      <c r="Q28" s="1">
        <f t="shared" si="2"/>
        <v>0.16666666666666663</v>
      </c>
      <c r="R28" s="1">
        <f t="shared" si="3"/>
        <v>2.2163120567375887</v>
      </c>
      <c r="S28" s="6">
        <f t="shared" si="4"/>
        <v>23.108156028368793</v>
      </c>
      <c r="T28" s="5">
        <f t="shared" si="5"/>
        <v>0.5</v>
      </c>
      <c r="U28" s="1">
        <f t="shared" si="6"/>
        <v>0.5</v>
      </c>
      <c r="V28" s="1">
        <f t="shared" si="7"/>
        <v>6.6489361702127656</v>
      </c>
      <c r="W28" s="6">
        <f t="shared" si="8"/>
        <v>25.324468085106382</v>
      </c>
      <c r="X28" s="5">
        <f t="shared" si="9"/>
        <v>0.41666666666666669</v>
      </c>
      <c r="Y28" s="1">
        <f t="shared" si="10"/>
        <v>0.58333333333333326</v>
      </c>
      <c r="Z28" s="1">
        <f t="shared" si="11"/>
        <v>7.7570921985815611</v>
      </c>
      <c r="AA28" s="6">
        <f t="shared" si="12"/>
        <v>25.87854609929078</v>
      </c>
      <c r="AB28" s="5">
        <f t="shared" si="13"/>
        <v>0.37</v>
      </c>
      <c r="AC28" s="1">
        <f t="shared" si="14"/>
        <v>0.63</v>
      </c>
      <c r="AD28" s="1">
        <f t="shared" si="15"/>
        <v>6.1994680851063828</v>
      </c>
      <c r="AE28" s="6">
        <f t="shared" si="16"/>
        <v>25.099734042553191</v>
      </c>
      <c r="AF28" s="5">
        <f t="shared" si="17"/>
        <v>0.5</v>
      </c>
      <c r="AG28" s="1">
        <f t="shared" si="18"/>
        <v>0.5</v>
      </c>
      <c r="AH28" s="1">
        <f t="shared" si="25"/>
        <v>6.6489361702127656</v>
      </c>
      <c r="AI28" s="6">
        <f t="shared" si="26"/>
        <v>25.324468085106382</v>
      </c>
      <c r="AJ28" s="5">
        <f t="shared" si="21"/>
        <v>0.52</v>
      </c>
      <c r="AK28" s="1">
        <f t="shared" si="22"/>
        <v>0.48</v>
      </c>
      <c r="AL28" s="1">
        <f t="shared" si="23"/>
        <v>6.6382978723404253</v>
      </c>
      <c r="AM28" s="6">
        <f t="shared" si="24"/>
        <v>25.319148936170212</v>
      </c>
    </row>
    <row r="29" spans="1:39" x14ac:dyDescent="0.15">
      <c r="A29" s="31" t="s">
        <v>144</v>
      </c>
      <c r="B29" s="52">
        <f>VCS_Max/Rcs</f>
        <v>50</v>
      </c>
      <c r="C29" s="31" t="s">
        <v>4</v>
      </c>
      <c r="E29" s="34" t="s">
        <v>195</v>
      </c>
      <c r="N29">
        <v>2.3E-2</v>
      </c>
      <c r="O29">
        <f t="shared" si="0"/>
        <v>23</v>
      </c>
      <c r="P29" s="5">
        <f t="shared" si="1"/>
        <v>0.83333333333333337</v>
      </c>
      <c r="Q29" s="1">
        <f t="shared" si="2"/>
        <v>0.16666666666666663</v>
      </c>
      <c r="R29" s="1">
        <f t="shared" si="3"/>
        <v>2.2163120567375887</v>
      </c>
      <c r="S29" s="6">
        <f t="shared" si="4"/>
        <v>24.108156028368793</v>
      </c>
      <c r="T29" s="5">
        <f t="shared" si="5"/>
        <v>0.5</v>
      </c>
      <c r="U29" s="1">
        <f t="shared" si="6"/>
        <v>0.5</v>
      </c>
      <c r="V29" s="1">
        <f t="shared" si="7"/>
        <v>6.6489361702127656</v>
      </c>
      <c r="W29" s="6">
        <f t="shared" si="8"/>
        <v>26.324468085106382</v>
      </c>
      <c r="X29" s="5">
        <f t="shared" si="9"/>
        <v>0.41666666666666669</v>
      </c>
      <c r="Y29" s="1">
        <f t="shared" si="10"/>
        <v>0.58333333333333326</v>
      </c>
      <c r="Z29" s="1">
        <f t="shared" si="11"/>
        <v>7.7570921985815611</v>
      </c>
      <c r="AA29" s="6">
        <f t="shared" si="12"/>
        <v>26.87854609929078</v>
      </c>
      <c r="AB29" s="5">
        <f t="shared" si="13"/>
        <v>0.37</v>
      </c>
      <c r="AC29" s="1">
        <f t="shared" si="14"/>
        <v>0.63</v>
      </c>
      <c r="AD29" s="1">
        <f t="shared" si="15"/>
        <v>6.1994680851063828</v>
      </c>
      <c r="AE29" s="6">
        <f t="shared" si="16"/>
        <v>26.099734042553191</v>
      </c>
      <c r="AF29" s="5">
        <f t="shared" si="17"/>
        <v>0.5</v>
      </c>
      <c r="AG29" s="1">
        <f t="shared" si="18"/>
        <v>0.5</v>
      </c>
      <c r="AH29" s="1">
        <f t="shared" si="25"/>
        <v>6.6489361702127656</v>
      </c>
      <c r="AI29" s="6">
        <f t="shared" si="26"/>
        <v>26.324468085106382</v>
      </c>
      <c r="AJ29" s="5">
        <f t="shared" si="21"/>
        <v>0.52</v>
      </c>
      <c r="AK29" s="1">
        <f t="shared" si="22"/>
        <v>0.48</v>
      </c>
      <c r="AL29" s="1">
        <f t="shared" si="23"/>
        <v>6.6382978723404253</v>
      </c>
      <c r="AM29" s="6">
        <f t="shared" si="24"/>
        <v>26.319148936170212</v>
      </c>
    </row>
    <row r="30" spans="1:39" x14ac:dyDescent="0.15">
      <c r="A30" s="31" t="s">
        <v>142</v>
      </c>
      <c r="B30" s="50">
        <f>V12_Nom*B29</f>
        <v>1250</v>
      </c>
      <c r="C30" s="31" t="s">
        <v>136</v>
      </c>
      <c r="E30" s="34" t="s">
        <v>199</v>
      </c>
      <c r="N30">
        <v>2.4E-2</v>
      </c>
      <c r="O30">
        <f t="shared" si="0"/>
        <v>24</v>
      </c>
      <c r="P30" s="5">
        <f t="shared" si="1"/>
        <v>0.83333333333333337</v>
      </c>
      <c r="Q30" s="1">
        <f t="shared" si="2"/>
        <v>0.16666666666666663</v>
      </c>
      <c r="R30" s="1">
        <f t="shared" si="3"/>
        <v>2.2163120567375887</v>
      </c>
      <c r="S30" s="6">
        <f t="shared" si="4"/>
        <v>25.108156028368793</v>
      </c>
      <c r="T30" s="5">
        <f t="shared" si="5"/>
        <v>0.5</v>
      </c>
      <c r="U30" s="1">
        <f t="shared" si="6"/>
        <v>0.5</v>
      </c>
      <c r="V30" s="1">
        <f t="shared" si="7"/>
        <v>6.6489361702127656</v>
      </c>
      <c r="W30" s="6">
        <f t="shared" si="8"/>
        <v>27.324468085106382</v>
      </c>
      <c r="X30" s="5">
        <f t="shared" si="9"/>
        <v>0.41666666666666669</v>
      </c>
      <c r="Y30" s="1">
        <f t="shared" si="10"/>
        <v>0.58333333333333326</v>
      </c>
      <c r="Z30" s="1">
        <f t="shared" si="11"/>
        <v>7.7570921985815611</v>
      </c>
      <c r="AA30" s="6">
        <f t="shared" si="12"/>
        <v>27.87854609929078</v>
      </c>
      <c r="AB30" s="5">
        <f t="shared" si="13"/>
        <v>0.37</v>
      </c>
      <c r="AC30" s="1">
        <f t="shared" si="14"/>
        <v>0.63</v>
      </c>
      <c r="AD30" s="1">
        <f t="shared" si="15"/>
        <v>6.1994680851063828</v>
      </c>
      <c r="AE30" s="6">
        <f t="shared" si="16"/>
        <v>27.099734042553191</v>
      </c>
      <c r="AF30" s="5">
        <f t="shared" si="17"/>
        <v>0.5</v>
      </c>
      <c r="AG30" s="1">
        <f t="shared" si="18"/>
        <v>0.5</v>
      </c>
      <c r="AH30" s="1">
        <f t="shared" si="25"/>
        <v>6.6489361702127656</v>
      </c>
      <c r="AI30" s="6">
        <f t="shared" si="26"/>
        <v>27.324468085106382</v>
      </c>
      <c r="AJ30" s="5">
        <f t="shared" si="21"/>
        <v>0.52</v>
      </c>
      <c r="AK30" s="1">
        <f t="shared" si="22"/>
        <v>0.48</v>
      </c>
      <c r="AL30" s="1">
        <f t="shared" si="23"/>
        <v>6.6382978723404253</v>
      </c>
      <c r="AM30" s="6">
        <f t="shared" si="24"/>
        <v>27.319148936170212</v>
      </c>
    </row>
    <row r="31" spans="1:39" x14ac:dyDescent="0.15">
      <c r="A31" s="31" t="s">
        <v>146</v>
      </c>
      <c r="B31" s="50">
        <f>I_Channel*np</f>
        <v>100</v>
      </c>
      <c r="C31" s="31" t="s">
        <v>4</v>
      </c>
      <c r="E31" s="34" t="s">
        <v>200</v>
      </c>
      <c r="N31">
        <v>2.5000000000000001E-2</v>
      </c>
      <c r="O31">
        <f t="shared" si="0"/>
        <v>25</v>
      </c>
      <c r="P31" s="5">
        <f t="shared" si="1"/>
        <v>0.83333333333333337</v>
      </c>
      <c r="Q31" s="1">
        <f t="shared" si="2"/>
        <v>0.16666666666666663</v>
      </c>
      <c r="R31" s="1">
        <f t="shared" si="3"/>
        <v>2.2163120567375887</v>
      </c>
      <c r="S31" s="6">
        <f t="shared" si="4"/>
        <v>26.108156028368793</v>
      </c>
      <c r="T31" s="5">
        <f t="shared" si="5"/>
        <v>0.5</v>
      </c>
      <c r="U31" s="1">
        <f t="shared" si="6"/>
        <v>0.5</v>
      </c>
      <c r="V31" s="1">
        <f t="shared" si="7"/>
        <v>6.6489361702127656</v>
      </c>
      <c r="W31" s="6">
        <f t="shared" si="8"/>
        <v>28.324468085106382</v>
      </c>
      <c r="X31" s="5">
        <f t="shared" si="9"/>
        <v>0.41666666666666669</v>
      </c>
      <c r="Y31" s="1">
        <f t="shared" si="10"/>
        <v>0.58333333333333326</v>
      </c>
      <c r="Z31" s="1">
        <f t="shared" si="11"/>
        <v>7.7570921985815611</v>
      </c>
      <c r="AA31" s="6">
        <f t="shared" si="12"/>
        <v>28.87854609929078</v>
      </c>
      <c r="AB31" s="5">
        <f t="shared" si="13"/>
        <v>0.37</v>
      </c>
      <c r="AC31" s="1">
        <f t="shared" si="14"/>
        <v>0.63</v>
      </c>
      <c r="AD31" s="1">
        <f t="shared" si="15"/>
        <v>6.1994680851063828</v>
      </c>
      <c r="AE31" s="6">
        <f t="shared" si="16"/>
        <v>28.099734042553191</v>
      </c>
      <c r="AF31" s="5">
        <f t="shared" si="17"/>
        <v>0.5</v>
      </c>
      <c r="AG31" s="1">
        <f t="shared" si="18"/>
        <v>0.5</v>
      </c>
      <c r="AH31" s="1">
        <f t="shared" si="25"/>
        <v>6.6489361702127656</v>
      </c>
      <c r="AI31" s="6">
        <f t="shared" si="26"/>
        <v>28.324468085106382</v>
      </c>
      <c r="AJ31" s="5">
        <f t="shared" si="21"/>
        <v>0.52</v>
      </c>
      <c r="AK31" s="1">
        <f t="shared" si="22"/>
        <v>0.48</v>
      </c>
      <c r="AL31" s="1">
        <f t="shared" si="23"/>
        <v>6.6382978723404253</v>
      </c>
      <c r="AM31" s="6">
        <f t="shared" si="24"/>
        <v>28.319148936170212</v>
      </c>
    </row>
    <row r="32" spans="1:39" x14ac:dyDescent="0.15">
      <c r="A32" s="31" t="s">
        <v>147</v>
      </c>
      <c r="B32" s="50">
        <f>B30*np</f>
        <v>2500</v>
      </c>
      <c r="C32" s="31" t="s">
        <v>136</v>
      </c>
      <c r="E32" s="34" t="s">
        <v>201</v>
      </c>
      <c r="N32">
        <v>2.5999999999999999E-2</v>
      </c>
      <c r="O32">
        <f t="shared" si="0"/>
        <v>26</v>
      </c>
      <c r="P32" s="5">
        <f t="shared" si="1"/>
        <v>0.83333333333333337</v>
      </c>
      <c r="Q32" s="1">
        <f t="shared" si="2"/>
        <v>0.16666666666666663</v>
      </c>
      <c r="R32" s="1">
        <f t="shared" si="3"/>
        <v>2.2163120567375887</v>
      </c>
      <c r="S32" s="6">
        <f t="shared" si="4"/>
        <v>27.108156028368793</v>
      </c>
      <c r="T32" s="5">
        <f t="shared" si="5"/>
        <v>0.5</v>
      </c>
      <c r="U32" s="1">
        <f t="shared" si="6"/>
        <v>0.5</v>
      </c>
      <c r="V32" s="1">
        <f t="shared" si="7"/>
        <v>6.6489361702127656</v>
      </c>
      <c r="W32" s="6">
        <f t="shared" si="8"/>
        <v>29.324468085106382</v>
      </c>
      <c r="X32" s="5">
        <f t="shared" si="9"/>
        <v>0.41666666666666669</v>
      </c>
      <c r="Y32" s="1">
        <f t="shared" si="10"/>
        <v>0.58333333333333326</v>
      </c>
      <c r="Z32" s="1">
        <f t="shared" si="11"/>
        <v>7.7570921985815611</v>
      </c>
      <c r="AA32" s="6">
        <f t="shared" si="12"/>
        <v>29.87854609929078</v>
      </c>
      <c r="AB32" s="5">
        <f t="shared" si="13"/>
        <v>0.37</v>
      </c>
      <c r="AC32" s="1">
        <f t="shared" si="14"/>
        <v>0.63</v>
      </c>
      <c r="AD32" s="1">
        <f t="shared" si="15"/>
        <v>6.1994680851063828</v>
      </c>
      <c r="AE32" s="6">
        <f t="shared" si="16"/>
        <v>29.099734042553191</v>
      </c>
      <c r="AF32" s="5">
        <f t="shared" si="17"/>
        <v>0.5</v>
      </c>
      <c r="AG32" s="1">
        <f t="shared" si="18"/>
        <v>0.5</v>
      </c>
      <c r="AH32" s="1">
        <f t="shared" si="25"/>
        <v>6.6489361702127656</v>
      </c>
      <c r="AI32" s="6">
        <f t="shared" si="26"/>
        <v>29.324468085106382</v>
      </c>
      <c r="AJ32" s="5">
        <f t="shared" si="21"/>
        <v>0.52</v>
      </c>
      <c r="AK32" s="1">
        <f t="shared" si="22"/>
        <v>0.48</v>
      </c>
      <c r="AL32" s="1">
        <f t="shared" si="23"/>
        <v>6.6382978723404253</v>
      </c>
      <c r="AM32" s="6">
        <f t="shared" si="24"/>
        <v>29.319148936170212</v>
      </c>
    </row>
    <row r="33" spans="1:39" x14ac:dyDescent="0.15">
      <c r="N33">
        <v>2.7E-2</v>
      </c>
      <c r="O33">
        <f t="shared" si="0"/>
        <v>27</v>
      </c>
      <c r="P33" s="5">
        <f t="shared" si="1"/>
        <v>0.83333333333333337</v>
      </c>
      <c r="Q33" s="1">
        <f t="shared" si="2"/>
        <v>0.16666666666666663</v>
      </c>
      <c r="R33" s="1">
        <f t="shared" si="3"/>
        <v>2.2163120567375887</v>
      </c>
      <c r="S33" s="6">
        <f t="shared" si="4"/>
        <v>28.108156028368793</v>
      </c>
      <c r="T33" s="5">
        <f t="shared" si="5"/>
        <v>0.5</v>
      </c>
      <c r="U33" s="1">
        <f t="shared" si="6"/>
        <v>0.5</v>
      </c>
      <c r="V33" s="1">
        <f t="shared" si="7"/>
        <v>6.6489361702127656</v>
      </c>
      <c r="W33" s="6">
        <f t="shared" si="8"/>
        <v>30.324468085106382</v>
      </c>
      <c r="X33" s="5">
        <f t="shared" si="9"/>
        <v>0.41666666666666669</v>
      </c>
      <c r="Y33" s="1">
        <f t="shared" si="10"/>
        <v>0.58333333333333326</v>
      </c>
      <c r="Z33" s="1">
        <f t="shared" si="11"/>
        <v>7.7570921985815611</v>
      </c>
      <c r="AA33" s="6">
        <f t="shared" si="12"/>
        <v>30.87854609929078</v>
      </c>
      <c r="AB33" s="5">
        <f t="shared" si="13"/>
        <v>0.37</v>
      </c>
      <c r="AC33" s="1">
        <f t="shared" si="14"/>
        <v>0.63</v>
      </c>
      <c r="AD33" s="1">
        <f t="shared" si="15"/>
        <v>6.1994680851063828</v>
      </c>
      <c r="AE33" s="6">
        <f t="shared" si="16"/>
        <v>30.099734042553191</v>
      </c>
      <c r="AF33" s="5">
        <f t="shared" si="17"/>
        <v>0.5</v>
      </c>
      <c r="AG33" s="1">
        <f t="shared" si="18"/>
        <v>0.5</v>
      </c>
      <c r="AH33" s="1">
        <f t="shared" si="25"/>
        <v>6.6489361702127656</v>
      </c>
      <c r="AI33" s="6">
        <f t="shared" si="26"/>
        <v>30.324468085106382</v>
      </c>
      <c r="AJ33" s="5">
        <f t="shared" si="21"/>
        <v>0.52</v>
      </c>
      <c r="AK33" s="1">
        <f t="shared" si="22"/>
        <v>0.48</v>
      </c>
      <c r="AL33" s="1">
        <f t="shared" si="23"/>
        <v>6.6382978723404253</v>
      </c>
      <c r="AM33" s="6">
        <f t="shared" si="24"/>
        <v>30.319148936170212</v>
      </c>
    </row>
    <row r="34" spans="1:39" x14ac:dyDescent="0.15">
      <c r="N34">
        <v>2.8000000000000001E-2</v>
      </c>
      <c r="O34">
        <f t="shared" si="0"/>
        <v>28</v>
      </c>
      <c r="P34" s="5">
        <f t="shared" si="1"/>
        <v>0.83333333333333337</v>
      </c>
      <c r="Q34" s="1">
        <f t="shared" si="2"/>
        <v>0.16666666666666663</v>
      </c>
      <c r="R34" s="1">
        <f t="shared" si="3"/>
        <v>2.2163120567375887</v>
      </c>
      <c r="S34" s="6">
        <f t="shared" si="4"/>
        <v>29.108156028368793</v>
      </c>
      <c r="T34" s="5">
        <f t="shared" si="5"/>
        <v>0.5</v>
      </c>
      <c r="U34" s="1">
        <f t="shared" si="6"/>
        <v>0.5</v>
      </c>
      <c r="V34" s="1">
        <f t="shared" si="7"/>
        <v>6.6489361702127656</v>
      </c>
      <c r="W34" s="6">
        <f t="shared" si="8"/>
        <v>31.324468085106382</v>
      </c>
      <c r="X34" s="5">
        <f t="shared" si="9"/>
        <v>0.41666666666666669</v>
      </c>
      <c r="Y34" s="1">
        <f t="shared" si="10"/>
        <v>0.58333333333333326</v>
      </c>
      <c r="Z34" s="1">
        <f t="shared" si="11"/>
        <v>7.7570921985815611</v>
      </c>
      <c r="AA34" s="6">
        <f t="shared" si="12"/>
        <v>31.87854609929078</v>
      </c>
      <c r="AB34" s="5">
        <f t="shared" si="13"/>
        <v>0.37</v>
      </c>
      <c r="AC34" s="1">
        <f t="shared" si="14"/>
        <v>0.63</v>
      </c>
      <c r="AD34" s="1">
        <f t="shared" si="15"/>
        <v>6.1994680851063828</v>
      </c>
      <c r="AE34" s="6">
        <f t="shared" si="16"/>
        <v>31.099734042553191</v>
      </c>
      <c r="AF34" s="5">
        <f t="shared" si="17"/>
        <v>0.5</v>
      </c>
      <c r="AG34" s="1">
        <f t="shared" si="18"/>
        <v>0.5</v>
      </c>
      <c r="AH34" s="1">
        <f t="shared" si="25"/>
        <v>6.6489361702127656</v>
      </c>
      <c r="AI34" s="6">
        <f t="shared" si="26"/>
        <v>31.324468085106382</v>
      </c>
      <c r="AJ34" s="5">
        <f t="shared" si="21"/>
        <v>0.52</v>
      </c>
      <c r="AK34" s="1">
        <f t="shared" si="22"/>
        <v>0.48</v>
      </c>
      <c r="AL34" s="1">
        <f t="shared" si="23"/>
        <v>6.6382978723404253</v>
      </c>
      <c r="AM34" s="6">
        <f t="shared" si="24"/>
        <v>31.319148936170212</v>
      </c>
    </row>
    <row r="35" spans="1:39" x14ac:dyDescent="0.15">
      <c r="A35" s="32" t="s">
        <v>148</v>
      </c>
      <c r="B35" s="53"/>
      <c r="C35" s="31"/>
      <c r="N35">
        <v>2.9000000000000001E-2</v>
      </c>
      <c r="O35">
        <f t="shared" si="0"/>
        <v>29</v>
      </c>
      <c r="P35" s="5">
        <f t="shared" si="1"/>
        <v>0.83333333333333337</v>
      </c>
      <c r="Q35" s="1">
        <f t="shared" si="2"/>
        <v>0.16666666666666663</v>
      </c>
      <c r="R35" s="1">
        <f t="shared" si="3"/>
        <v>2.2163120567375887</v>
      </c>
      <c r="S35" s="6">
        <f t="shared" si="4"/>
        <v>30.108156028368793</v>
      </c>
      <c r="T35" s="5">
        <f t="shared" si="5"/>
        <v>0.5</v>
      </c>
      <c r="U35" s="1">
        <f t="shared" si="6"/>
        <v>0.5</v>
      </c>
      <c r="V35" s="1">
        <f t="shared" si="7"/>
        <v>6.6489361702127656</v>
      </c>
      <c r="W35" s="6">
        <f t="shared" si="8"/>
        <v>32.324468085106382</v>
      </c>
      <c r="X35" s="5">
        <f t="shared" si="9"/>
        <v>0.41666666666666669</v>
      </c>
      <c r="Y35" s="1">
        <f t="shared" si="10"/>
        <v>0.58333333333333326</v>
      </c>
      <c r="Z35" s="1">
        <f t="shared" si="11"/>
        <v>7.7570921985815611</v>
      </c>
      <c r="AA35" s="6">
        <f t="shared" si="12"/>
        <v>32.87854609929078</v>
      </c>
      <c r="AB35" s="5">
        <f t="shared" si="13"/>
        <v>0.37</v>
      </c>
      <c r="AC35" s="1">
        <f t="shared" si="14"/>
        <v>0.63</v>
      </c>
      <c r="AD35" s="1">
        <f t="shared" si="15"/>
        <v>6.1994680851063828</v>
      </c>
      <c r="AE35" s="6">
        <f t="shared" si="16"/>
        <v>32.099734042553195</v>
      </c>
      <c r="AF35" s="5">
        <f t="shared" si="17"/>
        <v>0.5</v>
      </c>
      <c r="AG35" s="1">
        <f t="shared" si="18"/>
        <v>0.5</v>
      </c>
      <c r="AH35" s="1">
        <f t="shared" si="25"/>
        <v>6.6489361702127656</v>
      </c>
      <c r="AI35" s="6">
        <f t="shared" si="26"/>
        <v>32.324468085106382</v>
      </c>
      <c r="AJ35" s="5">
        <f t="shared" si="21"/>
        <v>0.52</v>
      </c>
      <c r="AK35" s="1">
        <f t="shared" si="22"/>
        <v>0.48</v>
      </c>
      <c r="AL35" s="1">
        <f t="shared" si="23"/>
        <v>6.6382978723404253</v>
      </c>
      <c r="AM35" s="6">
        <f t="shared" si="24"/>
        <v>32.319148936170215</v>
      </c>
    </row>
    <row r="36" spans="1:39" x14ac:dyDescent="0.15">
      <c r="A36" s="31" t="s">
        <v>151</v>
      </c>
      <c r="B36" s="49">
        <f>Design_Converter!B35/100</f>
        <v>0.3</v>
      </c>
      <c r="C36" s="31"/>
      <c r="E36" s="34" t="s">
        <v>202</v>
      </c>
      <c r="N36">
        <v>0.03</v>
      </c>
      <c r="O36">
        <f t="shared" si="0"/>
        <v>30</v>
      </c>
      <c r="P36" s="5">
        <f t="shared" si="1"/>
        <v>0.83333333333333337</v>
      </c>
      <c r="Q36" s="1">
        <f t="shared" si="2"/>
        <v>0.16666666666666663</v>
      </c>
      <c r="R36" s="1">
        <f t="shared" si="3"/>
        <v>2.2163120567375887</v>
      </c>
      <c r="S36" s="6">
        <f t="shared" si="4"/>
        <v>31.108156028368793</v>
      </c>
      <c r="T36" s="5">
        <f t="shared" si="5"/>
        <v>0.5</v>
      </c>
      <c r="U36" s="1">
        <f t="shared" si="6"/>
        <v>0.5</v>
      </c>
      <c r="V36" s="1">
        <f t="shared" si="7"/>
        <v>6.6489361702127656</v>
      </c>
      <c r="W36" s="6">
        <f t="shared" si="8"/>
        <v>33.324468085106382</v>
      </c>
      <c r="X36" s="5">
        <f t="shared" si="9"/>
        <v>0.41666666666666669</v>
      </c>
      <c r="Y36" s="1">
        <f t="shared" si="10"/>
        <v>0.58333333333333326</v>
      </c>
      <c r="Z36" s="1">
        <f t="shared" si="11"/>
        <v>7.7570921985815611</v>
      </c>
      <c r="AA36" s="6">
        <f t="shared" si="12"/>
        <v>33.87854609929078</v>
      </c>
      <c r="AB36" s="5">
        <f t="shared" si="13"/>
        <v>0.37</v>
      </c>
      <c r="AC36" s="1">
        <f t="shared" si="14"/>
        <v>0.63</v>
      </c>
      <c r="AD36" s="1">
        <f t="shared" si="15"/>
        <v>6.1994680851063828</v>
      </c>
      <c r="AE36" s="6">
        <f t="shared" si="16"/>
        <v>33.099734042553195</v>
      </c>
      <c r="AF36" s="5">
        <f t="shared" si="17"/>
        <v>0.5</v>
      </c>
      <c r="AG36" s="1">
        <f t="shared" si="18"/>
        <v>0.5</v>
      </c>
      <c r="AH36" s="1">
        <f t="shared" si="25"/>
        <v>6.6489361702127656</v>
      </c>
      <c r="AI36" s="6">
        <f t="shared" si="26"/>
        <v>33.324468085106382</v>
      </c>
      <c r="AJ36" s="5">
        <f t="shared" si="21"/>
        <v>0.52</v>
      </c>
      <c r="AK36" s="1">
        <f t="shared" si="22"/>
        <v>0.48</v>
      </c>
      <c r="AL36" s="1">
        <f t="shared" si="23"/>
        <v>6.6382978723404253</v>
      </c>
      <c r="AM36" s="6">
        <f t="shared" si="24"/>
        <v>33.319148936170215</v>
      </c>
    </row>
    <row r="37" spans="1:39" x14ac:dyDescent="0.15">
      <c r="A37" s="31" t="s">
        <v>111</v>
      </c>
      <c r="B37" s="54">
        <f>(V48_Max-V12_Nom)*(V12_Nom/V48_Max)/((B25)*(B36)*Fsw)*(1000000)</f>
        <v>6.9444444444444446</v>
      </c>
      <c r="C37" s="31" t="s">
        <v>6</v>
      </c>
      <c r="E37" s="34" t="s">
        <v>193</v>
      </c>
      <c r="N37">
        <v>3.1E-2</v>
      </c>
      <c r="O37">
        <f t="shared" si="0"/>
        <v>31</v>
      </c>
      <c r="P37" s="5">
        <f t="shared" si="1"/>
        <v>0.83333333333333337</v>
      </c>
      <c r="Q37" s="1">
        <f t="shared" si="2"/>
        <v>0.16666666666666663</v>
      </c>
      <c r="R37" s="1">
        <f t="shared" si="3"/>
        <v>2.2163120567375887</v>
      </c>
      <c r="S37" s="6">
        <f t="shared" si="4"/>
        <v>32.108156028368796</v>
      </c>
      <c r="T37" s="5">
        <f t="shared" si="5"/>
        <v>0.5</v>
      </c>
      <c r="U37" s="1">
        <f t="shared" si="6"/>
        <v>0.5</v>
      </c>
      <c r="V37" s="1">
        <f t="shared" si="7"/>
        <v>6.6489361702127656</v>
      </c>
      <c r="W37" s="6">
        <f t="shared" si="8"/>
        <v>34.324468085106382</v>
      </c>
      <c r="X37" s="5">
        <f t="shared" si="9"/>
        <v>0.41666666666666669</v>
      </c>
      <c r="Y37" s="1">
        <f t="shared" si="10"/>
        <v>0.58333333333333326</v>
      </c>
      <c r="Z37" s="1">
        <f t="shared" si="11"/>
        <v>7.7570921985815611</v>
      </c>
      <c r="AA37" s="6">
        <f t="shared" si="12"/>
        <v>34.87854609929078</v>
      </c>
      <c r="AB37" s="5">
        <f t="shared" si="13"/>
        <v>0.37</v>
      </c>
      <c r="AC37" s="1">
        <f t="shared" si="14"/>
        <v>0.63</v>
      </c>
      <c r="AD37" s="1">
        <f t="shared" si="15"/>
        <v>6.1994680851063828</v>
      </c>
      <c r="AE37" s="6">
        <f t="shared" si="16"/>
        <v>34.099734042553195</v>
      </c>
      <c r="AF37" s="5">
        <f t="shared" si="17"/>
        <v>0.5</v>
      </c>
      <c r="AG37" s="1">
        <f t="shared" si="18"/>
        <v>0.5</v>
      </c>
      <c r="AH37" s="1">
        <f t="shared" si="25"/>
        <v>6.6489361702127656</v>
      </c>
      <c r="AI37" s="6">
        <f t="shared" si="26"/>
        <v>34.324468085106382</v>
      </c>
      <c r="AJ37" s="5">
        <f t="shared" si="21"/>
        <v>0.52</v>
      </c>
      <c r="AK37" s="1">
        <f t="shared" si="22"/>
        <v>0.48</v>
      </c>
      <c r="AL37" s="1">
        <f t="shared" si="23"/>
        <v>6.6382978723404253</v>
      </c>
      <c r="AM37" s="6">
        <f t="shared" si="24"/>
        <v>34.319148936170215</v>
      </c>
    </row>
    <row r="38" spans="1:39" x14ac:dyDescent="0.15">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0.83333333333333337</v>
      </c>
      <c r="Q38" s="1">
        <f t="shared" ref="Q38:Q56" si="29">IF($O38&lt;((V48_Min-V12_Nom)*V12_Nom)/((2*Lm*Fsw)*V48_Min),SQRT((2*$O38*Lm*Fsw*V12_Nom)/(V48_Min*(V48_Min-V12_Nom)))*((V48_Min-V12_Nom)/(V12_Nom)),1-(V12_Nom/V48_Min))</f>
        <v>0.16666666666666663</v>
      </c>
      <c r="R38" s="1">
        <f t="shared" ref="R38:R56" si="30">IF($O38&lt;((V48_Min-V12_Nom)*V12_Nom)/((2*Lm*Fsw)*V48_Min),(P38/(Fsw*Lm))*(V48_Min-V12_Nom),((P38/(Fsw*Lm))*(V48_Min-V12_Nom)))</f>
        <v>2.2163120567375887</v>
      </c>
      <c r="S38" s="6">
        <f t="shared" ref="S38:S56" si="31">IF($O38&lt;((V48_Min-V12_Nom)*V12_Nom)/((2*Lm*Fsw)*V48_Min),(P38/(Fsw*Lm))*(V48_Min-V12_Nom),(R38/2)+$O38)</f>
        <v>33.108156028368796</v>
      </c>
      <c r="T38" s="5">
        <f t="shared" ref="T38:T56" si="32">IF($O38&lt;((V48_Nom-V12_Nom)*V12_Nom)/((2*Lm*Fsw)*V48_Nom),SQRT((2*$O38*Lm*Fsw*V12_Nom)/(V48_Nom*(V48_Nom-V12_Nom))),(V12_Nom/V48_Nom))</f>
        <v>0.5</v>
      </c>
      <c r="U38" s="1">
        <f t="shared" ref="U38:U56" si="33">IF($O38&lt;((V48_Nom-V12_Nom)*V12_Nom)/((2*Lm*Fsw)*V48_Nom),SQRT((2*$O38*Lm*Fsw*V12_Nom)/(V48_Nom*(V48_Nom-V12_Nom)))*((V48_Nom-V12_Nom)/(V12_Nom)),1-(V12_Nom/V48_Nom))</f>
        <v>0.5</v>
      </c>
      <c r="V38" s="1">
        <f t="shared" ref="V38:V56" si="34">IF($O38&lt;((V48_Nom-V12_Nom)*V12_Nom)/((2*Lm*Fsw)*V48_Nom),(T38/(Fsw*Lm))*(V48_Nom-V12_Nom),((T38/(Fsw*Lm))*(V48_Nom-V12_Nom)))</f>
        <v>6.6489361702127656</v>
      </c>
      <c r="W38" s="6">
        <f t="shared" ref="W38:W56" si="35">IF($O38&lt;((V48_Nom-V12_Nom)*V12_Nom)/((2*Lm*Fsw)*V48_Nom),(T38/(Fsw*Lm))*(V48_Nom-V12_Nom),(V38/2)+$O38)</f>
        <v>35.324468085106382</v>
      </c>
      <c r="X38" s="5">
        <f t="shared" ref="X38:X56" si="36">IF($O38&lt;((V48_Max-V12_Nom)*V12_Nom)/((2*Lm*Fsw)*V48_Max),SQRT((2*$O38*Lm*Fsw*V12_Nom)/(V48_Max*(V48_Max-V12_Nom))),(V12_Nom/V48_Max))</f>
        <v>0.41666666666666669</v>
      </c>
      <c r="Y38" s="1">
        <f t="shared" ref="Y38:Y56" si="37">IF($O38&lt;((V48_Max-V12_Nom)*V12_Nom)/((2*Lm*Fsw)*V48_Max),SQRT((2*$O38*Lm*Fsw*V12_Nom)/(V48_Max*(V48_Max-V12_Nom)))*((V48_Max-V12_Nom)/(V12_Nom)),1-(V12_Nom/V48_Max))</f>
        <v>0.58333333333333326</v>
      </c>
      <c r="Z38" s="1">
        <f t="shared" ref="Z38:Z56" si="38">IF($O38&lt;((V48_Max-V12_Nom)*V12_Nom)/((2*Lm*Fsw)*V48_Max),(X38/(Fsw*Lm))*(V48_Max-V12_Nom),((X38/(Fsw*Lm))*(V48_Max-V12_Nom)))</f>
        <v>7.7570921985815611</v>
      </c>
      <c r="AA38" s="6">
        <f t="shared" ref="AA38:AA56" si="39">IF($O38&lt;((V48_Max-V12_Nom)*V12_Nom)/((2*Lm*Fsw)*V48_Max),(X38/(Fsw*Lm))*(V48_Max-V12_Nom),(Z38/2)+$O38)</f>
        <v>35.87854609929078</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0.5</v>
      </c>
      <c r="AG38" s="1">
        <f t="shared" si="18"/>
        <v>0.5</v>
      </c>
      <c r="AH38" s="1">
        <f t="shared" si="25"/>
        <v>6.6489361702127656</v>
      </c>
      <c r="AI38" s="6">
        <f t="shared" si="26"/>
        <v>35.324468085106382</v>
      </c>
      <c r="AJ38" s="5">
        <f t="shared" ref="AJ38:AJ56" si="44">IF($O38&lt;((V48_Nom-V12_Max)*V12_Max)/((2*Lm*Fsw)*V48_Nom),SQRT((2*$O38*Lm*Fsw*V12_Max)/(V48_Nom*(V48_Nom-V12_Max))),(V12_Max/V48_Nom))</f>
        <v>0.52</v>
      </c>
      <c r="AK38" s="1">
        <f t="shared" ref="AK38:AK56" si="45">IF($O38&lt;((V48_Nom-V12_Max)*V12_Max)/((2*Lm*Fsw)*V48_Nom),SQRT((2*$O38*Lm*Fsw*V12_Max)/(V48_Nom*(V48_Nom-V12_Max)))*((V48_Nom-V12_Max)/(V12_Max)),1-(V12_Max/V48_Nom))</f>
        <v>0.48</v>
      </c>
      <c r="AL38" s="1">
        <f t="shared" ref="AL38:AL56" si="46">IF($O38&lt;((V48_Nom-V12_Max)*V12_Max)/((2*Lm*Fsw)*V48_Nom),(AJ38/(Fsw*Lm))*(V48_Nom-V12_Max),((AJ38/(Fsw*Lm))*(V48_Nom-V12_Max)))</f>
        <v>6.6382978723404253</v>
      </c>
      <c r="AM38" s="6">
        <f t="shared" ref="AM38:AM56" si="47">IF($O38&lt;((V48_Nom-V12_Max)*V12_Max)/((2*Lm*Fsw)*V48_Nom),(AJ38/(Fsw*Lm))*(V48_Nom-V12_Max),(AL38/2)+$O38)</f>
        <v>35.319148936170215</v>
      </c>
    </row>
    <row r="39" spans="1:39" ht="15" x14ac:dyDescent="0.25">
      <c r="A39" s="31" t="s">
        <v>29</v>
      </c>
      <c r="B39" s="49">
        <f>Lm_DCR</f>
        <v>2.2499999999999998E-3</v>
      </c>
      <c r="C39" s="67" t="s">
        <v>80</v>
      </c>
      <c r="N39">
        <v>3.3000000000000002E-2</v>
      </c>
      <c r="O39">
        <f t="shared" si="27"/>
        <v>33</v>
      </c>
      <c r="P39" s="5">
        <f t="shared" si="28"/>
        <v>0.83333333333333337</v>
      </c>
      <c r="Q39" s="1">
        <f t="shared" si="29"/>
        <v>0.16666666666666663</v>
      </c>
      <c r="R39" s="1">
        <f t="shared" si="30"/>
        <v>2.2163120567375887</v>
      </c>
      <c r="S39" s="6">
        <f t="shared" si="31"/>
        <v>34.108156028368796</v>
      </c>
      <c r="T39" s="5">
        <f t="shared" si="32"/>
        <v>0.5</v>
      </c>
      <c r="U39" s="1">
        <f t="shared" si="33"/>
        <v>0.5</v>
      </c>
      <c r="V39" s="1">
        <f t="shared" si="34"/>
        <v>6.6489361702127656</v>
      </c>
      <c r="W39" s="6">
        <f t="shared" si="35"/>
        <v>36.324468085106382</v>
      </c>
      <c r="X39" s="5">
        <f t="shared" si="36"/>
        <v>0.41666666666666669</v>
      </c>
      <c r="Y39" s="1">
        <f t="shared" si="37"/>
        <v>0.58333333333333326</v>
      </c>
      <c r="Z39" s="1">
        <f t="shared" si="38"/>
        <v>7.7570921985815611</v>
      </c>
      <c r="AA39" s="6">
        <f t="shared" si="39"/>
        <v>36.87854609929078</v>
      </c>
      <c r="AB39" s="5">
        <f t="shared" si="40"/>
        <v>0.37</v>
      </c>
      <c r="AC39" s="1">
        <f t="shared" si="41"/>
        <v>0.63</v>
      </c>
      <c r="AD39" s="1">
        <f t="shared" si="42"/>
        <v>6.1994680851063828</v>
      </c>
      <c r="AE39" s="6">
        <f t="shared" si="43"/>
        <v>36.099734042553195</v>
      </c>
      <c r="AF39" s="5">
        <f t="shared" si="17"/>
        <v>0.5</v>
      </c>
      <c r="AG39" s="1">
        <f t="shared" si="18"/>
        <v>0.5</v>
      </c>
      <c r="AH39" s="1">
        <f t="shared" si="25"/>
        <v>6.6489361702127656</v>
      </c>
      <c r="AI39" s="6">
        <f t="shared" si="26"/>
        <v>36.324468085106382</v>
      </c>
      <c r="AJ39" s="5">
        <f t="shared" si="44"/>
        <v>0.52</v>
      </c>
      <c r="AK39" s="1">
        <f t="shared" si="45"/>
        <v>0.48</v>
      </c>
      <c r="AL39" s="1">
        <f t="shared" si="46"/>
        <v>6.6382978723404253</v>
      </c>
      <c r="AM39" s="6">
        <f t="shared" si="47"/>
        <v>36.319148936170215</v>
      </c>
    </row>
    <row r="40" spans="1:39" ht="14.25" thickBot="1" x14ac:dyDescent="0.2">
      <c r="A40" s="199" t="s">
        <v>10</v>
      </c>
      <c r="B40" s="200"/>
      <c r="C40" s="201"/>
      <c r="E40" s="34" t="s">
        <v>154</v>
      </c>
      <c r="N40">
        <v>3.4000000000000002E-2</v>
      </c>
      <c r="O40">
        <f t="shared" si="27"/>
        <v>34</v>
      </c>
      <c r="P40" s="5">
        <f t="shared" si="28"/>
        <v>0.83333333333333337</v>
      </c>
      <c r="Q40" s="1">
        <f t="shared" si="29"/>
        <v>0.16666666666666663</v>
      </c>
      <c r="R40" s="1">
        <f t="shared" si="30"/>
        <v>2.2163120567375887</v>
      </c>
      <c r="S40" s="6">
        <f t="shared" si="31"/>
        <v>35.108156028368796</v>
      </c>
      <c r="T40" s="5">
        <f t="shared" si="32"/>
        <v>0.5</v>
      </c>
      <c r="U40" s="1">
        <f t="shared" si="33"/>
        <v>0.5</v>
      </c>
      <c r="V40" s="1">
        <f t="shared" si="34"/>
        <v>6.6489361702127656</v>
      </c>
      <c r="W40" s="6">
        <f t="shared" si="35"/>
        <v>37.324468085106382</v>
      </c>
      <c r="X40" s="5">
        <f t="shared" si="36"/>
        <v>0.41666666666666669</v>
      </c>
      <c r="Y40" s="1">
        <f t="shared" si="37"/>
        <v>0.58333333333333326</v>
      </c>
      <c r="Z40" s="1">
        <f t="shared" si="38"/>
        <v>7.7570921985815611</v>
      </c>
      <c r="AA40" s="6">
        <f t="shared" si="39"/>
        <v>37.87854609929078</v>
      </c>
      <c r="AB40" s="5">
        <f t="shared" si="40"/>
        <v>0.37</v>
      </c>
      <c r="AC40" s="1">
        <f t="shared" si="41"/>
        <v>0.63</v>
      </c>
      <c r="AD40" s="1">
        <f t="shared" si="42"/>
        <v>6.1994680851063828</v>
      </c>
      <c r="AE40" s="6">
        <f t="shared" si="43"/>
        <v>37.099734042553195</v>
      </c>
      <c r="AF40" s="5">
        <f t="shared" si="17"/>
        <v>0.5</v>
      </c>
      <c r="AG40" s="1">
        <f t="shared" si="18"/>
        <v>0.5</v>
      </c>
      <c r="AH40" s="1">
        <f t="shared" si="25"/>
        <v>6.6489361702127656</v>
      </c>
      <c r="AI40" s="6">
        <f t="shared" si="26"/>
        <v>37.324468085106382</v>
      </c>
      <c r="AJ40" s="5">
        <f t="shared" si="44"/>
        <v>0.52</v>
      </c>
      <c r="AK40" s="1">
        <f t="shared" si="45"/>
        <v>0.48</v>
      </c>
      <c r="AL40" s="1">
        <f t="shared" si="46"/>
        <v>6.6382978723404253</v>
      </c>
      <c r="AM40" s="6">
        <f t="shared" si="47"/>
        <v>37.319148936170215</v>
      </c>
    </row>
    <row r="41" spans="1:39" x14ac:dyDescent="0.15">
      <c r="A41" s="75" t="s">
        <v>82</v>
      </c>
      <c r="B41" s="76">
        <f>((V48_Min-V12_Nom)/(2*Lm*Fsw))*((V12_Nom*Rcs)/V48_Min)*1000</f>
        <v>1.1081560283687943</v>
      </c>
      <c r="C41" s="77" t="s">
        <v>72</v>
      </c>
      <c r="N41">
        <v>3.5000000000000003E-2</v>
      </c>
      <c r="O41">
        <f t="shared" si="27"/>
        <v>35</v>
      </c>
      <c r="P41" s="5">
        <f t="shared" si="28"/>
        <v>0.83333333333333337</v>
      </c>
      <c r="Q41" s="1">
        <f t="shared" si="29"/>
        <v>0.16666666666666663</v>
      </c>
      <c r="R41" s="1">
        <f t="shared" si="30"/>
        <v>2.2163120567375887</v>
      </c>
      <c r="S41" s="6">
        <f t="shared" si="31"/>
        <v>36.108156028368796</v>
      </c>
      <c r="T41" s="5">
        <f t="shared" si="32"/>
        <v>0.5</v>
      </c>
      <c r="U41" s="1">
        <f t="shared" si="33"/>
        <v>0.5</v>
      </c>
      <c r="V41" s="1">
        <f t="shared" si="34"/>
        <v>6.6489361702127656</v>
      </c>
      <c r="W41" s="6">
        <f t="shared" si="35"/>
        <v>38.324468085106382</v>
      </c>
      <c r="X41" s="5">
        <f t="shared" si="36"/>
        <v>0.41666666666666669</v>
      </c>
      <c r="Y41" s="1">
        <f t="shared" si="37"/>
        <v>0.58333333333333326</v>
      </c>
      <c r="Z41" s="1">
        <f t="shared" si="38"/>
        <v>7.7570921985815611</v>
      </c>
      <c r="AA41" s="6">
        <f t="shared" si="39"/>
        <v>38.87854609929078</v>
      </c>
      <c r="AB41" s="5">
        <f t="shared" si="40"/>
        <v>0.37</v>
      </c>
      <c r="AC41" s="1">
        <f t="shared" si="41"/>
        <v>0.63</v>
      </c>
      <c r="AD41" s="1">
        <f t="shared" si="42"/>
        <v>6.1994680851063828</v>
      </c>
      <c r="AE41" s="6">
        <f t="shared" si="43"/>
        <v>38.099734042553195</v>
      </c>
      <c r="AF41" s="5">
        <f t="shared" si="17"/>
        <v>0.5</v>
      </c>
      <c r="AG41" s="1">
        <f t="shared" si="18"/>
        <v>0.5</v>
      </c>
      <c r="AH41" s="1">
        <f t="shared" si="25"/>
        <v>6.6489361702127656</v>
      </c>
      <c r="AI41" s="6">
        <f t="shared" si="26"/>
        <v>38.324468085106382</v>
      </c>
      <c r="AJ41" s="5">
        <f t="shared" si="44"/>
        <v>0.52</v>
      </c>
      <c r="AK41" s="1">
        <f t="shared" si="45"/>
        <v>0.48</v>
      </c>
      <c r="AL41" s="1">
        <f t="shared" si="46"/>
        <v>6.6382978723404253</v>
      </c>
      <c r="AM41" s="6">
        <f t="shared" si="47"/>
        <v>38.319148936170215</v>
      </c>
    </row>
    <row r="42" spans="1:39" x14ac:dyDescent="0.15">
      <c r="A42" s="78" t="s">
        <v>83</v>
      </c>
      <c r="B42" s="57">
        <f>(B41/1000)/Rcs</f>
        <v>1.1081560283687943</v>
      </c>
      <c r="C42" s="42" t="s">
        <v>4</v>
      </c>
      <c r="N42">
        <v>3.5999999999999997E-2</v>
      </c>
      <c r="O42">
        <f t="shared" si="27"/>
        <v>36</v>
      </c>
      <c r="P42" s="5">
        <f t="shared" si="28"/>
        <v>0.83333333333333337</v>
      </c>
      <c r="Q42" s="1">
        <f t="shared" si="29"/>
        <v>0.16666666666666663</v>
      </c>
      <c r="R42" s="1">
        <f t="shared" si="30"/>
        <v>2.2163120567375887</v>
      </c>
      <c r="S42" s="6">
        <f t="shared" si="31"/>
        <v>37.108156028368796</v>
      </c>
      <c r="T42" s="5">
        <f t="shared" si="32"/>
        <v>0.5</v>
      </c>
      <c r="U42" s="1">
        <f t="shared" si="33"/>
        <v>0.5</v>
      </c>
      <c r="V42" s="1">
        <f t="shared" si="34"/>
        <v>6.6489361702127656</v>
      </c>
      <c r="W42" s="6">
        <f t="shared" si="35"/>
        <v>39.324468085106382</v>
      </c>
      <c r="X42" s="5">
        <f t="shared" si="36"/>
        <v>0.41666666666666669</v>
      </c>
      <c r="Y42" s="1">
        <f t="shared" si="37"/>
        <v>0.58333333333333326</v>
      </c>
      <c r="Z42" s="1">
        <f t="shared" si="38"/>
        <v>7.7570921985815611</v>
      </c>
      <c r="AA42" s="6">
        <f t="shared" si="39"/>
        <v>39.87854609929078</v>
      </c>
      <c r="AB42" s="5">
        <f t="shared" si="40"/>
        <v>0.37</v>
      </c>
      <c r="AC42" s="1">
        <f t="shared" si="41"/>
        <v>0.63</v>
      </c>
      <c r="AD42" s="1">
        <f t="shared" si="42"/>
        <v>6.1994680851063828</v>
      </c>
      <c r="AE42" s="6">
        <f t="shared" si="43"/>
        <v>39.099734042553195</v>
      </c>
      <c r="AF42" s="5">
        <f t="shared" si="17"/>
        <v>0.5</v>
      </c>
      <c r="AG42" s="1">
        <f t="shared" si="18"/>
        <v>0.5</v>
      </c>
      <c r="AH42" s="1">
        <f t="shared" si="25"/>
        <v>6.6489361702127656</v>
      </c>
      <c r="AI42" s="6">
        <f t="shared" si="26"/>
        <v>39.324468085106382</v>
      </c>
      <c r="AJ42" s="5">
        <f t="shared" si="44"/>
        <v>0.52</v>
      </c>
      <c r="AK42" s="1">
        <f t="shared" si="45"/>
        <v>0.48</v>
      </c>
      <c r="AL42" s="1">
        <f t="shared" si="46"/>
        <v>6.6382978723404253</v>
      </c>
      <c r="AM42" s="6">
        <f t="shared" si="47"/>
        <v>39.319148936170215</v>
      </c>
    </row>
    <row r="43" spans="1:39" x14ac:dyDescent="0.15">
      <c r="A43" s="78" t="s">
        <v>383</v>
      </c>
      <c r="B43" s="50">
        <f>(V12_Nom/V48_Min)</f>
        <v>0.83333333333333337</v>
      </c>
      <c r="C43" s="42"/>
      <c r="N43">
        <v>3.6999999999999998E-2</v>
      </c>
      <c r="O43">
        <f t="shared" si="27"/>
        <v>37</v>
      </c>
      <c r="P43" s="5">
        <f t="shared" si="28"/>
        <v>0.83333333333333337</v>
      </c>
      <c r="Q43" s="1">
        <f t="shared" si="29"/>
        <v>0.16666666666666663</v>
      </c>
      <c r="R43" s="1">
        <f t="shared" si="30"/>
        <v>2.2163120567375887</v>
      </c>
      <c r="S43" s="6">
        <f t="shared" si="31"/>
        <v>38.108156028368796</v>
      </c>
      <c r="T43" s="5">
        <f t="shared" si="32"/>
        <v>0.5</v>
      </c>
      <c r="U43" s="1">
        <f t="shared" si="33"/>
        <v>0.5</v>
      </c>
      <c r="V43" s="1">
        <f t="shared" si="34"/>
        <v>6.6489361702127656</v>
      </c>
      <c r="W43" s="6">
        <f t="shared" si="35"/>
        <v>40.324468085106382</v>
      </c>
      <c r="X43" s="5">
        <f t="shared" si="36"/>
        <v>0.41666666666666669</v>
      </c>
      <c r="Y43" s="1">
        <f t="shared" si="37"/>
        <v>0.58333333333333326</v>
      </c>
      <c r="Z43" s="1">
        <f t="shared" si="38"/>
        <v>7.7570921985815611</v>
      </c>
      <c r="AA43" s="6">
        <f t="shared" si="39"/>
        <v>40.87854609929078</v>
      </c>
      <c r="AB43" s="5">
        <f t="shared" si="40"/>
        <v>0.37</v>
      </c>
      <c r="AC43" s="1">
        <f t="shared" si="41"/>
        <v>0.63</v>
      </c>
      <c r="AD43" s="1">
        <f t="shared" si="42"/>
        <v>6.1994680851063828</v>
      </c>
      <c r="AE43" s="6">
        <f t="shared" si="43"/>
        <v>40.099734042553195</v>
      </c>
      <c r="AF43" s="5">
        <f t="shared" si="17"/>
        <v>0.5</v>
      </c>
      <c r="AG43" s="1">
        <f t="shared" si="18"/>
        <v>0.5</v>
      </c>
      <c r="AH43" s="1">
        <f t="shared" si="25"/>
        <v>6.6489361702127656</v>
      </c>
      <c r="AI43" s="6">
        <f t="shared" si="26"/>
        <v>40.324468085106382</v>
      </c>
      <c r="AJ43" s="5">
        <f t="shared" si="44"/>
        <v>0.52</v>
      </c>
      <c r="AK43" s="1">
        <f t="shared" si="45"/>
        <v>0.48</v>
      </c>
      <c r="AL43" s="1">
        <f t="shared" si="46"/>
        <v>6.6382978723404253</v>
      </c>
      <c r="AM43" s="6">
        <f t="shared" si="47"/>
        <v>40.319148936170215</v>
      </c>
    </row>
    <row r="44" spans="1:39" x14ac:dyDescent="0.15">
      <c r="A44" s="78" t="s">
        <v>74</v>
      </c>
      <c r="B44" s="56">
        <f>((V48_Nom-V12_Nom)/(2*Lm*Fsw))*((V12_Nom*Rcs)/V48_Nom)*1000</f>
        <v>3.3244680851063833</v>
      </c>
      <c r="C44" s="42" t="s">
        <v>72</v>
      </c>
      <c r="N44">
        <v>3.7999999999999999E-2</v>
      </c>
      <c r="O44">
        <f t="shared" si="27"/>
        <v>38</v>
      </c>
      <c r="P44" s="5">
        <f t="shared" si="28"/>
        <v>0.83333333333333337</v>
      </c>
      <c r="Q44" s="1">
        <f t="shared" si="29"/>
        <v>0.16666666666666663</v>
      </c>
      <c r="R44" s="1">
        <f t="shared" si="30"/>
        <v>2.2163120567375887</v>
      </c>
      <c r="S44" s="6">
        <f t="shared" si="31"/>
        <v>39.108156028368796</v>
      </c>
      <c r="T44" s="5">
        <f t="shared" si="32"/>
        <v>0.5</v>
      </c>
      <c r="U44" s="1">
        <f t="shared" si="33"/>
        <v>0.5</v>
      </c>
      <c r="V44" s="1">
        <f t="shared" si="34"/>
        <v>6.6489361702127656</v>
      </c>
      <c r="W44" s="6">
        <f t="shared" si="35"/>
        <v>41.324468085106382</v>
      </c>
      <c r="X44" s="5">
        <f t="shared" si="36"/>
        <v>0.41666666666666669</v>
      </c>
      <c r="Y44" s="1">
        <f t="shared" si="37"/>
        <v>0.58333333333333326</v>
      </c>
      <c r="Z44" s="1">
        <f t="shared" si="38"/>
        <v>7.7570921985815611</v>
      </c>
      <c r="AA44" s="6">
        <f t="shared" si="39"/>
        <v>41.87854609929078</v>
      </c>
      <c r="AB44" s="5">
        <f t="shared" si="40"/>
        <v>0.37</v>
      </c>
      <c r="AC44" s="1">
        <f t="shared" si="41"/>
        <v>0.63</v>
      </c>
      <c r="AD44" s="1">
        <f t="shared" si="42"/>
        <v>6.1994680851063828</v>
      </c>
      <c r="AE44" s="6">
        <f t="shared" si="43"/>
        <v>41.099734042553195</v>
      </c>
      <c r="AF44" s="5">
        <f t="shared" si="17"/>
        <v>0.5</v>
      </c>
      <c r="AG44" s="1">
        <f t="shared" si="18"/>
        <v>0.5</v>
      </c>
      <c r="AH44" s="1">
        <f t="shared" si="25"/>
        <v>6.6489361702127656</v>
      </c>
      <c r="AI44" s="6">
        <f t="shared" si="26"/>
        <v>41.324468085106382</v>
      </c>
      <c r="AJ44" s="5">
        <f t="shared" si="44"/>
        <v>0.52</v>
      </c>
      <c r="AK44" s="1">
        <f t="shared" si="45"/>
        <v>0.48</v>
      </c>
      <c r="AL44" s="1">
        <f t="shared" si="46"/>
        <v>6.6382978723404253</v>
      </c>
      <c r="AM44" s="6">
        <f t="shared" si="47"/>
        <v>41.319148936170215</v>
      </c>
    </row>
    <row r="45" spans="1:39" x14ac:dyDescent="0.15">
      <c r="A45" s="78" t="s">
        <v>81</v>
      </c>
      <c r="B45" s="57">
        <f>(B44/1000)/Rcs</f>
        <v>3.3244680851063833</v>
      </c>
      <c r="C45" s="42" t="s">
        <v>4</v>
      </c>
      <c r="N45">
        <v>3.9E-2</v>
      </c>
      <c r="O45">
        <f t="shared" si="27"/>
        <v>39</v>
      </c>
      <c r="P45" s="5">
        <f t="shared" si="28"/>
        <v>0.83333333333333337</v>
      </c>
      <c r="Q45" s="1">
        <f t="shared" si="29"/>
        <v>0.16666666666666663</v>
      </c>
      <c r="R45" s="1">
        <f t="shared" si="30"/>
        <v>2.2163120567375887</v>
      </c>
      <c r="S45" s="6">
        <f t="shared" si="31"/>
        <v>40.108156028368796</v>
      </c>
      <c r="T45" s="5">
        <f t="shared" si="32"/>
        <v>0.5</v>
      </c>
      <c r="U45" s="1">
        <f t="shared" si="33"/>
        <v>0.5</v>
      </c>
      <c r="V45" s="1">
        <f t="shared" si="34"/>
        <v>6.6489361702127656</v>
      </c>
      <c r="W45" s="6">
        <f t="shared" si="35"/>
        <v>42.324468085106382</v>
      </c>
      <c r="X45" s="5">
        <f t="shared" si="36"/>
        <v>0.41666666666666669</v>
      </c>
      <c r="Y45" s="1">
        <f t="shared" si="37"/>
        <v>0.58333333333333326</v>
      </c>
      <c r="Z45" s="1">
        <f t="shared" si="38"/>
        <v>7.7570921985815611</v>
      </c>
      <c r="AA45" s="6">
        <f t="shared" si="39"/>
        <v>42.87854609929078</v>
      </c>
      <c r="AB45" s="5">
        <f t="shared" si="40"/>
        <v>0.37</v>
      </c>
      <c r="AC45" s="1">
        <f t="shared" si="41"/>
        <v>0.63</v>
      </c>
      <c r="AD45" s="1">
        <f t="shared" si="42"/>
        <v>6.1994680851063828</v>
      </c>
      <c r="AE45" s="6">
        <f t="shared" si="43"/>
        <v>42.099734042553195</v>
      </c>
      <c r="AF45" s="5">
        <f t="shared" si="17"/>
        <v>0.5</v>
      </c>
      <c r="AG45" s="1">
        <f t="shared" si="18"/>
        <v>0.5</v>
      </c>
      <c r="AH45" s="1">
        <f t="shared" si="25"/>
        <v>6.6489361702127656</v>
      </c>
      <c r="AI45" s="6">
        <f t="shared" si="26"/>
        <v>42.324468085106382</v>
      </c>
      <c r="AJ45" s="5">
        <f t="shared" si="44"/>
        <v>0.52</v>
      </c>
      <c r="AK45" s="1">
        <f t="shared" si="45"/>
        <v>0.48</v>
      </c>
      <c r="AL45" s="1">
        <f t="shared" si="46"/>
        <v>6.6382978723404253</v>
      </c>
      <c r="AM45" s="6">
        <f t="shared" si="47"/>
        <v>42.319148936170215</v>
      </c>
    </row>
    <row r="46" spans="1:39" x14ac:dyDescent="0.15">
      <c r="A46" s="78" t="s">
        <v>383</v>
      </c>
      <c r="B46" s="61">
        <f>(V12_Nom/V48_Nom)</f>
        <v>0.5</v>
      </c>
      <c r="C46" s="42"/>
      <c r="N46">
        <v>0.04</v>
      </c>
      <c r="O46">
        <f t="shared" si="27"/>
        <v>40</v>
      </c>
      <c r="P46" s="5">
        <f t="shared" si="28"/>
        <v>0.83333333333333337</v>
      </c>
      <c r="Q46" s="1">
        <f t="shared" si="29"/>
        <v>0.16666666666666663</v>
      </c>
      <c r="R46" s="1">
        <f t="shared" si="30"/>
        <v>2.2163120567375887</v>
      </c>
      <c r="S46" s="6">
        <f t="shared" si="31"/>
        <v>41.108156028368796</v>
      </c>
      <c r="T46" s="5">
        <f t="shared" si="32"/>
        <v>0.5</v>
      </c>
      <c r="U46" s="1">
        <f t="shared" si="33"/>
        <v>0.5</v>
      </c>
      <c r="V46" s="1">
        <f t="shared" si="34"/>
        <v>6.6489361702127656</v>
      </c>
      <c r="W46" s="6">
        <f t="shared" si="35"/>
        <v>43.324468085106382</v>
      </c>
      <c r="X46" s="5">
        <f t="shared" si="36"/>
        <v>0.41666666666666669</v>
      </c>
      <c r="Y46" s="1">
        <f t="shared" si="37"/>
        <v>0.58333333333333326</v>
      </c>
      <c r="Z46" s="1">
        <f t="shared" si="38"/>
        <v>7.7570921985815611</v>
      </c>
      <c r="AA46" s="6">
        <f t="shared" si="39"/>
        <v>43.87854609929078</v>
      </c>
      <c r="AB46" s="5">
        <f t="shared" si="40"/>
        <v>0.37</v>
      </c>
      <c r="AC46" s="1">
        <f t="shared" si="41"/>
        <v>0.63</v>
      </c>
      <c r="AD46" s="1">
        <f t="shared" si="42"/>
        <v>6.1994680851063828</v>
      </c>
      <c r="AE46" s="6">
        <f t="shared" si="43"/>
        <v>43.099734042553195</v>
      </c>
      <c r="AF46" s="5">
        <f t="shared" si="17"/>
        <v>0.5</v>
      </c>
      <c r="AG46" s="1">
        <f t="shared" si="18"/>
        <v>0.5</v>
      </c>
      <c r="AH46" s="1">
        <f t="shared" si="25"/>
        <v>6.6489361702127656</v>
      </c>
      <c r="AI46" s="6">
        <f t="shared" si="26"/>
        <v>43.324468085106382</v>
      </c>
      <c r="AJ46" s="5">
        <f t="shared" si="44"/>
        <v>0.52</v>
      </c>
      <c r="AK46" s="1">
        <f t="shared" si="45"/>
        <v>0.48</v>
      </c>
      <c r="AL46" s="1">
        <f t="shared" si="46"/>
        <v>6.6382978723404253</v>
      </c>
      <c r="AM46" s="6">
        <f t="shared" si="47"/>
        <v>43.319148936170215</v>
      </c>
    </row>
    <row r="47" spans="1:39" x14ac:dyDescent="0.15">
      <c r="A47" s="78" t="s">
        <v>84</v>
      </c>
      <c r="B47" s="56">
        <f>((V48_Max-V12_Nom)/(2*Lm*Fsw))*((V12_Nom*Rcs)/V48_Max)*1000</f>
        <v>3.878546099290781</v>
      </c>
      <c r="C47" s="42" t="s">
        <v>72</v>
      </c>
      <c r="N47">
        <v>4.1000000000000002E-2</v>
      </c>
      <c r="O47">
        <f t="shared" si="27"/>
        <v>41</v>
      </c>
      <c r="P47" s="5">
        <f t="shared" si="28"/>
        <v>0.83333333333333337</v>
      </c>
      <c r="Q47" s="1">
        <f t="shared" si="29"/>
        <v>0.16666666666666663</v>
      </c>
      <c r="R47" s="1">
        <f t="shared" si="30"/>
        <v>2.2163120567375887</v>
      </c>
      <c r="S47" s="6">
        <f t="shared" si="31"/>
        <v>42.108156028368796</v>
      </c>
      <c r="T47" s="5">
        <f t="shared" si="32"/>
        <v>0.5</v>
      </c>
      <c r="U47" s="1">
        <f t="shared" si="33"/>
        <v>0.5</v>
      </c>
      <c r="V47" s="1">
        <f t="shared" si="34"/>
        <v>6.6489361702127656</v>
      </c>
      <c r="W47" s="6">
        <f t="shared" si="35"/>
        <v>44.324468085106382</v>
      </c>
      <c r="X47" s="5">
        <f t="shared" si="36"/>
        <v>0.41666666666666669</v>
      </c>
      <c r="Y47" s="1">
        <f t="shared" si="37"/>
        <v>0.58333333333333326</v>
      </c>
      <c r="Z47" s="1">
        <f t="shared" si="38"/>
        <v>7.7570921985815611</v>
      </c>
      <c r="AA47" s="6">
        <f t="shared" si="39"/>
        <v>44.87854609929078</v>
      </c>
      <c r="AB47" s="5">
        <f t="shared" si="40"/>
        <v>0.37</v>
      </c>
      <c r="AC47" s="1">
        <f t="shared" si="41"/>
        <v>0.63</v>
      </c>
      <c r="AD47" s="1">
        <f t="shared" si="42"/>
        <v>6.1994680851063828</v>
      </c>
      <c r="AE47" s="6">
        <f t="shared" si="43"/>
        <v>44.099734042553195</v>
      </c>
      <c r="AF47" s="5">
        <f t="shared" si="17"/>
        <v>0.5</v>
      </c>
      <c r="AG47" s="1">
        <f t="shared" si="18"/>
        <v>0.5</v>
      </c>
      <c r="AH47" s="1">
        <f t="shared" si="25"/>
        <v>6.6489361702127656</v>
      </c>
      <c r="AI47" s="6">
        <f t="shared" si="26"/>
        <v>44.324468085106382</v>
      </c>
      <c r="AJ47" s="5">
        <f t="shared" si="44"/>
        <v>0.52</v>
      </c>
      <c r="AK47" s="1">
        <f t="shared" si="45"/>
        <v>0.48</v>
      </c>
      <c r="AL47" s="1">
        <f t="shared" si="46"/>
        <v>6.6382978723404253</v>
      </c>
      <c r="AM47" s="6">
        <f t="shared" si="47"/>
        <v>44.319148936170215</v>
      </c>
    </row>
    <row r="48" spans="1:39" x14ac:dyDescent="0.15">
      <c r="A48" s="78" t="s">
        <v>85</v>
      </c>
      <c r="B48" s="57">
        <f>(B47/1000)/Rcs</f>
        <v>3.878546099290781</v>
      </c>
      <c r="C48" s="42" t="s">
        <v>4</v>
      </c>
      <c r="N48">
        <v>4.2000000000000003E-2</v>
      </c>
      <c r="O48">
        <f t="shared" si="27"/>
        <v>42</v>
      </c>
      <c r="P48" s="5">
        <f t="shared" si="28"/>
        <v>0.83333333333333337</v>
      </c>
      <c r="Q48" s="1">
        <f t="shared" si="29"/>
        <v>0.16666666666666663</v>
      </c>
      <c r="R48" s="1">
        <f t="shared" si="30"/>
        <v>2.2163120567375887</v>
      </c>
      <c r="S48" s="6">
        <f t="shared" si="31"/>
        <v>43.108156028368796</v>
      </c>
      <c r="T48" s="5">
        <f t="shared" si="32"/>
        <v>0.5</v>
      </c>
      <c r="U48" s="1">
        <f t="shared" si="33"/>
        <v>0.5</v>
      </c>
      <c r="V48" s="1">
        <f t="shared" si="34"/>
        <v>6.6489361702127656</v>
      </c>
      <c r="W48" s="6">
        <f t="shared" si="35"/>
        <v>45.324468085106382</v>
      </c>
      <c r="X48" s="5">
        <f t="shared" si="36"/>
        <v>0.41666666666666669</v>
      </c>
      <c r="Y48" s="1">
        <f t="shared" si="37"/>
        <v>0.58333333333333326</v>
      </c>
      <c r="Z48" s="1">
        <f t="shared" si="38"/>
        <v>7.7570921985815611</v>
      </c>
      <c r="AA48" s="6">
        <f t="shared" si="39"/>
        <v>45.87854609929078</v>
      </c>
      <c r="AB48" s="5">
        <f t="shared" si="40"/>
        <v>0.37</v>
      </c>
      <c r="AC48" s="1">
        <f t="shared" si="41"/>
        <v>0.63</v>
      </c>
      <c r="AD48" s="1">
        <f t="shared" si="42"/>
        <v>6.1994680851063828</v>
      </c>
      <c r="AE48" s="6">
        <f t="shared" si="43"/>
        <v>45.099734042553195</v>
      </c>
      <c r="AF48" s="5">
        <f t="shared" si="17"/>
        <v>0.5</v>
      </c>
      <c r="AG48" s="1">
        <f t="shared" si="18"/>
        <v>0.5</v>
      </c>
      <c r="AH48" s="1">
        <f t="shared" si="25"/>
        <v>6.6489361702127656</v>
      </c>
      <c r="AI48" s="6">
        <f t="shared" si="26"/>
        <v>45.324468085106382</v>
      </c>
      <c r="AJ48" s="5">
        <f t="shared" si="44"/>
        <v>0.52</v>
      </c>
      <c r="AK48" s="1">
        <f t="shared" si="45"/>
        <v>0.48</v>
      </c>
      <c r="AL48" s="1">
        <f t="shared" si="46"/>
        <v>6.6382978723404253</v>
      </c>
      <c r="AM48" s="6">
        <f t="shared" si="47"/>
        <v>45.319148936170215</v>
      </c>
    </row>
    <row r="49" spans="1:42" ht="14.25" thickBot="1" x14ac:dyDescent="0.2">
      <c r="A49" s="79" t="s">
        <v>383</v>
      </c>
      <c r="B49" s="57">
        <f>(V12_Nom/V48_Max)</f>
        <v>0.41666666666666669</v>
      </c>
      <c r="C49" s="80"/>
      <c r="N49">
        <v>4.2999999999999997E-2</v>
      </c>
      <c r="O49">
        <f t="shared" si="27"/>
        <v>42.999999999999993</v>
      </c>
      <c r="P49" s="5">
        <f t="shared" si="28"/>
        <v>0.83333333333333337</v>
      </c>
      <c r="Q49" s="1">
        <f t="shared" si="29"/>
        <v>0.16666666666666663</v>
      </c>
      <c r="R49" s="1">
        <f t="shared" si="30"/>
        <v>2.2163120567375887</v>
      </c>
      <c r="S49" s="6">
        <f t="shared" si="31"/>
        <v>44.108156028368789</v>
      </c>
      <c r="T49" s="5">
        <f t="shared" si="32"/>
        <v>0.5</v>
      </c>
      <c r="U49" s="1">
        <f t="shared" si="33"/>
        <v>0.5</v>
      </c>
      <c r="V49" s="1">
        <f t="shared" si="34"/>
        <v>6.6489361702127656</v>
      </c>
      <c r="W49" s="6">
        <f t="shared" si="35"/>
        <v>46.324468085106375</v>
      </c>
      <c r="X49" s="5">
        <f t="shared" si="36"/>
        <v>0.41666666666666669</v>
      </c>
      <c r="Y49" s="1">
        <f t="shared" si="37"/>
        <v>0.58333333333333326</v>
      </c>
      <c r="Z49" s="1">
        <f t="shared" si="38"/>
        <v>7.7570921985815611</v>
      </c>
      <c r="AA49" s="6">
        <f t="shared" si="39"/>
        <v>46.878546099290773</v>
      </c>
      <c r="AB49" s="5">
        <f t="shared" si="40"/>
        <v>0.37</v>
      </c>
      <c r="AC49" s="1">
        <f t="shared" si="41"/>
        <v>0.63</v>
      </c>
      <c r="AD49" s="1">
        <f t="shared" si="42"/>
        <v>6.1994680851063828</v>
      </c>
      <c r="AE49" s="6">
        <f t="shared" si="43"/>
        <v>46.099734042553187</v>
      </c>
      <c r="AF49" s="5">
        <f t="shared" si="17"/>
        <v>0.5</v>
      </c>
      <c r="AG49" s="1">
        <f t="shared" si="18"/>
        <v>0.5</v>
      </c>
      <c r="AH49" s="1">
        <f t="shared" si="25"/>
        <v>6.6489361702127656</v>
      </c>
      <c r="AI49" s="6">
        <f t="shared" si="26"/>
        <v>46.324468085106375</v>
      </c>
      <c r="AJ49" s="5">
        <f t="shared" si="44"/>
        <v>0.52</v>
      </c>
      <c r="AK49" s="1">
        <f t="shared" si="45"/>
        <v>0.48</v>
      </c>
      <c r="AL49" s="1">
        <f t="shared" si="46"/>
        <v>6.6382978723404253</v>
      </c>
      <c r="AM49" s="6">
        <f t="shared" si="47"/>
        <v>46.319148936170208</v>
      </c>
    </row>
    <row r="50" spans="1:42" x14ac:dyDescent="0.15">
      <c r="A50" s="75" t="s">
        <v>382</v>
      </c>
      <c r="B50" s="76">
        <f>((V48_Nom-V12_Min)/(2*Lm*Fsw))*((V12_Min*Rcs)/V48_Nom)*1000</f>
        <v>3.0997340425531914</v>
      </c>
      <c r="C50" s="77" t="s">
        <v>72</v>
      </c>
      <c r="N50">
        <v>4.3999999999999997E-2</v>
      </c>
      <c r="O50">
        <f t="shared" si="27"/>
        <v>44</v>
      </c>
      <c r="P50" s="5">
        <f t="shared" si="28"/>
        <v>0.83333333333333337</v>
      </c>
      <c r="Q50" s="1">
        <f t="shared" si="29"/>
        <v>0.16666666666666663</v>
      </c>
      <c r="R50" s="1">
        <f t="shared" si="30"/>
        <v>2.2163120567375887</v>
      </c>
      <c r="S50" s="6">
        <f t="shared" si="31"/>
        <v>45.108156028368796</v>
      </c>
      <c r="T50" s="5">
        <f t="shared" si="32"/>
        <v>0.5</v>
      </c>
      <c r="U50" s="1">
        <f t="shared" si="33"/>
        <v>0.5</v>
      </c>
      <c r="V50" s="1">
        <f t="shared" si="34"/>
        <v>6.6489361702127656</v>
      </c>
      <c r="W50" s="6">
        <f t="shared" si="35"/>
        <v>47.324468085106382</v>
      </c>
      <c r="X50" s="5">
        <f t="shared" si="36"/>
        <v>0.41666666666666669</v>
      </c>
      <c r="Y50" s="1">
        <f t="shared" si="37"/>
        <v>0.58333333333333326</v>
      </c>
      <c r="Z50" s="1">
        <f t="shared" si="38"/>
        <v>7.7570921985815611</v>
      </c>
      <c r="AA50" s="6">
        <f t="shared" si="39"/>
        <v>47.87854609929078</v>
      </c>
      <c r="AB50" s="5">
        <f t="shared" si="40"/>
        <v>0.37</v>
      </c>
      <c r="AC50" s="1">
        <f t="shared" si="41"/>
        <v>0.63</v>
      </c>
      <c r="AD50" s="1">
        <f t="shared" si="42"/>
        <v>6.1994680851063828</v>
      </c>
      <c r="AE50" s="6">
        <f t="shared" si="43"/>
        <v>47.099734042553195</v>
      </c>
      <c r="AF50" s="5">
        <f t="shared" si="17"/>
        <v>0.5</v>
      </c>
      <c r="AG50" s="1">
        <f t="shared" si="18"/>
        <v>0.5</v>
      </c>
      <c r="AH50" s="1">
        <f t="shared" si="25"/>
        <v>6.6489361702127656</v>
      </c>
      <c r="AI50" s="6">
        <f t="shared" si="26"/>
        <v>47.324468085106382</v>
      </c>
      <c r="AJ50" s="5">
        <f t="shared" si="44"/>
        <v>0.52</v>
      </c>
      <c r="AK50" s="1">
        <f t="shared" si="45"/>
        <v>0.48</v>
      </c>
      <c r="AL50" s="1">
        <f t="shared" si="46"/>
        <v>6.6382978723404253</v>
      </c>
      <c r="AM50" s="6">
        <f t="shared" si="47"/>
        <v>47.319148936170215</v>
      </c>
    </row>
    <row r="51" spans="1:42" x14ac:dyDescent="0.15">
      <c r="A51" s="78" t="s">
        <v>381</v>
      </c>
      <c r="B51" s="57">
        <f>(B50/1000)/Rcs</f>
        <v>3.0997340425531914</v>
      </c>
      <c r="C51" s="42" t="s">
        <v>4</v>
      </c>
      <c r="N51">
        <v>4.4999999999999998E-2</v>
      </c>
      <c r="O51">
        <f t="shared" si="27"/>
        <v>45</v>
      </c>
      <c r="P51" s="5">
        <f t="shared" si="28"/>
        <v>0.83333333333333337</v>
      </c>
      <c r="Q51" s="1">
        <f t="shared" si="29"/>
        <v>0.16666666666666663</v>
      </c>
      <c r="R51" s="1">
        <f t="shared" si="30"/>
        <v>2.2163120567375887</v>
      </c>
      <c r="S51" s="6">
        <f t="shared" si="31"/>
        <v>46.108156028368796</v>
      </c>
      <c r="T51" s="5">
        <f t="shared" si="32"/>
        <v>0.5</v>
      </c>
      <c r="U51" s="1">
        <f t="shared" si="33"/>
        <v>0.5</v>
      </c>
      <c r="V51" s="1">
        <f t="shared" si="34"/>
        <v>6.6489361702127656</v>
      </c>
      <c r="W51" s="6">
        <f t="shared" si="35"/>
        <v>48.324468085106382</v>
      </c>
      <c r="X51" s="5">
        <f t="shared" si="36"/>
        <v>0.41666666666666669</v>
      </c>
      <c r="Y51" s="1">
        <f t="shared" si="37"/>
        <v>0.58333333333333326</v>
      </c>
      <c r="Z51" s="1">
        <f t="shared" si="38"/>
        <v>7.7570921985815611</v>
      </c>
      <c r="AA51" s="6">
        <f t="shared" si="39"/>
        <v>48.87854609929078</v>
      </c>
      <c r="AB51" s="5">
        <f t="shared" si="40"/>
        <v>0.37</v>
      </c>
      <c r="AC51" s="1">
        <f t="shared" si="41"/>
        <v>0.63</v>
      </c>
      <c r="AD51" s="1">
        <f t="shared" si="42"/>
        <v>6.1994680851063828</v>
      </c>
      <c r="AE51" s="6">
        <f t="shared" si="43"/>
        <v>48.099734042553195</v>
      </c>
      <c r="AF51" s="5">
        <f t="shared" si="17"/>
        <v>0.5</v>
      </c>
      <c r="AG51" s="1">
        <f t="shared" si="18"/>
        <v>0.5</v>
      </c>
      <c r="AH51" s="1">
        <f t="shared" si="25"/>
        <v>6.6489361702127656</v>
      </c>
      <c r="AI51" s="6">
        <f t="shared" si="26"/>
        <v>48.324468085106382</v>
      </c>
      <c r="AJ51" s="5">
        <f t="shared" si="44"/>
        <v>0.52</v>
      </c>
      <c r="AK51" s="1">
        <f t="shared" si="45"/>
        <v>0.48</v>
      </c>
      <c r="AL51" s="1">
        <f t="shared" si="46"/>
        <v>6.6382978723404253</v>
      </c>
      <c r="AM51" s="6">
        <f t="shared" si="47"/>
        <v>48.319148936170215</v>
      </c>
    </row>
    <row r="52" spans="1:42" x14ac:dyDescent="0.15">
      <c r="A52" s="78" t="s">
        <v>383</v>
      </c>
      <c r="B52" s="50">
        <f>1-(V12_Min/V48_Nom)</f>
        <v>0.63</v>
      </c>
      <c r="C52" s="42"/>
      <c r="N52">
        <v>4.5999999999999999E-2</v>
      </c>
      <c r="O52">
        <f t="shared" si="27"/>
        <v>46</v>
      </c>
      <c r="P52" s="5">
        <f t="shared" si="28"/>
        <v>0.83333333333333337</v>
      </c>
      <c r="Q52" s="1">
        <f t="shared" si="29"/>
        <v>0.16666666666666663</v>
      </c>
      <c r="R52" s="1">
        <f t="shared" si="30"/>
        <v>2.2163120567375887</v>
      </c>
      <c r="S52" s="6">
        <f t="shared" si="31"/>
        <v>47.108156028368796</v>
      </c>
      <c r="T52" s="5">
        <f t="shared" si="32"/>
        <v>0.5</v>
      </c>
      <c r="U52" s="1">
        <f t="shared" si="33"/>
        <v>0.5</v>
      </c>
      <c r="V52" s="1">
        <f t="shared" si="34"/>
        <v>6.6489361702127656</v>
      </c>
      <c r="W52" s="6">
        <f t="shared" si="35"/>
        <v>49.324468085106382</v>
      </c>
      <c r="X52" s="5">
        <f t="shared" si="36"/>
        <v>0.41666666666666669</v>
      </c>
      <c r="Y52" s="1">
        <f t="shared" si="37"/>
        <v>0.58333333333333326</v>
      </c>
      <c r="Z52" s="1">
        <f t="shared" si="38"/>
        <v>7.7570921985815611</v>
      </c>
      <c r="AA52" s="6">
        <f t="shared" si="39"/>
        <v>49.87854609929078</v>
      </c>
      <c r="AB52" s="5">
        <f t="shared" si="40"/>
        <v>0.37</v>
      </c>
      <c r="AC52" s="1">
        <f t="shared" si="41"/>
        <v>0.63</v>
      </c>
      <c r="AD52" s="1">
        <f t="shared" si="42"/>
        <v>6.1994680851063828</v>
      </c>
      <c r="AE52" s="6">
        <f t="shared" si="43"/>
        <v>49.099734042553195</v>
      </c>
      <c r="AF52" s="5">
        <f t="shared" si="17"/>
        <v>0.5</v>
      </c>
      <c r="AG52" s="1">
        <f t="shared" si="18"/>
        <v>0.5</v>
      </c>
      <c r="AH52" s="1">
        <f t="shared" si="25"/>
        <v>6.6489361702127656</v>
      </c>
      <c r="AI52" s="6">
        <f t="shared" si="26"/>
        <v>49.324468085106382</v>
      </c>
      <c r="AJ52" s="5">
        <f t="shared" si="44"/>
        <v>0.52</v>
      </c>
      <c r="AK52" s="1">
        <f t="shared" si="45"/>
        <v>0.48</v>
      </c>
      <c r="AL52" s="1">
        <f t="shared" si="46"/>
        <v>6.6382978723404253</v>
      </c>
      <c r="AM52" s="6">
        <f t="shared" si="47"/>
        <v>49.319148936170215</v>
      </c>
    </row>
    <row r="53" spans="1:42" x14ac:dyDescent="0.15">
      <c r="A53" s="78" t="s">
        <v>74</v>
      </c>
      <c r="B53" s="56">
        <f>((V48_Nom-V12_Nom)/(2*Lm*Fsw))*((V12_Nom*Rcs)/V48_Nom)*1000</f>
        <v>3.3244680851063833</v>
      </c>
      <c r="C53" s="42" t="s">
        <v>72</v>
      </c>
      <c r="N53">
        <v>4.7E-2</v>
      </c>
      <c r="O53">
        <f t="shared" si="27"/>
        <v>47</v>
      </c>
      <c r="P53" s="5">
        <f t="shared" si="28"/>
        <v>0.83333333333333337</v>
      </c>
      <c r="Q53" s="1">
        <f t="shared" si="29"/>
        <v>0.16666666666666663</v>
      </c>
      <c r="R53" s="1">
        <f t="shared" si="30"/>
        <v>2.2163120567375887</v>
      </c>
      <c r="S53" s="6">
        <f t="shared" si="31"/>
        <v>48.108156028368796</v>
      </c>
      <c r="T53" s="5">
        <f t="shared" si="32"/>
        <v>0.5</v>
      </c>
      <c r="U53" s="1">
        <f t="shared" si="33"/>
        <v>0.5</v>
      </c>
      <c r="V53" s="1">
        <f t="shared" si="34"/>
        <v>6.6489361702127656</v>
      </c>
      <c r="W53" s="6">
        <f t="shared" si="35"/>
        <v>50.324468085106382</v>
      </c>
      <c r="X53" s="5">
        <f t="shared" si="36"/>
        <v>0.41666666666666669</v>
      </c>
      <c r="Y53" s="1">
        <f t="shared" si="37"/>
        <v>0.58333333333333326</v>
      </c>
      <c r="Z53" s="1">
        <f t="shared" si="38"/>
        <v>7.7570921985815611</v>
      </c>
      <c r="AA53" s="6">
        <f t="shared" si="39"/>
        <v>50.87854609929078</v>
      </c>
      <c r="AB53" s="5">
        <f t="shared" si="40"/>
        <v>0.37</v>
      </c>
      <c r="AC53" s="1">
        <f t="shared" si="41"/>
        <v>0.63</v>
      </c>
      <c r="AD53" s="1">
        <f t="shared" si="42"/>
        <v>6.1994680851063828</v>
      </c>
      <c r="AE53" s="6">
        <f t="shared" si="43"/>
        <v>50.099734042553195</v>
      </c>
      <c r="AF53" s="5">
        <f t="shared" si="17"/>
        <v>0.5</v>
      </c>
      <c r="AG53" s="1">
        <f t="shared" si="18"/>
        <v>0.5</v>
      </c>
      <c r="AH53" s="1">
        <f t="shared" si="25"/>
        <v>6.6489361702127656</v>
      </c>
      <c r="AI53" s="6">
        <f t="shared" si="26"/>
        <v>50.324468085106382</v>
      </c>
      <c r="AJ53" s="5">
        <f t="shared" si="44"/>
        <v>0.52</v>
      </c>
      <c r="AK53" s="1">
        <f t="shared" si="45"/>
        <v>0.48</v>
      </c>
      <c r="AL53" s="1">
        <f t="shared" si="46"/>
        <v>6.6382978723404253</v>
      </c>
      <c r="AM53" s="6">
        <f t="shared" si="47"/>
        <v>50.319148936170215</v>
      </c>
    </row>
    <row r="54" spans="1:42" x14ac:dyDescent="0.15">
      <c r="A54" s="78" t="s">
        <v>81</v>
      </c>
      <c r="B54" s="57">
        <f>(B53/1000)/Rcs</f>
        <v>3.3244680851063833</v>
      </c>
      <c r="C54" s="42" t="s">
        <v>4</v>
      </c>
      <c r="N54">
        <v>4.8000000000000001E-2</v>
      </c>
      <c r="O54">
        <f t="shared" si="27"/>
        <v>48</v>
      </c>
      <c r="P54" s="5">
        <f t="shared" si="28"/>
        <v>0.83333333333333337</v>
      </c>
      <c r="Q54" s="1">
        <f t="shared" si="29"/>
        <v>0.16666666666666663</v>
      </c>
      <c r="R54" s="1">
        <f t="shared" si="30"/>
        <v>2.2163120567375887</v>
      </c>
      <c r="S54" s="6">
        <f t="shared" si="31"/>
        <v>49.108156028368796</v>
      </c>
      <c r="T54" s="5">
        <f t="shared" si="32"/>
        <v>0.5</v>
      </c>
      <c r="U54" s="1">
        <f t="shared" si="33"/>
        <v>0.5</v>
      </c>
      <c r="V54" s="1">
        <f t="shared" si="34"/>
        <v>6.6489361702127656</v>
      </c>
      <c r="W54" s="6">
        <f t="shared" si="35"/>
        <v>51.324468085106382</v>
      </c>
      <c r="X54" s="5">
        <f t="shared" si="36"/>
        <v>0.41666666666666669</v>
      </c>
      <c r="Y54" s="1">
        <f t="shared" si="37"/>
        <v>0.58333333333333326</v>
      </c>
      <c r="Z54" s="1">
        <f t="shared" si="38"/>
        <v>7.7570921985815611</v>
      </c>
      <c r="AA54" s="6">
        <f t="shared" si="39"/>
        <v>51.87854609929078</v>
      </c>
      <c r="AB54" s="5">
        <f t="shared" si="40"/>
        <v>0.37</v>
      </c>
      <c r="AC54" s="1">
        <f t="shared" si="41"/>
        <v>0.63</v>
      </c>
      <c r="AD54" s="1">
        <f t="shared" si="42"/>
        <v>6.1994680851063828</v>
      </c>
      <c r="AE54" s="6">
        <f t="shared" si="43"/>
        <v>51.099734042553195</v>
      </c>
      <c r="AF54" s="5">
        <f t="shared" si="17"/>
        <v>0.5</v>
      </c>
      <c r="AG54" s="1">
        <f t="shared" si="18"/>
        <v>0.5</v>
      </c>
      <c r="AH54" s="1">
        <f t="shared" si="25"/>
        <v>6.6489361702127656</v>
      </c>
      <c r="AI54" s="6">
        <f t="shared" si="26"/>
        <v>51.324468085106382</v>
      </c>
      <c r="AJ54" s="5">
        <f t="shared" si="44"/>
        <v>0.52</v>
      </c>
      <c r="AK54" s="1">
        <f t="shared" si="45"/>
        <v>0.48</v>
      </c>
      <c r="AL54" s="1">
        <f t="shared" si="46"/>
        <v>6.6382978723404253</v>
      </c>
      <c r="AM54" s="6">
        <f t="shared" si="47"/>
        <v>51.319148936170215</v>
      </c>
    </row>
    <row r="55" spans="1:42" x14ac:dyDescent="0.15">
      <c r="A55" s="78" t="s">
        <v>383</v>
      </c>
      <c r="B55" s="57">
        <f>1-(V12_Nom/V48_Nom)</f>
        <v>0.5</v>
      </c>
      <c r="C55" s="42"/>
      <c r="N55">
        <v>4.9000000000000002E-2</v>
      </c>
      <c r="O55">
        <f t="shared" si="27"/>
        <v>49</v>
      </c>
      <c r="P55" s="5">
        <f t="shared" si="28"/>
        <v>0.83333333333333337</v>
      </c>
      <c r="Q55" s="1">
        <f t="shared" si="29"/>
        <v>0.16666666666666663</v>
      </c>
      <c r="R55" s="1">
        <f t="shared" si="30"/>
        <v>2.2163120567375887</v>
      </c>
      <c r="S55" s="6">
        <f t="shared" si="31"/>
        <v>50.108156028368796</v>
      </c>
      <c r="T55" s="5">
        <f t="shared" si="32"/>
        <v>0.5</v>
      </c>
      <c r="U55" s="1">
        <f t="shared" si="33"/>
        <v>0.5</v>
      </c>
      <c r="V55" s="1">
        <f t="shared" si="34"/>
        <v>6.6489361702127656</v>
      </c>
      <c r="W55" s="6">
        <f t="shared" si="35"/>
        <v>52.324468085106382</v>
      </c>
      <c r="X55" s="5">
        <f t="shared" si="36"/>
        <v>0.41666666666666669</v>
      </c>
      <c r="Y55" s="1">
        <f t="shared" si="37"/>
        <v>0.58333333333333326</v>
      </c>
      <c r="Z55" s="1">
        <f t="shared" si="38"/>
        <v>7.7570921985815611</v>
      </c>
      <c r="AA55" s="6">
        <f t="shared" si="39"/>
        <v>52.87854609929078</v>
      </c>
      <c r="AB55" s="5">
        <f t="shared" si="40"/>
        <v>0.37</v>
      </c>
      <c r="AC55" s="1">
        <f t="shared" si="41"/>
        <v>0.63</v>
      </c>
      <c r="AD55" s="1">
        <f t="shared" si="42"/>
        <v>6.1994680851063828</v>
      </c>
      <c r="AE55" s="6">
        <f t="shared" si="43"/>
        <v>52.099734042553195</v>
      </c>
      <c r="AF55" s="5">
        <f t="shared" si="17"/>
        <v>0.5</v>
      </c>
      <c r="AG55" s="1">
        <f t="shared" si="18"/>
        <v>0.5</v>
      </c>
      <c r="AH55" s="1">
        <f t="shared" si="25"/>
        <v>6.6489361702127656</v>
      </c>
      <c r="AI55" s="6">
        <f t="shared" si="26"/>
        <v>52.324468085106382</v>
      </c>
      <c r="AJ55" s="5">
        <f t="shared" si="44"/>
        <v>0.52</v>
      </c>
      <c r="AK55" s="1">
        <f t="shared" si="45"/>
        <v>0.48</v>
      </c>
      <c r="AL55" s="1">
        <f t="shared" si="46"/>
        <v>6.6382978723404253</v>
      </c>
      <c r="AM55" s="6">
        <f t="shared" si="47"/>
        <v>52.319148936170215</v>
      </c>
    </row>
    <row r="56" spans="1:42" x14ac:dyDescent="0.15">
      <c r="A56" s="78" t="s">
        <v>380</v>
      </c>
      <c r="B56" s="56">
        <f>((V48_Nom-V12_Max)/(2*Lm*Fsw))*((V12_Max*Rcs)/V48_Nom)*1000</f>
        <v>3.3191489361702136</v>
      </c>
      <c r="C56" s="42" t="s">
        <v>72</v>
      </c>
      <c r="N56">
        <v>0.05</v>
      </c>
      <c r="O56">
        <f t="shared" si="27"/>
        <v>50</v>
      </c>
      <c r="P56" s="5">
        <f t="shared" si="28"/>
        <v>0.83333333333333337</v>
      </c>
      <c r="Q56" s="1">
        <f t="shared" si="29"/>
        <v>0.16666666666666663</v>
      </c>
      <c r="R56" s="1">
        <f t="shared" si="30"/>
        <v>2.2163120567375887</v>
      </c>
      <c r="S56" s="6">
        <f t="shared" si="31"/>
        <v>51.108156028368796</v>
      </c>
      <c r="T56" s="5">
        <f t="shared" si="32"/>
        <v>0.5</v>
      </c>
      <c r="U56" s="1">
        <f t="shared" si="33"/>
        <v>0.5</v>
      </c>
      <c r="V56" s="1">
        <f t="shared" si="34"/>
        <v>6.6489361702127656</v>
      </c>
      <c r="W56" s="6">
        <f t="shared" si="35"/>
        <v>53.324468085106382</v>
      </c>
      <c r="X56" s="5">
        <f t="shared" si="36"/>
        <v>0.41666666666666669</v>
      </c>
      <c r="Y56" s="1">
        <f t="shared" si="37"/>
        <v>0.58333333333333326</v>
      </c>
      <c r="Z56" s="1">
        <f t="shared" si="38"/>
        <v>7.7570921985815611</v>
      </c>
      <c r="AA56" s="6">
        <f t="shared" si="39"/>
        <v>53.87854609929078</v>
      </c>
      <c r="AB56" s="5">
        <f t="shared" si="40"/>
        <v>0.37</v>
      </c>
      <c r="AC56" s="1">
        <f t="shared" si="41"/>
        <v>0.63</v>
      </c>
      <c r="AD56" s="1">
        <f t="shared" si="42"/>
        <v>6.1994680851063828</v>
      </c>
      <c r="AE56" s="6">
        <f t="shared" si="43"/>
        <v>53.099734042553195</v>
      </c>
      <c r="AF56" s="5">
        <f t="shared" si="17"/>
        <v>0.5</v>
      </c>
      <c r="AG56" s="1">
        <f t="shared" si="18"/>
        <v>0.5</v>
      </c>
      <c r="AH56" s="1">
        <f t="shared" si="25"/>
        <v>6.6489361702127656</v>
      </c>
      <c r="AI56" s="6">
        <f t="shared" si="26"/>
        <v>53.324468085106382</v>
      </c>
      <c r="AJ56" s="5">
        <f t="shared" si="44"/>
        <v>0.52</v>
      </c>
      <c r="AK56" s="1">
        <f t="shared" si="45"/>
        <v>0.48</v>
      </c>
      <c r="AL56" s="1">
        <f t="shared" si="46"/>
        <v>6.6382978723404253</v>
      </c>
      <c r="AM56" s="6">
        <f t="shared" si="47"/>
        <v>53.319148936170215</v>
      </c>
    </row>
    <row r="57" spans="1:42" x14ac:dyDescent="0.15">
      <c r="A57" s="78" t="s">
        <v>379</v>
      </c>
      <c r="B57" s="57">
        <f>(B56/1000)/Rcs</f>
        <v>3.3191489361702136</v>
      </c>
      <c r="C57" s="42" t="s">
        <v>4</v>
      </c>
    </row>
    <row r="58" spans="1:42" ht="14.25" thickBot="1" x14ac:dyDescent="0.2">
      <c r="A58" s="79" t="s">
        <v>383</v>
      </c>
      <c r="B58" s="50">
        <f>1-(V12_Max/V48_Nom)</f>
        <v>0.48</v>
      </c>
      <c r="C58" s="80"/>
      <c r="N58" s="40"/>
      <c r="O58" s="40"/>
      <c r="P58" s="40" t="s">
        <v>79</v>
      </c>
      <c r="Q58" s="40"/>
      <c r="R58" s="40"/>
      <c r="S58" s="40"/>
      <c r="T58" s="40"/>
      <c r="U58" s="40"/>
      <c r="V58" s="40"/>
      <c r="W58" s="40"/>
      <c r="X58" s="40"/>
      <c r="Y58" s="40"/>
      <c r="Z58" s="40"/>
      <c r="AA58" s="40"/>
      <c r="AD58" s="202" t="s">
        <v>79</v>
      </c>
      <c r="AE58" s="202"/>
      <c r="AF58" s="202"/>
      <c r="AG58" s="202"/>
      <c r="AH58" s="202"/>
      <c r="AI58" s="202"/>
      <c r="AJ58" s="202"/>
      <c r="AK58" s="202"/>
      <c r="AL58" s="202"/>
      <c r="AM58" s="202"/>
      <c r="AN58" s="202"/>
      <c r="AO58" s="202"/>
    </row>
    <row r="59" spans="1:42" ht="14.25" thickBot="1" x14ac:dyDescent="0.2">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27.75" thickBot="1" x14ac:dyDescent="0.2">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x14ac:dyDescent="0.15">
      <c r="N61">
        <v>0</v>
      </c>
      <c r="O61">
        <f>V48_Min</f>
        <v>30</v>
      </c>
      <c r="P61" s="14">
        <f t="shared" ref="P61:P92" si="48">IF(I_Channel&lt;(($O61-V12_Min)*V12_Min)/((2*Lm*Fsw)*$O61),SQRT((2*I_Channel*Lm*Fsw*V12_Min)/($O61*($O61-V12_Min))),(V12_Min/$O61))</f>
        <v>0.6166666666666667</v>
      </c>
      <c r="Q61" s="15">
        <f t="shared" ref="Q61:Q92" si="49">IF(I_Channel&lt;(($O61-V12_Min)*V12_Min)/((2*Lm*Fsw)*$O61),SQRT((2*I_Channel*Lm*Fsw*V12_Min)/($O61*($O61-V12_Min)))*(($O61-V12_Min)/(V12_Min)),1-(V12_Min/$O61))</f>
        <v>0.3833333333333333</v>
      </c>
      <c r="R61" s="15">
        <f t="shared" ref="R61:R92" si="50">IF(I_Channel&lt;(($O61-V12_Min)*V12_Min)/((2*Lm*Fsw)*$O61),(P61/(Fsw*Lm))*($O61-V12_Min),((P61/(Fsw*Lm))*($O61-V12_Min)))</f>
        <v>3.7721631205673765</v>
      </c>
      <c r="S61" s="16">
        <f t="shared" ref="S61:S92" si="51">IF(I_Channel&lt;(($O61-V12_Min)*V12_Min)/((2*Lm*Fsw)*$O61),(P61/(Fsw*Lm))*($O61-V12_Min),(R61/2)+I_Channel)</f>
        <v>51.886081560283685</v>
      </c>
      <c r="T61" s="14">
        <f t="shared" ref="T61:T92" si="52">IF(I_Channel&lt;(($O61-V12_Nom)*V12_Nom)/((2*Lm*Fsw)*$O61),SQRT((2*I_Channel*Lm*Fsw*V12_Nom)/($O61*($O61-V12_Nom))),(V12_Nom/$O61))</f>
        <v>0.83333333333333337</v>
      </c>
      <c r="U61" s="15">
        <f t="shared" ref="U61:U92" si="53">IF(I_Channel&lt;(($O61-V12_Nom)*V12_Nom)/((2*Lm*Fsw)*$O61),SQRT((2*I_Channel*Lm*Fsw*V12_Nom)/($O61*($O61-V12_Nom)))*(($O61-V12_Nom)/(V12_Nom)),1-(V12_Nom/$O61))</f>
        <v>0.16666666666666663</v>
      </c>
      <c r="V61" s="15">
        <f t="shared" ref="V61:V92" si="54">IF(I_Channel&lt;(($O61-V12_Nom)*V12_Nom)/((2*Lm*Fsw)*$O61),(T61/(Fsw*Lm))*($O61-V12_Nom),((T61/(Fsw*Lm))*($O61-V12_Nom)))</f>
        <v>2.2163120567375887</v>
      </c>
      <c r="W61" s="16">
        <f t="shared" ref="W61:W92" si="55">IF(I_Channel&lt;(($O61-V12_Nom)*V12_Nom)/((2*Lm*Fsw)*$O61),(T61/(Fsw*Lm))*($O61-V12_Nom),(V61/2)+I_Channel)</f>
        <v>51.108156028368796</v>
      </c>
      <c r="X61" s="14">
        <f t="shared" ref="X61:X92" si="56">IF(I_Channel&lt;(($O61-V12_Max)*V12_Max)/((2*Lm*Fsw)*$O61),SQRT((2*I_Channel*Lm*Fsw*V12_Max)/($O61*($O61-V12_Max))),(V12_Max/$O61))</f>
        <v>0.8666666666666667</v>
      </c>
      <c r="Y61" s="15">
        <f t="shared" ref="Y61:Y92" si="57">IF(I_Channel&lt;(($O61-V12_Max)*V12_Max)/((2*Lm*Fsw)*$O61),SQRT((2*I_Channel*Lm*Fsw*V12_Max)/($O61*($O61-V12_Max)))*(($O61-V12_Max)/(V12_Max)),1-(V12_Max/$O61))</f>
        <v>0.1333333333333333</v>
      </c>
      <c r="Z61" s="15">
        <f t="shared" ref="Z61:Z92" si="58">IF(I_Channel&lt;(($O61-V12_Max)*V12_Max)/((2*Lm*Fsw)*$O61),(X61/(Fsw*Lm))*($O61-V12_Max),((X61/(Fsw*Lm))*($O61-V12_Max)))</f>
        <v>1.843971631205674</v>
      </c>
      <c r="AA61" s="16">
        <f t="shared" ref="AA61:AA92" si="59">IF(I_Channel&lt;(($O61-V12_Max)*V12_Max)/((2*Lm*Fsw)*$O61),(X61/(Fsw*Lm))*($O61-V12_Max),(Z61/2)+I_Channel)</f>
        <v>50.921985815602838</v>
      </c>
      <c r="AC61">
        <v>0</v>
      </c>
      <c r="AD61">
        <f>V12_Min</f>
        <v>18.5</v>
      </c>
      <c r="AE61" s="14">
        <f t="shared" ref="AE61:AE92" si="60">IF(I_Channel&lt;((V48_Min-$AD61)*$AD61)/((2*Lm*Fsw)*V48_Min),SQRT((2*I_Channel*Lm*Fsw*$AD61)/(V48_Min*(V48_Min-$AD61))),($AD61/V48_Min))</f>
        <v>0.6166666666666667</v>
      </c>
      <c r="AF61" s="15">
        <f t="shared" ref="AF61:AF92" si="61">IF(I_Channel&lt;((V48_Min-$AD61)*$AD61)/((2*Lm*Fsw)*V48_Min),SQRT((2*I_Channel*Lm*Fsw*$AD61)/(V48_Min*(V48_Min-$AD61)))*((V48_Min-$AD61)/($AD61)),1-($AD61/V48_Min))</f>
        <v>0.3833333333333333</v>
      </c>
      <c r="AG61" s="15">
        <f t="shared" ref="AG61:AG92" si="62">IF(I_Channel&lt;((V48_Min-$AD61)*$AD61)/((2*Lm*Fsw)*V48_Min),(AE61/(Fsw*Lm))*(V48_Min-$AD61),((AE61/(Fsw*Lm))*(V48_Min-$AD61)))</f>
        <v>3.7721631205673765</v>
      </c>
      <c r="AH61" s="16">
        <f t="shared" ref="AH61:AH92" si="63">IF(I_Channel&lt;((V48_Min-$AD61)*$AD61)/((2*Lm*Fsw)*V48_Min),(AE61/(Fsw*Lm))*(V48_Min-$AD61),(AG61/2)+I_Channel)</f>
        <v>51.886081560283685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0.30833333333333335</v>
      </c>
      <c r="AN61" s="15">
        <f t="shared" ref="AN61:AN92" si="69">IF(I_Channel&lt;((V48_Max-$AD61)*$AD61)/((2*Lm*Fsw)*V48_Max),SQRT((2*I_Channel*Lm*Fsw*$AD61)/(V48_Max*(V48_Max-$AD61)))*((V48_Max-$AD61)/($AD61)),1-($AD61/V48_Max))</f>
        <v>0.69166666666666665</v>
      </c>
      <c r="AO61" s="15">
        <f t="shared" ref="AO61:AO92" si="70">IF(I_Channel&lt;((V48_Max-$AD61)*$AD61)/((2*Lm*Fsw)*V48_Max),(AM61/(Fsw*Lm))*(V48_Max-$AD61),((AM61/(Fsw*Lm))*(V48_Max-$AD61)))</f>
        <v>6.8062943262411357</v>
      </c>
      <c r="AP61" s="16">
        <f t="shared" ref="AP61:AP92" si="71">IF(I_Channel&lt;((V48_Max-$AD61)*$AD61)/((2*Lm*Fsw)*V48_Max),(AM61/(Fsw*Lm))*(V48_Max-$AD61),(AO61/2)+I_Channel)</f>
        <v>53.403147163120565</v>
      </c>
    </row>
    <row r="62" spans="1:42" x14ac:dyDescent="0.15">
      <c r="N62">
        <v>1</v>
      </c>
      <c r="O62">
        <f t="shared" ref="O62:O93" si="72">((V48_Max-V48_Min)/50)*N62+V48_Min</f>
        <v>30.6</v>
      </c>
      <c r="P62" s="14">
        <f t="shared" si="48"/>
        <v>0.60457516339869277</v>
      </c>
      <c r="Q62" s="15">
        <f t="shared" si="49"/>
        <v>0.39542483660130723</v>
      </c>
      <c r="R62" s="15">
        <f t="shared" si="50"/>
        <v>3.8911486580447789</v>
      </c>
      <c r="S62" s="16">
        <f t="shared" si="51"/>
        <v>51.945574329022392</v>
      </c>
      <c r="T62" s="14">
        <f t="shared" si="52"/>
        <v>0.81699346405228757</v>
      </c>
      <c r="U62" s="15">
        <f t="shared" si="53"/>
        <v>0.18300653594771243</v>
      </c>
      <c r="V62" s="15">
        <f t="shared" si="54"/>
        <v>2.4335975524961766</v>
      </c>
      <c r="W62" s="16">
        <f t="shared" si="55"/>
        <v>51.216798776248091</v>
      </c>
      <c r="X62" s="14">
        <f t="shared" si="56"/>
        <v>0.84967320261437906</v>
      </c>
      <c r="Y62" s="15">
        <f t="shared" si="57"/>
        <v>0.15032679738562094</v>
      </c>
      <c r="Z62" s="15">
        <f t="shared" si="58"/>
        <v>2.0789876234181626</v>
      </c>
      <c r="AA62" s="16">
        <f t="shared" si="59"/>
        <v>51.039493811709079</v>
      </c>
      <c r="AC62">
        <v>1</v>
      </c>
      <c r="AD62">
        <f t="shared" ref="AD62:AD93" si="73">((V12_Max-V12_Min)/50)*AC62+V12_Min</f>
        <v>18.649999999999999</v>
      </c>
      <c r="AE62" s="14">
        <f t="shared" si="60"/>
        <v>0.62166666666666659</v>
      </c>
      <c r="AF62" s="15">
        <f t="shared" si="61"/>
        <v>0.37833333333333341</v>
      </c>
      <c r="AG62" s="15">
        <f t="shared" si="62"/>
        <v>3.7531471631205675</v>
      </c>
      <c r="AH62" s="16">
        <f t="shared" si="63"/>
        <v>51.876573581560287</v>
      </c>
      <c r="AI62" s="14">
        <f t="shared" si="64"/>
        <v>0.373</v>
      </c>
      <c r="AJ62" s="15">
        <f t="shared" si="65"/>
        <v>0.627</v>
      </c>
      <c r="AK62" s="15">
        <f t="shared" si="66"/>
        <v>6.2199734042553203</v>
      </c>
      <c r="AL62" s="16">
        <f t="shared" si="67"/>
        <v>53.109986702127657</v>
      </c>
      <c r="AM62" s="14">
        <f t="shared" si="68"/>
        <v>0.31083333333333329</v>
      </c>
      <c r="AN62" s="15">
        <f t="shared" si="69"/>
        <v>0.68916666666666671</v>
      </c>
      <c r="AO62" s="15">
        <f t="shared" si="70"/>
        <v>6.8366799645390062</v>
      </c>
      <c r="AP62" s="16">
        <f t="shared" si="71"/>
        <v>53.418339982269501</v>
      </c>
    </row>
    <row r="63" spans="1:42" x14ac:dyDescent="0.15">
      <c r="A63" s="196" t="s">
        <v>73</v>
      </c>
      <c r="B63" s="197"/>
      <c r="C63" s="198"/>
      <c r="E63" s="65" t="s">
        <v>152</v>
      </c>
      <c r="N63">
        <v>2</v>
      </c>
      <c r="O63">
        <f t="shared" si="72"/>
        <v>31.2</v>
      </c>
      <c r="P63" s="14">
        <f t="shared" si="48"/>
        <v>0.59294871794871795</v>
      </c>
      <c r="Q63" s="15">
        <f t="shared" si="49"/>
        <v>0.40705128205128205</v>
      </c>
      <c r="R63" s="15">
        <f t="shared" si="50"/>
        <v>4.0055578286961264</v>
      </c>
      <c r="S63" s="16">
        <f t="shared" si="51"/>
        <v>52.002778914348063</v>
      </c>
      <c r="T63" s="14">
        <f t="shared" si="52"/>
        <v>0.80128205128205132</v>
      </c>
      <c r="U63" s="15">
        <f t="shared" si="53"/>
        <v>0.19871794871794868</v>
      </c>
      <c r="V63" s="15">
        <f t="shared" si="54"/>
        <v>2.6425259138025097</v>
      </c>
      <c r="W63" s="16">
        <f t="shared" si="55"/>
        <v>51.321262956901258</v>
      </c>
      <c r="X63" s="14">
        <f t="shared" si="56"/>
        <v>0.83333333333333337</v>
      </c>
      <c r="Y63" s="15">
        <f t="shared" si="57"/>
        <v>0.16666666666666663</v>
      </c>
      <c r="Z63" s="15">
        <f t="shared" si="58"/>
        <v>2.3049645390070919</v>
      </c>
      <c r="AA63" s="16">
        <f t="shared" si="59"/>
        <v>51.152482269503544</v>
      </c>
      <c r="AC63">
        <v>2</v>
      </c>
      <c r="AD63">
        <f t="shared" si="73"/>
        <v>18.8</v>
      </c>
      <c r="AE63" s="14">
        <f t="shared" si="60"/>
        <v>0.62666666666666671</v>
      </c>
      <c r="AF63" s="15">
        <f t="shared" si="61"/>
        <v>0.37333333333333329</v>
      </c>
      <c r="AG63" s="15">
        <f t="shared" si="62"/>
        <v>3.7333333333333334</v>
      </c>
      <c r="AH63" s="16">
        <f t="shared" si="63"/>
        <v>51.866666666666667</v>
      </c>
      <c r="AI63" s="14">
        <f t="shared" si="64"/>
        <v>0.376</v>
      </c>
      <c r="AJ63" s="15">
        <f t="shared" si="65"/>
        <v>0.624</v>
      </c>
      <c r="AK63" s="15">
        <f t="shared" si="66"/>
        <v>6.24</v>
      </c>
      <c r="AL63" s="16">
        <f t="shared" si="67"/>
        <v>53.12</v>
      </c>
      <c r="AM63" s="14">
        <f t="shared" si="68"/>
        <v>0.31333333333333335</v>
      </c>
      <c r="AN63" s="15">
        <f t="shared" si="69"/>
        <v>0.68666666666666665</v>
      </c>
      <c r="AO63" s="15">
        <f t="shared" si="70"/>
        <v>6.866666666666668</v>
      </c>
      <c r="AP63" s="16">
        <f t="shared" si="71"/>
        <v>53.433333333333337</v>
      </c>
    </row>
    <row r="64" spans="1:42" x14ac:dyDescent="0.15">
      <c r="A64" s="31" t="s">
        <v>71</v>
      </c>
      <c r="B64" s="57">
        <f>IF(V48_Max/2&gt;V12_Nom,((V48_Max-V12_Nom)*(V12_Nom/V48_Max))/(Lm*Fsw),((V48_Max-(V48_Max/2))*(V12_Nom/V48_Max))/(Lm*Fsw))</f>
        <v>7.7570921985815611</v>
      </c>
      <c r="C64" s="31" t="s">
        <v>4</v>
      </c>
      <c r="E64" s="34" t="s">
        <v>194</v>
      </c>
      <c r="N64">
        <v>3</v>
      </c>
      <c r="O64">
        <f t="shared" si="72"/>
        <v>31.8</v>
      </c>
      <c r="P64" s="14">
        <f t="shared" si="48"/>
        <v>0.58176100628930816</v>
      </c>
      <c r="Q64" s="15">
        <f t="shared" si="49"/>
        <v>0.41823899371069184</v>
      </c>
      <c r="R64" s="15">
        <f t="shared" si="50"/>
        <v>4.1156496721530846</v>
      </c>
      <c r="S64" s="16">
        <f t="shared" si="51"/>
        <v>52.057824836076541</v>
      </c>
      <c r="T64" s="14">
        <f t="shared" si="52"/>
        <v>0.78616352201257855</v>
      </c>
      <c r="U64" s="15">
        <f t="shared" si="53"/>
        <v>0.21383647798742145</v>
      </c>
      <c r="V64" s="15">
        <f t="shared" si="54"/>
        <v>2.8435701860029439</v>
      </c>
      <c r="W64" s="16">
        <f t="shared" si="55"/>
        <v>51.421785093001475</v>
      </c>
      <c r="X64" s="14">
        <f t="shared" si="56"/>
        <v>0.81761006289308169</v>
      </c>
      <c r="Y64" s="15">
        <f t="shared" si="57"/>
        <v>0.18238993710691831</v>
      </c>
      <c r="Z64" s="15">
        <f t="shared" si="58"/>
        <v>2.5224140238190822</v>
      </c>
      <c r="AA64" s="16">
        <f t="shared" si="59"/>
        <v>51.261207011909541</v>
      </c>
      <c r="AC64">
        <v>3</v>
      </c>
      <c r="AD64">
        <f t="shared" si="73"/>
        <v>18.95</v>
      </c>
      <c r="AE64" s="14">
        <f t="shared" si="60"/>
        <v>0.6316666666666666</v>
      </c>
      <c r="AF64" s="15">
        <f t="shared" si="61"/>
        <v>0.3683333333333334</v>
      </c>
      <c r="AG64" s="15">
        <f t="shared" si="62"/>
        <v>3.7127216312056741</v>
      </c>
      <c r="AH64" s="16">
        <f t="shared" si="63"/>
        <v>51.856360815602834</v>
      </c>
      <c r="AI64" s="14">
        <f t="shared" si="64"/>
        <v>0.379</v>
      </c>
      <c r="AJ64" s="15">
        <f t="shared" si="65"/>
        <v>0.621</v>
      </c>
      <c r="AK64" s="15">
        <f t="shared" si="66"/>
        <v>6.2595478723404261</v>
      </c>
      <c r="AL64" s="16">
        <f t="shared" si="67"/>
        <v>53.12977393617021</v>
      </c>
      <c r="AM64" s="14">
        <f t="shared" si="68"/>
        <v>0.3158333333333333</v>
      </c>
      <c r="AN64" s="15">
        <f t="shared" si="69"/>
        <v>0.6841666666666667</v>
      </c>
      <c r="AO64" s="15">
        <f t="shared" si="70"/>
        <v>6.8962544326241133</v>
      </c>
      <c r="AP64" s="16">
        <f t="shared" si="71"/>
        <v>53.448127216312059</v>
      </c>
    </row>
    <row r="65" spans="1:42" x14ac:dyDescent="0.15">
      <c r="A65" s="31" t="s">
        <v>204</v>
      </c>
      <c r="B65" s="58">
        <f>(B64/2)+B25</f>
        <v>21.37854609929078</v>
      </c>
      <c r="C65" s="31" t="s">
        <v>4</v>
      </c>
      <c r="E65" s="34" t="s">
        <v>203</v>
      </c>
      <c r="N65">
        <v>4</v>
      </c>
      <c r="O65">
        <f t="shared" si="72"/>
        <v>32.4</v>
      </c>
      <c r="P65" s="14">
        <f t="shared" si="48"/>
        <v>0.57098765432098764</v>
      </c>
      <c r="Q65" s="15">
        <f t="shared" si="49"/>
        <v>0.42901234567901236</v>
      </c>
      <c r="R65" s="15">
        <f t="shared" si="50"/>
        <v>4.2216640399264511</v>
      </c>
      <c r="S65" s="16">
        <f t="shared" si="51"/>
        <v>52.110832019963226</v>
      </c>
      <c r="T65" s="14">
        <f t="shared" si="52"/>
        <v>0.77160493827160492</v>
      </c>
      <c r="U65" s="15">
        <f t="shared" si="53"/>
        <v>0.22839506172839508</v>
      </c>
      <c r="V65" s="15">
        <f t="shared" si="54"/>
        <v>3.0371683740478059</v>
      </c>
      <c r="W65" s="16">
        <f t="shared" si="55"/>
        <v>51.518584187023905</v>
      </c>
      <c r="X65" s="14">
        <f t="shared" si="56"/>
        <v>0.80246913580246915</v>
      </c>
      <c r="Y65" s="15">
        <f t="shared" si="57"/>
        <v>0.19753086419753085</v>
      </c>
      <c r="Z65" s="15">
        <f t="shared" si="58"/>
        <v>2.7318098240084052</v>
      </c>
      <c r="AA65" s="16">
        <f t="shared" si="59"/>
        <v>51.365904912004204</v>
      </c>
      <c r="AC65">
        <v>4</v>
      </c>
      <c r="AD65">
        <f t="shared" si="73"/>
        <v>19.100000000000001</v>
      </c>
      <c r="AE65" s="14">
        <f t="shared" si="60"/>
        <v>0.63666666666666671</v>
      </c>
      <c r="AF65" s="15">
        <f t="shared" si="61"/>
        <v>0.36333333333333329</v>
      </c>
      <c r="AG65" s="15">
        <f t="shared" si="62"/>
        <v>3.6913120567375883</v>
      </c>
      <c r="AH65" s="16">
        <f t="shared" si="63"/>
        <v>51.845656028368793</v>
      </c>
      <c r="AI65" s="14">
        <f t="shared" si="64"/>
        <v>0.38200000000000001</v>
      </c>
      <c r="AJ65" s="15">
        <f t="shared" si="65"/>
        <v>0.61799999999999999</v>
      </c>
      <c r="AK65" s="15">
        <f t="shared" si="66"/>
        <v>6.2786170212765962</v>
      </c>
      <c r="AL65" s="16">
        <f t="shared" si="67"/>
        <v>53.139308510638301</v>
      </c>
      <c r="AM65" s="14">
        <f t="shared" si="68"/>
        <v>0.31833333333333336</v>
      </c>
      <c r="AN65" s="15">
        <f t="shared" si="69"/>
        <v>0.68166666666666664</v>
      </c>
      <c r="AO65" s="15">
        <f t="shared" si="70"/>
        <v>6.9254432624113473</v>
      </c>
      <c r="AP65" s="16">
        <f t="shared" si="71"/>
        <v>53.462721631205675</v>
      </c>
    </row>
    <row r="66" spans="1:42" x14ac:dyDescent="0.15">
      <c r="A66" s="34" t="s">
        <v>288</v>
      </c>
      <c r="B66" s="64">
        <f>Design_Converter!B44</f>
        <v>10</v>
      </c>
      <c r="C66" s="34" t="s">
        <v>26</v>
      </c>
      <c r="N66">
        <v>5</v>
      </c>
      <c r="O66">
        <f t="shared" si="72"/>
        <v>33</v>
      </c>
      <c r="P66" s="14">
        <f t="shared" si="48"/>
        <v>0.56060606060606055</v>
      </c>
      <c r="Q66" s="15">
        <f t="shared" si="49"/>
        <v>0.43939393939393945</v>
      </c>
      <c r="R66" s="15">
        <f t="shared" si="50"/>
        <v>4.3238233397807866</v>
      </c>
      <c r="S66" s="16">
        <f t="shared" si="51"/>
        <v>52.161911669890394</v>
      </c>
      <c r="T66" s="14">
        <f t="shared" si="52"/>
        <v>0.75757575757575757</v>
      </c>
      <c r="U66" s="15">
        <f t="shared" si="53"/>
        <v>0.24242424242424243</v>
      </c>
      <c r="V66" s="15">
        <f t="shared" si="54"/>
        <v>3.2237266279819474</v>
      </c>
      <c r="W66" s="16">
        <f t="shared" si="55"/>
        <v>51.611863313990973</v>
      </c>
      <c r="X66" s="14">
        <f t="shared" si="56"/>
        <v>0.78787878787878785</v>
      </c>
      <c r="Y66" s="15">
        <f t="shared" si="57"/>
        <v>0.21212121212121215</v>
      </c>
      <c r="Z66" s="15">
        <f t="shared" si="58"/>
        <v>2.9335912314635717</v>
      </c>
      <c r="AA66" s="16">
        <f t="shared" si="59"/>
        <v>51.466795615731783</v>
      </c>
      <c r="AC66">
        <v>5</v>
      </c>
      <c r="AD66">
        <f t="shared" si="73"/>
        <v>19.25</v>
      </c>
      <c r="AE66" s="14">
        <f t="shared" si="60"/>
        <v>0.64166666666666672</v>
      </c>
      <c r="AF66" s="15">
        <f t="shared" si="61"/>
        <v>0.35833333333333328</v>
      </c>
      <c r="AG66" s="15">
        <f t="shared" si="62"/>
        <v>3.6691046099290783</v>
      </c>
      <c r="AH66" s="16">
        <f t="shared" si="63"/>
        <v>51.834552304964539</v>
      </c>
      <c r="AI66" s="14">
        <f t="shared" si="64"/>
        <v>0.38500000000000001</v>
      </c>
      <c r="AJ66" s="15">
        <f t="shared" si="65"/>
        <v>0.61499999999999999</v>
      </c>
      <c r="AK66" s="15">
        <f t="shared" si="66"/>
        <v>6.2972074468085104</v>
      </c>
      <c r="AL66" s="16">
        <f t="shared" si="67"/>
        <v>53.148603723404257</v>
      </c>
      <c r="AM66" s="14">
        <f t="shared" si="68"/>
        <v>0.32083333333333336</v>
      </c>
      <c r="AN66" s="15">
        <f t="shared" si="69"/>
        <v>0.6791666666666667</v>
      </c>
      <c r="AO66" s="15">
        <f t="shared" si="70"/>
        <v>6.9542331560283692</v>
      </c>
      <c r="AP66" s="16">
        <f t="shared" si="71"/>
        <v>53.477116578014183</v>
      </c>
    </row>
    <row r="67" spans="1:42" x14ac:dyDescent="0.15">
      <c r="A67" s="31" t="s">
        <v>205</v>
      </c>
      <c r="B67" s="54">
        <f>I_Channel_Peak_No_Ilimit*(1+(B66/100))</f>
        <v>23.516400709219859</v>
      </c>
      <c r="C67" s="31" t="s">
        <v>4</v>
      </c>
      <c r="E67" s="34" t="s">
        <v>153</v>
      </c>
      <c r="N67">
        <v>6</v>
      </c>
      <c r="O67">
        <f t="shared" si="72"/>
        <v>33.6</v>
      </c>
      <c r="P67" s="14">
        <f t="shared" si="48"/>
        <v>0.55059523809523803</v>
      </c>
      <c r="Q67" s="15">
        <f t="shared" si="49"/>
        <v>0.44940476190476197</v>
      </c>
      <c r="R67" s="15">
        <f t="shared" si="50"/>
        <v>4.4223340932117532</v>
      </c>
      <c r="S67" s="16">
        <f t="shared" si="51"/>
        <v>52.21116704660588</v>
      </c>
      <c r="T67" s="14">
        <f t="shared" si="52"/>
        <v>0.74404761904761907</v>
      </c>
      <c r="U67" s="15">
        <f t="shared" si="53"/>
        <v>0.25595238095238093</v>
      </c>
      <c r="V67" s="15">
        <f t="shared" si="54"/>
        <v>3.4036220871327263</v>
      </c>
      <c r="W67" s="16">
        <f t="shared" si="55"/>
        <v>51.701811043566366</v>
      </c>
      <c r="X67" s="14">
        <f t="shared" si="56"/>
        <v>0.77380952380952372</v>
      </c>
      <c r="Y67" s="15">
        <f t="shared" si="57"/>
        <v>0.22619047619047628</v>
      </c>
      <c r="Z67" s="15">
        <f t="shared" si="58"/>
        <v>3.128166160081054</v>
      </c>
      <c r="AA67" s="16">
        <f t="shared" si="59"/>
        <v>51.564083080040525</v>
      </c>
      <c r="AC67">
        <v>6</v>
      </c>
      <c r="AD67">
        <f t="shared" si="73"/>
        <v>19.399999999999999</v>
      </c>
      <c r="AE67" s="14">
        <f t="shared" si="60"/>
        <v>0.64666666666666661</v>
      </c>
      <c r="AF67" s="15">
        <f t="shared" si="61"/>
        <v>0.35333333333333339</v>
      </c>
      <c r="AG67" s="15">
        <f t="shared" si="62"/>
        <v>3.6460992907801422</v>
      </c>
      <c r="AH67" s="16">
        <f t="shared" si="63"/>
        <v>51.823049645390071</v>
      </c>
      <c r="AI67" s="14">
        <f t="shared" si="64"/>
        <v>0.38799999999999996</v>
      </c>
      <c r="AJ67" s="15">
        <f t="shared" si="65"/>
        <v>0.6120000000000001</v>
      </c>
      <c r="AK67" s="15">
        <f t="shared" si="66"/>
        <v>6.3153191489361706</v>
      </c>
      <c r="AL67" s="16">
        <f t="shared" si="67"/>
        <v>53.157659574468084</v>
      </c>
      <c r="AM67" s="14">
        <f t="shared" si="68"/>
        <v>0.32333333333333331</v>
      </c>
      <c r="AN67" s="15">
        <f t="shared" si="69"/>
        <v>0.67666666666666675</v>
      </c>
      <c r="AO67" s="15">
        <f t="shared" si="70"/>
        <v>6.9826241134751772</v>
      </c>
      <c r="AP67" s="16">
        <f t="shared" si="71"/>
        <v>53.491312056737591</v>
      </c>
    </row>
    <row r="68" spans="1:42" ht="15" x14ac:dyDescent="0.25">
      <c r="A68" s="31" t="s">
        <v>206</v>
      </c>
      <c r="B68" s="54">
        <f>((Rcs*I_Channel_Peak_Select))/(Constants!C22*1000)</f>
        <v>21.37854609929078</v>
      </c>
      <c r="C68" s="67" t="s">
        <v>104</v>
      </c>
      <c r="E68" s="34" t="s">
        <v>155</v>
      </c>
      <c r="N68">
        <v>7</v>
      </c>
      <c r="O68">
        <f t="shared" si="72"/>
        <v>34.200000000000003</v>
      </c>
      <c r="P68" s="14">
        <f t="shared" si="48"/>
        <v>0.54093567251461983</v>
      </c>
      <c r="Q68" s="15">
        <f t="shared" si="49"/>
        <v>0.45906432748538017</v>
      </c>
      <c r="R68" s="15">
        <f t="shared" si="50"/>
        <v>4.5173883289784751</v>
      </c>
      <c r="S68" s="16">
        <f t="shared" si="51"/>
        <v>52.258694164489235</v>
      </c>
      <c r="T68" s="14">
        <f t="shared" si="52"/>
        <v>0.73099415204678353</v>
      </c>
      <c r="U68" s="15">
        <f t="shared" si="53"/>
        <v>0.26900584795321647</v>
      </c>
      <c r="V68" s="15">
        <f t="shared" si="54"/>
        <v>3.5772054249097933</v>
      </c>
      <c r="W68" s="16">
        <f t="shared" si="55"/>
        <v>51.788602712454896</v>
      </c>
      <c r="X68" s="14">
        <f t="shared" si="56"/>
        <v>0.76023391812865493</v>
      </c>
      <c r="Y68" s="15">
        <f t="shared" si="57"/>
        <v>0.23976608187134507</v>
      </c>
      <c r="Z68" s="15">
        <f t="shared" si="58"/>
        <v>3.3159138982207303</v>
      </c>
      <c r="AA68" s="16">
        <f t="shared" si="59"/>
        <v>51.657956949110364</v>
      </c>
      <c r="AC68">
        <v>7</v>
      </c>
      <c r="AD68">
        <f t="shared" si="73"/>
        <v>19.55</v>
      </c>
      <c r="AE68" s="14">
        <f t="shared" si="60"/>
        <v>0.65166666666666673</v>
      </c>
      <c r="AF68" s="15">
        <f t="shared" si="61"/>
        <v>0.34833333333333327</v>
      </c>
      <c r="AG68" s="15">
        <f t="shared" si="62"/>
        <v>3.6222960992907804</v>
      </c>
      <c r="AH68" s="16">
        <f t="shared" si="63"/>
        <v>51.811148049645389</v>
      </c>
      <c r="AI68" s="14">
        <f t="shared" si="64"/>
        <v>0.39100000000000001</v>
      </c>
      <c r="AJ68" s="15">
        <f t="shared" si="65"/>
        <v>0.60899999999999999</v>
      </c>
      <c r="AK68" s="15">
        <f t="shared" si="66"/>
        <v>6.3329521276595742</v>
      </c>
      <c r="AL68" s="16">
        <f t="shared" si="67"/>
        <v>53.166476063829791</v>
      </c>
      <c r="AM68" s="14">
        <f t="shared" si="68"/>
        <v>0.32583333333333336</v>
      </c>
      <c r="AN68" s="15">
        <f t="shared" si="69"/>
        <v>0.67416666666666658</v>
      </c>
      <c r="AO68" s="15">
        <f t="shared" si="70"/>
        <v>7.0106161347517748</v>
      </c>
      <c r="AP68" s="16">
        <f t="shared" si="71"/>
        <v>53.505308067375886</v>
      </c>
    </row>
    <row r="69" spans="1:42" ht="15" x14ac:dyDescent="0.25">
      <c r="A69" s="31" t="s">
        <v>190</v>
      </c>
      <c r="B69" s="60">
        <f>Design_Converter!B47</f>
        <v>21</v>
      </c>
      <c r="C69" s="67" t="s">
        <v>104</v>
      </c>
      <c r="N69">
        <v>8</v>
      </c>
      <c r="O69">
        <f t="shared" si="72"/>
        <v>34.799999999999997</v>
      </c>
      <c r="P69" s="14">
        <f t="shared" si="48"/>
        <v>0.5316091954022989</v>
      </c>
      <c r="Q69" s="15">
        <f t="shared" si="49"/>
        <v>0.4683908045977011</v>
      </c>
      <c r="R69" s="15">
        <f t="shared" si="50"/>
        <v>4.6091648324773775</v>
      </c>
      <c r="S69" s="16">
        <f t="shared" si="51"/>
        <v>52.304582416238688</v>
      </c>
      <c r="T69" s="14">
        <f t="shared" si="52"/>
        <v>0.71839080459770122</v>
      </c>
      <c r="U69" s="15">
        <f t="shared" si="53"/>
        <v>0.28160919540229878</v>
      </c>
      <c r="V69" s="15">
        <f t="shared" si="54"/>
        <v>3.7448031303497187</v>
      </c>
      <c r="W69" s="16">
        <f t="shared" si="55"/>
        <v>51.872401565174862</v>
      </c>
      <c r="X69" s="14">
        <f t="shared" si="56"/>
        <v>0.74712643678160928</v>
      </c>
      <c r="Y69" s="15">
        <f t="shared" si="57"/>
        <v>0.25287356321839072</v>
      </c>
      <c r="Z69" s="15">
        <f t="shared" si="58"/>
        <v>3.4971875764245528</v>
      </c>
      <c r="AA69" s="16">
        <f t="shared" si="59"/>
        <v>51.748593788212276</v>
      </c>
      <c r="AC69">
        <v>8</v>
      </c>
      <c r="AD69">
        <f t="shared" si="73"/>
        <v>19.7</v>
      </c>
      <c r="AE69" s="14">
        <f t="shared" si="60"/>
        <v>0.65666666666666662</v>
      </c>
      <c r="AF69" s="15">
        <f t="shared" si="61"/>
        <v>0.34333333333333338</v>
      </c>
      <c r="AG69" s="15">
        <f t="shared" si="62"/>
        <v>3.5976950354609931</v>
      </c>
      <c r="AH69" s="16">
        <f t="shared" si="63"/>
        <v>51.798847517730493</v>
      </c>
      <c r="AI69" s="14">
        <f t="shared" si="64"/>
        <v>0.39399999999999996</v>
      </c>
      <c r="AJ69" s="15">
        <f t="shared" si="65"/>
        <v>0.60600000000000009</v>
      </c>
      <c r="AK69" s="15">
        <f t="shared" si="66"/>
        <v>6.3501063829787237</v>
      </c>
      <c r="AL69" s="16">
        <f t="shared" si="67"/>
        <v>53.175053191489361</v>
      </c>
      <c r="AM69" s="14">
        <f t="shared" si="68"/>
        <v>0.32833333333333331</v>
      </c>
      <c r="AN69" s="15">
        <f t="shared" si="69"/>
        <v>0.67166666666666663</v>
      </c>
      <c r="AO69" s="15">
        <f t="shared" si="70"/>
        <v>7.038209219858155</v>
      </c>
      <c r="AP69" s="16">
        <f t="shared" si="71"/>
        <v>53.51910460992908</v>
      </c>
    </row>
    <row r="70" spans="1:42" ht="15" x14ac:dyDescent="0.25">
      <c r="A70" s="31" t="s">
        <v>191</v>
      </c>
      <c r="B70" s="60">
        <f>(B69*1000*Constants!C22)/(Calculations!B28*(10^-3))</f>
        <v>23.1</v>
      </c>
      <c r="C70" s="67" t="s">
        <v>4</v>
      </c>
      <c r="D70" s="31">
        <f>IF(B70&lt;I_Channel_Peak_No_Ilimit,1,0)</f>
        <v>0</v>
      </c>
      <c r="E70" s="34" t="s">
        <v>156</v>
      </c>
      <c r="N70">
        <v>9</v>
      </c>
      <c r="O70">
        <f t="shared" si="72"/>
        <v>35.4</v>
      </c>
      <c r="P70" s="14">
        <f t="shared" si="48"/>
        <v>0.52259887005649719</v>
      </c>
      <c r="Q70" s="15">
        <f t="shared" si="49"/>
        <v>0.47740112994350281</v>
      </c>
      <c r="R70" s="15">
        <f t="shared" si="50"/>
        <v>4.6978302680610655</v>
      </c>
      <c r="S70" s="16">
        <f t="shared" si="51"/>
        <v>52.348915134030534</v>
      </c>
      <c r="T70" s="14">
        <f t="shared" si="52"/>
        <v>0.70621468926553677</v>
      </c>
      <c r="U70" s="15">
        <f t="shared" si="53"/>
        <v>0.29378531073446323</v>
      </c>
      <c r="V70" s="15">
        <f t="shared" si="54"/>
        <v>3.9067195576391391</v>
      </c>
      <c r="W70" s="16">
        <f t="shared" si="55"/>
        <v>51.953359778819568</v>
      </c>
      <c r="X70" s="14">
        <f t="shared" si="56"/>
        <v>0.7344632768361582</v>
      </c>
      <c r="Y70" s="15">
        <f t="shared" si="57"/>
        <v>0.2655367231638418</v>
      </c>
      <c r="Z70" s="15">
        <f t="shared" si="58"/>
        <v>3.6723163841807906</v>
      </c>
      <c r="AA70" s="16">
        <f t="shared" si="59"/>
        <v>51.836158192090394</v>
      </c>
      <c r="AC70">
        <v>9</v>
      </c>
      <c r="AD70">
        <f t="shared" si="73"/>
        <v>19.850000000000001</v>
      </c>
      <c r="AE70" s="14">
        <f t="shared" si="60"/>
        <v>0.66166666666666674</v>
      </c>
      <c r="AF70" s="15">
        <f t="shared" si="61"/>
        <v>0.33833333333333326</v>
      </c>
      <c r="AG70" s="15">
        <f t="shared" si="62"/>
        <v>3.5722960992907802</v>
      </c>
      <c r="AH70" s="16">
        <f t="shared" si="63"/>
        <v>51.786148049645391</v>
      </c>
      <c r="AI70" s="14">
        <f t="shared" si="64"/>
        <v>0.39700000000000002</v>
      </c>
      <c r="AJ70" s="15">
        <f t="shared" si="65"/>
        <v>0.60299999999999998</v>
      </c>
      <c r="AK70" s="15">
        <f t="shared" si="66"/>
        <v>6.3667819148936173</v>
      </c>
      <c r="AL70" s="16">
        <f t="shared" si="67"/>
        <v>53.183390957446811</v>
      </c>
      <c r="AM70" s="14">
        <f t="shared" si="68"/>
        <v>0.33083333333333337</v>
      </c>
      <c r="AN70" s="15">
        <f t="shared" si="69"/>
        <v>0.66916666666666669</v>
      </c>
      <c r="AO70" s="15">
        <f t="shared" si="70"/>
        <v>7.0654033687943274</v>
      </c>
      <c r="AP70" s="16">
        <f t="shared" si="71"/>
        <v>53.532701684397161</v>
      </c>
    </row>
    <row r="71" spans="1:42" x14ac:dyDescent="0.15">
      <c r="N71">
        <v>10</v>
      </c>
      <c r="O71">
        <f t="shared" si="72"/>
        <v>36</v>
      </c>
      <c r="P71" s="14">
        <f t="shared" si="48"/>
        <v>0.51388888888888884</v>
      </c>
      <c r="Q71" s="15">
        <f t="shared" si="49"/>
        <v>0.48611111111111116</v>
      </c>
      <c r="R71" s="15">
        <f t="shared" si="50"/>
        <v>4.7835401891252953</v>
      </c>
      <c r="S71" s="16">
        <f t="shared" si="51"/>
        <v>52.391770094562645</v>
      </c>
      <c r="T71" s="14">
        <f t="shared" si="52"/>
        <v>0.69444444444444442</v>
      </c>
      <c r="U71" s="15">
        <f t="shared" si="53"/>
        <v>0.30555555555555558</v>
      </c>
      <c r="V71" s="15">
        <f t="shared" si="54"/>
        <v>4.0632387706855795</v>
      </c>
      <c r="W71" s="16">
        <f t="shared" si="55"/>
        <v>52.031619385342793</v>
      </c>
      <c r="X71" s="14">
        <f t="shared" si="56"/>
        <v>0.72222222222222221</v>
      </c>
      <c r="Y71" s="15">
        <f t="shared" si="57"/>
        <v>0.27777777777777779</v>
      </c>
      <c r="Z71" s="15">
        <f t="shared" si="58"/>
        <v>3.8416075650118202</v>
      </c>
      <c r="AA71" s="16">
        <f t="shared" si="59"/>
        <v>51.920803782505914</v>
      </c>
      <c r="AC71">
        <v>10</v>
      </c>
      <c r="AD71">
        <f t="shared" si="73"/>
        <v>20</v>
      </c>
      <c r="AE71" s="14">
        <f t="shared" si="60"/>
        <v>0.66666666666666663</v>
      </c>
      <c r="AF71" s="15">
        <f t="shared" si="61"/>
        <v>0.33333333333333337</v>
      </c>
      <c r="AG71" s="15">
        <f t="shared" si="62"/>
        <v>3.5460992907801421</v>
      </c>
      <c r="AH71" s="16">
        <f t="shared" si="63"/>
        <v>51.773049645390074</v>
      </c>
      <c r="AI71" s="14">
        <f t="shared" si="64"/>
        <v>0.4</v>
      </c>
      <c r="AJ71" s="15">
        <f t="shared" si="65"/>
        <v>0.6</v>
      </c>
      <c r="AK71" s="15">
        <f t="shared" si="66"/>
        <v>6.3829787234042561</v>
      </c>
      <c r="AL71" s="16">
        <f t="shared" si="67"/>
        <v>53.191489361702125</v>
      </c>
      <c r="AM71" s="14">
        <f t="shared" si="68"/>
        <v>0.33333333333333331</v>
      </c>
      <c r="AN71" s="15">
        <f t="shared" si="69"/>
        <v>0.66666666666666674</v>
      </c>
      <c r="AO71" s="15">
        <f t="shared" si="70"/>
        <v>7.0921985815602842</v>
      </c>
      <c r="AP71" s="16">
        <f t="shared" si="71"/>
        <v>53.546099290780141</v>
      </c>
    </row>
    <row r="72" spans="1:42" x14ac:dyDescent="0.15">
      <c r="N72">
        <v>11</v>
      </c>
      <c r="O72">
        <f t="shared" si="72"/>
        <v>36.6</v>
      </c>
      <c r="P72" s="14">
        <f t="shared" si="48"/>
        <v>0.50546448087431695</v>
      </c>
      <c r="Q72" s="15">
        <f t="shared" si="49"/>
        <v>0.49453551912568305</v>
      </c>
      <c r="R72" s="15">
        <f t="shared" si="50"/>
        <v>4.8664399488431584</v>
      </c>
      <c r="S72" s="16">
        <f t="shared" si="51"/>
        <v>52.433219974421576</v>
      </c>
      <c r="T72" s="14">
        <f t="shared" si="52"/>
        <v>0.68306010928961747</v>
      </c>
      <c r="U72" s="15">
        <f t="shared" si="53"/>
        <v>0.31693989071038253</v>
      </c>
      <c r="V72" s="15">
        <f t="shared" si="54"/>
        <v>4.2146262062550877</v>
      </c>
      <c r="W72" s="16">
        <f t="shared" si="55"/>
        <v>52.107313103127545</v>
      </c>
      <c r="X72" s="14">
        <f t="shared" si="56"/>
        <v>0.7103825136612022</v>
      </c>
      <c r="Y72" s="15">
        <f t="shared" si="57"/>
        <v>0.2896174863387978</v>
      </c>
      <c r="Z72" s="15">
        <f t="shared" si="58"/>
        <v>4.0053482153238003</v>
      </c>
      <c r="AA72" s="16">
        <f t="shared" si="59"/>
        <v>52.002674107661903</v>
      </c>
      <c r="AC72">
        <v>11</v>
      </c>
      <c r="AD72">
        <f t="shared" si="73"/>
        <v>20.149999999999999</v>
      </c>
      <c r="AE72" s="14">
        <f t="shared" si="60"/>
        <v>0.67166666666666663</v>
      </c>
      <c r="AF72" s="15">
        <f t="shared" si="61"/>
        <v>0.32833333333333337</v>
      </c>
      <c r="AG72" s="15">
        <f t="shared" si="62"/>
        <v>3.5191046099290788</v>
      </c>
      <c r="AH72" s="16">
        <f t="shared" si="63"/>
        <v>51.759552304964537</v>
      </c>
      <c r="AI72" s="14">
        <f t="shared" si="64"/>
        <v>0.40299999999999997</v>
      </c>
      <c r="AJ72" s="15">
        <f t="shared" si="65"/>
        <v>0.59699999999999998</v>
      </c>
      <c r="AK72" s="15">
        <f t="shared" si="66"/>
        <v>6.3986968085106382</v>
      </c>
      <c r="AL72" s="16">
        <f t="shared" si="67"/>
        <v>53.199348404255318</v>
      </c>
      <c r="AM72" s="14">
        <f t="shared" si="68"/>
        <v>0.33583333333333332</v>
      </c>
      <c r="AN72" s="15">
        <f t="shared" si="69"/>
        <v>0.66416666666666668</v>
      </c>
      <c r="AO72" s="15">
        <f t="shared" si="70"/>
        <v>7.1185948581560297</v>
      </c>
      <c r="AP72" s="16">
        <f t="shared" si="71"/>
        <v>53.559297429078015</v>
      </c>
    </row>
    <row r="73" spans="1:42" x14ac:dyDescent="0.15">
      <c r="N73">
        <v>12</v>
      </c>
      <c r="O73">
        <f t="shared" si="72"/>
        <v>37.200000000000003</v>
      </c>
      <c r="P73" s="14">
        <f t="shared" si="48"/>
        <v>0.49731182795698919</v>
      </c>
      <c r="Q73" s="15">
        <f t="shared" si="49"/>
        <v>0.50268817204301075</v>
      </c>
      <c r="R73" s="15">
        <f t="shared" si="50"/>
        <v>4.94666552276367</v>
      </c>
      <c r="S73" s="16">
        <f t="shared" si="51"/>
        <v>52.473332761381833</v>
      </c>
      <c r="T73" s="14">
        <f t="shared" si="52"/>
        <v>0.67204301075268813</v>
      </c>
      <c r="U73" s="15">
        <f t="shared" si="53"/>
        <v>0.32795698924731187</v>
      </c>
      <c r="V73" s="15">
        <f t="shared" si="54"/>
        <v>4.3611301761610628</v>
      </c>
      <c r="W73" s="16">
        <f t="shared" si="55"/>
        <v>52.180565088080535</v>
      </c>
      <c r="X73" s="14">
        <f t="shared" si="56"/>
        <v>0.69892473118279563</v>
      </c>
      <c r="Y73" s="15">
        <f t="shared" si="57"/>
        <v>0.30107526881720437</v>
      </c>
      <c r="Z73" s="15">
        <f t="shared" si="58"/>
        <v>4.1638069091741032</v>
      </c>
      <c r="AA73" s="16">
        <f t="shared" si="59"/>
        <v>52.081903454587049</v>
      </c>
      <c r="AC73">
        <v>12</v>
      </c>
      <c r="AD73">
        <f t="shared" si="73"/>
        <v>20.3</v>
      </c>
      <c r="AE73" s="14">
        <f t="shared" si="60"/>
        <v>0.67666666666666664</v>
      </c>
      <c r="AF73" s="15">
        <f t="shared" si="61"/>
        <v>0.32333333333333336</v>
      </c>
      <c r="AG73" s="15">
        <f t="shared" si="62"/>
        <v>3.4913120567375882</v>
      </c>
      <c r="AH73" s="16">
        <f t="shared" si="63"/>
        <v>51.745656028368792</v>
      </c>
      <c r="AI73" s="14">
        <f t="shared" si="64"/>
        <v>0.40600000000000003</v>
      </c>
      <c r="AJ73" s="15">
        <f t="shared" si="65"/>
        <v>0.59399999999999997</v>
      </c>
      <c r="AK73" s="15">
        <f t="shared" si="66"/>
        <v>6.4139361702127671</v>
      </c>
      <c r="AL73" s="16">
        <f t="shared" si="67"/>
        <v>53.206968085106382</v>
      </c>
      <c r="AM73" s="14">
        <f t="shared" si="68"/>
        <v>0.33833333333333332</v>
      </c>
      <c r="AN73" s="15">
        <f t="shared" si="69"/>
        <v>0.66166666666666663</v>
      </c>
      <c r="AO73" s="15">
        <f t="shared" si="70"/>
        <v>7.1445921985815604</v>
      </c>
      <c r="AP73" s="16">
        <f t="shared" si="71"/>
        <v>53.572296099290782</v>
      </c>
    </row>
    <row r="74" spans="1:42" x14ac:dyDescent="0.15">
      <c r="A74" s="47" t="s">
        <v>99</v>
      </c>
      <c r="B74" s="47"/>
      <c r="C74" s="47"/>
      <c r="N74">
        <v>13</v>
      </c>
      <c r="O74">
        <f t="shared" si="72"/>
        <v>37.799999999999997</v>
      </c>
      <c r="P74" s="14">
        <f t="shared" si="48"/>
        <v>0.48941798941798947</v>
      </c>
      <c r="Q74" s="15">
        <f t="shared" si="49"/>
        <v>0.51058201058201047</v>
      </c>
      <c r="R74" s="15">
        <f t="shared" si="50"/>
        <v>5.0243442530676576</v>
      </c>
      <c r="S74" s="16">
        <f t="shared" si="51"/>
        <v>52.512172126533827</v>
      </c>
      <c r="T74" s="14">
        <f t="shared" si="52"/>
        <v>0.66137566137566139</v>
      </c>
      <c r="U74" s="15">
        <f t="shared" si="53"/>
        <v>0.33862433862433861</v>
      </c>
      <c r="V74" s="15">
        <f t="shared" si="54"/>
        <v>4.5029832263874816</v>
      </c>
      <c r="W74" s="16">
        <f t="shared" si="55"/>
        <v>52.251491613193743</v>
      </c>
      <c r="X74" s="14">
        <f t="shared" si="56"/>
        <v>0.6878306878306879</v>
      </c>
      <c r="Y74" s="15">
        <f t="shared" si="57"/>
        <v>0.3121693121693121</v>
      </c>
      <c r="Z74" s="15">
        <f t="shared" si="58"/>
        <v>4.3172351682989971</v>
      </c>
      <c r="AA74" s="16">
        <f t="shared" si="59"/>
        <v>52.158617584149496</v>
      </c>
      <c r="AC74">
        <v>13</v>
      </c>
      <c r="AD74">
        <f t="shared" si="73"/>
        <v>20.45</v>
      </c>
      <c r="AE74" s="14">
        <f t="shared" si="60"/>
        <v>0.68166666666666664</v>
      </c>
      <c r="AF74" s="15">
        <f t="shared" si="61"/>
        <v>0.31833333333333336</v>
      </c>
      <c r="AG74" s="15">
        <f t="shared" si="62"/>
        <v>3.4627216312056741</v>
      </c>
      <c r="AH74" s="16">
        <f t="shared" si="63"/>
        <v>51.731360815602834</v>
      </c>
      <c r="AI74" s="14">
        <f t="shared" si="64"/>
        <v>0.40899999999999997</v>
      </c>
      <c r="AJ74" s="15">
        <f t="shared" si="65"/>
        <v>0.59099999999999997</v>
      </c>
      <c r="AK74" s="15">
        <f t="shared" si="66"/>
        <v>6.4286968085106384</v>
      </c>
      <c r="AL74" s="16">
        <f t="shared" si="67"/>
        <v>53.214348404255318</v>
      </c>
      <c r="AM74" s="14">
        <f t="shared" si="68"/>
        <v>0.34083333333333332</v>
      </c>
      <c r="AN74" s="15">
        <f t="shared" si="69"/>
        <v>0.65916666666666668</v>
      </c>
      <c r="AO74" s="15">
        <f t="shared" si="70"/>
        <v>7.1701906028368789</v>
      </c>
      <c r="AP74" s="16">
        <f t="shared" si="71"/>
        <v>53.585095301418441</v>
      </c>
    </row>
    <row r="75" spans="1:42" x14ac:dyDescent="0.15">
      <c r="A75" s="31" t="s">
        <v>207</v>
      </c>
      <c r="B75" s="49">
        <f>Design_Converter!B62</f>
        <v>1</v>
      </c>
      <c r="C75" s="31" t="s">
        <v>40</v>
      </c>
      <c r="N75">
        <v>14</v>
      </c>
      <c r="O75">
        <f t="shared" si="72"/>
        <v>38.4</v>
      </c>
      <c r="P75" s="14">
        <f t="shared" si="48"/>
        <v>0.48177083333333337</v>
      </c>
      <c r="Q75" s="15">
        <f t="shared" si="49"/>
        <v>0.51822916666666663</v>
      </c>
      <c r="R75" s="15">
        <f t="shared" si="50"/>
        <v>5.0995955230496453</v>
      </c>
      <c r="S75" s="16">
        <f t="shared" si="51"/>
        <v>52.549797761524822</v>
      </c>
      <c r="T75" s="14">
        <f t="shared" si="52"/>
        <v>0.65104166666666674</v>
      </c>
      <c r="U75" s="15">
        <f t="shared" si="53"/>
        <v>0.34895833333333326</v>
      </c>
      <c r="V75" s="15">
        <f t="shared" si="54"/>
        <v>4.6404033687943267</v>
      </c>
      <c r="W75" s="16">
        <f t="shared" si="55"/>
        <v>52.320201684397162</v>
      </c>
      <c r="X75" s="14">
        <f t="shared" si="56"/>
        <v>0.67708333333333337</v>
      </c>
      <c r="Y75" s="15">
        <f t="shared" si="57"/>
        <v>0.32291666666666663</v>
      </c>
      <c r="Z75" s="15">
        <f t="shared" si="58"/>
        <v>4.4658687943262407</v>
      </c>
      <c r="AA75" s="16">
        <f t="shared" si="59"/>
        <v>52.23293439716312</v>
      </c>
      <c r="AC75">
        <v>14</v>
      </c>
      <c r="AD75">
        <f t="shared" si="73"/>
        <v>20.6</v>
      </c>
      <c r="AE75" s="14">
        <f t="shared" si="60"/>
        <v>0.68666666666666676</v>
      </c>
      <c r="AF75" s="15">
        <f t="shared" si="61"/>
        <v>0.31333333333333324</v>
      </c>
      <c r="AG75" s="15">
        <f t="shared" si="62"/>
        <v>3.4333333333333336</v>
      </c>
      <c r="AH75" s="16">
        <f t="shared" si="63"/>
        <v>51.716666666666669</v>
      </c>
      <c r="AI75" s="14">
        <f t="shared" si="64"/>
        <v>0.41200000000000003</v>
      </c>
      <c r="AJ75" s="15">
        <f t="shared" si="65"/>
        <v>0.58799999999999997</v>
      </c>
      <c r="AK75" s="15">
        <f t="shared" si="66"/>
        <v>6.4429787234042557</v>
      </c>
      <c r="AL75" s="16">
        <f t="shared" si="67"/>
        <v>53.221489361702126</v>
      </c>
      <c r="AM75" s="14">
        <f t="shared" si="68"/>
        <v>0.34333333333333338</v>
      </c>
      <c r="AN75" s="15">
        <f t="shared" si="69"/>
        <v>0.65666666666666662</v>
      </c>
      <c r="AO75" s="15">
        <f t="shared" si="70"/>
        <v>7.1953900709219871</v>
      </c>
      <c r="AP75" s="16">
        <f t="shared" si="71"/>
        <v>53.597695035460994</v>
      </c>
    </row>
    <row r="76" spans="1:42" ht="15" x14ac:dyDescent="0.25">
      <c r="A76" s="31" t="s">
        <v>157</v>
      </c>
      <c r="B76" s="56">
        <f>9.6/(((B75*10^-9)*Fsw)*1000)</f>
        <v>23.999999999999996</v>
      </c>
      <c r="C76" s="67" t="s">
        <v>104</v>
      </c>
      <c r="E76" s="34" t="s">
        <v>488</v>
      </c>
      <c r="N76">
        <v>15</v>
      </c>
      <c r="O76">
        <f t="shared" si="72"/>
        <v>39</v>
      </c>
      <c r="P76" s="14">
        <f t="shared" si="48"/>
        <v>0.47435897435897434</v>
      </c>
      <c r="Q76" s="15">
        <f t="shared" si="49"/>
        <v>0.52564102564102566</v>
      </c>
      <c r="R76" s="15">
        <f t="shared" si="50"/>
        <v>5.1725313693398798</v>
      </c>
      <c r="S76" s="16">
        <f t="shared" si="51"/>
        <v>52.586265684669939</v>
      </c>
      <c r="T76" s="14">
        <f t="shared" si="52"/>
        <v>0.64102564102564108</v>
      </c>
      <c r="U76" s="15">
        <f t="shared" si="53"/>
        <v>0.35897435897435892</v>
      </c>
      <c r="V76" s="15">
        <f t="shared" si="54"/>
        <v>4.7735951991271151</v>
      </c>
      <c r="W76" s="16">
        <f t="shared" si="55"/>
        <v>52.386797599563558</v>
      </c>
      <c r="X76" s="14">
        <f t="shared" si="56"/>
        <v>0.66666666666666663</v>
      </c>
      <c r="Y76" s="15">
        <f t="shared" si="57"/>
        <v>0.33333333333333337</v>
      </c>
      <c r="Z76" s="15">
        <f t="shared" si="58"/>
        <v>4.6099290780141846</v>
      </c>
      <c r="AA76" s="16">
        <f t="shared" si="59"/>
        <v>52.304964539007095</v>
      </c>
      <c r="AC76">
        <v>15</v>
      </c>
      <c r="AD76">
        <f t="shared" si="73"/>
        <v>20.75</v>
      </c>
      <c r="AE76" s="14">
        <f t="shared" si="60"/>
        <v>0.69166666666666665</v>
      </c>
      <c r="AF76" s="15">
        <f t="shared" si="61"/>
        <v>0.30833333333333335</v>
      </c>
      <c r="AG76" s="15">
        <f t="shared" si="62"/>
        <v>3.4031471631205674</v>
      </c>
      <c r="AH76" s="16">
        <f t="shared" si="63"/>
        <v>51.701573581560282</v>
      </c>
      <c r="AI76" s="14">
        <f t="shared" si="64"/>
        <v>0.41499999999999998</v>
      </c>
      <c r="AJ76" s="15">
        <f t="shared" si="65"/>
        <v>0.58499999999999996</v>
      </c>
      <c r="AK76" s="15">
        <f t="shared" si="66"/>
        <v>6.4567819148936172</v>
      </c>
      <c r="AL76" s="16">
        <f t="shared" si="67"/>
        <v>53.228390957446805</v>
      </c>
      <c r="AM76" s="14">
        <f t="shared" si="68"/>
        <v>0.34583333333333333</v>
      </c>
      <c r="AN76" s="15">
        <f t="shared" si="69"/>
        <v>0.65416666666666667</v>
      </c>
      <c r="AO76" s="15">
        <f t="shared" si="70"/>
        <v>7.2201906028368796</v>
      </c>
      <c r="AP76" s="16">
        <f t="shared" si="71"/>
        <v>53.61009530141844</v>
      </c>
    </row>
    <row r="77" spans="1:42" ht="15" x14ac:dyDescent="0.25">
      <c r="A77" s="34" t="s">
        <v>208</v>
      </c>
      <c r="B77" s="49">
        <v>96</v>
      </c>
      <c r="C77" s="67" t="s">
        <v>104</v>
      </c>
      <c r="E77" s="34" t="s">
        <v>100</v>
      </c>
      <c r="N77">
        <v>16</v>
      </c>
      <c r="O77">
        <f t="shared" si="72"/>
        <v>39.6</v>
      </c>
      <c r="P77" s="14">
        <f t="shared" si="48"/>
        <v>0.46717171717171718</v>
      </c>
      <c r="Q77" s="15">
        <f t="shared" si="49"/>
        <v>0.53282828282828287</v>
      </c>
      <c r="R77" s="15">
        <f t="shared" si="50"/>
        <v>5.243257038469805</v>
      </c>
      <c r="S77" s="16">
        <f t="shared" si="51"/>
        <v>52.621628519234903</v>
      </c>
      <c r="T77" s="14">
        <f t="shared" si="52"/>
        <v>0.63131313131313127</v>
      </c>
      <c r="U77" s="15">
        <f t="shared" si="53"/>
        <v>0.36868686868686873</v>
      </c>
      <c r="V77" s="15">
        <f t="shared" si="54"/>
        <v>4.9027509133892115</v>
      </c>
      <c r="W77" s="16">
        <f t="shared" si="55"/>
        <v>52.451375456694606</v>
      </c>
      <c r="X77" s="14">
        <f t="shared" si="56"/>
        <v>0.65656565656565657</v>
      </c>
      <c r="Y77" s="15">
        <f t="shared" si="57"/>
        <v>0.34343434343434343</v>
      </c>
      <c r="Z77" s="15">
        <f t="shared" si="58"/>
        <v>4.7496238985600696</v>
      </c>
      <c r="AA77" s="16">
        <f t="shared" si="59"/>
        <v>52.374811949280037</v>
      </c>
      <c r="AC77">
        <v>16</v>
      </c>
      <c r="AD77">
        <f t="shared" si="73"/>
        <v>20.9</v>
      </c>
      <c r="AE77" s="14">
        <f t="shared" si="60"/>
        <v>0.69666666666666666</v>
      </c>
      <c r="AF77" s="15">
        <f t="shared" si="61"/>
        <v>0.30333333333333334</v>
      </c>
      <c r="AG77" s="15">
        <f t="shared" si="62"/>
        <v>3.3721631205673765</v>
      </c>
      <c r="AH77" s="16">
        <f t="shared" si="63"/>
        <v>51.686081560283689</v>
      </c>
      <c r="AI77" s="14">
        <f t="shared" si="64"/>
        <v>0.41799999999999998</v>
      </c>
      <c r="AJ77" s="15">
        <f t="shared" si="65"/>
        <v>0.58200000000000007</v>
      </c>
      <c r="AK77" s="15">
        <f t="shared" si="66"/>
        <v>6.4701063829787238</v>
      </c>
      <c r="AL77" s="16">
        <f t="shared" si="67"/>
        <v>53.235053191489364</v>
      </c>
      <c r="AM77" s="14">
        <f t="shared" si="68"/>
        <v>0.34833333333333333</v>
      </c>
      <c r="AN77" s="15">
        <f t="shared" si="69"/>
        <v>0.65166666666666662</v>
      </c>
      <c r="AO77" s="15">
        <f t="shared" si="70"/>
        <v>7.2445921985815609</v>
      </c>
      <c r="AP77" s="16">
        <f t="shared" si="71"/>
        <v>53.622296099290779</v>
      </c>
    </row>
    <row r="78" spans="1:42" x14ac:dyDescent="0.15">
      <c r="A78" s="31" t="s">
        <v>101</v>
      </c>
      <c r="B78" s="61">
        <f>(V48_Min)/(Ramp_C*Ramp_R*Fsw)</f>
        <v>3.125</v>
      </c>
      <c r="C78" s="31" t="s">
        <v>1</v>
      </c>
      <c r="D78" s="34">
        <f>IF(B78&lt;Constants!$C$44,1,IF(B78&gt;Constants!$C$43,1,0))</f>
        <v>0</v>
      </c>
      <c r="E78" s="34" t="s">
        <v>209</v>
      </c>
      <c r="N78">
        <v>17</v>
      </c>
      <c r="O78">
        <f t="shared" si="72"/>
        <v>40.200000000000003</v>
      </c>
      <c r="P78" s="14">
        <f t="shared" si="48"/>
        <v>0.46019900497512434</v>
      </c>
      <c r="Q78" s="15">
        <f t="shared" si="49"/>
        <v>0.53980099502487566</v>
      </c>
      <c r="R78" s="15">
        <f t="shared" si="50"/>
        <v>5.3118714935958513</v>
      </c>
      <c r="S78" s="16">
        <f t="shared" si="51"/>
        <v>52.655935746797923</v>
      </c>
      <c r="T78" s="14">
        <f t="shared" si="52"/>
        <v>0.62189054726368154</v>
      </c>
      <c r="U78" s="15">
        <f t="shared" si="53"/>
        <v>0.37810945273631846</v>
      </c>
      <c r="V78" s="15">
        <f t="shared" si="54"/>
        <v>5.0280512331957237</v>
      </c>
      <c r="W78" s="16">
        <f t="shared" si="55"/>
        <v>52.514025616597863</v>
      </c>
      <c r="X78" s="14">
        <f t="shared" si="56"/>
        <v>0.6467661691542288</v>
      </c>
      <c r="Y78" s="15">
        <f t="shared" si="57"/>
        <v>0.3532338308457712</v>
      </c>
      <c r="Z78" s="15">
        <f t="shared" si="58"/>
        <v>4.8851487244627938</v>
      </c>
      <c r="AA78" s="16">
        <f t="shared" si="59"/>
        <v>52.442574362231397</v>
      </c>
      <c r="AC78">
        <v>17</v>
      </c>
      <c r="AD78">
        <f t="shared" si="73"/>
        <v>21.05</v>
      </c>
      <c r="AE78" s="14">
        <f t="shared" si="60"/>
        <v>0.70166666666666666</v>
      </c>
      <c r="AF78" s="15">
        <f t="shared" si="61"/>
        <v>0.29833333333333334</v>
      </c>
      <c r="AG78" s="15">
        <f t="shared" si="62"/>
        <v>3.3403812056737587</v>
      </c>
      <c r="AH78" s="16">
        <f t="shared" si="63"/>
        <v>51.670190602836882</v>
      </c>
      <c r="AI78" s="14">
        <f t="shared" si="64"/>
        <v>0.42100000000000004</v>
      </c>
      <c r="AJ78" s="15">
        <f t="shared" si="65"/>
        <v>0.57899999999999996</v>
      </c>
      <c r="AK78" s="15">
        <f t="shared" si="66"/>
        <v>6.4829521276595754</v>
      </c>
      <c r="AL78" s="16">
        <f t="shared" si="67"/>
        <v>53.241476063829786</v>
      </c>
      <c r="AM78" s="14">
        <f t="shared" si="68"/>
        <v>0.35083333333333333</v>
      </c>
      <c r="AN78" s="15">
        <f t="shared" si="69"/>
        <v>0.64916666666666667</v>
      </c>
      <c r="AO78" s="15">
        <f t="shared" si="70"/>
        <v>7.2685948581560291</v>
      </c>
      <c r="AP78" s="16">
        <f t="shared" si="71"/>
        <v>53.634297429078018</v>
      </c>
    </row>
    <row r="79" spans="1:42" x14ac:dyDescent="0.15">
      <c r="A79" s="31" t="s">
        <v>102</v>
      </c>
      <c r="B79" s="50">
        <f>(V48_Nom)/(Ramp_C*Ramp_R*Fsw)</f>
        <v>5.2083333333333339</v>
      </c>
      <c r="C79" s="31" t="s">
        <v>1</v>
      </c>
      <c r="D79" s="34">
        <f>IF(B79&lt;Constants!$C$44,1,IF(B79&gt;Constants!$C$43,1,0))</f>
        <v>0</v>
      </c>
      <c r="E79" s="34" t="s">
        <v>209</v>
      </c>
      <c r="N79">
        <v>18</v>
      </c>
      <c r="O79">
        <f t="shared" si="72"/>
        <v>40.799999999999997</v>
      </c>
      <c r="P79" s="14">
        <f t="shared" si="48"/>
        <v>0.45343137254901966</v>
      </c>
      <c r="Q79" s="15">
        <f t="shared" si="49"/>
        <v>0.54656862745098034</v>
      </c>
      <c r="R79" s="15">
        <f t="shared" si="50"/>
        <v>5.3784678765123068</v>
      </c>
      <c r="S79" s="16">
        <f t="shared" si="51"/>
        <v>52.689233938256152</v>
      </c>
      <c r="T79" s="14">
        <f t="shared" si="52"/>
        <v>0.61274509803921573</v>
      </c>
      <c r="U79" s="15">
        <f t="shared" si="53"/>
        <v>0.38725490196078427</v>
      </c>
      <c r="V79" s="15">
        <f t="shared" si="54"/>
        <v>5.1496662494785141</v>
      </c>
      <c r="W79" s="16">
        <f t="shared" si="55"/>
        <v>52.574833124739257</v>
      </c>
      <c r="X79" s="14">
        <f t="shared" si="56"/>
        <v>0.63725490196078438</v>
      </c>
      <c r="Y79" s="15">
        <f t="shared" si="57"/>
        <v>0.36274509803921562</v>
      </c>
      <c r="Z79" s="15">
        <f t="shared" si="58"/>
        <v>5.0166875260742589</v>
      </c>
      <c r="AA79" s="16">
        <f t="shared" si="59"/>
        <v>52.508343763037132</v>
      </c>
      <c r="AC79">
        <v>18</v>
      </c>
      <c r="AD79">
        <f t="shared" si="73"/>
        <v>21.2</v>
      </c>
      <c r="AE79" s="14">
        <f t="shared" si="60"/>
        <v>0.70666666666666667</v>
      </c>
      <c r="AF79" s="15">
        <f t="shared" si="61"/>
        <v>0.29333333333333333</v>
      </c>
      <c r="AG79" s="15">
        <f t="shared" si="62"/>
        <v>3.3078014184397171</v>
      </c>
      <c r="AH79" s="16">
        <f t="shared" si="63"/>
        <v>51.653900709219862</v>
      </c>
      <c r="AI79" s="14">
        <f t="shared" si="64"/>
        <v>0.42399999999999999</v>
      </c>
      <c r="AJ79" s="15">
        <f t="shared" si="65"/>
        <v>0.57600000000000007</v>
      </c>
      <c r="AK79" s="15">
        <f t="shared" si="66"/>
        <v>6.4953191489361712</v>
      </c>
      <c r="AL79" s="16">
        <f t="shared" si="67"/>
        <v>53.247659574468088</v>
      </c>
      <c r="AM79" s="14">
        <f t="shared" si="68"/>
        <v>0.35333333333333333</v>
      </c>
      <c r="AN79" s="15">
        <f t="shared" si="69"/>
        <v>0.64666666666666672</v>
      </c>
      <c r="AO79" s="15">
        <f t="shared" si="70"/>
        <v>7.2921985815602843</v>
      </c>
      <c r="AP79" s="16">
        <f t="shared" si="71"/>
        <v>53.646099290780143</v>
      </c>
    </row>
    <row r="80" spans="1:42" x14ac:dyDescent="0.15">
      <c r="A80" s="31" t="s">
        <v>103</v>
      </c>
      <c r="B80" s="61">
        <f>(V48_Max)/(Ramp_C*Ramp_R*Fsw)</f>
        <v>6.25</v>
      </c>
      <c r="C80" s="31" t="s">
        <v>1</v>
      </c>
      <c r="D80" s="34">
        <f>IF(B80&lt;Constants!$C$44,1,IF(B80&gt;Constants!$C$43,1,0))</f>
        <v>0</v>
      </c>
      <c r="E80" s="34" t="s">
        <v>209</v>
      </c>
      <c r="N80">
        <v>19</v>
      </c>
      <c r="O80">
        <f t="shared" si="72"/>
        <v>41.4</v>
      </c>
      <c r="P80" s="14">
        <f t="shared" si="48"/>
        <v>0.44685990338164255</v>
      </c>
      <c r="Q80" s="15">
        <f t="shared" si="49"/>
        <v>0.5531400966183575</v>
      </c>
      <c r="R80" s="15">
        <f t="shared" si="50"/>
        <v>5.4431339294891563</v>
      </c>
      <c r="S80" s="16">
        <f t="shared" si="51"/>
        <v>52.721566964744575</v>
      </c>
      <c r="T80" s="14">
        <f t="shared" si="52"/>
        <v>0.60386473429951693</v>
      </c>
      <c r="U80" s="15">
        <f t="shared" si="53"/>
        <v>0.39613526570048307</v>
      </c>
      <c r="V80" s="15">
        <f t="shared" si="54"/>
        <v>5.2677561928255727</v>
      </c>
      <c r="W80" s="16">
        <f t="shared" si="55"/>
        <v>52.633878096412786</v>
      </c>
      <c r="X80" s="14">
        <f t="shared" si="56"/>
        <v>0.6280193236714976</v>
      </c>
      <c r="Y80" s="15">
        <f t="shared" si="57"/>
        <v>0.3719806763285024</v>
      </c>
      <c r="Z80" s="15">
        <f t="shared" si="58"/>
        <v>5.1444136087984376</v>
      </c>
      <c r="AA80" s="16">
        <f t="shared" si="59"/>
        <v>52.572206804399215</v>
      </c>
      <c r="AC80">
        <v>19</v>
      </c>
      <c r="AD80">
        <f t="shared" si="73"/>
        <v>21.35</v>
      </c>
      <c r="AE80" s="14">
        <f t="shared" si="60"/>
        <v>0.71166666666666667</v>
      </c>
      <c r="AF80" s="15">
        <f t="shared" si="61"/>
        <v>0.28833333333333333</v>
      </c>
      <c r="AG80" s="15">
        <f t="shared" si="62"/>
        <v>3.2744237588652476</v>
      </c>
      <c r="AH80" s="16">
        <f t="shared" si="63"/>
        <v>51.637211879432627</v>
      </c>
      <c r="AI80" s="14">
        <f t="shared" si="64"/>
        <v>0.42700000000000005</v>
      </c>
      <c r="AJ80" s="15">
        <f t="shared" si="65"/>
        <v>0.57299999999999995</v>
      </c>
      <c r="AK80" s="15">
        <f t="shared" si="66"/>
        <v>6.5072074468085113</v>
      </c>
      <c r="AL80" s="16">
        <f t="shared" si="67"/>
        <v>53.253603723404254</v>
      </c>
      <c r="AM80" s="14">
        <f t="shared" si="68"/>
        <v>0.35583333333333333</v>
      </c>
      <c r="AN80" s="15">
        <f t="shared" si="69"/>
        <v>0.64416666666666667</v>
      </c>
      <c r="AO80" s="15">
        <f t="shared" si="70"/>
        <v>7.3154033687943265</v>
      </c>
      <c r="AP80" s="16">
        <f t="shared" si="71"/>
        <v>53.657701684397161</v>
      </c>
    </row>
    <row r="81" spans="1:42" x14ac:dyDescent="0.15">
      <c r="N81">
        <v>20</v>
      </c>
      <c r="O81">
        <f t="shared" si="72"/>
        <v>42</v>
      </c>
      <c r="P81" s="14">
        <f t="shared" si="48"/>
        <v>0.44047619047619047</v>
      </c>
      <c r="Q81" s="15">
        <f t="shared" si="49"/>
        <v>0.55952380952380953</v>
      </c>
      <c r="R81" s="15">
        <f t="shared" si="50"/>
        <v>5.5059523809523814</v>
      </c>
      <c r="S81" s="16">
        <f t="shared" si="51"/>
        <v>52.75297619047619</v>
      </c>
      <c r="T81" s="14">
        <f t="shared" si="52"/>
        <v>0.59523809523809523</v>
      </c>
      <c r="U81" s="15">
        <f t="shared" si="53"/>
        <v>0.40476190476190477</v>
      </c>
      <c r="V81" s="15">
        <f t="shared" si="54"/>
        <v>5.3824721377912867</v>
      </c>
      <c r="W81" s="16">
        <f t="shared" si="55"/>
        <v>52.691236068895641</v>
      </c>
      <c r="X81" s="14">
        <f t="shared" si="56"/>
        <v>0.61904761904761907</v>
      </c>
      <c r="Y81" s="15">
        <f t="shared" si="57"/>
        <v>0.38095238095238093</v>
      </c>
      <c r="Z81" s="15">
        <f t="shared" si="58"/>
        <v>5.2684903748733545</v>
      </c>
      <c r="AA81" s="16">
        <f t="shared" si="59"/>
        <v>52.634245187436676</v>
      </c>
      <c r="AC81">
        <v>20</v>
      </c>
      <c r="AD81">
        <f t="shared" si="73"/>
        <v>21.5</v>
      </c>
      <c r="AE81" s="14">
        <f t="shared" si="60"/>
        <v>0.71666666666666667</v>
      </c>
      <c r="AF81" s="15">
        <f t="shared" si="61"/>
        <v>0.28333333333333333</v>
      </c>
      <c r="AG81" s="15">
        <f t="shared" si="62"/>
        <v>3.2402482269503547</v>
      </c>
      <c r="AH81" s="16">
        <f t="shared" si="63"/>
        <v>51.620124113475178</v>
      </c>
      <c r="AI81" s="14">
        <f t="shared" si="64"/>
        <v>0.43</v>
      </c>
      <c r="AJ81" s="15">
        <f t="shared" si="65"/>
        <v>0.57000000000000006</v>
      </c>
      <c r="AK81" s="15">
        <f t="shared" si="66"/>
        <v>6.5186170212765955</v>
      </c>
      <c r="AL81" s="16">
        <f t="shared" si="67"/>
        <v>53.259308510638299</v>
      </c>
      <c r="AM81" s="14">
        <f t="shared" si="68"/>
        <v>0.35833333333333334</v>
      </c>
      <c r="AN81" s="15">
        <f t="shared" si="69"/>
        <v>0.64166666666666661</v>
      </c>
      <c r="AO81" s="15">
        <f t="shared" si="70"/>
        <v>7.3382092198581566</v>
      </c>
      <c r="AP81" s="16">
        <f t="shared" si="71"/>
        <v>53.669104609929079</v>
      </c>
    </row>
    <row r="82" spans="1:42" x14ac:dyDescent="0.15">
      <c r="A82" s="44" t="s">
        <v>112</v>
      </c>
      <c r="B82" s="45"/>
      <c r="C82" s="46"/>
      <c r="N82">
        <v>21</v>
      </c>
      <c r="O82">
        <f t="shared" si="72"/>
        <v>42.6</v>
      </c>
      <c r="P82" s="14">
        <f t="shared" si="48"/>
        <v>0.43427230046948356</v>
      </c>
      <c r="Q82" s="15">
        <f t="shared" si="49"/>
        <v>0.56572769953051649</v>
      </c>
      <c r="R82" s="15">
        <f t="shared" si="50"/>
        <v>5.5670012985715713</v>
      </c>
      <c r="S82" s="16">
        <f t="shared" si="51"/>
        <v>52.783500649285784</v>
      </c>
      <c r="T82" s="14">
        <f t="shared" si="52"/>
        <v>0.58685446009389675</v>
      </c>
      <c r="U82" s="15">
        <f t="shared" si="53"/>
        <v>0.41314553990610325</v>
      </c>
      <c r="V82" s="15">
        <f t="shared" si="54"/>
        <v>5.4939566476875452</v>
      </c>
      <c r="W82" s="16">
        <f t="shared" si="55"/>
        <v>52.74697832384377</v>
      </c>
      <c r="X82" s="14">
        <f t="shared" si="56"/>
        <v>0.61032863849765251</v>
      </c>
      <c r="Y82" s="15">
        <f t="shared" si="57"/>
        <v>0.38967136150234749</v>
      </c>
      <c r="Z82" s="15">
        <f t="shared" si="58"/>
        <v>5.389072020777145</v>
      </c>
      <c r="AA82" s="16">
        <f t="shared" si="59"/>
        <v>52.694536010388575</v>
      </c>
      <c r="AC82">
        <v>21</v>
      </c>
      <c r="AD82">
        <f t="shared" si="73"/>
        <v>21.65</v>
      </c>
      <c r="AE82" s="14">
        <f t="shared" si="60"/>
        <v>0.72166666666666657</v>
      </c>
      <c r="AF82" s="15">
        <f t="shared" si="61"/>
        <v>0.27833333333333343</v>
      </c>
      <c r="AG82" s="15">
        <f t="shared" si="62"/>
        <v>3.2052748226950358</v>
      </c>
      <c r="AH82" s="16">
        <f t="shared" si="63"/>
        <v>51.602637411347516</v>
      </c>
      <c r="AI82" s="14">
        <f t="shared" si="64"/>
        <v>0.433</v>
      </c>
      <c r="AJ82" s="15">
        <f t="shared" si="65"/>
        <v>0.56699999999999995</v>
      </c>
      <c r="AK82" s="15">
        <f t="shared" si="66"/>
        <v>6.5295478723404266</v>
      </c>
      <c r="AL82" s="16">
        <f t="shared" si="67"/>
        <v>53.264773936170215</v>
      </c>
      <c r="AM82" s="14">
        <f t="shared" si="68"/>
        <v>0.36083333333333328</v>
      </c>
      <c r="AN82" s="15">
        <f t="shared" si="69"/>
        <v>0.63916666666666666</v>
      </c>
      <c r="AO82" s="15">
        <f t="shared" si="70"/>
        <v>7.3606161347517727</v>
      </c>
      <c r="AP82" s="16">
        <f t="shared" si="71"/>
        <v>53.68030806737589</v>
      </c>
    </row>
    <row r="83" spans="1:42" x14ac:dyDescent="0.15">
      <c r="A83" s="31" t="s">
        <v>210</v>
      </c>
      <c r="B83" s="49">
        <f>Design_Converter!B72*(10^-3)</f>
        <v>2E-3</v>
      </c>
      <c r="C83" s="31" t="s">
        <v>23</v>
      </c>
      <c r="N83">
        <v>22</v>
      </c>
      <c r="O83">
        <f t="shared" si="72"/>
        <v>43.2</v>
      </c>
      <c r="P83" s="14">
        <f t="shared" si="48"/>
        <v>0.4282407407407407</v>
      </c>
      <c r="Q83" s="15">
        <f t="shared" si="49"/>
        <v>0.5717592592592593</v>
      </c>
      <c r="R83" s="15">
        <f t="shared" si="50"/>
        <v>5.6263544129235621</v>
      </c>
      <c r="S83" s="16">
        <f t="shared" si="51"/>
        <v>52.813177206461781</v>
      </c>
      <c r="T83" s="14">
        <f t="shared" si="52"/>
        <v>0.57870370370370372</v>
      </c>
      <c r="U83" s="15">
        <f t="shared" si="53"/>
        <v>0.42129629629629628</v>
      </c>
      <c r="V83" s="15">
        <f t="shared" si="54"/>
        <v>5.6023443656422396</v>
      </c>
      <c r="W83" s="16">
        <f t="shared" si="55"/>
        <v>52.801172182821119</v>
      </c>
      <c r="X83" s="14">
        <f t="shared" si="56"/>
        <v>0.60185185185185186</v>
      </c>
      <c r="Y83" s="15">
        <f t="shared" si="57"/>
        <v>0.39814814814814814</v>
      </c>
      <c r="Z83" s="15">
        <f t="shared" si="58"/>
        <v>5.5063041765169443</v>
      </c>
      <c r="AA83" s="16">
        <f t="shared" si="59"/>
        <v>52.753152088258474</v>
      </c>
      <c r="AC83">
        <v>22</v>
      </c>
      <c r="AD83">
        <f t="shared" si="73"/>
        <v>21.8</v>
      </c>
      <c r="AE83" s="14">
        <f t="shared" si="60"/>
        <v>0.72666666666666668</v>
      </c>
      <c r="AF83" s="15">
        <f t="shared" si="61"/>
        <v>0.27333333333333332</v>
      </c>
      <c r="AG83" s="15">
        <f t="shared" si="62"/>
        <v>3.1695035460992909</v>
      </c>
      <c r="AH83" s="16">
        <f t="shared" si="63"/>
        <v>51.584751773049646</v>
      </c>
      <c r="AI83" s="14">
        <f t="shared" si="64"/>
        <v>0.436</v>
      </c>
      <c r="AJ83" s="15">
        <f t="shared" si="65"/>
        <v>0.56400000000000006</v>
      </c>
      <c r="AK83" s="15">
        <f t="shared" si="66"/>
        <v>6.54</v>
      </c>
      <c r="AL83" s="16">
        <f t="shared" si="67"/>
        <v>53.27</v>
      </c>
      <c r="AM83" s="14">
        <f t="shared" si="68"/>
        <v>0.36333333333333334</v>
      </c>
      <c r="AN83" s="15">
        <f t="shared" si="69"/>
        <v>0.63666666666666671</v>
      </c>
      <c r="AO83" s="15">
        <f t="shared" si="70"/>
        <v>7.3826241134751793</v>
      </c>
      <c r="AP83" s="16">
        <f t="shared" si="71"/>
        <v>53.691312056737587</v>
      </c>
    </row>
    <row r="84" spans="1:42" x14ac:dyDescent="0.15">
      <c r="A84" s="31" t="s">
        <v>115</v>
      </c>
      <c r="B84" s="50">
        <f>(Constants!C33*Calculations!B83/(Constants!C34))*(10^6)</f>
        <v>0.01</v>
      </c>
      <c r="C84" s="31" t="s">
        <v>32</v>
      </c>
      <c r="N84">
        <v>23</v>
      </c>
      <c r="O84">
        <f t="shared" si="72"/>
        <v>43.8</v>
      </c>
      <c r="P84" s="14">
        <f t="shared" si="48"/>
        <v>0.4223744292237443</v>
      </c>
      <c r="Q84" s="15">
        <f t="shared" si="49"/>
        <v>0.57762557077625565</v>
      </c>
      <c r="R84" s="15">
        <f t="shared" si="50"/>
        <v>5.6840814145535798</v>
      </c>
      <c r="S84" s="16">
        <f t="shared" si="51"/>
        <v>52.842040707276787</v>
      </c>
      <c r="T84" s="14">
        <f t="shared" si="52"/>
        <v>0.57077625570776258</v>
      </c>
      <c r="U84" s="15">
        <f t="shared" si="53"/>
        <v>0.42922374429223742</v>
      </c>
      <c r="V84" s="15">
        <f t="shared" si="54"/>
        <v>5.7077625570776247</v>
      </c>
      <c r="W84" s="16">
        <f t="shared" si="55"/>
        <v>52.853881278538815</v>
      </c>
      <c r="X84" s="14">
        <f t="shared" si="56"/>
        <v>0.59360730593607314</v>
      </c>
      <c r="Y84" s="15">
        <f t="shared" si="57"/>
        <v>0.40639269406392686</v>
      </c>
      <c r="Z84" s="15">
        <f t="shared" si="58"/>
        <v>5.6203244923734577</v>
      </c>
      <c r="AA84" s="16">
        <f t="shared" si="59"/>
        <v>52.810162246186728</v>
      </c>
      <c r="AC84">
        <v>23</v>
      </c>
      <c r="AD84">
        <f t="shared" si="73"/>
        <v>21.95</v>
      </c>
      <c r="AE84" s="14">
        <f t="shared" si="60"/>
        <v>0.73166666666666669</v>
      </c>
      <c r="AF84" s="15">
        <f t="shared" si="61"/>
        <v>0.26833333333333331</v>
      </c>
      <c r="AG84" s="15">
        <f t="shared" si="62"/>
        <v>3.1329343971631212</v>
      </c>
      <c r="AH84" s="16">
        <f t="shared" si="63"/>
        <v>51.566467198581563</v>
      </c>
      <c r="AI84" s="14">
        <f t="shared" si="64"/>
        <v>0.439</v>
      </c>
      <c r="AJ84" s="15">
        <f t="shared" si="65"/>
        <v>0.56099999999999994</v>
      </c>
      <c r="AK84" s="15">
        <f t="shared" si="66"/>
        <v>6.5499734042553195</v>
      </c>
      <c r="AL84" s="16">
        <f t="shared" si="67"/>
        <v>53.274986702127663</v>
      </c>
      <c r="AM84" s="14">
        <f t="shared" si="68"/>
        <v>0.36583333333333334</v>
      </c>
      <c r="AN84" s="15">
        <f t="shared" si="69"/>
        <v>0.63416666666666666</v>
      </c>
      <c r="AO84" s="15">
        <f t="shared" si="70"/>
        <v>7.4042331560283685</v>
      </c>
      <c r="AP84" s="16">
        <f t="shared" si="71"/>
        <v>53.702116578014184</v>
      </c>
    </row>
    <row r="85" spans="1:42" x14ac:dyDescent="0.15">
      <c r="A85" s="31" t="s">
        <v>181</v>
      </c>
      <c r="B85" s="49">
        <f>Design_Converter!B74</f>
        <v>0.01</v>
      </c>
      <c r="C85" s="31" t="s">
        <v>32</v>
      </c>
      <c r="N85">
        <v>24</v>
      </c>
      <c r="O85">
        <f t="shared" si="72"/>
        <v>44.4</v>
      </c>
      <c r="P85" s="14">
        <f t="shared" si="48"/>
        <v>0.41666666666666669</v>
      </c>
      <c r="Q85" s="15">
        <f t="shared" si="49"/>
        <v>0.58333333333333326</v>
      </c>
      <c r="R85" s="15">
        <f t="shared" si="50"/>
        <v>5.7402482269503547</v>
      </c>
      <c r="S85" s="16">
        <f t="shared" si="51"/>
        <v>52.870124113475178</v>
      </c>
      <c r="T85" s="14">
        <f t="shared" si="52"/>
        <v>0.56306306306306309</v>
      </c>
      <c r="U85" s="15">
        <f t="shared" si="53"/>
        <v>0.43693693693693691</v>
      </c>
      <c r="V85" s="15">
        <f t="shared" si="54"/>
        <v>5.8103316082039491</v>
      </c>
      <c r="W85" s="16">
        <f t="shared" si="55"/>
        <v>52.905165804101976</v>
      </c>
      <c r="X85" s="14">
        <f t="shared" si="56"/>
        <v>0.5855855855855856</v>
      </c>
      <c r="Y85" s="15">
        <f t="shared" si="57"/>
        <v>0.4144144144144144</v>
      </c>
      <c r="Z85" s="15">
        <f t="shared" si="58"/>
        <v>5.7312631780716892</v>
      </c>
      <c r="AA85" s="16">
        <f t="shared" si="59"/>
        <v>52.865631589035843</v>
      </c>
      <c r="AC85">
        <v>24</v>
      </c>
      <c r="AD85">
        <f t="shared" si="73"/>
        <v>22.1</v>
      </c>
      <c r="AE85" s="14">
        <f t="shared" si="60"/>
        <v>0.73666666666666669</v>
      </c>
      <c r="AF85" s="15">
        <f t="shared" si="61"/>
        <v>0.26333333333333331</v>
      </c>
      <c r="AG85" s="15">
        <f t="shared" si="62"/>
        <v>3.0955673758865245</v>
      </c>
      <c r="AH85" s="16">
        <f t="shared" si="63"/>
        <v>51.547783687943266</v>
      </c>
      <c r="AI85" s="14">
        <f t="shared" si="64"/>
        <v>0.442</v>
      </c>
      <c r="AJ85" s="15">
        <f t="shared" si="65"/>
        <v>0.55800000000000005</v>
      </c>
      <c r="AK85" s="15">
        <f t="shared" si="66"/>
        <v>6.5594680851063831</v>
      </c>
      <c r="AL85" s="16">
        <f t="shared" si="67"/>
        <v>53.279734042553194</v>
      </c>
      <c r="AM85" s="14">
        <f t="shared" si="68"/>
        <v>0.36833333333333335</v>
      </c>
      <c r="AN85" s="15">
        <f t="shared" si="69"/>
        <v>0.6316666666666666</v>
      </c>
      <c r="AO85" s="15">
        <f t="shared" si="70"/>
        <v>7.4254432624113482</v>
      </c>
      <c r="AP85" s="16">
        <f t="shared" si="71"/>
        <v>53.712721631205675</v>
      </c>
    </row>
    <row r="86" spans="1:42" x14ac:dyDescent="0.15">
      <c r="A86" s="31" t="s">
        <v>183</v>
      </c>
      <c r="B86" s="50">
        <f>1000*(Constants!C34*(B85*10^-6)/(Constants!C33))</f>
        <v>2</v>
      </c>
      <c r="C86" s="31" t="s">
        <v>114</v>
      </c>
      <c r="N86">
        <v>25</v>
      </c>
      <c r="O86">
        <f t="shared" si="72"/>
        <v>45</v>
      </c>
      <c r="P86" s="14">
        <f t="shared" si="48"/>
        <v>0.41111111111111109</v>
      </c>
      <c r="Q86" s="15">
        <f t="shared" si="49"/>
        <v>0.58888888888888891</v>
      </c>
      <c r="R86" s="15">
        <f t="shared" si="50"/>
        <v>5.7949172576832151</v>
      </c>
      <c r="S86" s="16">
        <f t="shared" si="51"/>
        <v>52.897458628841605</v>
      </c>
      <c r="T86" s="14">
        <f t="shared" si="52"/>
        <v>0.55555555555555558</v>
      </c>
      <c r="U86" s="15">
        <f t="shared" si="53"/>
        <v>0.44444444444444442</v>
      </c>
      <c r="V86" s="15">
        <f t="shared" si="54"/>
        <v>5.9101654846335707</v>
      </c>
      <c r="W86" s="16">
        <f t="shared" si="55"/>
        <v>52.955082742316783</v>
      </c>
      <c r="X86" s="14">
        <f t="shared" si="56"/>
        <v>0.57777777777777772</v>
      </c>
      <c r="Y86" s="15">
        <f t="shared" si="57"/>
        <v>0.42222222222222228</v>
      </c>
      <c r="Z86" s="15">
        <f t="shared" si="58"/>
        <v>5.8392434988179671</v>
      </c>
      <c r="AA86" s="16">
        <f t="shared" si="59"/>
        <v>52.919621749408982</v>
      </c>
      <c r="AC86">
        <v>25</v>
      </c>
      <c r="AD86">
        <f t="shared" si="73"/>
        <v>22.25</v>
      </c>
      <c r="AE86" s="14">
        <f t="shared" si="60"/>
        <v>0.7416666666666667</v>
      </c>
      <c r="AF86" s="15">
        <f t="shared" si="61"/>
        <v>0.2583333333333333</v>
      </c>
      <c r="AG86" s="15">
        <f t="shared" si="62"/>
        <v>3.0574024822695041</v>
      </c>
      <c r="AH86" s="16">
        <f t="shared" si="63"/>
        <v>51.528701241134755</v>
      </c>
      <c r="AI86" s="14">
        <f t="shared" si="64"/>
        <v>0.44500000000000001</v>
      </c>
      <c r="AJ86" s="15">
        <f t="shared" si="65"/>
        <v>0.55499999999999994</v>
      </c>
      <c r="AK86" s="15">
        <f t="shared" si="66"/>
        <v>6.5684840425531918</v>
      </c>
      <c r="AL86" s="16">
        <f t="shared" si="67"/>
        <v>53.284242021276597</v>
      </c>
      <c r="AM86" s="14">
        <f t="shared" si="68"/>
        <v>0.37083333333333335</v>
      </c>
      <c r="AN86" s="15">
        <f t="shared" si="69"/>
        <v>0.62916666666666665</v>
      </c>
      <c r="AO86" s="15">
        <f t="shared" si="70"/>
        <v>7.4462544326241149</v>
      </c>
      <c r="AP86" s="16">
        <f t="shared" si="71"/>
        <v>53.723127216312058</v>
      </c>
    </row>
    <row r="87" spans="1:42" x14ac:dyDescent="0.15">
      <c r="N87">
        <v>26</v>
      </c>
      <c r="O87">
        <f t="shared" si="72"/>
        <v>45.6</v>
      </c>
      <c r="P87" s="14">
        <f t="shared" si="48"/>
        <v>0.4057017543859649</v>
      </c>
      <c r="Q87" s="15">
        <f t="shared" si="49"/>
        <v>0.5942982456140351</v>
      </c>
      <c r="R87" s="15">
        <f t="shared" si="50"/>
        <v>5.8481476297125798</v>
      </c>
      <c r="S87" s="16">
        <f t="shared" si="51"/>
        <v>52.924073814856293</v>
      </c>
      <c r="T87" s="14">
        <f t="shared" si="52"/>
        <v>0.54824561403508765</v>
      </c>
      <c r="U87" s="15">
        <f t="shared" si="53"/>
        <v>0.45175438596491235</v>
      </c>
      <c r="V87" s="15">
        <f t="shared" si="54"/>
        <v>6.0073721537887268</v>
      </c>
      <c r="W87" s="16">
        <f t="shared" si="55"/>
        <v>53.003686076894361</v>
      </c>
      <c r="X87" s="14">
        <f t="shared" si="56"/>
        <v>0.57017543859649122</v>
      </c>
      <c r="Y87" s="15">
        <f t="shared" si="57"/>
        <v>0.42982456140350878</v>
      </c>
      <c r="Z87" s="15">
        <f t="shared" si="58"/>
        <v>5.9443822321761859</v>
      </c>
      <c r="AA87" s="16">
        <f t="shared" si="59"/>
        <v>52.972191116088091</v>
      </c>
      <c r="AC87">
        <v>26</v>
      </c>
      <c r="AD87">
        <f t="shared" si="73"/>
        <v>22.4</v>
      </c>
      <c r="AE87" s="14">
        <f t="shared" si="60"/>
        <v>0.74666666666666659</v>
      </c>
      <c r="AF87" s="15">
        <f t="shared" si="61"/>
        <v>0.25333333333333341</v>
      </c>
      <c r="AG87" s="15">
        <f t="shared" si="62"/>
        <v>3.0184397163120571</v>
      </c>
      <c r="AH87" s="16">
        <f t="shared" si="63"/>
        <v>51.50921985815603</v>
      </c>
      <c r="AI87" s="14">
        <f t="shared" si="64"/>
        <v>0.44799999999999995</v>
      </c>
      <c r="AJ87" s="15">
        <f t="shared" si="65"/>
        <v>0.55200000000000005</v>
      </c>
      <c r="AK87" s="15">
        <f t="shared" si="66"/>
        <v>6.5770212765957448</v>
      </c>
      <c r="AL87" s="16">
        <f t="shared" si="67"/>
        <v>53.288510638297872</v>
      </c>
      <c r="AM87" s="14">
        <f t="shared" si="68"/>
        <v>0.37333333333333329</v>
      </c>
      <c r="AN87" s="15">
        <f t="shared" si="69"/>
        <v>0.62666666666666671</v>
      </c>
      <c r="AO87" s="15">
        <f t="shared" si="70"/>
        <v>7.4666666666666659</v>
      </c>
      <c r="AP87" s="16">
        <f t="shared" si="71"/>
        <v>53.733333333333334</v>
      </c>
    </row>
    <row r="88" spans="1:42" x14ac:dyDescent="0.15">
      <c r="A88" s="31" t="s">
        <v>160</v>
      </c>
      <c r="B88" s="53"/>
      <c r="C88" s="31"/>
      <c r="N88">
        <v>27</v>
      </c>
      <c r="O88">
        <f t="shared" si="72"/>
        <v>46.2</v>
      </c>
      <c r="P88" s="14">
        <f t="shared" si="48"/>
        <v>0.40043290043290042</v>
      </c>
      <c r="Q88" s="15">
        <f t="shared" si="49"/>
        <v>0.59956709956709964</v>
      </c>
      <c r="R88" s="15">
        <f t="shared" si="50"/>
        <v>5.899995394676246</v>
      </c>
      <c r="S88" s="16">
        <f t="shared" si="51"/>
        <v>52.949997697338119</v>
      </c>
      <c r="T88" s="14">
        <f t="shared" si="52"/>
        <v>0.54112554112554112</v>
      </c>
      <c r="U88" s="15">
        <f t="shared" si="53"/>
        <v>0.45887445887445888</v>
      </c>
      <c r="V88" s="15">
        <f t="shared" si="54"/>
        <v>6.1020539743944013</v>
      </c>
      <c r="W88" s="16">
        <f t="shared" si="55"/>
        <v>53.051026987197204</v>
      </c>
      <c r="X88" s="14">
        <f t="shared" si="56"/>
        <v>0.5627705627705627</v>
      </c>
      <c r="Y88" s="15">
        <f t="shared" si="57"/>
        <v>0.4372294372294373</v>
      </c>
      <c r="Z88" s="15">
        <f t="shared" si="58"/>
        <v>6.0467900893432818</v>
      </c>
      <c r="AA88" s="16">
        <f t="shared" si="59"/>
        <v>53.023395044671638</v>
      </c>
      <c r="AC88">
        <v>27</v>
      </c>
      <c r="AD88">
        <f t="shared" si="73"/>
        <v>22.55</v>
      </c>
      <c r="AE88" s="14">
        <f t="shared" si="60"/>
        <v>0.75166666666666671</v>
      </c>
      <c r="AF88" s="15">
        <f t="shared" si="61"/>
        <v>0.24833333333333329</v>
      </c>
      <c r="AG88" s="15">
        <f t="shared" si="62"/>
        <v>2.9786790780141845</v>
      </c>
      <c r="AH88" s="16">
        <f t="shared" si="63"/>
        <v>51.489339539007091</v>
      </c>
      <c r="AI88" s="14">
        <f t="shared" si="64"/>
        <v>0.45100000000000001</v>
      </c>
      <c r="AJ88" s="15">
        <f t="shared" si="65"/>
        <v>0.54899999999999993</v>
      </c>
      <c r="AK88" s="15">
        <f t="shared" si="66"/>
        <v>6.5850797872340427</v>
      </c>
      <c r="AL88" s="16">
        <f t="shared" si="67"/>
        <v>53.292539893617018</v>
      </c>
      <c r="AM88" s="14">
        <f t="shared" si="68"/>
        <v>0.37583333333333335</v>
      </c>
      <c r="AN88" s="15">
        <f t="shared" si="69"/>
        <v>0.62416666666666665</v>
      </c>
      <c r="AO88" s="15">
        <f t="shared" si="70"/>
        <v>7.4866799645390083</v>
      </c>
      <c r="AP88" s="16">
        <f t="shared" si="71"/>
        <v>53.743339982269504</v>
      </c>
    </row>
    <row r="89" spans="1:42" x14ac:dyDescent="0.15">
      <c r="A89" s="31" t="s">
        <v>161</v>
      </c>
      <c r="B89" s="49">
        <f>Design_Converter!B80</f>
        <v>60</v>
      </c>
      <c r="C89" s="31" t="s">
        <v>1</v>
      </c>
      <c r="N89">
        <v>28</v>
      </c>
      <c r="O89">
        <f t="shared" si="72"/>
        <v>46.8</v>
      </c>
      <c r="P89" s="14">
        <f t="shared" si="48"/>
        <v>0.39529914529914534</v>
      </c>
      <c r="Q89" s="15">
        <f t="shared" si="49"/>
        <v>0.60470085470085466</v>
      </c>
      <c r="R89" s="15">
        <f t="shared" si="50"/>
        <v>5.9505137297690487</v>
      </c>
      <c r="S89" s="16">
        <f t="shared" si="51"/>
        <v>52.975256864884521</v>
      </c>
      <c r="T89" s="14">
        <f t="shared" si="52"/>
        <v>0.53418803418803418</v>
      </c>
      <c r="U89" s="15">
        <f t="shared" si="53"/>
        <v>0.46581196581196582</v>
      </c>
      <c r="V89" s="15">
        <f t="shared" si="54"/>
        <v>6.1943080560101826</v>
      </c>
      <c r="W89" s="16">
        <f t="shared" si="55"/>
        <v>53.097154028005093</v>
      </c>
      <c r="X89" s="14">
        <f t="shared" si="56"/>
        <v>0.55555555555555558</v>
      </c>
      <c r="Y89" s="15">
        <f t="shared" si="57"/>
        <v>0.44444444444444442</v>
      </c>
      <c r="Z89" s="15">
        <f t="shared" si="58"/>
        <v>6.1465721040189125</v>
      </c>
      <c r="AA89" s="16">
        <f t="shared" si="59"/>
        <v>53.073286052009458</v>
      </c>
      <c r="AC89">
        <v>28</v>
      </c>
      <c r="AD89">
        <f t="shared" si="73"/>
        <v>22.7</v>
      </c>
      <c r="AE89" s="14">
        <f t="shared" si="60"/>
        <v>0.7566666666666666</v>
      </c>
      <c r="AF89" s="15">
        <f t="shared" si="61"/>
        <v>0.2433333333333334</v>
      </c>
      <c r="AG89" s="15">
        <f t="shared" si="62"/>
        <v>2.9381205673758868</v>
      </c>
      <c r="AH89" s="16">
        <f t="shared" si="63"/>
        <v>51.469060283687945</v>
      </c>
      <c r="AI89" s="14">
        <f t="shared" si="64"/>
        <v>0.45399999999999996</v>
      </c>
      <c r="AJ89" s="15">
        <f t="shared" si="65"/>
        <v>0.54600000000000004</v>
      </c>
      <c r="AK89" s="15">
        <f t="shared" si="66"/>
        <v>6.5926595744680849</v>
      </c>
      <c r="AL89" s="16">
        <f t="shared" si="67"/>
        <v>53.296329787234043</v>
      </c>
      <c r="AM89" s="14">
        <f t="shared" si="68"/>
        <v>0.3783333333333333</v>
      </c>
      <c r="AN89" s="15">
        <f t="shared" si="69"/>
        <v>0.6216666666666667</v>
      </c>
      <c r="AO89" s="15">
        <f t="shared" si="70"/>
        <v>7.5062943262411341</v>
      </c>
      <c r="AP89" s="16">
        <f t="shared" si="71"/>
        <v>53.753147163120566</v>
      </c>
    </row>
    <row r="90" spans="1:42" ht="15" x14ac:dyDescent="0.25">
      <c r="A90" s="31" t="s">
        <v>162</v>
      </c>
      <c r="B90" s="54">
        <f>Constants!C19*Constants!C18/(B89-Constants!C18)/1000-1</f>
        <v>59.443764345830147</v>
      </c>
      <c r="C90" s="67" t="s">
        <v>104</v>
      </c>
      <c r="N90">
        <v>29</v>
      </c>
      <c r="O90">
        <f t="shared" si="72"/>
        <v>47.4</v>
      </c>
      <c r="P90" s="14">
        <f t="shared" si="48"/>
        <v>0.39029535864978904</v>
      </c>
      <c r="Q90" s="15">
        <f t="shared" si="49"/>
        <v>0.60970464135021096</v>
      </c>
      <c r="R90" s="15">
        <f t="shared" si="50"/>
        <v>5.999753119669629</v>
      </c>
      <c r="S90" s="16">
        <f t="shared" si="51"/>
        <v>52.999876559834817</v>
      </c>
      <c r="T90" s="14">
        <f t="shared" si="52"/>
        <v>0.52742616033755274</v>
      </c>
      <c r="U90" s="15">
        <f t="shared" si="53"/>
        <v>0.47257383966244726</v>
      </c>
      <c r="V90" s="15">
        <f t="shared" si="54"/>
        <v>6.2842265912559476</v>
      </c>
      <c r="W90" s="16">
        <f t="shared" si="55"/>
        <v>53.142113295627972</v>
      </c>
      <c r="X90" s="14">
        <f t="shared" si="56"/>
        <v>0.54852320675105481</v>
      </c>
      <c r="Y90" s="15">
        <f t="shared" si="57"/>
        <v>0.45147679324894519</v>
      </c>
      <c r="Z90" s="15">
        <f t="shared" si="58"/>
        <v>6.2438279917407309</v>
      </c>
      <c r="AA90" s="16">
        <f t="shared" si="59"/>
        <v>53.121913995870365</v>
      </c>
      <c r="AC90">
        <v>29</v>
      </c>
      <c r="AD90">
        <f t="shared" si="73"/>
        <v>22.85</v>
      </c>
      <c r="AE90" s="14">
        <f t="shared" si="60"/>
        <v>0.76166666666666671</v>
      </c>
      <c r="AF90" s="15">
        <f t="shared" si="61"/>
        <v>0.23833333333333329</v>
      </c>
      <c r="AG90" s="15">
        <f t="shared" si="62"/>
        <v>2.896764184397163</v>
      </c>
      <c r="AH90" s="16">
        <f t="shared" si="63"/>
        <v>51.448382092198578</v>
      </c>
      <c r="AI90" s="14">
        <f t="shared" si="64"/>
        <v>0.45700000000000002</v>
      </c>
      <c r="AJ90" s="15">
        <f t="shared" si="65"/>
        <v>0.54299999999999993</v>
      </c>
      <c r="AK90" s="15">
        <f t="shared" si="66"/>
        <v>6.5997606382978731</v>
      </c>
      <c r="AL90" s="16">
        <f t="shared" si="67"/>
        <v>53.29988031914894</v>
      </c>
      <c r="AM90" s="14">
        <f t="shared" si="68"/>
        <v>0.38083333333333336</v>
      </c>
      <c r="AN90" s="15">
        <f t="shared" si="69"/>
        <v>0.61916666666666664</v>
      </c>
      <c r="AO90" s="15">
        <f t="shared" si="70"/>
        <v>7.5255097517730505</v>
      </c>
      <c r="AP90" s="16">
        <f t="shared" si="71"/>
        <v>53.762754875886529</v>
      </c>
    </row>
    <row r="91" spans="1:42" ht="15" x14ac:dyDescent="0.25">
      <c r="A91" s="31" t="s">
        <v>164</v>
      </c>
      <c r="B91" s="49">
        <f>Design_Converter!B82</f>
        <v>60</v>
      </c>
      <c r="C91" s="67" t="s">
        <v>104</v>
      </c>
      <c r="N91">
        <v>30</v>
      </c>
      <c r="O91">
        <f t="shared" si="72"/>
        <v>48</v>
      </c>
      <c r="P91" s="14">
        <f t="shared" si="48"/>
        <v>0.38541666666666669</v>
      </c>
      <c r="Q91" s="15">
        <f t="shared" si="49"/>
        <v>0.61458333333333326</v>
      </c>
      <c r="R91" s="15">
        <f t="shared" si="50"/>
        <v>6.0477615248226959</v>
      </c>
      <c r="S91" s="16">
        <f t="shared" si="51"/>
        <v>53.023880762411345</v>
      </c>
      <c r="T91" s="14">
        <f t="shared" si="52"/>
        <v>0.52083333333333337</v>
      </c>
      <c r="U91" s="15">
        <f t="shared" si="53"/>
        <v>0.47916666666666663</v>
      </c>
      <c r="V91" s="15">
        <f t="shared" si="54"/>
        <v>6.3718971631205683</v>
      </c>
      <c r="W91" s="16">
        <f t="shared" si="55"/>
        <v>53.185948581560282</v>
      </c>
      <c r="X91" s="14">
        <f t="shared" si="56"/>
        <v>0.54166666666666663</v>
      </c>
      <c r="Y91" s="15">
        <f t="shared" si="57"/>
        <v>0.45833333333333337</v>
      </c>
      <c r="Z91" s="15">
        <f t="shared" si="58"/>
        <v>6.3386524822695041</v>
      </c>
      <c r="AA91" s="16">
        <f t="shared" si="59"/>
        <v>53.169326241134755</v>
      </c>
      <c r="AC91">
        <v>30</v>
      </c>
      <c r="AD91">
        <f t="shared" si="73"/>
        <v>23</v>
      </c>
      <c r="AE91" s="14">
        <f t="shared" si="60"/>
        <v>0.76666666666666672</v>
      </c>
      <c r="AF91" s="15">
        <f t="shared" si="61"/>
        <v>0.23333333333333328</v>
      </c>
      <c r="AG91" s="15">
        <f t="shared" si="62"/>
        <v>2.8546099290780145</v>
      </c>
      <c r="AH91" s="16">
        <f t="shared" si="63"/>
        <v>51.427304964539005</v>
      </c>
      <c r="AI91" s="14">
        <f t="shared" si="64"/>
        <v>0.46</v>
      </c>
      <c r="AJ91" s="15">
        <f t="shared" si="65"/>
        <v>0.54</v>
      </c>
      <c r="AK91" s="15">
        <f t="shared" si="66"/>
        <v>6.6063829787234045</v>
      </c>
      <c r="AL91" s="16">
        <f t="shared" si="67"/>
        <v>53.303191489361701</v>
      </c>
      <c r="AM91" s="14">
        <f t="shared" si="68"/>
        <v>0.38333333333333336</v>
      </c>
      <c r="AN91" s="15">
        <f t="shared" si="69"/>
        <v>0.6166666666666667</v>
      </c>
      <c r="AO91" s="15">
        <f t="shared" si="70"/>
        <v>7.544326241134752</v>
      </c>
      <c r="AP91" s="16">
        <f t="shared" si="71"/>
        <v>53.772163120567377</v>
      </c>
    </row>
    <row r="92" spans="1:42" ht="15" x14ac:dyDescent="0.25">
      <c r="A92" s="31" t="s">
        <v>163</v>
      </c>
      <c r="B92" s="54">
        <f>((B91*1000+Constants!C19)/((B91+1)*1000))*Constants!C18</f>
        <v>59.44426229508197</v>
      </c>
      <c r="C92" s="67" t="s">
        <v>1</v>
      </c>
      <c r="N92">
        <v>31</v>
      </c>
      <c r="O92">
        <f t="shared" si="72"/>
        <v>48.599999999999994</v>
      </c>
      <c r="P92" s="14">
        <f t="shared" si="48"/>
        <v>0.38065843621399181</v>
      </c>
      <c r="Q92" s="15">
        <f t="shared" si="49"/>
        <v>0.61934156378600824</v>
      </c>
      <c r="R92" s="15">
        <f t="shared" si="50"/>
        <v>6.0945845372559315</v>
      </c>
      <c r="S92" s="16">
        <f t="shared" si="51"/>
        <v>53.047292268627963</v>
      </c>
      <c r="T92" s="14">
        <f t="shared" si="52"/>
        <v>0.51440329218107006</v>
      </c>
      <c r="U92" s="15">
        <f t="shared" si="53"/>
        <v>0.48559670781892994</v>
      </c>
      <c r="V92" s="15">
        <f t="shared" si="54"/>
        <v>6.4574030295070495</v>
      </c>
      <c r="W92" s="16">
        <f t="shared" si="55"/>
        <v>53.228701514753524</v>
      </c>
      <c r="X92" s="14">
        <f t="shared" si="56"/>
        <v>0.53497942386831276</v>
      </c>
      <c r="Y92" s="15">
        <f t="shared" si="57"/>
        <v>0.46502057613168724</v>
      </c>
      <c r="Z92" s="15">
        <f t="shared" si="58"/>
        <v>6.4311356273531199</v>
      </c>
      <c r="AA92" s="16">
        <f t="shared" si="59"/>
        <v>53.215567813676557</v>
      </c>
      <c r="AC92">
        <v>31</v>
      </c>
      <c r="AD92">
        <f t="shared" si="73"/>
        <v>23.15</v>
      </c>
      <c r="AE92" s="14">
        <f t="shared" si="60"/>
        <v>0.77166666666666661</v>
      </c>
      <c r="AF92" s="15">
        <f t="shared" si="61"/>
        <v>0.22833333333333339</v>
      </c>
      <c r="AG92" s="15">
        <f t="shared" si="62"/>
        <v>2.8116578014184404</v>
      </c>
      <c r="AH92" s="16">
        <f t="shared" si="63"/>
        <v>51.405828900709217</v>
      </c>
      <c r="AI92" s="14">
        <f t="shared" si="64"/>
        <v>0.46299999999999997</v>
      </c>
      <c r="AJ92" s="15">
        <f t="shared" si="65"/>
        <v>0.53700000000000003</v>
      </c>
      <c r="AK92" s="15">
        <f t="shared" si="66"/>
        <v>6.612526595744681</v>
      </c>
      <c r="AL92" s="16">
        <f t="shared" si="67"/>
        <v>53.306263297872341</v>
      </c>
      <c r="AM92" s="14">
        <f t="shared" si="68"/>
        <v>0.38583333333333331</v>
      </c>
      <c r="AN92" s="15">
        <f t="shared" si="69"/>
        <v>0.61416666666666675</v>
      </c>
      <c r="AO92" s="15">
        <f t="shared" si="70"/>
        <v>7.5627437943262414</v>
      </c>
      <c r="AP92" s="16">
        <f t="shared" si="71"/>
        <v>53.781371897163119</v>
      </c>
    </row>
    <row r="93" spans="1:42" x14ac:dyDescent="0.15">
      <c r="A93" s="31" t="s">
        <v>165</v>
      </c>
      <c r="B93" s="49">
        <f>Design_Converter!B85</f>
        <v>28</v>
      </c>
      <c r="C93" s="31" t="s">
        <v>1</v>
      </c>
      <c r="N93">
        <v>32</v>
      </c>
      <c r="O93">
        <f t="shared" si="72"/>
        <v>49.2</v>
      </c>
      <c r="P93" s="14">
        <f t="shared" ref="P93:P111" si="74">IF(I_Channel&lt;(($O93-V12_Min)*V12_Min)/((2*Lm*Fsw)*$O93),SQRT((2*I_Channel*Lm*Fsw*V12_Min)/($O93*($O93-V12_Min))),(V12_Min/$O93))</f>
        <v>0.37601626016260159</v>
      </c>
      <c r="Q93" s="15">
        <f t="shared" ref="Q93:Q111" si="75">IF(I_Channel&lt;(($O93-V12_Min)*V12_Min)/((2*Lm*Fsw)*$O93),SQRT((2*I_Channel*Lm*Fsw*V12_Min)/($O93*($O93-V12_Min)))*(($O93-V12_Min)/(V12_Min)),1-(V12_Min/$O93))</f>
        <v>0.62398373983739841</v>
      </c>
      <c r="R93" s="15">
        <f t="shared" ref="R93:R111" si="76">IF(I_Channel&lt;(($O93-V12_Min)*V12_Min)/((2*Lm*Fsw)*$O93),(P93/(Fsw*Lm))*($O93-V12_Min),((P93/(Fsw*Lm))*($O93-V12_Min)))</f>
        <v>6.1402655249956757</v>
      </c>
      <c r="S93" s="16">
        <f t="shared" ref="S93:S111" si="77">IF(I_Channel&lt;(($O93-V12_Min)*V12_Min)/((2*Lm*Fsw)*$O93),(P93/(Fsw*Lm))*($O93-V12_Min),(R93/2)+I_Channel)</f>
        <v>53.070132762497835</v>
      </c>
      <c r="T93" s="14">
        <f t="shared" ref="T93:T111" si="78">IF(I_Channel&lt;(($O93-V12_Nom)*V12_Nom)/((2*Lm*Fsw)*$O93),SQRT((2*I_Channel*Lm*Fsw*V12_Nom)/($O93*($O93-V12_Nom))),(V12_Nom/$O93))</f>
        <v>0.50813008130081294</v>
      </c>
      <c r="U93" s="15">
        <f t="shared" ref="U93:U111" si="79">IF(I_Channel&lt;(($O93-V12_Nom)*V12_Nom)/((2*Lm*Fsw)*$O93),SQRT((2*I_Channel*Lm*Fsw*V12_Nom)/($O93*($O93-V12_Nom)))*(($O93-V12_Nom)/(V12_Nom)),1-(V12_Nom/$O93))</f>
        <v>0.49186991869918706</v>
      </c>
      <c r="V93" s="15">
        <f t="shared" ref="V93:V111" si="80">IF(I_Channel&lt;(($O93-V12_Nom)*V12_Nom)/((2*Lm*Fsw)*$O93),(T93/(Fsw*Lm))*($O93-V12_Nom),((T93/(Fsw*Lm))*($O93-V12_Nom)))</f>
        <v>6.5408233869572738</v>
      </c>
      <c r="W93" s="16">
        <f t="shared" ref="W93:W111" si="81">IF(I_Channel&lt;(($O93-V12_Nom)*V12_Nom)/((2*Lm*Fsw)*$O93),(T93/(Fsw*Lm))*($O93-V12_Nom),(V93/2)+I_Channel)</f>
        <v>53.270411693478636</v>
      </c>
      <c r="X93" s="14">
        <f t="shared" ref="X93:X111" si="82">IF(I_Channel&lt;(($O93-V12_Max)*V12_Max)/((2*Lm*Fsw)*$O93),SQRT((2*I_Channel*Lm*Fsw*V12_Max)/($O93*($O93-V12_Max))),(V12_Max/$O93))</f>
        <v>0.52845528455284552</v>
      </c>
      <c r="Y93" s="15">
        <f t="shared" ref="Y93:Y111" si="83">IF(I_Channel&lt;(($O93-V12_Max)*V12_Max)/((2*Lm*Fsw)*$O93),SQRT((2*I_Channel*Lm*Fsw*V12_Max)/($O93*($O93-V12_Max)))*(($O93-V12_Max)/(V12_Max)),1-(V12_Max/$O93))</f>
        <v>0.47154471544715448</v>
      </c>
      <c r="Z93" s="15">
        <f t="shared" ref="Z93:Z111" si="84">IF(I_Channel&lt;(($O93-V12_Max)*V12_Max)/((2*Lm*Fsw)*$O93),(X93/(Fsw*Lm))*($O93-V12_Max),((X93/(Fsw*Lm))*($O93-V12_Max)))</f>
        <v>6.5213630859712861</v>
      </c>
      <c r="AA93" s="16">
        <f t="shared" ref="AA93:AA111" si="85">IF(I_Channel&lt;(($O93-V12_Max)*V12_Max)/((2*Lm*Fsw)*$O93),(X93/(Fsw*Lm))*($O93-V12_Max),(Z93/2)+I_Channel)</f>
        <v>53.260681542985644</v>
      </c>
      <c r="AC93">
        <v>32</v>
      </c>
      <c r="AD93">
        <f t="shared" si="73"/>
        <v>23.3</v>
      </c>
      <c r="AE93" s="14">
        <f t="shared" ref="AE93:AE111" si="86">IF(I_Channel&lt;((V48_Min-$AD93)*$AD93)/((2*Lm*Fsw)*V48_Min),SQRT((2*I_Channel*Lm*Fsw*$AD93)/(V48_Min*(V48_Min-$AD93))),($AD93/V48_Min))</f>
        <v>0.77666666666666673</v>
      </c>
      <c r="AF93" s="15">
        <f t="shared" ref="AF93:AF111" si="87">IF(I_Channel&lt;((V48_Min-$AD93)*$AD93)/((2*Lm*Fsw)*V48_Min),SQRT((2*I_Channel*Lm*Fsw*$AD93)/(V48_Min*(V48_Min-$AD93)))*((V48_Min-$AD93)/($AD93)),1-($AD93/V48_Min))</f>
        <v>0.22333333333333327</v>
      </c>
      <c r="AG93" s="15">
        <f t="shared" ref="AG93:AG111" si="88">IF(I_Channel&lt;((V48_Min-$AD93)*$AD93)/((2*Lm*Fsw)*V48_Min),(AE93/(Fsw*Lm))*(V48_Min-$AD93),((AE93/(Fsw*Lm))*(V48_Min-$AD93)))</f>
        <v>2.7679078014184397</v>
      </c>
      <c r="AH93" s="16">
        <f t="shared" ref="AH93:AH111" si="89">IF(I_Channel&lt;((V48_Min-$AD93)*$AD93)/((2*Lm*Fsw)*V48_Min),(AE93/(Fsw*Lm))*(V48_Min-$AD93),(AG93/2)+I_Channel)</f>
        <v>51.383953900709223</v>
      </c>
      <c r="AI93" s="14">
        <f t="shared" ref="AI93:AI111" si="90">IF(I_Channel&lt;((V48_Nom-$AD93)*$AD93)/((2*Lm*Fsw)*V48_Nom),SQRT((2*I_Channel*Lm*Fsw*$AD93)/(V48_Nom*(V48_Nom-$AD93))),($AD93/V48_Nom))</f>
        <v>0.46600000000000003</v>
      </c>
      <c r="AJ93" s="15">
        <f t="shared" ref="AJ93:AJ111" si="91">IF(I_Channel&lt;((V48_Nom-$AD93)*$AD93)/((2*Lm*Fsw)*V48_Nom),SQRT((2*I_Channel*Lm*Fsw*$AD93)/(V48_Nom*(V48_Nom-$AD93)))*((V48_Nom-$AD93)/($AD93)),1-($AD93/V48_Nom))</f>
        <v>0.53400000000000003</v>
      </c>
      <c r="AK93" s="15">
        <f t="shared" ref="AK93:AK111" si="92">IF(I_Channel&lt;((V48_Nom-$AD93)*$AD93)/((2*Lm*Fsw)*V48_Nom),(AI93/(Fsw*Lm))*(V48_Nom-$AD93),((AI93/(Fsw*Lm))*(V48_Nom-$AD93)))</f>
        <v>6.6181914893617027</v>
      </c>
      <c r="AL93" s="16">
        <f t="shared" ref="AL93:AL111" si="93">IF(I_Channel&lt;((V48_Nom-$AD93)*$AD93)/((2*Lm*Fsw)*V48_Nom),(AI93/(Fsw*Lm))*(V48_Nom-$AD93),(AK93/2)+I_Channel)</f>
        <v>53.309095744680853</v>
      </c>
      <c r="AM93" s="14">
        <f t="shared" ref="AM93:AM111" si="94">IF(I_Channel&lt;((V48_Max-$AD93)*$AD93)/((2*Lm*Fsw)*V48_Max),SQRT((2*I_Channel*Lm*Fsw*$AD93)/(V48_Max*(V48_Max-$AD93))),($AD93/V48_Max))</f>
        <v>0.38833333333333336</v>
      </c>
      <c r="AN93" s="15">
        <f t="shared" ref="AN93:AN111" si="95">IF(I_Channel&lt;((V48_Max-$AD93)*$AD93)/((2*Lm*Fsw)*V48_Max),SQRT((2*I_Channel*Lm*Fsw*$AD93)/(V48_Max*(V48_Max-$AD93)))*((V48_Max-$AD93)/($AD93)),1-($AD93/V48_Max))</f>
        <v>0.61166666666666658</v>
      </c>
      <c r="AO93" s="15">
        <f t="shared" ref="AO93:AO111" si="96">IF(I_Channel&lt;((V48_Max-$AD93)*$AD93)/((2*Lm*Fsw)*V48_Max),(AM93/(Fsw*Lm))*(V48_Max-$AD93),((AM93/(Fsw*Lm))*(V48_Max-$AD93)))</f>
        <v>7.5807624113475196</v>
      </c>
      <c r="AP93" s="16">
        <f t="shared" ref="AP93:AP111" si="97">IF(I_Channel&lt;((V48_Max-$AD93)*$AD93)/((2*Lm*Fsw)*V48_Max),(AM93/(Fsw*Lm))*(V48_Max-$AD93),(AO93/2)+I_Channel)</f>
        <v>53.790381205673761</v>
      </c>
    </row>
    <row r="94" spans="1:42" ht="15" x14ac:dyDescent="0.25">
      <c r="A94" s="31" t="s">
        <v>166</v>
      </c>
      <c r="B94" s="54">
        <f>Constants!C20*Constants!C18/(B93-Constants!C18)/1000-1</f>
        <v>43.191683759090061</v>
      </c>
      <c r="C94" s="67" t="s">
        <v>104</v>
      </c>
      <c r="N94">
        <v>33</v>
      </c>
      <c r="O94">
        <f t="shared" ref="O94:O111" si="98">((V48_Max-V48_Min)/50)*N94+V48_Min</f>
        <v>49.8</v>
      </c>
      <c r="P94" s="14">
        <f t="shared" si="74"/>
        <v>0.37148594377510041</v>
      </c>
      <c r="Q94" s="15">
        <f t="shared" si="75"/>
        <v>0.62851405622489964</v>
      </c>
      <c r="R94" s="15">
        <f t="shared" si="76"/>
        <v>6.184845766042895</v>
      </c>
      <c r="S94" s="16">
        <f t="shared" si="77"/>
        <v>53.092422883021449</v>
      </c>
      <c r="T94" s="14">
        <f t="shared" si="78"/>
        <v>0.50200803212851408</v>
      </c>
      <c r="U94" s="15">
        <f t="shared" si="79"/>
        <v>0.49799196787148592</v>
      </c>
      <c r="V94" s="15">
        <f t="shared" si="80"/>
        <v>6.6222336153123136</v>
      </c>
      <c r="W94" s="16">
        <f t="shared" si="81"/>
        <v>53.311116807656155</v>
      </c>
      <c r="X94" s="14">
        <f t="shared" si="82"/>
        <v>0.52208835341365467</v>
      </c>
      <c r="Y94" s="15">
        <f t="shared" si="83"/>
        <v>0.47791164658634533</v>
      </c>
      <c r="Z94" s="15">
        <f t="shared" si="84"/>
        <v>6.6094163889600965</v>
      </c>
      <c r="AA94" s="16">
        <f t="shared" si="85"/>
        <v>53.30470819448005</v>
      </c>
      <c r="AC94">
        <v>33</v>
      </c>
      <c r="AD94">
        <f t="shared" ref="AD94:AD111" si="99">((V12_Max-V12_Min)/50)*AC94+V12_Min</f>
        <v>23.45</v>
      </c>
      <c r="AE94" s="14">
        <f t="shared" si="86"/>
        <v>0.78166666666666662</v>
      </c>
      <c r="AF94" s="15">
        <f t="shared" si="87"/>
        <v>0.21833333333333338</v>
      </c>
      <c r="AG94" s="15">
        <f t="shared" si="88"/>
        <v>2.7233599290780144</v>
      </c>
      <c r="AH94" s="16">
        <f t="shared" si="89"/>
        <v>51.361679964539007</v>
      </c>
      <c r="AI94" s="14">
        <f t="shared" si="90"/>
        <v>0.46899999999999997</v>
      </c>
      <c r="AJ94" s="15">
        <f t="shared" si="91"/>
        <v>0.53100000000000003</v>
      </c>
      <c r="AK94" s="15">
        <f t="shared" si="92"/>
        <v>6.6233776595744684</v>
      </c>
      <c r="AL94" s="16">
        <f t="shared" si="93"/>
        <v>53.311688829787236</v>
      </c>
      <c r="AM94" s="14">
        <f t="shared" si="94"/>
        <v>0.39083333333333331</v>
      </c>
      <c r="AN94" s="15">
        <f t="shared" si="95"/>
        <v>0.60916666666666663</v>
      </c>
      <c r="AO94" s="15">
        <f t="shared" si="96"/>
        <v>7.5983820921985803</v>
      </c>
      <c r="AP94" s="16">
        <f t="shared" si="97"/>
        <v>53.799191046099288</v>
      </c>
    </row>
    <row r="95" spans="1:42" ht="15" x14ac:dyDescent="0.25">
      <c r="A95" s="31" t="s">
        <v>167</v>
      </c>
      <c r="B95" s="49">
        <f>Design_Converter!B87</f>
        <v>43</v>
      </c>
      <c r="C95" s="67" t="s">
        <v>104</v>
      </c>
      <c r="N95">
        <v>34</v>
      </c>
      <c r="O95">
        <f t="shared" si="98"/>
        <v>50.4</v>
      </c>
      <c r="P95" s="14">
        <f t="shared" si="74"/>
        <v>0.36706349206349209</v>
      </c>
      <c r="Q95" s="15">
        <f t="shared" si="75"/>
        <v>0.63293650793650791</v>
      </c>
      <c r="R95" s="15">
        <f t="shared" si="76"/>
        <v>6.2283645727794665</v>
      </c>
      <c r="S95" s="16">
        <f t="shared" si="77"/>
        <v>53.114182286389735</v>
      </c>
      <c r="T95" s="14">
        <f t="shared" si="78"/>
        <v>0.49603174603174605</v>
      </c>
      <c r="U95" s="15">
        <f t="shared" si="79"/>
        <v>0.50396825396825395</v>
      </c>
      <c r="V95" s="15">
        <f t="shared" si="80"/>
        <v>6.7017055048969949</v>
      </c>
      <c r="W95" s="16">
        <f t="shared" si="81"/>
        <v>53.350852752448496</v>
      </c>
      <c r="X95" s="14">
        <f t="shared" si="82"/>
        <v>0.51587301587301593</v>
      </c>
      <c r="Y95" s="15">
        <f t="shared" si="83"/>
        <v>0.48412698412698407</v>
      </c>
      <c r="Z95" s="15">
        <f t="shared" si="84"/>
        <v>6.6953731847348879</v>
      </c>
      <c r="AA95" s="16">
        <f t="shared" si="85"/>
        <v>53.347686592367445</v>
      </c>
      <c r="AC95">
        <v>34</v>
      </c>
      <c r="AD95">
        <f t="shared" si="99"/>
        <v>23.6</v>
      </c>
      <c r="AE95" s="14">
        <f t="shared" si="86"/>
        <v>0.78666666666666674</v>
      </c>
      <c r="AF95" s="15">
        <f t="shared" si="87"/>
        <v>0.21333333333333326</v>
      </c>
      <c r="AG95" s="15">
        <f t="shared" si="88"/>
        <v>2.678014184397163</v>
      </c>
      <c r="AH95" s="16">
        <f t="shared" si="89"/>
        <v>51.339007092198578</v>
      </c>
      <c r="AI95" s="14">
        <f t="shared" si="90"/>
        <v>0.47200000000000003</v>
      </c>
      <c r="AJ95" s="15">
        <f t="shared" si="91"/>
        <v>0.52800000000000002</v>
      </c>
      <c r="AK95" s="15">
        <f t="shared" si="92"/>
        <v>6.6280851063829793</v>
      </c>
      <c r="AL95" s="16">
        <f t="shared" si="93"/>
        <v>53.314042553191491</v>
      </c>
      <c r="AM95" s="14">
        <f t="shared" si="94"/>
        <v>0.39333333333333337</v>
      </c>
      <c r="AN95" s="15">
        <f t="shared" si="95"/>
        <v>0.60666666666666669</v>
      </c>
      <c r="AO95" s="15">
        <f t="shared" si="96"/>
        <v>7.6156028368794333</v>
      </c>
      <c r="AP95" s="16">
        <f t="shared" si="97"/>
        <v>53.807801418439716</v>
      </c>
    </row>
    <row r="96" spans="1:42" ht="15" x14ac:dyDescent="0.25">
      <c r="A96" s="31" t="s">
        <v>168</v>
      </c>
      <c r="B96" s="54">
        <f>(Constants!C18*(Constants!C20+(Calculations!B95*1000)))/(Calculations!B95*1000)</f>
        <v>28.743139534883721</v>
      </c>
      <c r="C96" s="67" t="s">
        <v>1</v>
      </c>
      <c r="N96">
        <v>35</v>
      </c>
      <c r="O96">
        <f t="shared" si="98"/>
        <v>51</v>
      </c>
      <c r="P96" s="14">
        <f t="shared" si="74"/>
        <v>0.36274509803921567</v>
      </c>
      <c r="Q96" s="15">
        <f t="shared" si="75"/>
        <v>0.63725490196078427</v>
      </c>
      <c r="R96" s="15">
        <f t="shared" si="76"/>
        <v>6.270859407592825</v>
      </c>
      <c r="S96" s="16">
        <f t="shared" si="77"/>
        <v>53.135429703796412</v>
      </c>
      <c r="T96" s="14">
        <f t="shared" si="78"/>
        <v>0.49019607843137253</v>
      </c>
      <c r="U96" s="15">
        <f t="shared" si="79"/>
        <v>0.50980392156862742</v>
      </c>
      <c r="V96" s="15">
        <f t="shared" si="80"/>
        <v>6.7793074676679179</v>
      </c>
      <c r="W96" s="16">
        <f t="shared" si="81"/>
        <v>53.38965373383396</v>
      </c>
      <c r="X96" s="14">
        <f t="shared" si="82"/>
        <v>0.50980392156862742</v>
      </c>
      <c r="Y96" s="15">
        <f t="shared" si="83"/>
        <v>0.49019607843137258</v>
      </c>
      <c r="Z96" s="15">
        <f t="shared" si="84"/>
        <v>6.7793074676679179</v>
      </c>
      <c r="AA96" s="16">
        <f t="shared" si="85"/>
        <v>53.38965373383396</v>
      </c>
      <c r="AC96">
        <v>35</v>
      </c>
      <c r="AD96">
        <f t="shared" si="99"/>
        <v>23.75</v>
      </c>
      <c r="AE96" s="14">
        <f t="shared" si="86"/>
        <v>0.79166666666666663</v>
      </c>
      <c r="AF96" s="15">
        <f t="shared" si="87"/>
        <v>0.20833333333333337</v>
      </c>
      <c r="AG96" s="15">
        <f t="shared" si="88"/>
        <v>2.6318705673758864</v>
      </c>
      <c r="AH96" s="16">
        <f t="shared" si="89"/>
        <v>51.315935283687942</v>
      </c>
      <c r="AI96" s="14">
        <f t="shared" si="90"/>
        <v>0.47499999999999998</v>
      </c>
      <c r="AJ96" s="15">
        <f t="shared" si="91"/>
        <v>0.52500000000000002</v>
      </c>
      <c r="AK96" s="15">
        <f t="shared" si="92"/>
        <v>6.6323138297872344</v>
      </c>
      <c r="AL96" s="16">
        <f t="shared" si="93"/>
        <v>53.316156914893618</v>
      </c>
      <c r="AM96" s="14">
        <f t="shared" si="94"/>
        <v>0.39583333333333331</v>
      </c>
      <c r="AN96" s="15">
        <f t="shared" si="95"/>
        <v>0.60416666666666674</v>
      </c>
      <c r="AO96" s="15">
        <f t="shared" si="96"/>
        <v>7.6324246453900715</v>
      </c>
      <c r="AP96" s="16">
        <f t="shared" si="97"/>
        <v>53.816212322695037</v>
      </c>
    </row>
    <row r="97" spans="1:42" x14ac:dyDescent="0.15">
      <c r="N97">
        <v>36</v>
      </c>
      <c r="O97">
        <f t="shared" si="98"/>
        <v>51.599999999999994</v>
      </c>
      <c r="P97" s="14">
        <f t="shared" si="74"/>
        <v>0.35852713178294576</v>
      </c>
      <c r="Q97" s="15">
        <f t="shared" si="75"/>
        <v>0.64147286821705429</v>
      </c>
      <c r="R97" s="15">
        <f t="shared" si="76"/>
        <v>6.3123659904337783</v>
      </c>
      <c r="S97" s="16">
        <f t="shared" si="77"/>
        <v>53.156182995216888</v>
      </c>
      <c r="T97" s="14">
        <f t="shared" si="78"/>
        <v>0.48449612403100778</v>
      </c>
      <c r="U97" s="15">
        <f t="shared" si="79"/>
        <v>0.51550387596899228</v>
      </c>
      <c r="V97" s="15">
        <f t="shared" si="80"/>
        <v>6.8551047336302151</v>
      </c>
      <c r="W97" s="16">
        <f t="shared" si="81"/>
        <v>53.427552366815107</v>
      </c>
      <c r="X97" s="14">
        <f t="shared" si="82"/>
        <v>0.50387596899224807</v>
      </c>
      <c r="Y97" s="15">
        <f t="shared" si="83"/>
        <v>0.49612403100775193</v>
      </c>
      <c r="Z97" s="15">
        <f t="shared" si="84"/>
        <v>6.8612897905327381</v>
      </c>
      <c r="AA97" s="16">
        <f t="shared" si="85"/>
        <v>53.430644895266369</v>
      </c>
      <c r="AC97">
        <v>36</v>
      </c>
      <c r="AD97">
        <f t="shared" si="99"/>
        <v>23.9</v>
      </c>
      <c r="AE97" s="14">
        <f t="shared" si="86"/>
        <v>0.79666666666666663</v>
      </c>
      <c r="AF97" s="15">
        <f t="shared" si="87"/>
        <v>0.20333333333333337</v>
      </c>
      <c r="AG97" s="15">
        <f t="shared" si="88"/>
        <v>2.5849290780141851</v>
      </c>
      <c r="AH97" s="16">
        <f t="shared" si="89"/>
        <v>51.292464539007092</v>
      </c>
      <c r="AI97" s="14">
        <f t="shared" si="90"/>
        <v>0.47799999999999998</v>
      </c>
      <c r="AJ97" s="15">
        <f t="shared" si="91"/>
        <v>0.52200000000000002</v>
      </c>
      <c r="AK97" s="15">
        <f t="shared" si="92"/>
        <v>6.6360638297872345</v>
      </c>
      <c r="AL97" s="16">
        <f t="shared" si="93"/>
        <v>53.318031914893616</v>
      </c>
      <c r="AM97" s="14">
        <f t="shared" si="94"/>
        <v>0.39833333333333332</v>
      </c>
      <c r="AN97" s="15">
        <f t="shared" si="95"/>
        <v>0.60166666666666668</v>
      </c>
      <c r="AO97" s="15">
        <f t="shared" si="96"/>
        <v>7.6488475177304975</v>
      </c>
      <c r="AP97" s="16">
        <f t="shared" si="97"/>
        <v>53.824423758865251</v>
      </c>
    </row>
    <row r="98" spans="1:42" x14ac:dyDescent="0.15">
      <c r="A98" s="32" t="s">
        <v>169</v>
      </c>
      <c r="B98" s="53"/>
      <c r="C98" s="31"/>
      <c r="N98">
        <v>37</v>
      </c>
      <c r="O98">
        <f t="shared" si="98"/>
        <v>52.2</v>
      </c>
      <c r="P98" s="14">
        <f t="shared" si="74"/>
        <v>0.35440613026819923</v>
      </c>
      <c r="Q98" s="15">
        <f t="shared" si="75"/>
        <v>0.64559386973180077</v>
      </c>
      <c r="R98" s="15">
        <f t="shared" si="76"/>
        <v>6.3529183989565512</v>
      </c>
      <c r="S98" s="16">
        <f t="shared" si="77"/>
        <v>53.176459199478273</v>
      </c>
      <c r="T98" s="14">
        <f t="shared" si="78"/>
        <v>0.47892720306513409</v>
      </c>
      <c r="U98" s="15">
        <f t="shared" si="79"/>
        <v>0.52107279693486586</v>
      </c>
      <c r="V98" s="15">
        <f t="shared" si="80"/>
        <v>6.9291595337083232</v>
      </c>
      <c r="W98" s="16">
        <f t="shared" si="81"/>
        <v>53.464579766854165</v>
      </c>
      <c r="X98" s="14">
        <f t="shared" si="82"/>
        <v>0.49808429118773945</v>
      </c>
      <c r="Y98" s="15">
        <f t="shared" si="83"/>
        <v>0.50191570881226055</v>
      </c>
      <c r="Z98" s="15">
        <f t="shared" si="84"/>
        <v>6.9413874622972216</v>
      </c>
      <c r="AA98" s="16">
        <f t="shared" si="85"/>
        <v>53.470693731148614</v>
      </c>
      <c r="AC98">
        <v>37</v>
      </c>
      <c r="AD98">
        <f t="shared" si="99"/>
        <v>24.05</v>
      </c>
      <c r="AE98" s="14">
        <f t="shared" si="86"/>
        <v>0.80166666666666664</v>
      </c>
      <c r="AF98" s="15">
        <f t="shared" si="87"/>
        <v>0.19833333333333336</v>
      </c>
      <c r="AG98" s="15">
        <f t="shared" si="88"/>
        <v>2.5371897163120565</v>
      </c>
      <c r="AH98" s="16">
        <f t="shared" si="89"/>
        <v>51.268594858156028</v>
      </c>
      <c r="AI98" s="14">
        <f t="shared" si="90"/>
        <v>0.48100000000000004</v>
      </c>
      <c r="AJ98" s="15">
        <f t="shared" si="91"/>
        <v>0.51899999999999991</v>
      </c>
      <c r="AK98" s="15">
        <f t="shared" si="92"/>
        <v>6.6393351063829797</v>
      </c>
      <c r="AL98" s="16">
        <f t="shared" si="93"/>
        <v>53.319667553191493</v>
      </c>
      <c r="AM98" s="14">
        <f t="shared" si="94"/>
        <v>0.40083333333333332</v>
      </c>
      <c r="AN98" s="15">
        <f t="shared" si="95"/>
        <v>0.59916666666666663</v>
      </c>
      <c r="AO98" s="15">
        <f t="shared" si="96"/>
        <v>7.6648714539007097</v>
      </c>
      <c r="AP98" s="16">
        <f t="shared" si="97"/>
        <v>53.832435726950358</v>
      </c>
    </row>
    <row r="99" spans="1:42" x14ac:dyDescent="0.15">
      <c r="A99" s="31" t="s">
        <v>170</v>
      </c>
      <c r="B99" s="49">
        <f>IF(Design_Converter!B93=Lists!A2,0,1)</f>
        <v>0</v>
      </c>
      <c r="C99" s="31"/>
      <c r="E99" s="34" t="s">
        <v>220</v>
      </c>
      <c r="N99">
        <v>38</v>
      </c>
      <c r="O99">
        <f t="shared" si="98"/>
        <v>52.8</v>
      </c>
      <c r="P99" s="14">
        <f t="shared" si="74"/>
        <v>0.3503787878787879</v>
      </c>
      <c r="Q99" s="15">
        <f t="shared" si="75"/>
        <v>0.64962121212121215</v>
      </c>
      <c r="R99" s="15">
        <f t="shared" si="76"/>
        <v>6.3925491618310772</v>
      </c>
      <c r="S99" s="16">
        <f t="shared" si="77"/>
        <v>53.196274580915542</v>
      </c>
      <c r="T99" s="14">
        <f t="shared" si="78"/>
        <v>0.47348484848484851</v>
      </c>
      <c r="U99" s="15">
        <f t="shared" si="79"/>
        <v>0.52651515151515149</v>
      </c>
      <c r="V99" s="15">
        <f t="shared" si="80"/>
        <v>7.0015312701482912</v>
      </c>
      <c r="W99" s="16">
        <f t="shared" si="81"/>
        <v>53.500765635074146</v>
      </c>
      <c r="X99" s="14">
        <f t="shared" si="82"/>
        <v>0.49242424242424243</v>
      </c>
      <c r="Y99" s="15">
        <f t="shared" si="83"/>
        <v>0.50757575757575757</v>
      </c>
      <c r="Z99" s="15">
        <f t="shared" si="84"/>
        <v>7.0196647324306891</v>
      </c>
      <c r="AA99" s="16">
        <f t="shared" si="85"/>
        <v>53.509832366215342</v>
      </c>
      <c r="AC99">
        <v>38</v>
      </c>
      <c r="AD99">
        <f t="shared" si="99"/>
        <v>24.2</v>
      </c>
      <c r="AE99" s="14">
        <f t="shared" si="86"/>
        <v>0.80666666666666664</v>
      </c>
      <c r="AF99" s="15">
        <f t="shared" si="87"/>
        <v>0.19333333333333336</v>
      </c>
      <c r="AG99" s="15">
        <f t="shared" si="88"/>
        <v>2.488652482269504</v>
      </c>
      <c r="AH99" s="16">
        <f t="shared" si="89"/>
        <v>51.24432624113475</v>
      </c>
      <c r="AI99" s="14">
        <f t="shared" si="90"/>
        <v>0.48399999999999999</v>
      </c>
      <c r="AJ99" s="15">
        <f t="shared" si="91"/>
        <v>0.51600000000000001</v>
      </c>
      <c r="AK99" s="15">
        <f t="shared" si="92"/>
        <v>6.6421276595744683</v>
      </c>
      <c r="AL99" s="16">
        <f t="shared" si="93"/>
        <v>53.321063829787235</v>
      </c>
      <c r="AM99" s="14">
        <f t="shared" si="94"/>
        <v>0.40333333333333332</v>
      </c>
      <c r="AN99" s="15">
        <f t="shared" si="95"/>
        <v>0.59666666666666668</v>
      </c>
      <c r="AO99" s="15">
        <f t="shared" si="96"/>
        <v>7.6804964539007088</v>
      </c>
      <c r="AP99" s="16">
        <f t="shared" si="97"/>
        <v>53.840248226950351</v>
      </c>
    </row>
    <row r="100" spans="1:42" x14ac:dyDescent="0.15">
      <c r="A100" s="31" t="s">
        <v>174</v>
      </c>
      <c r="B100" s="49">
        <f>Design_Converter!B94</f>
        <v>24</v>
      </c>
      <c r="C100" s="31" t="s">
        <v>1</v>
      </c>
      <c r="N100">
        <v>39</v>
      </c>
      <c r="O100">
        <f t="shared" si="98"/>
        <v>53.4</v>
      </c>
      <c r="P100" s="14">
        <f t="shared" si="74"/>
        <v>0.34644194756554308</v>
      </c>
      <c r="Q100" s="15">
        <f t="shared" si="75"/>
        <v>0.65355805243445686</v>
      </c>
      <c r="R100" s="15">
        <f t="shared" si="76"/>
        <v>6.4312893457646032</v>
      </c>
      <c r="S100" s="16">
        <f t="shared" si="77"/>
        <v>53.215644672882298</v>
      </c>
      <c r="T100" s="14">
        <f t="shared" si="78"/>
        <v>0.46816479400749067</v>
      </c>
      <c r="U100" s="15">
        <f t="shared" si="79"/>
        <v>0.53183520599250933</v>
      </c>
      <c r="V100" s="15">
        <f t="shared" si="80"/>
        <v>7.0722766754323061</v>
      </c>
      <c r="W100" s="16">
        <f t="shared" si="81"/>
        <v>53.536138337716153</v>
      </c>
      <c r="X100" s="14">
        <f t="shared" si="82"/>
        <v>0.48689138576779029</v>
      </c>
      <c r="Y100" s="15">
        <f t="shared" si="83"/>
        <v>0.51310861423220966</v>
      </c>
      <c r="Z100" s="15">
        <f t="shared" si="84"/>
        <v>7.0961829627858792</v>
      </c>
      <c r="AA100" s="16">
        <f t="shared" si="85"/>
        <v>53.548091481392937</v>
      </c>
      <c r="AC100">
        <v>39</v>
      </c>
      <c r="AD100">
        <f t="shared" si="99"/>
        <v>24.35</v>
      </c>
      <c r="AE100" s="14">
        <f t="shared" si="86"/>
        <v>0.81166666666666676</v>
      </c>
      <c r="AF100" s="15">
        <f t="shared" si="87"/>
        <v>0.18833333333333324</v>
      </c>
      <c r="AG100" s="15">
        <f t="shared" si="88"/>
        <v>2.4393173758865245</v>
      </c>
      <c r="AH100" s="16">
        <f t="shared" si="89"/>
        <v>51.219658687943266</v>
      </c>
      <c r="AI100" s="14">
        <f t="shared" si="90"/>
        <v>0.48700000000000004</v>
      </c>
      <c r="AJ100" s="15">
        <f t="shared" si="91"/>
        <v>0.5129999999999999</v>
      </c>
      <c r="AK100" s="15">
        <f t="shared" si="92"/>
        <v>6.6444414893617028</v>
      </c>
      <c r="AL100" s="16">
        <f t="shared" si="93"/>
        <v>53.322220744680848</v>
      </c>
      <c r="AM100" s="14">
        <f t="shared" si="94"/>
        <v>0.40583333333333338</v>
      </c>
      <c r="AN100" s="15">
        <f t="shared" si="95"/>
        <v>0.59416666666666662</v>
      </c>
      <c r="AO100" s="15">
        <f t="shared" si="96"/>
        <v>7.6957225177304975</v>
      </c>
      <c r="AP100" s="16">
        <f t="shared" si="97"/>
        <v>53.847861258865251</v>
      </c>
    </row>
    <row r="101" spans="1:42" ht="15" x14ac:dyDescent="0.25">
      <c r="A101" s="31" t="s">
        <v>175</v>
      </c>
      <c r="B101" s="49">
        <f>Design_Converter!B95</f>
        <v>10</v>
      </c>
      <c r="C101" s="67" t="s">
        <v>104</v>
      </c>
      <c r="N101">
        <v>40</v>
      </c>
      <c r="O101">
        <f t="shared" si="98"/>
        <v>54</v>
      </c>
      <c r="P101" s="14">
        <f t="shared" si="74"/>
        <v>0.34259259259259262</v>
      </c>
      <c r="Q101" s="15">
        <f t="shared" si="75"/>
        <v>0.65740740740740744</v>
      </c>
      <c r="R101" s="15">
        <f t="shared" si="76"/>
        <v>6.4691686367218288</v>
      </c>
      <c r="S101" s="16">
        <f t="shared" si="77"/>
        <v>53.234584318360916</v>
      </c>
      <c r="T101" s="14">
        <f t="shared" si="78"/>
        <v>0.46296296296296297</v>
      </c>
      <c r="U101" s="15">
        <f t="shared" si="79"/>
        <v>0.53703703703703698</v>
      </c>
      <c r="V101" s="15">
        <f t="shared" si="80"/>
        <v>7.141449960598897</v>
      </c>
      <c r="W101" s="16">
        <f t="shared" si="81"/>
        <v>53.570724980299445</v>
      </c>
      <c r="X101" s="14">
        <f t="shared" si="82"/>
        <v>0.48148148148148145</v>
      </c>
      <c r="Y101" s="15">
        <f t="shared" si="83"/>
        <v>0.5185185185185186</v>
      </c>
      <c r="Z101" s="15">
        <f t="shared" si="84"/>
        <v>7.1710007880220639</v>
      </c>
      <c r="AA101" s="16">
        <f t="shared" si="85"/>
        <v>53.585500394011035</v>
      </c>
      <c r="AC101">
        <v>40</v>
      </c>
      <c r="AD101">
        <f t="shared" si="99"/>
        <v>24.5</v>
      </c>
      <c r="AE101" s="14">
        <f t="shared" si="86"/>
        <v>0.81666666666666665</v>
      </c>
      <c r="AF101" s="15">
        <f t="shared" si="87"/>
        <v>0.18333333333333335</v>
      </c>
      <c r="AG101" s="15">
        <f t="shared" si="88"/>
        <v>2.3891843971631208</v>
      </c>
      <c r="AH101" s="16">
        <f t="shared" si="89"/>
        <v>51.19459219858156</v>
      </c>
      <c r="AI101" s="14">
        <f t="shared" si="90"/>
        <v>0.49</v>
      </c>
      <c r="AJ101" s="15">
        <f t="shared" si="91"/>
        <v>0.51</v>
      </c>
      <c r="AK101" s="15">
        <f t="shared" si="92"/>
        <v>6.6462765957446814</v>
      </c>
      <c r="AL101" s="16">
        <f t="shared" si="93"/>
        <v>53.32313829787234</v>
      </c>
      <c r="AM101" s="14">
        <f t="shared" si="94"/>
        <v>0.40833333333333333</v>
      </c>
      <c r="AN101" s="15">
        <f t="shared" si="95"/>
        <v>0.59166666666666667</v>
      </c>
      <c r="AO101" s="15">
        <f t="shared" si="96"/>
        <v>7.7105496453900715</v>
      </c>
      <c r="AP101" s="16">
        <f t="shared" si="97"/>
        <v>53.855274822695037</v>
      </c>
    </row>
    <row r="102" spans="1:42" ht="15" x14ac:dyDescent="0.25">
      <c r="A102" s="31" t="s">
        <v>176</v>
      </c>
      <c r="B102" s="53">
        <f>((B100-Constants!C11)/(Constants!C11))*B101</f>
        <v>86</v>
      </c>
      <c r="C102" s="67" t="s">
        <v>104</v>
      </c>
      <c r="N102">
        <v>41</v>
      </c>
      <c r="O102">
        <f t="shared" si="98"/>
        <v>54.599999999999994</v>
      </c>
      <c r="P102" s="14">
        <f t="shared" si="74"/>
        <v>0.33882783882783885</v>
      </c>
      <c r="Q102" s="15">
        <f t="shared" si="75"/>
        <v>0.66117216117216115</v>
      </c>
      <c r="R102" s="15">
        <f t="shared" si="76"/>
        <v>6.5062154157898835</v>
      </c>
      <c r="S102" s="16">
        <f t="shared" si="77"/>
        <v>53.253107707894941</v>
      </c>
      <c r="T102" s="14">
        <f t="shared" si="78"/>
        <v>0.45787545787545791</v>
      </c>
      <c r="U102" s="15">
        <f t="shared" si="79"/>
        <v>0.54212454212454209</v>
      </c>
      <c r="V102" s="15">
        <f t="shared" si="80"/>
        <v>7.2091029537838045</v>
      </c>
      <c r="W102" s="16">
        <f t="shared" si="81"/>
        <v>53.604551476891899</v>
      </c>
      <c r="X102" s="14">
        <f t="shared" si="82"/>
        <v>0.47619047619047622</v>
      </c>
      <c r="Y102" s="15">
        <f t="shared" si="83"/>
        <v>0.52380952380952372</v>
      </c>
      <c r="Z102" s="15">
        <f t="shared" si="84"/>
        <v>7.2441742654508605</v>
      </c>
      <c r="AA102" s="16">
        <f t="shared" si="85"/>
        <v>53.622087132725433</v>
      </c>
      <c r="AC102">
        <v>41</v>
      </c>
      <c r="AD102">
        <f t="shared" si="99"/>
        <v>24.65</v>
      </c>
      <c r="AE102" s="14">
        <f t="shared" si="86"/>
        <v>0.82166666666666666</v>
      </c>
      <c r="AF102" s="15">
        <f t="shared" si="87"/>
        <v>0.17833333333333334</v>
      </c>
      <c r="AG102" s="15">
        <f t="shared" si="88"/>
        <v>2.3382535460992915</v>
      </c>
      <c r="AH102" s="16">
        <f t="shared" si="89"/>
        <v>51.169126773049648</v>
      </c>
      <c r="AI102" s="14">
        <f t="shared" si="90"/>
        <v>0.49299999999999999</v>
      </c>
      <c r="AJ102" s="15">
        <f t="shared" si="91"/>
        <v>0.50700000000000001</v>
      </c>
      <c r="AK102" s="15">
        <f t="shared" si="92"/>
        <v>6.6476329787234043</v>
      </c>
      <c r="AL102" s="16">
        <f t="shared" si="93"/>
        <v>53.323816489361704</v>
      </c>
      <c r="AM102" s="14">
        <f t="shared" si="94"/>
        <v>0.41083333333333333</v>
      </c>
      <c r="AN102" s="15">
        <f t="shared" si="95"/>
        <v>0.58916666666666662</v>
      </c>
      <c r="AO102" s="15">
        <f t="shared" si="96"/>
        <v>7.7249778368794333</v>
      </c>
      <c r="AP102" s="16">
        <f t="shared" si="97"/>
        <v>53.862488918439716</v>
      </c>
    </row>
    <row r="103" spans="1:42" ht="15" x14ac:dyDescent="0.25">
      <c r="A103" s="31" t="s">
        <v>177</v>
      </c>
      <c r="B103" s="49">
        <f>Design_Converter!B97</f>
        <v>86.6</v>
      </c>
      <c r="C103" s="67" t="s">
        <v>104</v>
      </c>
      <c r="N103">
        <v>42</v>
      </c>
      <c r="O103">
        <f t="shared" si="98"/>
        <v>55.2</v>
      </c>
      <c r="P103" s="14">
        <f t="shared" si="74"/>
        <v>0.33514492753623187</v>
      </c>
      <c r="Q103" s="15">
        <f t="shared" si="75"/>
        <v>0.66485507246376807</v>
      </c>
      <c r="R103" s="15">
        <f t="shared" si="76"/>
        <v>6.542456830095591</v>
      </c>
      <c r="S103" s="16">
        <f t="shared" si="77"/>
        <v>53.271228415047794</v>
      </c>
      <c r="T103" s="14">
        <f t="shared" si="78"/>
        <v>0.45289855072463764</v>
      </c>
      <c r="U103" s="15">
        <f t="shared" si="79"/>
        <v>0.54710144927536231</v>
      </c>
      <c r="V103" s="15">
        <f t="shared" si="80"/>
        <v>7.2752852297255632</v>
      </c>
      <c r="W103" s="16">
        <f t="shared" si="81"/>
        <v>53.637642614862784</v>
      </c>
      <c r="X103" s="14">
        <f t="shared" si="82"/>
        <v>0.47101449275362317</v>
      </c>
      <c r="Y103" s="15">
        <f t="shared" si="83"/>
        <v>0.52898550724637683</v>
      </c>
      <c r="Z103" s="15">
        <f t="shared" si="84"/>
        <v>7.315757015109468</v>
      </c>
      <c r="AA103" s="16">
        <f t="shared" si="85"/>
        <v>53.657878507554734</v>
      </c>
      <c r="AC103">
        <v>42</v>
      </c>
      <c r="AD103">
        <f t="shared" si="99"/>
        <v>24.8</v>
      </c>
      <c r="AE103" s="14">
        <f t="shared" si="86"/>
        <v>0.82666666666666666</v>
      </c>
      <c r="AF103" s="15">
        <f t="shared" si="87"/>
        <v>0.17333333333333334</v>
      </c>
      <c r="AG103" s="15">
        <f t="shared" si="88"/>
        <v>2.2865248226950352</v>
      </c>
      <c r="AH103" s="16">
        <f t="shared" si="89"/>
        <v>51.143262411347514</v>
      </c>
      <c r="AI103" s="14">
        <f t="shared" si="90"/>
        <v>0.496</v>
      </c>
      <c r="AJ103" s="15">
        <f t="shared" si="91"/>
        <v>0.504</v>
      </c>
      <c r="AK103" s="15">
        <f t="shared" si="92"/>
        <v>6.6485106382978723</v>
      </c>
      <c r="AL103" s="16">
        <f t="shared" si="93"/>
        <v>53.324255319148939</v>
      </c>
      <c r="AM103" s="14">
        <f t="shared" si="94"/>
        <v>0.41333333333333333</v>
      </c>
      <c r="AN103" s="15">
        <f t="shared" si="95"/>
        <v>0.58666666666666667</v>
      </c>
      <c r="AO103" s="15">
        <f t="shared" si="96"/>
        <v>7.739007092198583</v>
      </c>
      <c r="AP103" s="16">
        <f t="shared" si="97"/>
        <v>53.869503546099288</v>
      </c>
    </row>
    <row r="104" spans="1:42" x14ac:dyDescent="0.15">
      <c r="A104" s="31" t="s">
        <v>240</v>
      </c>
      <c r="B104" s="49">
        <f>IF(Design_Converter!B98=Lists!C2,0,1)</f>
        <v>0</v>
      </c>
      <c r="C104" s="31"/>
      <c r="E104" s="34" t="s">
        <v>239</v>
      </c>
      <c r="N104">
        <v>43</v>
      </c>
      <c r="O104">
        <f t="shared" si="98"/>
        <v>55.8</v>
      </c>
      <c r="P104" s="14">
        <f t="shared" si="74"/>
        <v>0.33154121863799285</v>
      </c>
      <c r="Q104" s="15">
        <f t="shared" si="75"/>
        <v>0.66845878136200709</v>
      </c>
      <c r="R104" s="15">
        <f t="shared" si="76"/>
        <v>6.5779188591474105</v>
      </c>
      <c r="S104" s="16">
        <f t="shared" si="77"/>
        <v>53.288959429573708</v>
      </c>
      <c r="T104" s="14">
        <f t="shared" si="78"/>
        <v>0.44802867383512546</v>
      </c>
      <c r="U104" s="15">
        <f t="shared" si="79"/>
        <v>0.55197132616487454</v>
      </c>
      <c r="V104" s="15">
        <f t="shared" si="80"/>
        <v>7.3400442309158853</v>
      </c>
      <c r="W104" s="16">
        <f t="shared" si="81"/>
        <v>53.67002211545794</v>
      </c>
      <c r="X104" s="14">
        <f t="shared" si="82"/>
        <v>0.46594982078853048</v>
      </c>
      <c r="Y104" s="15">
        <f t="shared" si="83"/>
        <v>0.53405017921146958</v>
      </c>
      <c r="Z104" s="15">
        <f t="shared" si="84"/>
        <v>7.3858003507969192</v>
      </c>
      <c r="AA104" s="16">
        <f t="shared" si="85"/>
        <v>53.692900175398456</v>
      </c>
      <c r="AC104">
        <v>43</v>
      </c>
      <c r="AD104">
        <f t="shared" si="99"/>
        <v>24.95</v>
      </c>
      <c r="AE104" s="14">
        <f t="shared" si="86"/>
        <v>0.83166666666666667</v>
      </c>
      <c r="AF104" s="15">
        <f t="shared" si="87"/>
        <v>0.16833333333333333</v>
      </c>
      <c r="AG104" s="15">
        <f t="shared" si="88"/>
        <v>2.2339982269503551</v>
      </c>
      <c r="AH104" s="16">
        <f t="shared" si="89"/>
        <v>51.116999113475174</v>
      </c>
      <c r="AI104" s="14">
        <f t="shared" si="90"/>
        <v>0.499</v>
      </c>
      <c r="AJ104" s="15">
        <f t="shared" si="91"/>
        <v>0.501</v>
      </c>
      <c r="AK104" s="15">
        <f t="shared" si="92"/>
        <v>6.6489095744680862</v>
      </c>
      <c r="AL104" s="16">
        <f t="shared" si="93"/>
        <v>53.324454787234046</v>
      </c>
      <c r="AM104" s="14">
        <f t="shared" si="94"/>
        <v>0.41583333333333333</v>
      </c>
      <c r="AN104" s="15">
        <f t="shared" si="95"/>
        <v>0.58416666666666672</v>
      </c>
      <c r="AO104" s="15">
        <f t="shared" si="96"/>
        <v>7.7526374113475178</v>
      </c>
      <c r="AP104" s="16">
        <f t="shared" si="97"/>
        <v>53.876318705673761</v>
      </c>
    </row>
    <row r="105" spans="1:42" x14ac:dyDescent="0.15">
      <c r="A105" s="31" t="s">
        <v>242</v>
      </c>
      <c r="B105" s="49">
        <f>Design_Converter!B99</f>
        <v>2.4</v>
      </c>
      <c r="C105" s="31" t="s">
        <v>1</v>
      </c>
      <c r="N105">
        <v>44</v>
      </c>
      <c r="O105">
        <f t="shared" si="98"/>
        <v>56.4</v>
      </c>
      <c r="P105" s="14">
        <f t="shared" si="74"/>
        <v>0.32801418439716312</v>
      </c>
      <c r="Q105" s="15">
        <f t="shared" si="75"/>
        <v>0.67198581560283688</v>
      </c>
      <c r="R105" s="15">
        <f t="shared" si="76"/>
        <v>6.61262637694281</v>
      </c>
      <c r="S105" s="16">
        <f t="shared" si="77"/>
        <v>53.306313188471407</v>
      </c>
      <c r="T105" s="14">
        <f t="shared" si="78"/>
        <v>0.44326241134751776</v>
      </c>
      <c r="U105" s="15">
        <f t="shared" si="79"/>
        <v>0.55673758865248224</v>
      </c>
      <c r="V105" s="15">
        <f t="shared" si="80"/>
        <v>7.4034253810170512</v>
      </c>
      <c r="W105" s="16">
        <f t="shared" si="81"/>
        <v>53.701712690508529</v>
      </c>
      <c r="X105" s="14">
        <f t="shared" si="82"/>
        <v>0.46099290780141844</v>
      </c>
      <c r="Y105" s="15">
        <f t="shared" si="83"/>
        <v>0.53900709219858156</v>
      </c>
      <c r="Z105" s="15">
        <f t="shared" si="84"/>
        <v>7.4543534027463405</v>
      </c>
      <c r="AA105" s="16">
        <f t="shared" si="85"/>
        <v>53.727176701373168</v>
      </c>
      <c r="AC105">
        <v>44</v>
      </c>
      <c r="AD105">
        <f t="shared" si="99"/>
        <v>25.1</v>
      </c>
      <c r="AE105" s="14">
        <f t="shared" si="86"/>
        <v>0.83666666666666667</v>
      </c>
      <c r="AF105" s="15">
        <f t="shared" si="87"/>
        <v>0.16333333333333333</v>
      </c>
      <c r="AG105" s="15">
        <f t="shared" si="88"/>
        <v>2.1806737588652476</v>
      </c>
      <c r="AH105" s="16">
        <f t="shared" si="89"/>
        <v>51.090336879432627</v>
      </c>
      <c r="AI105" s="14">
        <f t="shared" si="90"/>
        <v>0.502</v>
      </c>
      <c r="AJ105" s="15">
        <f t="shared" si="91"/>
        <v>0.498</v>
      </c>
      <c r="AK105" s="15">
        <f t="shared" si="92"/>
        <v>6.6488297872340425</v>
      </c>
      <c r="AL105" s="16">
        <f t="shared" si="93"/>
        <v>53.324414893617018</v>
      </c>
      <c r="AM105" s="14">
        <f t="shared" si="94"/>
        <v>0.41833333333333333</v>
      </c>
      <c r="AN105" s="15">
        <f t="shared" si="95"/>
        <v>0.58166666666666667</v>
      </c>
      <c r="AO105" s="15">
        <f t="shared" si="96"/>
        <v>7.7658687943262406</v>
      </c>
      <c r="AP105" s="16">
        <f t="shared" si="97"/>
        <v>53.882934397163119</v>
      </c>
    </row>
    <row r="106" spans="1:42" ht="15" x14ac:dyDescent="0.25">
      <c r="A106" s="31" t="s">
        <v>243</v>
      </c>
      <c r="B106" s="63">
        <f>((B105/Constants!C13)-(B103*1000))/(1+(B103/B101))/1000</f>
        <v>0.97308488612836441</v>
      </c>
      <c r="C106" s="67" t="s">
        <v>104</v>
      </c>
      <c r="N106">
        <v>45</v>
      </c>
      <c r="O106">
        <f t="shared" si="98"/>
        <v>57</v>
      </c>
      <c r="P106" s="14">
        <f t="shared" si="74"/>
        <v>0.32456140350877194</v>
      </c>
      <c r="Q106" s="15">
        <f t="shared" si="75"/>
        <v>0.67543859649122806</v>
      </c>
      <c r="R106" s="15">
        <f t="shared" si="76"/>
        <v>6.6466032101530423</v>
      </c>
      <c r="S106" s="16">
        <f t="shared" si="77"/>
        <v>53.323301605076523</v>
      </c>
      <c r="T106" s="14">
        <f t="shared" si="78"/>
        <v>0.43859649122807015</v>
      </c>
      <c r="U106" s="15">
        <f t="shared" si="79"/>
        <v>0.56140350877192979</v>
      </c>
      <c r="V106" s="15">
        <f t="shared" si="80"/>
        <v>7.4654721911160884</v>
      </c>
      <c r="W106" s="16">
        <f t="shared" si="81"/>
        <v>53.732736095558046</v>
      </c>
      <c r="X106" s="14">
        <f t="shared" si="82"/>
        <v>0.45614035087719296</v>
      </c>
      <c r="Y106" s="15">
        <f t="shared" si="83"/>
        <v>0.54385964912280704</v>
      </c>
      <c r="Z106" s="15">
        <f t="shared" si="84"/>
        <v>7.5214632325494586</v>
      </c>
      <c r="AA106" s="16">
        <f t="shared" si="85"/>
        <v>53.760731616274732</v>
      </c>
      <c r="AC106">
        <v>45</v>
      </c>
      <c r="AD106">
        <f t="shared" si="99"/>
        <v>25.25</v>
      </c>
      <c r="AE106" s="14">
        <f t="shared" si="86"/>
        <v>0.84166666666666667</v>
      </c>
      <c r="AF106" s="15">
        <f t="shared" si="87"/>
        <v>0.15833333333333333</v>
      </c>
      <c r="AG106" s="15">
        <f t="shared" si="88"/>
        <v>2.1265514184397163</v>
      </c>
      <c r="AH106" s="16">
        <f t="shared" si="89"/>
        <v>51.063275709219859</v>
      </c>
      <c r="AI106" s="14">
        <f t="shared" si="90"/>
        <v>0.505</v>
      </c>
      <c r="AJ106" s="15">
        <f t="shared" si="91"/>
        <v>0.495</v>
      </c>
      <c r="AK106" s="15">
        <f t="shared" si="92"/>
        <v>6.6482712765957448</v>
      </c>
      <c r="AL106" s="16">
        <f t="shared" si="93"/>
        <v>53.324135638297875</v>
      </c>
      <c r="AM106" s="14">
        <f t="shared" si="94"/>
        <v>0.42083333333333334</v>
      </c>
      <c r="AN106" s="15">
        <f t="shared" si="95"/>
        <v>0.57916666666666661</v>
      </c>
      <c r="AO106" s="15">
        <f t="shared" si="96"/>
        <v>7.778701241134752</v>
      </c>
      <c r="AP106" s="16">
        <f t="shared" si="97"/>
        <v>53.889350620567377</v>
      </c>
    </row>
    <row r="107" spans="1:42" ht="15" x14ac:dyDescent="0.25">
      <c r="A107" s="31" t="s">
        <v>244</v>
      </c>
      <c r="B107" s="49">
        <f>Design_Converter!B101</f>
        <v>0.97299999999999998</v>
      </c>
      <c r="C107" s="67" t="s">
        <v>104</v>
      </c>
      <c r="N107">
        <v>46</v>
      </c>
      <c r="O107">
        <f t="shared" si="98"/>
        <v>57.599999999999994</v>
      </c>
      <c r="P107" s="14">
        <f t="shared" si="74"/>
        <v>0.32118055555555558</v>
      </c>
      <c r="Q107" s="15">
        <f t="shared" si="75"/>
        <v>0.67881944444444442</v>
      </c>
      <c r="R107" s="15">
        <f t="shared" si="76"/>
        <v>6.6798721926713949</v>
      </c>
      <c r="S107" s="16">
        <f t="shared" si="77"/>
        <v>53.339936096335698</v>
      </c>
      <c r="T107" s="14">
        <f t="shared" si="78"/>
        <v>0.43402777777777785</v>
      </c>
      <c r="U107" s="15">
        <f t="shared" si="79"/>
        <v>0.5659722222222221</v>
      </c>
      <c r="V107" s="15">
        <f t="shared" si="80"/>
        <v>7.5262263593380618</v>
      </c>
      <c r="W107" s="16">
        <f t="shared" si="81"/>
        <v>53.763113179669034</v>
      </c>
      <c r="X107" s="14">
        <f t="shared" si="82"/>
        <v>0.45138888888888895</v>
      </c>
      <c r="Y107" s="15">
        <f t="shared" si="83"/>
        <v>0.54861111111111105</v>
      </c>
      <c r="Z107" s="15">
        <f t="shared" si="84"/>
        <v>7.5871749408983451</v>
      </c>
      <c r="AA107" s="16">
        <f t="shared" si="85"/>
        <v>53.793587470449175</v>
      </c>
      <c r="AC107">
        <v>46</v>
      </c>
      <c r="AD107">
        <f t="shared" si="99"/>
        <v>25.4</v>
      </c>
      <c r="AE107" s="14">
        <f t="shared" si="86"/>
        <v>0.84666666666666657</v>
      </c>
      <c r="AF107" s="15">
        <f t="shared" si="87"/>
        <v>0.15333333333333343</v>
      </c>
      <c r="AG107" s="15">
        <f t="shared" si="88"/>
        <v>2.0716312056737594</v>
      </c>
      <c r="AH107" s="16">
        <f t="shared" si="89"/>
        <v>51.035815602836877</v>
      </c>
      <c r="AI107" s="14">
        <f t="shared" si="90"/>
        <v>0.50800000000000001</v>
      </c>
      <c r="AJ107" s="15">
        <f t="shared" si="91"/>
        <v>0.49199999999999999</v>
      </c>
      <c r="AK107" s="15">
        <f t="shared" si="92"/>
        <v>6.6472340425531922</v>
      </c>
      <c r="AL107" s="16">
        <f t="shared" si="93"/>
        <v>53.323617021276597</v>
      </c>
      <c r="AM107" s="14">
        <f t="shared" si="94"/>
        <v>0.42333333333333328</v>
      </c>
      <c r="AN107" s="15">
        <f t="shared" si="95"/>
        <v>0.57666666666666666</v>
      </c>
      <c r="AO107" s="15">
        <f t="shared" si="96"/>
        <v>7.7911347517730496</v>
      </c>
      <c r="AP107" s="16">
        <f t="shared" si="97"/>
        <v>53.895567375886522</v>
      </c>
    </row>
    <row r="108" spans="1:42" ht="15" x14ac:dyDescent="0.25">
      <c r="A108" s="1" t="s">
        <v>179</v>
      </c>
      <c r="B108" s="63">
        <f>IF(B104=0,Constants!C13*Calculations!B103*1000,((B103*1000)+(B107*1000)*(1+(B103/B101)))*Constants!C13)</f>
        <v>2.165</v>
      </c>
      <c r="C108" s="67" t="s">
        <v>1</v>
      </c>
      <c r="N108">
        <v>47</v>
      </c>
      <c r="O108">
        <f t="shared" si="98"/>
        <v>58.2</v>
      </c>
      <c r="P108" s="14">
        <f t="shared" si="74"/>
        <v>0.31786941580756012</v>
      </c>
      <c r="Q108" s="15">
        <f t="shared" si="75"/>
        <v>0.68213058419243988</v>
      </c>
      <c r="R108" s="15">
        <f t="shared" si="76"/>
        <v>6.7124552167873084</v>
      </c>
      <c r="S108" s="16">
        <f t="shared" si="77"/>
        <v>53.356227608393652</v>
      </c>
      <c r="T108" s="14">
        <f t="shared" si="78"/>
        <v>0.42955326460481097</v>
      </c>
      <c r="U108" s="15">
        <f t="shared" si="79"/>
        <v>0.57044673539518898</v>
      </c>
      <c r="V108" s="15">
        <f t="shared" si="80"/>
        <v>7.5857278642977262</v>
      </c>
      <c r="W108" s="16">
        <f t="shared" si="81"/>
        <v>53.792863932148862</v>
      </c>
      <c r="X108" s="14">
        <f t="shared" si="82"/>
        <v>0.4467353951890034</v>
      </c>
      <c r="Y108" s="15">
        <f t="shared" si="83"/>
        <v>0.5532646048109966</v>
      </c>
      <c r="Z108" s="15">
        <f t="shared" si="84"/>
        <v>7.6515317686627187</v>
      </c>
      <c r="AA108" s="16">
        <f t="shared" si="85"/>
        <v>53.825765884331361</v>
      </c>
      <c r="AC108">
        <v>47</v>
      </c>
      <c r="AD108">
        <f t="shared" si="99"/>
        <v>25.55</v>
      </c>
      <c r="AE108" s="14">
        <f t="shared" si="86"/>
        <v>0.85166666666666668</v>
      </c>
      <c r="AF108" s="15">
        <f t="shared" si="87"/>
        <v>0.14833333333333332</v>
      </c>
      <c r="AG108" s="15">
        <f t="shared" si="88"/>
        <v>2.0159131205673759</v>
      </c>
      <c r="AH108" s="16">
        <f t="shared" si="89"/>
        <v>51.007956560283688</v>
      </c>
      <c r="AI108" s="14">
        <f t="shared" si="90"/>
        <v>0.51100000000000001</v>
      </c>
      <c r="AJ108" s="15">
        <f t="shared" si="91"/>
        <v>0.48899999999999999</v>
      </c>
      <c r="AK108" s="15">
        <f t="shared" si="92"/>
        <v>6.6457180851063837</v>
      </c>
      <c r="AL108" s="16">
        <f t="shared" si="93"/>
        <v>53.322859042553191</v>
      </c>
      <c r="AM108" s="14">
        <f t="shared" si="94"/>
        <v>0.42583333333333334</v>
      </c>
      <c r="AN108" s="15">
        <f t="shared" si="95"/>
        <v>0.57416666666666671</v>
      </c>
      <c r="AO108" s="15">
        <f t="shared" si="96"/>
        <v>7.8031693262411368</v>
      </c>
      <c r="AP108" s="16">
        <f t="shared" si="97"/>
        <v>53.901584663120566</v>
      </c>
    </row>
    <row r="109" spans="1:42" ht="15" x14ac:dyDescent="0.25">
      <c r="A109" s="1" t="s">
        <v>245</v>
      </c>
      <c r="B109" s="53">
        <f>Constants!C11*((Calculations!B101+Calculations!B103)/Calculations!B101)</f>
        <v>24.15</v>
      </c>
      <c r="C109" s="67" t="s">
        <v>1</v>
      </c>
      <c r="N109">
        <v>48</v>
      </c>
      <c r="O109">
        <f t="shared" si="98"/>
        <v>58.8</v>
      </c>
      <c r="P109" s="14">
        <f t="shared" si="74"/>
        <v>0.31462585034013607</v>
      </c>
      <c r="Q109" s="15">
        <f t="shared" si="75"/>
        <v>0.68537414965986398</v>
      </c>
      <c r="R109" s="15">
        <f t="shared" si="76"/>
        <v>6.7443732812273849</v>
      </c>
      <c r="S109" s="16">
        <f t="shared" si="77"/>
        <v>53.372186640613691</v>
      </c>
      <c r="T109" s="14">
        <f t="shared" si="78"/>
        <v>0.42517006802721091</v>
      </c>
      <c r="U109" s="15">
        <f t="shared" si="79"/>
        <v>0.57482993197278909</v>
      </c>
      <c r="V109" s="15">
        <f t="shared" si="80"/>
        <v>7.6440150528296424</v>
      </c>
      <c r="W109" s="16">
        <f t="shared" si="81"/>
        <v>53.822007526414822</v>
      </c>
      <c r="X109" s="14">
        <f t="shared" si="82"/>
        <v>0.44217687074829937</v>
      </c>
      <c r="Y109" s="15">
        <f t="shared" si="83"/>
        <v>0.55782312925170063</v>
      </c>
      <c r="Z109" s="15">
        <f t="shared" si="84"/>
        <v>7.7145751917788399</v>
      </c>
      <c r="AA109" s="16">
        <f t="shared" si="85"/>
        <v>53.857287595889417</v>
      </c>
      <c r="AC109">
        <v>48</v>
      </c>
      <c r="AD109">
        <f t="shared" si="99"/>
        <v>25.7</v>
      </c>
      <c r="AE109" s="14">
        <f t="shared" si="86"/>
        <v>0.85666666666666669</v>
      </c>
      <c r="AF109" s="15">
        <f t="shared" si="87"/>
        <v>0.14333333333333331</v>
      </c>
      <c r="AG109" s="15">
        <f t="shared" si="88"/>
        <v>1.9593971631205678</v>
      </c>
      <c r="AH109" s="16">
        <f t="shared" si="89"/>
        <v>50.979698581560285</v>
      </c>
      <c r="AI109" s="14">
        <f t="shared" si="90"/>
        <v>0.51400000000000001</v>
      </c>
      <c r="AJ109" s="15">
        <f t="shared" si="91"/>
        <v>0.48599999999999999</v>
      </c>
      <c r="AK109" s="15">
        <f t="shared" si="92"/>
        <v>6.6437234042553204</v>
      </c>
      <c r="AL109" s="16">
        <f t="shared" si="93"/>
        <v>53.321861702127663</v>
      </c>
      <c r="AM109" s="14">
        <f t="shared" si="94"/>
        <v>0.42833333333333334</v>
      </c>
      <c r="AN109" s="15">
        <f t="shared" si="95"/>
        <v>0.57166666666666666</v>
      </c>
      <c r="AO109" s="15">
        <f t="shared" si="96"/>
        <v>7.8148049645390065</v>
      </c>
      <c r="AP109" s="16">
        <f t="shared" si="97"/>
        <v>53.907402482269504</v>
      </c>
    </row>
    <row r="110" spans="1:42" ht="15" x14ac:dyDescent="0.25">
      <c r="A110" s="1" t="s">
        <v>246</v>
      </c>
      <c r="B110" s="62">
        <f>B109-B108</f>
        <v>21.984999999999999</v>
      </c>
      <c r="C110" s="68" t="s">
        <v>1</v>
      </c>
      <c r="N110">
        <v>49</v>
      </c>
      <c r="O110">
        <f t="shared" si="98"/>
        <v>59.4</v>
      </c>
      <c r="P110" s="14">
        <f t="shared" si="74"/>
        <v>0.31144781144781147</v>
      </c>
      <c r="Q110" s="15">
        <f t="shared" si="75"/>
        <v>0.68855218855218858</v>
      </c>
      <c r="R110" s="15">
        <f t="shared" si="76"/>
        <v>6.7756465362848344</v>
      </c>
      <c r="S110" s="16">
        <f t="shared" si="77"/>
        <v>53.387823268142419</v>
      </c>
      <c r="T110" s="14">
        <f t="shared" si="78"/>
        <v>0.4208754208754209</v>
      </c>
      <c r="U110" s="15">
        <f t="shared" si="79"/>
        <v>0.57912457912457915</v>
      </c>
      <c r="V110" s="15">
        <f t="shared" si="80"/>
        <v>7.7011247224013184</v>
      </c>
      <c r="W110" s="16">
        <f t="shared" si="81"/>
        <v>53.850562361200659</v>
      </c>
      <c r="X110" s="14">
        <f t="shared" si="82"/>
        <v>0.43771043771043772</v>
      </c>
      <c r="Y110" s="15">
        <f t="shared" si="83"/>
        <v>0.56228956228956228</v>
      </c>
      <c r="Z110" s="15">
        <f t="shared" si="84"/>
        <v>7.7763450103875638</v>
      </c>
      <c r="AA110" s="16">
        <f t="shared" si="85"/>
        <v>53.888172505193779</v>
      </c>
      <c r="AC110">
        <v>49</v>
      </c>
      <c r="AD110">
        <f t="shared" si="99"/>
        <v>25.85</v>
      </c>
      <c r="AE110" s="14">
        <f t="shared" si="86"/>
        <v>0.86166666666666669</v>
      </c>
      <c r="AF110" s="15">
        <f t="shared" si="87"/>
        <v>0.13833333333333331</v>
      </c>
      <c r="AG110" s="15">
        <f t="shared" si="88"/>
        <v>1.9020833333333329</v>
      </c>
      <c r="AH110" s="16">
        <f t="shared" si="89"/>
        <v>50.951041666666669</v>
      </c>
      <c r="AI110" s="14">
        <f t="shared" si="90"/>
        <v>0.51700000000000002</v>
      </c>
      <c r="AJ110" s="15">
        <f t="shared" si="91"/>
        <v>0.48299999999999998</v>
      </c>
      <c r="AK110" s="15">
        <f t="shared" si="92"/>
        <v>6.6412500000000003</v>
      </c>
      <c r="AL110" s="16">
        <f t="shared" si="93"/>
        <v>53.320625</v>
      </c>
      <c r="AM110" s="14">
        <f t="shared" si="94"/>
        <v>0.43083333333333335</v>
      </c>
      <c r="AN110" s="15">
        <f t="shared" si="95"/>
        <v>0.5691666666666666</v>
      </c>
      <c r="AO110" s="15">
        <f t="shared" si="96"/>
        <v>7.8260416666666668</v>
      </c>
      <c r="AP110" s="16">
        <f t="shared" si="97"/>
        <v>53.913020833333334</v>
      </c>
    </row>
    <row r="111" spans="1:42" ht="15" x14ac:dyDescent="0.25">
      <c r="A111" s="1" t="s">
        <v>178</v>
      </c>
      <c r="B111" s="53">
        <f>Constants!C12*(Calculations!B101+Calculations!B103)/Calculations!B101</f>
        <v>12.074999999999999</v>
      </c>
      <c r="C111" s="67" t="s">
        <v>1</v>
      </c>
      <c r="N111">
        <v>50</v>
      </c>
      <c r="O111">
        <f t="shared" si="98"/>
        <v>60</v>
      </c>
      <c r="P111" s="14">
        <f t="shared" si="74"/>
        <v>0.30833333333333335</v>
      </c>
      <c r="Q111" s="15">
        <f t="shared" si="75"/>
        <v>0.69166666666666665</v>
      </c>
      <c r="R111" s="15">
        <f t="shared" si="76"/>
        <v>6.8062943262411357</v>
      </c>
      <c r="S111" s="16">
        <f t="shared" si="77"/>
        <v>53.403147163120565</v>
      </c>
      <c r="T111" s="14">
        <f t="shared" si="78"/>
        <v>0.41666666666666669</v>
      </c>
      <c r="U111" s="15">
        <f t="shared" si="79"/>
        <v>0.58333333333333326</v>
      </c>
      <c r="V111" s="15">
        <f t="shared" si="80"/>
        <v>7.7570921985815611</v>
      </c>
      <c r="W111" s="16">
        <f t="shared" si="81"/>
        <v>53.87854609929078</v>
      </c>
      <c r="X111" s="14">
        <f t="shared" si="82"/>
        <v>0.43333333333333335</v>
      </c>
      <c r="Y111" s="15">
        <f t="shared" si="83"/>
        <v>0.56666666666666665</v>
      </c>
      <c r="Z111" s="15">
        <f t="shared" si="84"/>
        <v>7.836879432624114</v>
      </c>
      <c r="AA111" s="16">
        <f t="shared" si="85"/>
        <v>53.918439716312058</v>
      </c>
      <c r="AC111">
        <v>50</v>
      </c>
      <c r="AD111">
        <f t="shared" si="99"/>
        <v>26</v>
      </c>
      <c r="AE111" s="14">
        <f t="shared" si="86"/>
        <v>0.8666666666666667</v>
      </c>
      <c r="AF111" s="15">
        <f t="shared" si="87"/>
        <v>0.1333333333333333</v>
      </c>
      <c r="AG111" s="15">
        <f t="shared" si="88"/>
        <v>1.843971631205674</v>
      </c>
      <c r="AH111" s="16">
        <f t="shared" si="89"/>
        <v>50.921985815602838</v>
      </c>
      <c r="AI111" s="14">
        <f t="shared" si="90"/>
        <v>0.52</v>
      </c>
      <c r="AJ111" s="15">
        <f t="shared" si="91"/>
        <v>0.48</v>
      </c>
      <c r="AK111" s="15">
        <f t="shared" si="92"/>
        <v>6.6382978723404253</v>
      </c>
      <c r="AL111" s="16">
        <f t="shared" si="93"/>
        <v>53.319148936170215</v>
      </c>
      <c r="AM111" s="14">
        <f t="shared" si="94"/>
        <v>0.43333333333333335</v>
      </c>
      <c r="AN111" s="15">
        <f t="shared" si="95"/>
        <v>0.56666666666666665</v>
      </c>
      <c r="AO111" s="15">
        <f t="shared" si="96"/>
        <v>7.836879432624114</v>
      </c>
      <c r="AP111" s="16">
        <f t="shared" si="97"/>
        <v>53.918439716312058</v>
      </c>
    </row>
    <row r="114" spans="1:28" ht="15.75" customHeight="1" x14ac:dyDescent="0.15">
      <c r="A114" s="40" t="s">
        <v>184</v>
      </c>
    </row>
    <row r="115" spans="1:28" x14ac:dyDescent="0.15">
      <c r="A115" s="31" t="s">
        <v>211</v>
      </c>
      <c r="B115" s="49">
        <f>Design_Converter!B110</f>
        <v>3.3</v>
      </c>
      <c r="C115" s="31" t="s">
        <v>1</v>
      </c>
      <c r="D115" s="34">
        <f>IF(B115&gt;Constants!C48,1,0)</f>
        <v>0</v>
      </c>
      <c r="E115" s="34" t="s">
        <v>188</v>
      </c>
    </row>
    <row r="116" spans="1:28" ht="15" x14ac:dyDescent="0.25">
      <c r="A116" s="31" t="s">
        <v>212</v>
      </c>
      <c r="B116" s="54">
        <f>(B115/((Constants!C6/Constants!C16)+(Constants!C15)))/1000</f>
        <v>11.999999999999998</v>
      </c>
      <c r="C116" s="67" t="s">
        <v>104</v>
      </c>
    </row>
    <row r="117" spans="1:28" s="21" customFormat="1" ht="15" x14ac:dyDescent="0.25">
      <c r="A117" s="31" t="s">
        <v>186</v>
      </c>
      <c r="B117" s="59">
        <f>Design_Converter!B112</f>
        <v>12</v>
      </c>
      <c r="C117" s="67" t="s">
        <v>104</v>
      </c>
      <c r="D117" s="34"/>
      <c r="E117" s="34"/>
      <c r="F117"/>
      <c r="G117"/>
      <c r="H117"/>
      <c r="AB117"/>
    </row>
    <row r="118" spans="1:28" x14ac:dyDescent="0.15">
      <c r="A118" s="31" t="s">
        <v>213</v>
      </c>
      <c r="B118" s="50">
        <f>((Constants!C6/Constants!C16)+(Constants!C15))*B117*1000</f>
        <v>3.3</v>
      </c>
      <c r="C118" s="31" t="s">
        <v>1</v>
      </c>
      <c r="D118" s="34">
        <f>IF(B118&gt;Constants!C48,1,0)</f>
        <v>0</v>
      </c>
      <c r="E118" s="34" t="s">
        <v>188</v>
      </c>
    </row>
    <row r="119" spans="1:28" x14ac:dyDescent="0.15">
      <c r="A119" s="31" t="s">
        <v>214</v>
      </c>
      <c r="B119" s="50">
        <f>(Constants!C15)*B117*1000</f>
        <v>0.3</v>
      </c>
      <c r="C119" s="31" t="s">
        <v>1</v>
      </c>
    </row>
    <row r="120" spans="1:28" x14ac:dyDescent="0.15">
      <c r="A120" s="31" t="s">
        <v>215</v>
      </c>
      <c r="B120" s="54">
        <f>((100*10^-6)/(B117*1000))*(10^9)</f>
        <v>8.3333333333333321</v>
      </c>
      <c r="C120" s="31" t="s">
        <v>40</v>
      </c>
      <c r="E120" s="34" t="s">
        <v>217</v>
      </c>
    </row>
    <row r="121" spans="1:28" x14ac:dyDescent="0.15">
      <c r="A121" s="31" t="s">
        <v>216</v>
      </c>
      <c r="B121" s="49">
        <f>Design_Converter!B116</f>
        <v>8.1999999999999993</v>
      </c>
      <c r="C121" s="31" t="s">
        <v>40</v>
      </c>
    </row>
    <row r="122" spans="1:28" x14ac:dyDescent="0.15">
      <c r="A122" s="31" t="s">
        <v>218</v>
      </c>
      <c r="B122" s="57">
        <f>(1/(2*PI()*B117*1000*(B121*10^-9)))*(1/1000)</f>
        <v>1.6174282834542213</v>
      </c>
      <c r="C122" s="31" t="s">
        <v>3</v>
      </c>
    </row>
    <row r="123" spans="1:28" x14ac:dyDescent="0.15">
      <c r="A123" s="31" t="s">
        <v>219</v>
      </c>
      <c r="B123" s="54">
        <f>((B64*Rcs/(Constants!C16))*(B117*1000)*(10^(-(LOG10(Fsw/(B122*1000))))))*1000</f>
        <v>1.8819810479021848</v>
      </c>
      <c r="C123" s="31" t="s">
        <v>72</v>
      </c>
    </row>
    <row r="126" spans="1:28" x14ac:dyDescent="0.15">
      <c r="A126" s="34" t="s">
        <v>223</v>
      </c>
    </row>
    <row r="127" spans="1:28" x14ac:dyDescent="0.15">
      <c r="A127" s="31" t="s">
        <v>227</v>
      </c>
      <c r="B127" s="49">
        <f>IF(Design_Converter!B123=Lists!G2,0,1)</f>
        <v>1</v>
      </c>
      <c r="C127" s="31"/>
      <c r="E127" s="34" t="s">
        <v>228</v>
      </c>
    </row>
    <row r="128" spans="1:28" x14ac:dyDescent="0.15">
      <c r="A128" s="31" t="s">
        <v>229</v>
      </c>
      <c r="B128" s="49">
        <f>Design_Converter!B124*(10^-9)</f>
        <v>5.5000000000000003E-8</v>
      </c>
      <c r="C128" s="31" t="s">
        <v>23</v>
      </c>
      <c r="D128" s="34">
        <f>IF(B128&lt;Constants!C31,1,IF(B128&gt;Constants!C32,1,0))</f>
        <v>0</v>
      </c>
      <c r="E128" s="34" t="s">
        <v>247</v>
      </c>
    </row>
    <row r="129" spans="1:8" ht="15" x14ac:dyDescent="0.25">
      <c r="A129" s="31" t="s">
        <v>231</v>
      </c>
      <c r="B129" s="53">
        <f>(B128-Constants!C27)/(Constants!C26*1000)</f>
        <v>9.75</v>
      </c>
      <c r="C129" s="67" t="s">
        <v>104</v>
      </c>
    </row>
    <row r="130" spans="1:8" ht="15" x14ac:dyDescent="0.25">
      <c r="A130" s="31" t="s">
        <v>232</v>
      </c>
      <c r="B130" s="49">
        <f>Design_Converter!B126</f>
        <v>10</v>
      </c>
      <c r="C130" s="67" t="s">
        <v>104</v>
      </c>
    </row>
    <row r="131" spans="1:8" x14ac:dyDescent="0.15">
      <c r="A131" s="31" t="s">
        <v>233</v>
      </c>
      <c r="B131" s="53">
        <f>IF(B127=1,(((B130*1000)*Constants!C26)+Constants!C27)*(10^9),(Constants!C29*(10^9)))</f>
        <v>56</v>
      </c>
      <c r="C131" s="31" t="s">
        <v>97</v>
      </c>
    </row>
    <row r="132" spans="1:8" x14ac:dyDescent="0.15">
      <c r="A132" s="31" t="s">
        <v>234</v>
      </c>
      <c r="B132" s="53">
        <f>IF(B127=1,(((B130*1000)*Constants!C26)+Constants!C27)*(10^9),(Constants!C30*(10^9)))</f>
        <v>56</v>
      </c>
      <c r="C132" s="31" t="s">
        <v>97</v>
      </c>
    </row>
    <row r="133" spans="1:8" x14ac:dyDescent="0.15">
      <c r="H133" s="21"/>
    </row>
    <row r="134" spans="1:8" x14ac:dyDescent="0.15">
      <c r="A134" s="47" t="s">
        <v>252</v>
      </c>
      <c r="B134" s="47"/>
      <c r="C134" s="47"/>
    </row>
    <row r="135" spans="1:8" x14ac:dyDescent="0.15">
      <c r="A135" s="31" t="s">
        <v>250</v>
      </c>
      <c r="B135" s="49">
        <f>Design_Converter!B134</f>
        <v>25</v>
      </c>
      <c r="C135" s="31" t="s">
        <v>251</v>
      </c>
    </row>
    <row r="136" spans="1:8" x14ac:dyDescent="0.15">
      <c r="A136" s="31" t="s">
        <v>254</v>
      </c>
      <c r="B136" s="63">
        <f>1/(Ramp_C*Ramp_R*Fsw)</f>
        <v>0.10416666666666667</v>
      </c>
      <c r="C136" s="31" t="s">
        <v>255</v>
      </c>
    </row>
    <row r="137" spans="1:8" x14ac:dyDescent="0.15">
      <c r="A137" s="31" t="s">
        <v>253</v>
      </c>
      <c r="B137" s="63">
        <f>(Rcs+(B135/1000))/(2*PI()*Lm*1000)</f>
        <v>0.88043160008282539</v>
      </c>
      <c r="C137" s="31" t="s">
        <v>3</v>
      </c>
    </row>
    <row r="138" spans="1:8" x14ac:dyDescent="0.15">
      <c r="A138" s="31" t="s">
        <v>256</v>
      </c>
      <c r="B138" s="60">
        <f>1/(B136*(Rcs+(B135/1000)))</f>
        <v>369.23076923076917</v>
      </c>
      <c r="C138" s="31" t="s">
        <v>42</v>
      </c>
    </row>
    <row r="139" spans="1:8" x14ac:dyDescent="0.15">
      <c r="A139" s="31" t="s">
        <v>257</v>
      </c>
      <c r="B139" s="53">
        <f>Fsw/10</f>
        <v>40000</v>
      </c>
      <c r="C139" s="31" t="s">
        <v>87</v>
      </c>
    </row>
    <row r="140" spans="1:8" x14ac:dyDescent="0.15">
      <c r="A140" s="31" t="s">
        <v>258</v>
      </c>
      <c r="B140" s="49">
        <f>Design_Converter!B137*1000</f>
        <v>40000</v>
      </c>
      <c r="C140" s="31" t="s">
        <v>87</v>
      </c>
    </row>
    <row r="141" spans="1:8" x14ac:dyDescent="0.15">
      <c r="A141" s="31" t="s">
        <v>265</v>
      </c>
      <c r="B141" s="60">
        <f>B137*1000</f>
        <v>880.43160008282541</v>
      </c>
      <c r="C141" s="31" t="s">
        <v>87</v>
      </c>
    </row>
    <row r="142" spans="1:8" x14ac:dyDescent="0.15">
      <c r="A142" s="31" t="s">
        <v>266</v>
      </c>
      <c r="B142" s="53">
        <f>IF(B140*100&gt;=Fsw/2,Fsw/2,B140*100)</f>
        <v>200000</v>
      </c>
      <c r="C142" s="31" t="s">
        <v>87</v>
      </c>
    </row>
    <row r="143" spans="1:8" ht="15" x14ac:dyDescent="0.25">
      <c r="A143" s="31" t="s">
        <v>259</v>
      </c>
      <c r="B143" s="63">
        <f>((B136/(Rcs*gm*Acs))*IMABS(COMPLEX(Rcs+(B135/1000),2*PI()*B140*Lm)))/1000</f>
        <v>2.4615102986900763</v>
      </c>
      <c r="C143" s="67" t="s">
        <v>104</v>
      </c>
    </row>
    <row r="144" spans="1:8" ht="15" x14ac:dyDescent="0.25">
      <c r="A144" s="31" t="s">
        <v>260</v>
      </c>
      <c r="B144" s="49">
        <f>Design_Converter!B139</f>
        <v>2.4</v>
      </c>
      <c r="C144" s="67" t="s">
        <v>104</v>
      </c>
    </row>
    <row r="145" spans="1:7" x14ac:dyDescent="0.15">
      <c r="A145" s="31" t="s">
        <v>261</v>
      </c>
      <c r="B145" s="60">
        <f>(Lm/((Rcs+(B135/1000))*(B143*1000)))*(10^9)</f>
        <v>73.438340219591751</v>
      </c>
      <c r="C145" s="31" t="s">
        <v>40</v>
      </c>
    </row>
    <row r="146" spans="1:7" x14ac:dyDescent="0.15">
      <c r="A146" s="31" t="s">
        <v>262</v>
      </c>
      <c r="B146" s="49">
        <f>Design_Converter!B141</f>
        <v>70</v>
      </c>
      <c r="C146" s="31" t="s">
        <v>40</v>
      </c>
    </row>
    <row r="147" spans="1:7" x14ac:dyDescent="0.15">
      <c r="A147" s="31" t="s">
        <v>263</v>
      </c>
      <c r="B147" s="70">
        <f>B145/100</f>
        <v>0.73438340219591747</v>
      </c>
      <c r="C147" s="69" t="s">
        <v>40</v>
      </c>
      <c r="D147" s="35"/>
      <c r="E147" s="66" t="s">
        <v>267</v>
      </c>
      <c r="F147" s="21"/>
      <c r="G147" s="21"/>
    </row>
    <row r="148" spans="1:7" x14ac:dyDescent="0.15">
      <c r="A148" s="31" t="s">
        <v>264</v>
      </c>
      <c r="B148" s="49">
        <f>Design_Converter!B143</f>
        <v>0.7</v>
      </c>
      <c r="C148" s="31" t="s">
        <v>40</v>
      </c>
    </row>
    <row r="149" spans="1:7" x14ac:dyDescent="0.15">
      <c r="A149" s="31" t="s">
        <v>268</v>
      </c>
      <c r="B149" s="63">
        <f>(1/(2*PI()*B144*1000*B146*(10^-9)))/1000</f>
        <v>0.94735085173747235</v>
      </c>
      <c r="C149" s="31" t="s">
        <v>3</v>
      </c>
    </row>
    <row r="150" spans="1:7" x14ac:dyDescent="0.15">
      <c r="A150" s="31" t="s">
        <v>269</v>
      </c>
      <c r="B150" s="60">
        <f>(1/(2*PI()*B144*1000*B148*(10^-9)))/1000</f>
        <v>94.735085173747237</v>
      </c>
      <c r="C150" s="31" t="s">
        <v>3</v>
      </c>
    </row>
    <row r="151" spans="1:7" x14ac:dyDescent="0.15">
      <c r="A151" s="34" t="s">
        <v>278</v>
      </c>
      <c r="E151" s="34" t="s">
        <v>280</v>
      </c>
    </row>
    <row r="152" spans="1:7" x14ac:dyDescent="0.15">
      <c r="A152" s="34" t="s">
        <v>279</v>
      </c>
      <c r="E152" s="34" t="s">
        <v>280</v>
      </c>
    </row>
    <row r="156" spans="1:7" x14ac:dyDescent="0.15">
      <c r="A156" s="34" t="s">
        <v>399</v>
      </c>
    </row>
    <row r="157" spans="1:7" x14ac:dyDescent="0.15">
      <c r="A157" s="31" t="s">
        <v>433</v>
      </c>
      <c r="B157" s="49">
        <f>Design_Converter!B152</f>
        <v>3.3</v>
      </c>
      <c r="C157" s="31" t="s">
        <v>1</v>
      </c>
    </row>
    <row r="158" spans="1:7" x14ac:dyDescent="0.15">
      <c r="A158" s="31" t="s">
        <v>419</v>
      </c>
      <c r="B158" s="49">
        <f>Design_Converter!B153*1000</f>
        <v>5000</v>
      </c>
      <c r="C158" s="31" t="s">
        <v>56</v>
      </c>
    </row>
    <row r="159" spans="1:7" x14ac:dyDescent="0.15">
      <c r="A159" s="31" t="s">
        <v>434</v>
      </c>
      <c r="B159" s="53">
        <f>(B158*V12_Nom/B157)-B158</f>
        <v>32878.78787878788</v>
      </c>
      <c r="C159" s="31" t="s">
        <v>56</v>
      </c>
    </row>
    <row r="160" spans="1:7" x14ac:dyDescent="0.15">
      <c r="A160" s="31" t="s">
        <v>418</v>
      </c>
      <c r="B160" s="49">
        <f>Design_Converter!B155*1000</f>
        <v>25000</v>
      </c>
      <c r="C160" s="31" t="s">
        <v>56</v>
      </c>
    </row>
    <row r="161" spans="1:5" x14ac:dyDescent="0.15">
      <c r="A161" s="31" t="s">
        <v>410</v>
      </c>
      <c r="B161" s="63">
        <f>V12_Nom/(I_Channel_Design*np)</f>
        <v>0.7142857142857143</v>
      </c>
      <c r="C161" s="31" t="s">
        <v>56</v>
      </c>
    </row>
    <row r="162" spans="1:5" x14ac:dyDescent="0.15">
      <c r="A162" s="31" t="s">
        <v>411</v>
      </c>
      <c r="B162" s="60">
        <f>1/(2*PI()*Zo_Buck_Cout*B161)</f>
        <v>237.64603277373453</v>
      </c>
      <c r="C162" s="31" t="s">
        <v>87</v>
      </c>
      <c r="E162" s="34" t="s">
        <v>437</v>
      </c>
    </row>
    <row r="163" spans="1:5" x14ac:dyDescent="0.15">
      <c r="A163" s="31" t="s">
        <v>438</v>
      </c>
      <c r="B163" s="103">
        <f>1/(2*PI()*Zo_Buck_Resr*Zo_Buck_Cout)</f>
        <v>1515.5996988120824</v>
      </c>
      <c r="C163" s="31" t="s">
        <v>87</v>
      </c>
      <c r="E163" s="34" t="s">
        <v>441</v>
      </c>
    </row>
    <row r="164" spans="1:5" x14ac:dyDescent="0.15">
      <c r="A164" s="31" t="s">
        <v>439</v>
      </c>
      <c r="B164" s="53">
        <f>B140/10</f>
        <v>4000</v>
      </c>
      <c r="C164" s="31" t="s">
        <v>87</v>
      </c>
      <c r="E164" s="34" t="s">
        <v>442</v>
      </c>
    </row>
    <row r="165" spans="1:5" x14ac:dyDescent="0.15">
      <c r="A165" s="31" t="s">
        <v>440</v>
      </c>
      <c r="B165" s="53">
        <f>Design_Converter!B157*1000</f>
        <v>4000</v>
      </c>
      <c r="C165" s="31" t="s">
        <v>87</v>
      </c>
    </row>
    <row r="166" spans="1:5" x14ac:dyDescent="0.15">
      <c r="A166" s="32" t="s">
        <v>404</v>
      </c>
      <c r="B166" s="53"/>
      <c r="C166" s="31"/>
    </row>
    <row r="167" spans="1:5" x14ac:dyDescent="0.15">
      <c r="A167" s="31" t="s">
        <v>408</v>
      </c>
      <c r="B167" s="63">
        <f>10^(Compensation!S134/20)</f>
        <v>3.5855401671149476</v>
      </c>
      <c r="C167" s="31" t="s">
        <v>42</v>
      </c>
    </row>
    <row r="168" spans="1:5" x14ac:dyDescent="0.15">
      <c r="A168" s="31" t="s">
        <v>414</v>
      </c>
      <c r="B168" s="60">
        <f>B162</f>
        <v>237.64603277373453</v>
      </c>
      <c r="C168" s="31" t="s">
        <v>87</v>
      </c>
    </row>
    <row r="169" spans="1:5" x14ac:dyDescent="0.15">
      <c r="A169" s="31" t="s">
        <v>417</v>
      </c>
      <c r="B169" s="103">
        <f>IF(B163&gt;(Fsw/2),Fsw/2,B163)</f>
        <v>1515.5996988120824</v>
      </c>
      <c r="C169" s="31" t="s">
        <v>87</v>
      </c>
    </row>
    <row r="170" spans="1:5" x14ac:dyDescent="0.15">
      <c r="A170" s="31" t="s">
        <v>413</v>
      </c>
      <c r="B170" s="63">
        <f>((B160*B165)/(B168*B167))*SQRT(((1+((B165^2)/(B169^2)))/(1+((B165^2)/(B168^2)))))</f>
        <v>19643.832988178809</v>
      </c>
      <c r="C170" s="104" t="s">
        <v>56</v>
      </c>
    </row>
    <row r="171" spans="1:5" x14ac:dyDescent="0.15">
      <c r="A171" s="31" t="s">
        <v>420</v>
      </c>
      <c r="B171" s="105">
        <f>Design_Converter!B159*1000</f>
        <v>16000</v>
      </c>
      <c r="C171" s="31" t="s">
        <v>56</v>
      </c>
    </row>
    <row r="172" spans="1:5" x14ac:dyDescent="0.15">
      <c r="A172" s="31" t="s">
        <v>422</v>
      </c>
      <c r="B172" s="53">
        <f>1/(2*PI()*B168*B170)</f>
        <v>3.409285174218819E-8</v>
      </c>
      <c r="C172" s="31" t="s">
        <v>425</v>
      </c>
    </row>
    <row r="173" spans="1:5" x14ac:dyDescent="0.15">
      <c r="A173" s="31" t="s">
        <v>421</v>
      </c>
      <c r="B173" s="49">
        <f>Design_Converter!B161*(10^-9)</f>
        <v>2E-8</v>
      </c>
      <c r="C173" s="31" t="s">
        <v>425</v>
      </c>
    </row>
    <row r="174" spans="1:5" x14ac:dyDescent="0.15">
      <c r="A174" s="31" t="s">
        <v>423</v>
      </c>
      <c r="B174" s="53">
        <f>1/(2*PI()*B169*B170)</f>
        <v>5.3457591531751085E-9</v>
      </c>
      <c r="C174" s="31"/>
    </row>
    <row r="175" spans="1:5" x14ac:dyDescent="0.15">
      <c r="A175" s="31" t="s">
        <v>424</v>
      </c>
      <c r="B175" s="49">
        <f>Design_Converter!B163*(10^-9)</f>
        <v>5.0000000000000001E-9</v>
      </c>
      <c r="C175" s="31"/>
    </row>
    <row r="176" spans="1:5" x14ac:dyDescent="0.15">
      <c r="A176" s="31" t="s">
        <v>435</v>
      </c>
      <c r="B176" s="63">
        <f>1/(2*PI()*B171*B173)/1000</f>
        <v>0.49735919716217303</v>
      </c>
      <c r="C176" s="31" t="s">
        <v>3</v>
      </c>
    </row>
    <row r="177" spans="1:5" x14ac:dyDescent="0.15">
      <c r="A177" s="31" t="s">
        <v>436</v>
      </c>
      <c r="B177" s="63">
        <f>1/(2*PI()*B171*B175)/1000</f>
        <v>1.9894367886486921</v>
      </c>
      <c r="C177" s="31" t="s">
        <v>3</v>
      </c>
    </row>
    <row r="180" spans="1:5" x14ac:dyDescent="0.15">
      <c r="A180" s="34" t="s">
        <v>396</v>
      </c>
    </row>
    <row r="181" spans="1:5" x14ac:dyDescent="0.15">
      <c r="A181" s="31" t="s">
        <v>433</v>
      </c>
      <c r="B181" s="49">
        <f>Design_Converter!B171</f>
        <v>3.3</v>
      </c>
      <c r="C181" s="31" t="s">
        <v>1</v>
      </c>
    </row>
    <row r="182" spans="1:5" x14ac:dyDescent="0.15">
      <c r="A182" s="31" t="s">
        <v>419</v>
      </c>
      <c r="B182" s="49">
        <f>Design_Converter!B172*1000</f>
        <v>1000</v>
      </c>
      <c r="C182" s="31" t="s">
        <v>56</v>
      </c>
    </row>
    <row r="183" spans="1:5" x14ac:dyDescent="0.15">
      <c r="A183" s="31" t="s">
        <v>434</v>
      </c>
      <c r="B183" s="53">
        <f>(B182*V48_Nom/B181)-B182</f>
        <v>14151.515151515152</v>
      </c>
      <c r="C183" s="31" t="s">
        <v>56</v>
      </c>
    </row>
    <row r="184" spans="1:5" x14ac:dyDescent="0.15">
      <c r="A184" s="31" t="s">
        <v>418</v>
      </c>
      <c r="B184" s="49">
        <f>Design_Converter!B174*1000</f>
        <v>14000</v>
      </c>
      <c r="C184" s="31" t="s">
        <v>56</v>
      </c>
    </row>
    <row r="185" spans="1:5" x14ac:dyDescent="0.15">
      <c r="A185" s="31" t="s">
        <v>410</v>
      </c>
      <c r="B185" s="53">
        <f>(V48_Nom^2)/(V12_Min*I_Channel_Design*np)</f>
        <v>3.8610038610038608</v>
      </c>
      <c r="C185" s="31" t="s">
        <v>56</v>
      </c>
      <c r="E185" s="34" t="s">
        <v>406</v>
      </c>
    </row>
    <row r="186" spans="1:5" x14ac:dyDescent="0.15">
      <c r="A186" s="31" t="s">
        <v>400</v>
      </c>
      <c r="B186" s="103">
        <f>2/(((V48_Nom^2)/(V12_Min*I_Channel_Design*np))*(2*PI()*Zo_Boost_Cout))</f>
        <v>116.93937662638552</v>
      </c>
      <c r="C186" s="31" t="s">
        <v>87</v>
      </c>
      <c r="E186" s="34" t="s">
        <v>405</v>
      </c>
    </row>
    <row r="187" spans="1:5" x14ac:dyDescent="0.15">
      <c r="A187" s="31" t="s">
        <v>397</v>
      </c>
      <c r="B187" s="103">
        <f>(((V12_Min/V48_Nom)^2)*B185)/(2*PI()*(Lm/np))</f>
        <v>35797.768355015964</v>
      </c>
      <c r="C187" s="31" t="s">
        <v>87</v>
      </c>
      <c r="E187" s="34" t="s">
        <v>405</v>
      </c>
    </row>
    <row r="188" spans="1:5" x14ac:dyDescent="0.15">
      <c r="A188" s="31" t="s">
        <v>402</v>
      </c>
      <c r="B188" s="63">
        <f>B187/5</f>
        <v>7159.5536710031929</v>
      </c>
      <c r="C188" s="31" t="s">
        <v>87</v>
      </c>
      <c r="E188" s="34" t="s">
        <v>412</v>
      </c>
    </row>
    <row r="189" spans="1:5" x14ac:dyDescent="0.15">
      <c r="A189" s="31" t="s">
        <v>401</v>
      </c>
      <c r="B189" s="49">
        <f>Design_Converter!B176*1000</f>
        <v>5500</v>
      </c>
      <c r="C189" s="31" t="s">
        <v>87</v>
      </c>
    </row>
    <row r="190" spans="1:5" x14ac:dyDescent="0.15">
      <c r="A190" s="32" t="s">
        <v>404</v>
      </c>
      <c r="B190" s="32"/>
      <c r="C190" s="32"/>
    </row>
    <row r="191" spans="1:5" x14ac:dyDescent="0.15">
      <c r="A191" s="31" t="s">
        <v>408</v>
      </c>
      <c r="B191" s="63">
        <f>10^(Compensation!S224/20)</f>
        <v>0.76060477016748762</v>
      </c>
      <c r="C191" s="31" t="s">
        <v>409</v>
      </c>
    </row>
    <row r="192" spans="1:5" x14ac:dyDescent="0.15">
      <c r="A192" s="31" t="s">
        <v>414</v>
      </c>
      <c r="B192" s="63">
        <f>2/(2*PI()*B185*Zo_Boost_Cout)</f>
        <v>116.93937662638552</v>
      </c>
      <c r="C192" s="31" t="s">
        <v>416</v>
      </c>
    </row>
    <row r="193" spans="1:5" x14ac:dyDescent="0.15">
      <c r="A193" s="31" t="s">
        <v>417</v>
      </c>
      <c r="B193" s="53">
        <f>Fsw/2</f>
        <v>200000</v>
      </c>
      <c r="C193" s="31" t="s">
        <v>403</v>
      </c>
      <c r="E193" s="34" t="s">
        <v>415</v>
      </c>
    </row>
    <row r="194" spans="1:5" x14ac:dyDescent="0.15">
      <c r="A194" s="31" t="s">
        <v>413</v>
      </c>
      <c r="B194" s="63">
        <f>((B184*B189)/(B191*B192))*SQRT((1+((B189/B193)^2))/(1+((B189/B192)^2)))</f>
        <v>18409.203773936784</v>
      </c>
      <c r="C194" s="31" t="s">
        <v>56</v>
      </c>
    </row>
    <row r="195" spans="1:5" x14ac:dyDescent="0.15">
      <c r="A195" s="31" t="s">
        <v>420</v>
      </c>
      <c r="B195" s="49">
        <f>Design_Converter!B178*1000</f>
        <v>20000</v>
      </c>
      <c r="C195" s="31" t="s">
        <v>56</v>
      </c>
    </row>
    <row r="196" spans="1:5" x14ac:dyDescent="0.15">
      <c r="A196" s="31" t="s">
        <v>422</v>
      </c>
      <c r="B196" s="53">
        <f>1/(2*PI()*B194*B192)</f>
        <v>7.3930620667621191E-8</v>
      </c>
      <c r="C196" s="31" t="s">
        <v>425</v>
      </c>
    </row>
    <row r="197" spans="1:5" x14ac:dyDescent="0.15">
      <c r="A197" s="31" t="s">
        <v>421</v>
      </c>
      <c r="B197" s="49">
        <f>Design_Converter!B180*(10^-9)</f>
        <v>4.7000000000000004E-8</v>
      </c>
      <c r="C197" s="31" t="s">
        <v>425</v>
      </c>
    </row>
    <row r="198" spans="1:5" x14ac:dyDescent="0.15">
      <c r="A198" s="31" t="s">
        <v>423</v>
      </c>
      <c r="B198" s="53">
        <f>1/(2*PI()*B194*B193)</f>
        <v>4.3227003472366979E-11</v>
      </c>
      <c r="C198" s="31" t="s">
        <v>425</v>
      </c>
    </row>
    <row r="199" spans="1:5" x14ac:dyDescent="0.15">
      <c r="A199" s="31" t="s">
        <v>424</v>
      </c>
      <c r="B199" s="49">
        <f>Design_Converter!B182*(10^-9)</f>
        <v>3E-11</v>
      </c>
      <c r="C199" s="31" t="s">
        <v>425</v>
      </c>
    </row>
    <row r="200" spans="1:5" x14ac:dyDescent="0.15">
      <c r="A200" s="31" t="s">
        <v>435</v>
      </c>
      <c r="B200" s="60">
        <f>1/(2*PI()*B195*B197)</f>
        <v>169.31376924669715</v>
      </c>
      <c r="C200" s="31" t="s">
        <v>87</v>
      </c>
    </row>
    <row r="201" spans="1:5" x14ac:dyDescent="0.15">
      <c r="A201" s="31" t="s">
        <v>436</v>
      </c>
      <c r="B201" s="103">
        <f>1/(2*PI()*B195*B199)</f>
        <v>265258.23848649225</v>
      </c>
      <c r="C201" s="31" t="s">
        <v>87</v>
      </c>
    </row>
  </sheetData>
  <mergeCells count="13">
    <mergeCell ref="AD58:AO58"/>
    <mergeCell ref="AB4:AE4"/>
    <mergeCell ref="AF4:AI4"/>
    <mergeCell ref="AJ4:AM4"/>
    <mergeCell ref="P4:S4"/>
    <mergeCell ref="T4:W4"/>
    <mergeCell ref="X4:AA4"/>
    <mergeCell ref="A14:C14"/>
    <mergeCell ref="A6:C6"/>
    <mergeCell ref="A10:C10"/>
    <mergeCell ref="A63:C63"/>
    <mergeCell ref="A40:C40"/>
    <mergeCell ref="A21:C21"/>
  </mergeCells>
  <phoneticPr fontId="30"/>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defaultColWidth="8.875" defaultRowHeight="13.5" x14ac:dyDescent="0.15"/>
  <cols>
    <col min="1" max="1" width="27.5" customWidth="1"/>
    <col min="2" max="2" width="11.625" customWidth="1"/>
    <col min="3" max="3" width="12" customWidth="1"/>
    <col min="4" max="4" width="11.875" customWidth="1"/>
    <col min="7" max="7" width="10.5" customWidth="1"/>
    <col min="8" max="8" width="9.5" customWidth="1"/>
    <col min="10" max="10" width="17.5" customWidth="1"/>
    <col min="13" max="13" width="16.375" customWidth="1"/>
    <col min="14" max="14" width="16" bestFit="1" customWidth="1"/>
    <col min="15" max="15" width="13.875" customWidth="1"/>
    <col min="18" max="18" width="17.5" customWidth="1"/>
    <col min="21" max="21" width="12" customWidth="1"/>
    <col min="32" max="32" width="13.5" bestFit="1" customWidth="1"/>
  </cols>
  <sheetData>
    <row r="3" spans="2:30" x14ac:dyDescent="0.15">
      <c r="B3" t="s">
        <v>270</v>
      </c>
    </row>
    <row r="4" spans="2:30" x14ac:dyDescent="0.15">
      <c r="B4" t="s">
        <v>271</v>
      </c>
    </row>
    <row r="5" spans="2:30" x14ac:dyDescent="0.15">
      <c r="B5" s="213" t="s">
        <v>33</v>
      </c>
      <c r="C5" s="213"/>
      <c r="D5" s="202" t="s">
        <v>272</v>
      </c>
      <c r="E5" s="202"/>
      <c r="F5" s="202"/>
      <c r="G5" s="202" t="s">
        <v>276</v>
      </c>
      <c r="H5" s="202"/>
      <c r="I5" s="202"/>
      <c r="J5" s="202" t="s">
        <v>277</v>
      </c>
      <c r="K5" s="202"/>
      <c r="L5" s="202"/>
    </row>
    <row r="6" spans="2:30" x14ac:dyDescent="0.15">
      <c r="B6" s="213"/>
      <c r="C6" s="213"/>
      <c r="D6" s="202"/>
      <c r="E6" s="202"/>
      <c r="F6" s="202"/>
      <c r="G6" s="202"/>
      <c r="H6" s="202"/>
      <c r="I6" s="202"/>
      <c r="J6" s="202"/>
      <c r="K6" s="202"/>
      <c r="L6" s="202"/>
    </row>
    <row r="7" spans="2:30" s="2" customFormat="1" ht="27" x14ac:dyDescent="0.15">
      <c r="B7" s="71" t="s">
        <v>35</v>
      </c>
      <c r="C7" s="71" t="s">
        <v>34</v>
      </c>
      <c r="D7" s="72" t="s">
        <v>273</v>
      </c>
      <c r="E7" s="72" t="s">
        <v>274</v>
      </c>
      <c r="F7" s="72" t="s">
        <v>275</v>
      </c>
      <c r="G7" s="72" t="s">
        <v>273</v>
      </c>
      <c r="H7" s="72" t="s">
        <v>274</v>
      </c>
      <c r="I7" s="72" t="s">
        <v>275</v>
      </c>
      <c r="J7" s="72" t="s">
        <v>273</v>
      </c>
      <c r="K7" s="72" t="s">
        <v>274</v>
      </c>
      <c r="L7" s="72" t="s">
        <v>275</v>
      </c>
    </row>
    <row r="8" spans="2:30" x14ac:dyDescent="0.15">
      <c r="B8" s="1">
        <v>1</v>
      </c>
      <c r="C8" s="1">
        <f>2*PI()*B8</f>
        <v>6.2831853071795862</v>
      </c>
      <c r="D8" s="73" t="str">
        <f>IMPRODUCT(COMPLEX(1/(Calculations!$B$136*(Rcs+(Calculations!$B$135/1000))),0),IMDIV(COMPLEX(1,0),COMPLEX(1,(C8*Lm)/(Rcs+(Calculations!$B$135/1000)))))</f>
        <v>369.230292902802-0.419374194279338i</v>
      </c>
      <c r="E8" s="1">
        <f>20*LOG10(IMABS(D8))</f>
        <v>51.345952098734102</v>
      </c>
      <c r="F8" s="1">
        <f>IMARGUMENT(D8)*(180/PI())</f>
        <v>-6.5076895092640766E-2</v>
      </c>
      <c r="G8" s="1" t="str">
        <f t="shared" ref="G8:G39" si="0">IMPRODUCT(COMPLEX(-(gm*Acs*Rcs)/(IL_Comp_Ccomp+IL_Comp_Chf),0),IMDIV(COMPLEX(1,C8*IL_Comp_Rcomp*IL_Comp_Ccomp),IMPRODUCT(COMPLEX(0,C8),COMPLEX(1,C8*IL_Comp_Rcomp*((IL_Comp_Ccomp*IL_Comp_Chf)/(IL_Comp_Ccomp+IL_Comp_Chf))))))</f>
        <v>-0.117635525915981+112.556538069532i</v>
      </c>
      <c r="H8" s="1">
        <f>20*LOG(IMABS(G8))</f>
        <v>41.027419282220841</v>
      </c>
      <c r="I8" s="1">
        <f>IMARGUMENT(G8)*(180/PI())</f>
        <v>90.059881165655796</v>
      </c>
      <c r="J8" s="1" t="str">
        <f>IMPRODUCT(D8,G8)</f>
        <v>3.76870777404879+41559.3328528426i</v>
      </c>
      <c r="K8" s="1">
        <f>20*LOG(IMABS(J8))</f>
        <v>92.37337138095495</v>
      </c>
      <c r="L8" s="1">
        <f>IMARGUMENT(J8)*(180/PI())</f>
        <v>89.994804270563165</v>
      </c>
      <c r="AA8" t="s">
        <v>87</v>
      </c>
      <c r="AB8" t="s">
        <v>293</v>
      </c>
      <c r="AC8" t="s">
        <v>294</v>
      </c>
      <c r="AD8" t="s">
        <v>274</v>
      </c>
    </row>
    <row r="9" spans="2:30" x14ac:dyDescent="0.15">
      <c r="B9" s="1">
        <v>2</v>
      </c>
      <c r="C9" s="1">
        <f t="shared" ref="C9:C62" si="1">2*PI()*B9</f>
        <v>12.566370614359172</v>
      </c>
      <c r="D9" s="73" t="str">
        <f>IMPRODUCT(COMPLEX(1/(Calculations!$B$136*(Rcs+(Calculations!$B$135/1000))),0),IMDIV(COMPLEX(1,0),COMPLEX(1,(C9*Lm)/(Rcs+(Calculations!$B$135/1000)))))</f>
        <v>369.228863926274-0.838745142476802i</v>
      </c>
      <c r="E9" s="1">
        <f t="shared" ref="E9:E62" si="2">20*LOG10(IMABS(D9))</f>
        <v>51.34593529085474</v>
      </c>
      <c r="F9" s="1">
        <f t="shared" ref="F9:F62" si="3">IMARGUMENT(D9)*(180/PI())</f>
        <v>-0.13015362228010594</v>
      </c>
      <c r="G9" s="1" t="str">
        <f t="shared" si="0"/>
        <v>-0.117635525877433+56.2782708789217i</v>
      </c>
      <c r="H9" s="1">
        <f t="shared" ref="H9:H62" si="4">20*LOG(IMABS(G9))</f>
        <v>35.006833884711327</v>
      </c>
      <c r="I9" s="1">
        <f t="shared" ref="I9:I62" si="5">IMARGUMENT(G9)*(180/PI())</f>
        <v>90.119762196533827</v>
      </c>
      <c r="J9" s="1" t="str">
        <f t="shared" ref="J9:J62" si="6">IMPRODUCT(D9,G9)</f>
        <v>3.76869474959484+20779.6606865853i</v>
      </c>
      <c r="K9" s="1">
        <f t="shared" ref="K9:K62" si="7">20*LOG(IMABS(J9))</f>
        <v>86.352769175566081</v>
      </c>
      <c r="L9" s="1">
        <f t="shared" ref="L9:L62" si="8">IMARGUMENT(J9)*(180/PI())</f>
        <v>89.989608574253737</v>
      </c>
      <c r="Y9" t="s">
        <v>290</v>
      </c>
      <c r="AA9">
        <f>Calculations!B137*1000</f>
        <v>880.43160008282541</v>
      </c>
      <c r="AB9">
        <f>2*PI()*AA9</f>
        <v>5531.9148936170222</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2.08601196416048+45.5169904141852i</v>
      </c>
      <c r="AD9">
        <f>20*LOG10(IMABS(AC9))</f>
        <v>33.172582805277543</v>
      </c>
    </row>
    <row r="10" spans="2:30" x14ac:dyDescent="0.15">
      <c r="B10" s="1">
        <v>3</v>
      </c>
      <c r="C10" s="1">
        <f t="shared" si="1"/>
        <v>18.849555921538759</v>
      </c>
      <c r="D10" s="73" t="str">
        <f>IMPRODUCT(COMPLEX(1/(Calculations!$B$136*(Rcs+(Calculations!$B$135/1000))),0),IMDIV(COMPLEX(1,0),COMPLEX(1,(C10*Lm)/(Rcs+(Calculations!$B$135/1000)))))</f>
        <v>369.226482323307-1.25810959859428i</v>
      </c>
      <c r="E10" s="1">
        <f t="shared" si="2"/>
        <v>51.345907277867028</v>
      </c>
      <c r="F10" s="1">
        <f t="shared" si="3"/>
        <v>-0.19523001365982051</v>
      </c>
      <c r="G10" s="1" t="str">
        <f t="shared" si="0"/>
        <v>-0.117635525813188+37.5188493016761i</v>
      </c>
      <c r="H10" s="1">
        <f t="shared" si="4"/>
        <v>31.485032896439989</v>
      </c>
      <c r="I10" s="1">
        <f t="shared" si="5"/>
        <v>90.179642957858178</v>
      </c>
      <c r="J10" s="1" t="str">
        <f t="shared" si="6"/>
        <v>3.76867304239502+13853.1007468603i</v>
      </c>
      <c r="K10" s="1">
        <f t="shared" si="7"/>
        <v>82.830940174307017</v>
      </c>
      <c r="L10" s="1">
        <f t="shared" si="8"/>
        <v>89.984412944198354</v>
      </c>
      <c r="Y10" t="s">
        <v>291</v>
      </c>
      <c r="AA10">
        <f>Calculations!B149*1000</f>
        <v>947.35085173747234</v>
      </c>
      <c r="AB10">
        <f t="shared" ref="AB10:AB11" si="9">2*PI()*AA10</f>
        <v>5952.3809523809532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1.96295909592141+42.1868478601754i</v>
      </c>
      <c r="AD10">
        <f t="shared" ref="AD10:AD11" si="10">20*LOG10(IMABS(AC10))</f>
        <v>32.512934072541391</v>
      </c>
    </row>
    <row r="11" spans="2:30" x14ac:dyDescent="0.15">
      <c r="B11" s="1">
        <v>4</v>
      </c>
      <c r="C11" s="1">
        <f t="shared" si="1"/>
        <v>25.132741228718345</v>
      </c>
      <c r="D11" s="73" t="str">
        <f>IMPRODUCT(COMPLEX(1/(Calculations!$B$136*(Rcs+(Calculations!$B$135/1000))),0),IMDIV(COMPLEX(1,0),COMPLEX(1,(C11*Lm)/(Rcs+(Calculations!$B$135/1000)))))</f>
        <v>369.223148130769-1.67746431680115i</v>
      </c>
      <c r="E11" s="1">
        <f t="shared" si="2"/>
        <v>51.345868059987822</v>
      </c>
      <c r="F11" s="1">
        <f t="shared" si="3"/>
        <v>-0.26030590133440634</v>
      </c>
      <c r="G11" s="1" t="str">
        <f t="shared" si="0"/>
        <v>-0.117635525723245+28.1391391277719i</v>
      </c>
      <c r="H11" s="1">
        <f t="shared" si="4"/>
        <v>28.986292034026771</v>
      </c>
      <c r="I11" s="1">
        <f t="shared" si="5"/>
        <v>90.23952331485647</v>
      </c>
      <c r="J11" s="1" t="str">
        <f t="shared" si="6"/>
        <v>3.76864265278583+10389.8188638424i</v>
      </c>
      <c r="K11" s="1">
        <f t="shared" si="7"/>
        <v>80.332160094014569</v>
      </c>
      <c r="L11" s="1">
        <f t="shared" si="8"/>
        <v>89.979217413522079</v>
      </c>
      <c r="Y11" t="s">
        <v>292</v>
      </c>
      <c r="AA11">
        <f>Calculations!B150*1000</f>
        <v>94735.08517374724</v>
      </c>
      <c r="AB11">
        <f t="shared" si="9"/>
        <v>595238.09523809527</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0.203987517093898+0.20573654390458i</v>
      </c>
      <c r="AD11">
        <f t="shared" si="10"/>
        <v>-10.760391445764517</v>
      </c>
    </row>
    <row r="12" spans="2:30" x14ac:dyDescent="0.15">
      <c r="B12" s="1">
        <v>5</v>
      </c>
      <c r="C12" s="1">
        <f t="shared" si="1"/>
        <v>31.415926535897931</v>
      </c>
      <c r="D12" s="73" t="str">
        <f>IMPRODUCT(COMPLEX(1/(Calculations!$B$136*(Rcs+(Calculations!$B$135/1000))),0),IMDIV(COMPLEX(1,0),COMPLEX(1,(C12*Lm)/(Rcs+(Calculations!$B$135/1000)))))</f>
        <v>369.218861400273-2.09680605151802i</v>
      </c>
      <c r="E12" s="1">
        <f t="shared" si="2"/>
        <v>51.345817637520632</v>
      </c>
      <c r="F12" s="1">
        <f t="shared" si="3"/>
        <v>-0.32538111741428183</v>
      </c>
      <c r="G12" s="1" t="str">
        <f t="shared" si="0"/>
        <v>-0.117635525607602+22.5113135152041i</v>
      </c>
      <c r="H12" s="1">
        <f t="shared" si="4"/>
        <v>27.048135320302404</v>
      </c>
      <c r="I12" s="1">
        <f t="shared" si="5"/>
        <v>90.299403132761782</v>
      </c>
      <c r="J12" s="1" t="str">
        <f t="shared" si="6"/>
        <v>3.76860358123788+8311.8482035902i</v>
      </c>
      <c r="K12" s="1">
        <f t="shared" si="7"/>
        <v>78.393952957823046</v>
      </c>
      <c r="L12" s="1">
        <f t="shared" si="8"/>
        <v>89.974022015347515</v>
      </c>
    </row>
    <row r="13" spans="2:30" x14ac:dyDescent="0.15">
      <c r="B13" s="1">
        <v>6</v>
      </c>
      <c r="C13" s="1">
        <f t="shared" si="1"/>
        <v>37.699111843077517</v>
      </c>
      <c r="D13" s="73" t="str">
        <f>IMPRODUCT(COMPLEX(1/(Calculations!$B$136*(Rcs+(Calculations!$B$135/1000))),0),IMDIV(COMPLEX(1,0),COMPLEX(1,(C13*Lm)/(Rcs+(Calculations!$B$135/1000)))))</f>
        <v>369.213622198173-2.51613155750048i</v>
      </c>
      <c r="E13" s="1">
        <f t="shared" si="2"/>
        <v>51.345756010855709</v>
      </c>
      <c r="F13" s="1">
        <f t="shared" si="3"/>
        <v>-0.39045549402026641</v>
      </c>
      <c r="G13" s="1" t="str">
        <f t="shared" si="0"/>
        <v>-0.117635525466262+18.7594301833045i</v>
      </c>
      <c r="H13" s="1">
        <f t="shared" si="4"/>
        <v>25.464563622179522</v>
      </c>
      <c r="I13" s="1">
        <f t="shared" si="5"/>
        <v>90.359282276814383</v>
      </c>
      <c r="J13" s="1" t="str">
        <f t="shared" si="6"/>
        <v>3.76855582835545+6926.5331548095i</v>
      </c>
      <c r="K13" s="1">
        <f t="shared" si="7"/>
        <v>76.810319633035235</v>
      </c>
      <c r="L13" s="1">
        <f t="shared" si="8"/>
        <v>89.968826782794125</v>
      </c>
    </row>
    <row r="14" spans="2:30" x14ac:dyDescent="0.15">
      <c r="B14" s="1">
        <v>7</v>
      </c>
      <c r="C14" s="1">
        <f t="shared" si="1"/>
        <v>43.982297150257104</v>
      </c>
      <c r="D14" s="73" t="str">
        <f>IMPRODUCT(COMPLEX(1/(Calculations!$B$136*(Rcs+(Calculations!$B$135/1000))),0),IMDIV(COMPLEX(1,0),COMPLEX(1,(C14*Lm)/(Rcs+(Calculations!$B$135/1000)))))</f>
        <v>369.207430605568-2.93543758992277i</v>
      </c>
      <c r="E14" s="1">
        <f t="shared" si="2"/>
        <v>51.345683180470054</v>
      </c>
      <c r="F14" s="1">
        <f t="shared" si="3"/>
        <v>-0.4555288632861676</v>
      </c>
      <c r="G14" s="1" t="str">
        <f t="shared" si="0"/>
        <v>-0.117635525299223+16.0795138689297i</v>
      </c>
      <c r="H14" s="1">
        <f t="shared" si="4"/>
        <v>24.125690728433959</v>
      </c>
      <c r="I14" s="1">
        <f t="shared" si="5"/>
        <v>90.419160612263553</v>
      </c>
      <c r="J14" s="1" t="str">
        <f t="shared" si="6"/>
        <v>3.76849939487834+5937.021312677i</v>
      </c>
      <c r="K14" s="1">
        <f t="shared" si="7"/>
        <v>75.471373908904013</v>
      </c>
      <c r="L14" s="1">
        <f t="shared" si="8"/>
        <v>89.963631748977392</v>
      </c>
    </row>
    <row r="15" spans="2:30" x14ac:dyDescent="0.15">
      <c r="B15" s="1">
        <v>8</v>
      </c>
      <c r="C15" s="1">
        <f t="shared" si="1"/>
        <v>50.26548245743669</v>
      </c>
      <c r="D15" s="73" t="str">
        <f>IMPRODUCT(COMPLEX(1/(Calculations!$B$136*(Rcs+(Calculations!$B$135/1000))),0),IMDIV(COMPLEX(1,0),COMPLEX(1,(C15*Lm)/(Rcs+(Calculations!$B$135/1000)))))</f>
        <v>369.200286718291-3.35472090446148i</v>
      </c>
      <c r="E15" s="1">
        <f t="shared" si="2"/>
        <v>51.345599146927306</v>
      </c>
      <c r="F15" s="1">
        <f t="shared" si="3"/>
        <v>-0.52060105736138751</v>
      </c>
      <c r="G15" s="1" t="str">
        <f t="shared" si="0"/>
        <v>-0.117635525106486+14.0695769405078i</v>
      </c>
      <c r="H15" s="1">
        <f t="shared" si="4"/>
        <v>22.965924363363452</v>
      </c>
      <c r="I15" s="1">
        <f t="shared" si="5"/>
        <v>90.479038004369372</v>
      </c>
      <c r="J15" s="1" t="str">
        <f t="shared" si="6"/>
        <v>3.76843428167935+5194.88647479572i</v>
      </c>
      <c r="K15" s="1">
        <f t="shared" si="7"/>
        <v>74.311523510290769</v>
      </c>
      <c r="L15" s="1">
        <f t="shared" si="8"/>
        <v>89.958436947007982</v>
      </c>
    </row>
    <row r="16" spans="2:30" x14ac:dyDescent="0.15">
      <c r="B16" s="1">
        <v>9</v>
      </c>
      <c r="C16" s="1">
        <f t="shared" si="1"/>
        <v>56.548667764616276</v>
      </c>
      <c r="D16" s="73" t="str">
        <f>IMPRODUCT(COMPLEX(1/(Calculations!$B$136*(Rcs+(Calculations!$B$135/1000))),0),IMDIV(COMPLEX(1,0),COMPLEX(1,(C16*Lm)/(Rcs+(Calculations!$B$135/1000)))))</f>
        <v>369.192190646909-3.77397825737922i</v>
      </c>
      <c r="E16" s="1">
        <f t="shared" si="2"/>
        <v>51.345503910877795</v>
      </c>
      <c r="F16" s="1">
        <f t="shared" si="3"/>
        <v>-0.58567190841351979</v>
      </c>
      <c r="G16" s="1" t="str">
        <f t="shared" si="0"/>
        <v>-0.11763552488805+12.5062929360545i</v>
      </c>
      <c r="H16" s="1">
        <f t="shared" si="4"/>
        <v>21.942956164030413</v>
      </c>
      <c r="I16" s="1">
        <f t="shared" si="5"/>
        <v>90.538914318404537</v>
      </c>
      <c r="J16" s="1" t="str">
        <f t="shared" si="6"/>
        <v>3.76836048976685+4617.66963984715i</v>
      </c>
      <c r="K16" s="1">
        <f t="shared" si="7"/>
        <v>73.288460074908215</v>
      </c>
      <c r="L16" s="1">
        <f t="shared" si="8"/>
        <v>89.95324240999102</v>
      </c>
    </row>
    <row r="17" spans="2:12" x14ac:dyDescent="0.15">
      <c r="B17" s="1">
        <v>10</v>
      </c>
      <c r="C17" s="1">
        <f t="shared" si="1"/>
        <v>62.831853071795862</v>
      </c>
      <c r="D17" s="73" t="str">
        <f>IMPRODUCT(COMPLEX(1/(Calculations!$B$136*(Rcs+(Calculations!$B$135/1000))),0),IMDIV(COMPLEX(1,0),COMPLEX(1,(C17*Lm)/(Rcs+(Calculations!$B$135/1000)))))</f>
        <v>369.183142516721-4.19320640560826i</v>
      </c>
      <c r="E17" s="1">
        <f t="shared" si="2"/>
        <v>51.345397473058554</v>
      </c>
      <c r="F17" s="1">
        <f t="shared" si="3"/>
        <v>-0.65074124863094418</v>
      </c>
      <c r="G17" s="1" t="str">
        <f t="shared" si="0"/>
        <v>-0.117635524643917+11.2556659783793i</v>
      </c>
      <c r="H17" s="1">
        <f t="shared" si="4"/>
        <v>21.027898277013101</v>
      </c>
      <c r="I17" s="1">
        <f t="shared" si="5"/>
        <v>90.598789419656171</v>
      </c>
      <c r="J17" s="1" t="str">
        <f t="shared" si="6"/>
        <v>3.76827802028259+4155.89540705208i</v>
      </c>
      <c r="K17" s="1">
        <f t="shared" si="7"/>
        <v>72.373295750071676</v>
      </c>
      <c r="L17" s="1">
        <f t="shared" si="8"/>
        <v>89.948048171025221</v>
      </c>
    </row>
    <row r="18" spans="2:12" x14ac:dyDescent="0.15">
      <c r="B18" s="1">
        <v>20</v>
      </c>
      <c r="C18" s="1">
        <f t="shared" si="1"/>
        <v>125.66370614359172</v>
      </c>
      <c r="D18" s="73" t="str">
        <f>IMPRODUCT(COMPLEX(1/(Calculations!$B$136*(Rcs+(Calculations!$B$135/1000))),0),IMDIV(COMPLEX(1,0),COMPLEX(1,(C18*Lm)/(Rcs+(Calculations!$B$135/1000)))))</f>
        <v>369.040336065937-8.38316880110207i</v>
      </c>
      <c r="E18" s="1">
        <f t="shared" si="2"/>
        <v>51.343717221586516</v>
      </c>
      <c r="F18" s="1">
        <f t="shared" si="3"/>
        <v>-1.3013146563941138</v>
      </c>
      <c r="G18" s="1" t="str">
        <f t="shared" si="0"/>
        <v>-0.117635520789175+5.62785143074346i</v>
      </c>
      <c r="H18" s="1">
        <f t="shared" si="4"/>
        <v>15.00874954051935</v>
      </c>
      <c r="I18" s="1">
        <f t="shared" si="5"/>
        <v>91.197444106148353</v>
      </c>
      <c r="J18" s="1" t="str">
        <f t="shared" si="6"/>
        <v>3.76697640611756+2077.89034175851i</v>
      </c>
      <c r="K18" s="1">
        <f t="shared" si="7"/>
        <v>66.352466762105863</v>
      </c>
      <c r="L18" s="1">
        <f t="shared" si="8"/>
        <v>89.896129449754241</v>
      </c>
    </row>
    <row r="19" spans="2:12" x14ac:dyDescent="0.15">
      <c r="B19" s="1">
        <v>30</v>
      </c>
      <c r="C19" s="1">
        <f t="shared" si="1"/>
        <v>188.49555921538757</v>
      </c>
      <c r="D19" s="73" t="str">
        <f>IMPRODUCT(COMPLEX(1/(Calculations!$B$136*(Rcs+(Calculations!$B$135/1000))),0),IMDIV(COMPLEX(1,0),COMPLEX(1,(C19*Lm)/(Rcs+(Calculations!$B$135/1000)))))</f>
        <v>368.802570667631-12.5666515365737i</v>
      </c>
      <c r="E19" s="1">
        <f t="shared" si="2"/>
        <v>51.34091824627339</v>
      </c>
      <c r="F19" s="1">
        <f t="shared" si="3"/>
        <v>-1.9515526420164087</v>
      </c>
      <c r="G19" s="1" t="str">
        <f t="shared" si="0"/>
        <v>-0.117635514364605+3.75192144444252i</v>
      </c>
      <c r="H19" s="1">
        <f t="shared" si="4"/>
        <v>11.489341910124939</v>
      </c>
      <c r="I19" s="1">
        <f t="shared" si="5"/>
        <v>91.795829506322249</v>
      </c>
      <c r="J19" s="1" t="str">
        <f t="shared" si="6"/>
        <v>3.76480928543205+1385.19655817076i</v>
      </c>
      <c r="K19" s="1">
        <f t="shared" si="7"/>
        <v>62.830260156398332</v>
      </c>
      <c r="L19" s="1">
        <f t="shared" si="8"/>
        <v>89.84427686430584</v>
      </c>
    </row>
    <row r="20" spans="2:12" x14ac:dyDescent="0.15">
      <c r="B20" s="1">
        <v>40</v>
      </c>
      <c r="C20" s="1">
        <f t="shared" si="1"/>
        <v>251.32741228718345</v>
      </c>
      <c r="D20" s="73" t="str">
        <f>IMPRODUCT(COMPLEX(1/(Calculations!$B$136*(Rcs+(Calculations!$B$135/1000))),0),IMDIV(COMPLEX(1,0),COMPLEX(1,(C20*Lm)/(Rcs+(Calculations!$B$135/1000)))))</f>
        <v>368.470213356321-16.7404356373241i</v>
      </c>
      <c r="E20" s="1">
        <f t="shared" si="2"/>
        <v>51.337002708924729</v>
      </c>
      <c r="F20" s="1">
        <f t="shared" si="3"/>
        <v>-2.601288142411057</v>
      </c>
      <c r="G20" s="1" t="str">
        <f t="shared" si="0"/>
        <v>-0.117635505370211+2.81396259847332i</v>
      </c>
      <c r="H20" s="1">
        <f t="shared" si="4"/>
        <v>8.9939494892427181</v>
      </c>
      <c r="I20" s="1">
        <f t="shared" si="5"/>
        <v>92.393811426442156</v>
      </c>
      <c r="J20" s="1" t="str">
        <f t="shared" si="6"/>
        <v>3.76178000353961+1038.83066864249i</v>
      </c>
      <c r="K20" s="1">
        <f t="shared" si="7"/>
        <v>60.330952198167481</v>
      </c>
      <c r="L20" s="1">
        <f t="shared" si="8"/>
        <v>89.792523284031105</v>
      </c>
    </row>
    <row r="21" spans="2:12" x14ac:dyDescent="0.15">
      <c r="B21" s="1">
        <v>50</v>
      </c>
      <c r="C21" s="1">
        <f t="shared" si="1"/>
        <v>314.15926535897933</v>
      </c>
      <c r="D21" s="73" t="str">
        <f>IMPRODUCT(COMPLEX(1/(Calculations!$B$136*(Rcs+(Calculations!$B$135/1000))),0),IMDIV(COMPLEX(1,0),COMPLEX(1,(C21*Lm)/(Rcs+(Calculations!$B$135/1000)))))</f>
        <v>368.043775997739-20.9013270288752i</v>
      </c>
      <c r="E21" s="1">
        <f t="shared" si="2"/>
        <v>51.331973628280451</v>
      </c>
      <c r="F21" s="1">
        <f t="shared" si="3"/>
        <v>-3.2503548692706445</v>
      </c>
      <c r="G21" s="1" t="str">
        <f t="shared" si="0"/>
        <v>-0.11763549380599+2.25119220863452i</v>
      </c>
      <c r="H21" s="1">
        <f t="shared" si="4"/>
        <v>7.0600940472352569</v>
      </c>
      <c r="I21" s="1">
        <f t="shared" si="5"/>
        <v>92.991256210401787</v>
      </c>
      <c r="J21" s="1" t="str">
        <f t="shared" si="6"/>
        <v>3.75789322581076+830.996018888781i</v>
      </c>
      <c r="K21" s="1">
        <f t="shared" si="7"/>
        <v>58.392067675515719</v>
      </c>
      <c r="L21" s="1">
        <f t="shared" si="8"/>
        <v>89.740901341131149</v>
      </c>
    </row>
    <row r="22" spans="2:12" x14ac:dyDescent="0.15">
      <c r="B22" s="1">
        <v>60</v>
      </c>
      <c r="C22" s="1">
        <f t="shared" si="1"/>
        <v>376.99111843077515</v>
      </c>
      <c r="D22" s="73" t="str">
        <f>IMPRODUCT(COMPLEX(1/(Calculations!$B$136*(Rcs+(Calculations!$B$135/1000))),0),IMDIV(COMPLEX(1,0),COMPLEX(1,(C22*Lm)/(Rcs+(Calculations!$B$135/1000)))))</f>
        <v>367.523913323347-25.0461646280374i</v>
      </c>
      <c r="E22" s="1">
        <f t="shared" si="2"/>
        <v>51.325834872277312</v>
      </c>
      <c r="F22" s="1">
        <f t="shared" si="3"/>
        <v>-3.8985875626800706</v>
      </c>
      <c r="G22" s="1" t="str">
        <f t="shared" si="0"/>
        <v>-0.117635479671946+1.87601604685852i</v>
      </c>
      <c r="H22" s="1">
        <f t="shared" si="4"/>
        <v>5.4817735622799901</v>
      </c>
      <c r="I22" s="1">
        <f t="shared" si="5"/>
        <v>93.588030916147844</v>
      </c>
      <c r="J22" s="1" t="str">
        <f t="shared" si="6"/>
        <v>3.75315491975579+692.427076588801i</v>
      </c>
      <c r="K22" s="1">
        <f t="shared" si="7"/>
        <v>56.807608434557302</v>
      </c>
      <c r="L22" s="1">
        <f t="shared" si="8"/>
        <v>89.689443353467766</v>
      </c>
    </row>
    <row r="23" spans="2:12" x14ac:dyDescent="0.15">
      <c r="B23" s="1">
        <v>70</v>
      </c>
      <c r="C23" s="1">
        <f t="shared" si="1"/>
        <v>439.82297150257102</v>
      </c>
      <c r="D23" s="73" t="str">
        <f>IMPRODUCT(COMPLEX(1/(Calculations!$B$136*(Rcs+(Calculations!$B$135/1000))),0),IMDIV(COMPLEX(1,0),COMPLEX(1,(C23*Lm)/(Rcs+(Calculations!$B$135/1000)))))</f>
        <v>366.911420427501-29.1718282573103i</v>
      </c>
      <c r="E23" s="1">
        <f t="shared" si="2"/>
        <v>51.31859114817216</v>
      </c>
      <c r="F23" s="1">
        <f t="shared" si="3"/>
        <v>-4.545822240789585</v>
      </c>
      <c r="G23" s="1" t="str">
        <f t="shared" si="0"/>
        <v>-0.11763546296808+1.60803658683016i</v>
      </c>
      <c r="H23" s="1">
        <f t="shared" si="4"/>
        <v>4.1490983055308908</v>
      </c>
      <c r="I23" s="1">
        <f t="shared" si="5"/>
        <v>94.184003489737037</v>
      </c>
      <c r="J23" s="1" t="str">
        <f t="shared" si="6"/>
        <v>3.74757233221594+593.438629695919i</v>
      </c>
      <c r="K23" s="1">
        <f t="shared" si="7"/>
        <v>55.467689453703045</v>
      </c>
      <c r="L23" s="1">
        <f t="shared" si="8"/>
        <v>89.638181248947447</v>
      </c>
    </row>
    <row r="24" spans="2:12" x14ac:dyDescent="0.15">
      <c r="B24" s="1">
        <v>80</v>
      </c>
      <c r="C24" s="1">
        <f t="shared" si="1"/>
        <v>502.6548245743669</v>
      </c>
      <c r="D24" s="73" t="str">
        <f>IMPRODUCT(COMPLEX(1/(Calculations!$B$136*(Rcs+(Calculations!$B$135/1000))),0),IMDIV(COMPLEX(1,0),COMPLEX(1,(C24*Lm)/(Rcs+(Calculations!$B$135/1000)))))</f>
        <v>366.207229745055-33.2752463415084i</v>
      </c>
      <c r="E24" s="1">
        <f t="shared" si="2"/>
        <v>51.310247990578823</v>
      </c>
      <c r="F24" s="1">
        <f t="shared" si="3"/>
        <v>-5.1918964446156428</v>
      </c>
      <c r="G24" s="1" t="str">
        <f t="shared" si="0"/>
        <v>-0.117635443694394+1.40705506539146i</v>
      </c>
      <c r="H24" s="1">
        <f t="shared" si="4"/>
        <v>2.9964718625155355</v>
      </c>
      <c r="I24" s="1">
        <f t="shared" si="5"/>
        <v>94.779042936463355</v>
      </c>
      <c r="J24" s="1" t="str">
        <f t="shared" si="6"/>
        <v>3.74115396181362+519.188085963177i</v>
      </c>
      <c r="K24" s="1">
        <f t="shared" si="7"/>
        <v>54.30671985309435</v>
      </c>
      <c r="L24" s="1">
        <f t="shared" si="8"/>
        <v>89.587146491847719</v>
      </c>
    </row>
    <row r="25" spans="2:12" x14ac:dyDescent="0.15">
      <c r="B25" s="1">
        <v>90</v>
      </c>
      <c r="C25" s="1">
        <f t="shared" si="1"/>
        <v>565.48667764616278</v>
      </c>
      <c r="D25" s="73" t="str">
        <f>IMPRODUCT(COMPLEX(1/(Calculations!$B$136*(Rcs+(Calculations!$B$135/1000))),0),IMDIV(COMPLEX(1,0),COMPLEX(1,(C25*Lm)/(Rcs+(Calculations!$B$135/1000)))))</f>
        <v>365.412407530715-37.353403347484i</v>
      </c>
      <c r="E25" s="1">
        <f t="shared" si="2"/>
        <v>51.300811747482122</v>
      </c>
      <c r="F25" s="1">
        <f t="shared" si="3"/>
        <v>-5.8366494770724833</v>
      </c>
      <c r="G25" s="1" t="str">
        <f t="shared" si="0"/>
        <v>-0.117635421850891+1.25073883634317i</v>
      </c>
      <c r="H25" s="1">
        <f t="shared" si="4"/>
        <v>1.9815811194374902</v>
      </c>
      <c r="I25" s="1">
        <f t="shared" si="5"/>
        <v>95.373019488509073</v>
      </c>
      <c r="J25" s="1" t="str">
        <f t="shared" si="6"/>
        <v>3.73390952686385+461.42957274067i</v>
      </c>
      <c r="K25" s="1">
        <f t="shared" si="7"/>
        <v>53.282392866919601</v>
      </c>
      <c r="L25" s="1">
        <f t="shared" si="8"/>
        <v>89.536370011436603</v>
      </c>
    </row>
    <row r="26" spans="2:12" x14ac:dyDescent="0.15">
      <c r="B26" s="1">
        <v>100</v>
      </c>
      <c r="C26" s="1">
        <f t="shared" si="1"/>
        <v>628.31853071795865</v>
      </c>
      <c r="D26" s="73" t="str">
        <f>IMPRODUCT(COMPLEX(1/(Calculations!$B$136*(Rcs+(Calculations!$B$135/1000))),0),IMDIV(COMPLEX(1,0),COMPLEX(1,(C26*Lm)/(Rcs+(Calculations!$B$135/1000)))))</f>
        <v>364.528149864741-41.403346930125i</v>
      </c>
      <c r="E26" s="1">
        <f t="shared" si="2"/>
        <v>51.290289564302178</v>
      </c>
      <c r="F26" s="1">
        <f t="shared" si="3"/>
        <v>-6.4799226353771768</v>
      </c>
      <c r="G26" s="1" t="str">
        <f t="shared" si="0"/>
        <v>-0.117635397437574+1.12568831196545i</v>
      </c>
      <c r="H26" s="1">
        <f t="shared" si="4"/>
        <v>1.0755328702682743</v>
      </c>
      <c r="I26" s="1">
        <f t="shared" si="5"/>
        <v>95.965804768594481</v>
      </c>
      <c r="J26" s="1" t="str">
        <f t="shared" si="6"/>
        <v>3.72584992896996+415.2155768565i</v>
      </c>
      <c r="K26" s="1">
        <f t="shared" si="7"/>
        <v>52.365822434570461</v>
      </c>
      <c r="L26" s="1">
        <f t="shared" si="8"/>
        <v>89.485882133217316</v>
      </c>
    </row>
    <row r="27" spans="2:12" x14ac:dyDescent="0.15">
      <c r="B27" s="1">
        <v>200</v>
      </c>
      <c r="C27" s="1">
        <f t="shared" si="1"/>
        <v>1256.6370614359173</v>
      </c>
      <c r="D27" s="73" t="str">
        <f>IMPRODUCT(COMPLEX(1/(Calculations!$B$136*(Rcs+(Calculations!$B$135/1000))),0),IMDIV(COMPLEX(1,0),COMPLEX(1,(C27*Lm)/(Rcs+(Calculations!$B$135/1000)))))</f>
        <v>351.112566241239-79.759192243488i</v>
      </c>
      <c r="E27" s="1">
        <f t="shared" si="2"/>
        <v>51.127442581158924</v>
      </c>
      <c r="F27" s="1">
        <f t="shared" si="3"/>
        <v>-12.79819599264974</v>
      </c>
      <c r="G27" s="1" t="str">
        <f t="shared" si="0"/>
        <v>-0.117635011965487+0.563028570523718i</v>
      </c>
      <c r="H27" s="1">
        <f t="shared" si="4"/>
        <v>-4.8038308097981437</v>
      </c>
      <c r="I27" s="1">
        <f t="shared" si="5"/>
        <v>101.80119109181959</v>
      </c>
      <c r="J27" s="1" t="str">
        <f t="shared" si="6"/>
        <v>3.60357306395647+207.068879797639i</v>
      </c>
      <c r="K27" s="1">
        <f t="shared" si="7"/>
        <v>46.323611771360767</v>
      </c>
      <c r="L27" s="1">
        <f t="shared" si="8"/>
        <v>89.002995099169837</v>
      </c>
    </row>
    <row r="28" spans="2:12" x14ac:dyDescent="0.15">
      <c r="B28" s="1">
        <v>300</v>
      </c>
      <c r="C28" s="1">
        <f t="shared" si="1"/>
        <v>1884.9555921538758</v>
      </c>
      <c r="D28" s="73" t="str">
        <f>IMPRODUCT(COMPLEX(1/(Calculations!$B$136*(Rcs+(Calculations!$B$135/1000))),0),IMDIV(COMPLEX(1,0),COMPLEX(1,(C28*Lm)/(Rcs+(Calculations!$B$135/1000)))))</f>
        <v>330.820790938148-112.724528824395i</v>
      </c>
      <c r="E28" s="1">
        <f t="shared" si="2"/>
        <v>50.868906807073373</v>
      </c>
      <c r="F28" s="1">
        <f t="shared" si="3"/>
        <v>-18.816131350201932</v>
      </c>
      <c r="G28" s="1" t="str">
        <f t="shared" si="0"/>
        <v>-0.117634369517625+0.375557283604201i</v>
      </c>
      <c r="H28" s="1">
        <f t="shared" si="4"/>
        <v>-8.1000152464728874</v>
      </c>
      <c r="I28" s="1">
        <f t="shared" si="5"/>
        <v>107.39192162263257</v>
      </c>
      <c r="J28" s="1" t="str">
        <f t="shared" si="6"/>
        <v>3.41862267552217+137.502436481953i</v>
      </c>
      <c r="K28" s="1">
        <f t="shared" si="7"/>
        <v>42.768891560600473</v>
      </c>
      <c r="L28" s="1">
        <f t="shared" si="8"/>
        <v>88.575790272430652</v>
      </c>
    </row>
    <row r="29" spans="2:12" x14ac:dyDescent="0.15">
      <c r="B29" s="1">
        <v>400</v>
      </c>
      <c r="C29" s="1">
        <f t="shared" si="1"/>
        <v>2513.2741228718346</v>
      </c>
      <c r="D29" s="73" t="str">
        <f>IMPRODUCT(COMPLEX(1/(Calculations!$B$136*(Rcs+(Calculations!$B$135/1000))),0),IMDIV(COMPLEX(1,0),COMPLEX(1,(C29*Lm)/(Rcs+(Calculations!$B$135/1000)))))</f>
        <v>306.057691299312-139.048935213375i</v>
      </c>
      <c r="E29" s="1">
        <f t="shared" si="2"/>
        <v>50.531011829600857</v>
      </c>
      <c r="F29" s="1">
        <f t="shared" si="3"/>
        <v>-24.433373095750845</v>
      </c>
      <c r="G29" s="1" t="str">
        <f t="shared" si="0"/>
        <v>-0.117633470102407+0.281883108300971i</v>
      </c>
      <c r="H29" s="1">
        <f t="shared" si="4"/>
        <v>-10.301382791726832</v>
      </c>
      <c r="I29" s="1">
        <f t="shared" si="5"/>
        <v>112.6514090676655</v>
      </c>
      <c r="J29" s="1" t="str">
        <f t="shared" si="6"/>
        <v>3.19291778481715+102.629302106063i</v>
      </c>
      <c r="K29" s="1">
        <f t="shared" si="7"/>
        <v>40.229629037874012</v>
      </c>
      <c r="L29" s="1">
        <f t="shared" si="8"/>
        <v>88.218035971914659</v>
      </c>
    </row>
    <row r="30" spans="2:12" x14ac:dyDescent="0.15">
      <c r="B30" s="1">
        <v>500</v>
      </c>
      <c r="C30" s="1">
        <f t="shared" si="1"/>
        <v>3141.5926535897929</v>
      </c>
      <c r="D30" s="73" t="str">
        <f>IMPRODUCT(COMPLEX(1/(Calculations!$B$136*(Rcs+(Calculations!$B$135/1000))),0),IMDIV(COMPLEX(1,0),COMPLEX(1,(C30*Lm)/(Rcs+(Calculations!$B$135/1000)))))</f>
        <v>279.188522071455-158.552079483057i</v>
      </c>
      <c r="E30" s="1">
        <f t="shared" si="2"/>
        <v>50.131954447809903</v>
      </c>
      <c r="F30" s="1">
        <f t="shared" si="3"/>
        <v>-29.592385294176545</v>
      </c>
      <c r="G30" s="1" t="str">
        <f t="shared" si="0"/>
        <v>-0.11763231373162+0.225727775388352i</v>
      </c>
      <c r="H30" s="1">
        <f t="shared" si="4"/>
        <v>-11.884894070855861</v>
      </c>
      <c r="I30" s="1">
        <f t="shared" si="5"/>
        <v>117.52513179904075</v>
      </c>
      <c r="J30" s="1" t="str">
        <f t="shared" si="6"/>
        <v>2.94801636633092+81.6714519577031i</v>
      </c>
      <c r="K30" s="1">
        <f t="shared" si="7"/>
        <v>38.247060376954046</v>
      </c>
      <c r="L30" s="1">
        <f t="shared" si="8"/>
        <v>87.932746504864227</v>
      </c>
    </row>
    <row r="31" spans="2:12" x14ac:dyDescent="0.15">
      <c r="B31" s="1">
        <v>600</v>
      </c>
      <c r="C31" s="1">
        <f t="shared" si="1"/>
        <v>3769.9111843077517</v>
      </c>
      <c r="D31" s="73" t="str">
        <f>IMPRODUCT(COMPLEX(1/(Calculations!$B$136*(Rcs+(Calculations!$B$135/1000))),0),IMDIV(COMPLEX(1,0),COMPLEX(1,(C31*Lm)/(Rcs+(Calculations!$B$135/1000)))))</f>
        <v>252.134412718507-171.825554213266i</v>
      </c>
      <c r="E31" s="1">
        <f t="shared" si="2"/>
        <v>49.689300097368758</v>
      </c>
      <c r="F31" s="1">
        <f t="shared" si="3"/>
        <v>-34.273801914058431</v>
      </c>
      <c r="G31" s="1" t="str">
        <f t="shared" si="0"/>
        <v>-0.117630900420422+0.188331861254107i</v>
      </c>
      <c r="H31" s="1">
        <f t="shared" si="4"/>
        <v>-13.071009447546309</v>
      </c>
      <c r="I31" s="1">
        <f t="shared" si="5"/>
        <v>121.98864139265082</v>
      </c>
      <c r="J31" s="1" t="str">
        <f t="shared" si="6"/>
        <v>2.70142844095058+67.6969378908321i</v>
      </c>
      <c r="K31" s="1">
        <f t="shared" si="7"/>
        <v>36.618290649822441</v>
      </c>
      <c r="L31" s="1">
        <f t="shared" si="8"/>
        <v>87.714839478592395</v>
      </c>
    </row>
    <row r="32" spans="2:12" x14ac:dyDescent="0.15">
      <c r="B32" s="1">
        <v>700</v>
      </c>
      <c r="C32" s="1">
        <f t="shared" si="1"/>
        <v>4398.22971502571</v>
      </c>
      <c r="D32" s="73" t="str">
        <f>IMPRODUCT(COMPLEX(1/(Calculations!$B$136*(Rcs+(Calculations!$B$135/1000))),0),IMDIV(COMPLEX(1,0),COMPLEX(1,(C32*Lm)/(Rcs+(Calculations!$B$135/1000)))))</f>
        <v>226.226639178283-179.864792915089i</v>
      </c>
      <c r="E32" s="1">
        <f t="shared" si="2"/>
        <v>49.21841628748102</v>
      </c>
      <c r="F32" s="1">
        <f t="shared" si="3"/>
        <v>-38.486967382384705</v>
      </c>
      <c r="G32" s="1" t="str">
        <f t="shared" si="0"/>
        <v>-0.117629230187335+0.161655612461332i</v>
      </c>
      <c r="H32" s="1">
        <f t="shared" si="4"/>
        <v>-13.982748394065636</v>
      </c>
      <c r="I32" s="1">
        <f t="shared" si="5"/>
        <v>126.04163034614822</v>
      </c>
      <c r="J32" s="1" t="str">
        <f t="shared" si="6"/>
        <v>2.46528784450993+57.7281630398405i</v>
      </c>
      <c r="K32" s="1">
        <f t="shared" si="7"/>
        <v>35.235667893415396</v>
      </c>
      <c r="L32" s="1">
        <f t="shared" si="8"/>
        <v>87.554662963763519</v>
      </c>
    </row>
    <row r="33" spans="2:12" x14ac:dyDescent="0.15">
      <c r="B33" s="1">
        <v>800</v>
      </c>
      <c r="C33" s="1">
        <f t="shared" si="1"/>
        <v>5026.5482457436692</v>
      </c>
      <c r="D33" s="73" t="str">
        <f>IMPRODUCT(COMPLEX(1/(Calculations!$B$136*(Rcs+(Calculations!$B$135/1000))),0),IMDIV(COMPLEX(1,0),COMPLEX(1,(C33*Lm)/(Rcs+(Calculations!$B$135/1000)))))</f>
        <v>202.247724699079-183.771436354672i</v>
      </c>
      <c r="E33" s="1">
        <f t="shared" si="2"/>
        <v>48.731815295375192</v>
      </c>
      <c r="F33" s="1">
        <f t="shared" si="3"/>
        <v>-42.259705847696146</v>
      </c>
      <c r="G33" s="1" t="str">
        <f t="shared" si="0"/>
        <v>-0.117627303054249+0.141679151888947i</v>
      </c>
      <c r="H33" s="1">
        <f t="shared" si="4"/>
        <v>-14.696829107782367</v>
      </c>
      <c r="I33" s="1">
        <f t="shared" si="5"/>
        <v>129.70071936675993</v>
      </c>
      <c r="J33" s="1" t="str">
        <f t="shared" si="6"/>
        <v>2.24672683893265+50.2708245436404i</v>
      </c>
      <c r="K33" s="1">
        <f t="shared" si="7"/>
        <v>34.034986187592835</v>
      </c>
      <c r="L33" s="1">
        <f t="shared" si="8"/>
        <v>87.441013519063787</v>
      </c>
    </row>
    <row r="34" spans="2:12" x14ac:dyDescent="0.15">
      <c r="B34" s="1">
        <v>900</v>
      </c>
      <c r="C34" s="1">
        <f t="shared" si="1"/>
        <v>5654.8667764616275</v>
      </c>
      <c r="D34" s="73" t="str">
        <f>IMPRODUCT(COMPLEX(1/(Calculations!$B$136*(Rcs+(Calculations!$B$135/1000))),0),IMDIV(COMPLEX(1,0),COMPLEX(1,(C34*Lm)/(Rcs+(Calculations!$B$135/1000)))))</f>
        <v>180.557726538478-184.57078763341i</v>
      </c>
      <c r="E34" s="1">
        <f t="shared" si="2"/>
        <v>48.239139628286985</v>
      </c>
      <c r="F34" s="1">
        <f t="shared" si="3"/>
        <v>-45.629702137707604</v>
      </c>
      <c r="G34" s="1" t="str">
        <f t="shared" si="0"/>
        <v>-0.117625119046419+0.126169214111869i</v>
      </c>
      <c r="H34" s="1">
        <f t="shared" si="4"/>
        <v>-15.264496900359848</v>
      </c>
      <c r="I34" s="1">
        <f t="shared" si="5"/>
        <v>132.99281507893298</v>
      </c>
      <c r="J34" s="1" t="str">
        <f t="shared" si="6"/>
        <v>2.04902714487676+44.4909873270567i</v>
      </c>
      <c r="K34" s="1">
        <f t="shared" si="7"/>
        <v>32.974642727927147</v>
      </c>
      <c r="L34" s="1">
        <f t="shared" si="8"/>
        <v>87.363112941225396</v>
      </c>
    </row>
    <row r="35" spans="2:12" x14ac:dyDescent="0.15">
      <c r="B35" s="1">
        <v>1000</v>
      </c>
      <c r="C35" s="1">
        <f t="shared" si="1"/>
        <v>6283.1853071795858</v>
      </c>
      <c r="D35" s="73" t="str">
        <f>IMPRODUCT(COMPLEX(1/(Calculations!$B$136*(Rcs+(Calculations!$B$135/1000))),0),IMDIV(COMPLEX(1,0),COMPLEX(1,(C35*Lm)/(Rcs+(Calculations!$B$135/1000)))))</f>
        <v>161.232160470872-183.128547925477i</v>
      </c>
      <c r="E35" s="1">
        <f t="shared" si="2"/>
        <v>47.747495585300932</v>
      </c>
      <c r="F35" s="1">
        <f t="shared" si="3"/>
        <v>-48.638289298201457</v>
      </c>
      <c r="G35" s="1" t="str">
        <f t="shared" si="0"/>
        <v>-0.117622678192463+0.113785839553095i</v>
      </c>
      <c r="H35" s="1">
        <f t="shared" si="4"/>
        <v>-15.721519396957159</v>
      </c>
      <c r="I35" s="1">
        <f t="shared" si="5"/>
        <v>135.94989813407162</v>
      </c>
      <c r="J35" s="1" t="str">
        <f t="shared" si="6"/>
        <v>1.87287704649866+39.8860070026289i</v>
      </c>
      <c r="K35" s="1">
        <f t="shared" si="7"/>
        <v>32.025976188343769</v>
      </c>
      <c r="L35" s="1">
        <f t="shared" si="8"/>
        <v>87.311608835870189</v>
      </c>
    </row>
    <row r="36" spans="2:12" x14ac:dyDescent="0.15">
      <c r="B36" s="1">
        <v>2000</v>
      </c>
      <c r="C36" s="1">
        <f t="shared" si="1"/>
        <v>12566.370614359172</v>
      </c>
      <c r="D36" s="73" t="str">
        <f>IMPRODUCT(COMPLEX(1/(Calculations!$B$136*(Rcs+(Calculations!$B$135/1000))),0),IMDIV(COMPLEX(1,0),COMPLEX(1,(C36*Lm)/(Rcs+(Calculations!$B$135/1000)))))</f>
        <v>59.9378579918145-136.155626368194i</v>
      </c>
      <c r="E36" s="1">
        <f t="shared" si="2"/>
        <v>43.449991035089141</v>
      </c>
      <c r="F36" s="1">
        <f t="shared" si="3"/>
        <v>-66.240147390567344</v>
      </c>
      <c r="G36" s="1" t="str">
        <f t="shared" si="0"/>
        <v>-0.117584151816059+0.0587360685493158i</v>
      </c>
      <c r="H36" s="1">
        <f t="shared" si="4"/>
        <v>-17.625578477035006</v>
      </c>
      <c r="I36" s="1">
        <f t="shared" si="5"/>
        <v>153.45678575645775</v>
      </c>
      <c r="J36" s="1" t="str">
        <f t="shared" si="6"/>
        <v>0.949504010098371+19.5302579771947i</v>
      </c>
      <c r="K36" s="1">
        <f t="shared" si="7"/>
        <v>25.824412558054139</v>
      </c>
      <c r="L36" s="1">
        <f t="shared" si="8"/>
        <v>87.216638365890404</v>
      </c>
    </row>
    <row r="37" spans="2:12" x14ac:dyDescent="0.15">
      <c r="B37" s="1">
        <v>3000</v>
      </c>
      <c r="C37" s="1">
        <f t="shared" si="1"/>
        <v>18849.555921538758</v>
      </c>
      <c r="D37" s="73" t="str">
        <f>IMPRODUCT(COMPLEX(1/(Calculations!$B$136*(Rcs+(Calculations!$B$135/1000))),0),IMDIV(COMPLEX(1,0),COMPLEX(1,(C37*Lm)/(Rcs+(Calculations!$B$135/1000)))))</f>
        <v>29.2796083041986-99.7679148548647i</v>
      </c>
      <c r="E37" s="1">
        <f t="shared" si="2"/>
        <v>40.338631476032248</v>
      </c>
      <c r="F37" s="1">
        <f t="shared" si="3"/>
        <v>-73.64423886080391</v>
      </c>
      <c r="G37" s="1" t="str">
        <f t="shared" si="0"/>
        <v>-0.117519997242606+0.041203534322941i</v>
      </c>
      <c r="H37" s="1">
        <f t="shared" si="4"/>
        <v>-18.094251371956044</v>
      </c>
      <c r="I37" s="1">
        <f t="shared" si="5"/>
        <v>160.67888942316881</v>
      </c>
      <c r="J37" s="1" t="str">
        <f t="shared" si="6"/>
        <v>0.669851216876669+12.9311484243686i</v>
      </c>
      <c r="K37" s="1">
        <f t="shared" si="7"/>
        <v>22.244380104076228</v>
      </c>
      <c r="L37" s="1">
        <f t="shared" si="8"/>
        <v>87.034650562364931</v>
      </c>
    </row>
    <row r="38" spans="2:12" x14ac:dyDescent="0.15">
      <c r="B38" s="1">
        <v>4000</v>
      </c>
      <c r="C38" s="1">
        <f t="shared" si="1"/>
        <v>25132.741228718343</v>
      </c>
      <c r="D38" s="73" t="str">
        <f>IMPRODUCT(COMPLEX(1/(Calculations!$B$136*(Rcs+(Calculations!$B$135/1000))),0),IMDIV(COMPLEX(1,0),COMPLEX(1,(C38*Lm)/(Rcs+(Calculations!$B$135/1000)))))</f>
        <v>17.0617063263128-77.5151928881597i</v>
      </c>
      <c r="E38" s="1">
        <f t="shared" si="2"/>
        <v>37.993203474831944</v>
      </c>
      <c r="F38" s="1">
        <f t="shared" si="3"/>
        <v>-77.586684795950404</v>
      </c>
      <c r="G38" s="1" t="str">
        <f t="shared" si="0"/>
        <v>-0.117430298360405+0.033048302631661i</v>
      </c>
      <c r="H38" s="1">
        <f t="shared" si="4"/>
        <v>-18.273367947712238</v>
      </c>
      <c r="I38" s="1">
        <f t="shared" si="5"/>
        <v>164.28185340209458</v>
      </c>
      <c r="J38" s="1" t="str">
        <f t="shared" si="6"/>
        <v>0.558184288682956+9.66649266240545i</v>
      </c>
      <c r="K38" s="1">
        <f t="shared" si="7"/>
        <v>19.719835527119702</v>
      </c>
      <c r="L38" s="1">
        <f t="shared" si="8"/>
        <v>86.695168606144193</v>
      </c>
    </row>
    <row r="39" spans="2:12" x14ac:dyDescent="0.15">
      <c r="B39" s="1">
        <v>5000</v>
      </c>
      <c r="C39" s="1">
        <f t="shared" si="1"/>
        <v>31415.926535897932</v>
      </c>
      <c r="D39" s="73" t="str">
        <f>IMPRODUCT(COMPLEX(1/(Calculations!$B$136*(Rcs+(Calculations!$B$135/1000))),0),IMDIV(COMPLEX(1,0),COMPLEX(1,(C39*Lm)/(Rcs+(Calculations!$B$135/1000)))))</f>
        <v>11.1042124401888-63.0611874854566i</v>
      </c>
      <c r="E39" s="1">
        <f t="shared" si="2"/>
        <v>36.127856469618727</v>
      </c>
      <c r="F39" s="1">
        <f t="shared" si="3"/>
        <v>-80.013373607633923</v>
      </c>
      <c r="G39" s="1" t="str">
        <f t="shared" si="0"/>
        <v>-0.117315172229229+0.0286417518415474i</v>
      </c>
      <c r="H39" s="1">
        <f t="shared" si="4"/>
        <v>-18.361471804687085</v>
      </c>
      <c r="I39" s="1">
        <f t="shared" si="5"/>
        <v>166.27999649441304</v>
      </c>
      <c r="J39" s="1" t="str">
        <f t="shared" si="6"/>
        <v>0.503490287901046+7.71607816794375i</v>
      </c>
      <c r="K39" s="1">
        <f t="shared" si="7"/>
        <v>17.766384664931639</v>
      </c>
      <c r="L39" s="1">
        <f t="shared" si="8"/>
        <v>86.266622886779146</v>
      </c>
    </row>
    <row r="40" spans="2:12" x14ac:dyDescent="0.15">
      <c r="B40" s="1">
        <v>6000</v>
      </c>
      <c r="C40" s="1">
        <f t="shared" si="1"/>
        <v>37699.111843077517</v>
      </c>
      <c r="D40" s="73" t="str">
        <f>IMPRODUCT(COMPLEX(1/(Calculations!$B$136*(Rcs+(Calculations!$B$135/1000))),0),IMDIV(COMPLEX(1,0),COMPLEX(1,(C40*Lm)/(Rcs+(Calculations!$B$135/1000)))))</f>
        <v>7.78277651718225-53.0383724285915i</v>
      </c>
      <c r="E40" s="1">
        <f t="shared" si="2"/>
        <v>34.584324449087553</v>
      </c>
      <c r="F40" s="1">
        <f t="shared" si="3"/>
        <v>-81.652073771038275</v>
      </c>
      <c r="G40" s="1" t="str">
        <f t="shared" ref="G40:G62" si="11">IMPRODUCT(COMPLEX(-(gm*Acs*Rcs)/(IL_Comp_Ccomp+IL_Comp_Chf),0),IMDIV(COMPLEX(1,C40*IL_Comp_Rcomp*IL_Comp_Ccomp),IMPRODUCT(COMPLEX(0,C40),COMPLEX(1,C40*IL_Comp_Rcomp*((IL_Comp_Ccomp*IL_Comp_Chf)/(IL_Comp_Ccomp+IL_Comp_Chf))))))</f>
        <v>-0.117174768699285+0.0261071518298908i</v>
      </c>
      <c r="H40" s="1">
        <f t="shared" si="4"/>
        <v>-18.412905187073399</v>
      </c>
      <c r="I40" s="1">
        <f t="shared" si="5"/>
        <v>167.43936403467035</v>
      </c>
      <c r="J40" s="1" t="str">
        <f t="shared" si="6"/>
        <v>0.472735803564475+6.41794514969893i</v>
      </c>
      <c r="K40" s="1">
        <f t="shared" si="7"/>
        <v>16.171419262014155</v>
      </c>
      <c r="L40" s="1">
        <f t="shared" si="8"/>
        <v>85.787290263632102</v>
      </c>
    </row>
    <row r="41" spans="2:12" x14ac:dyDescent="0.15">
      <c r="B41" s="1">
        <v>7000</v>
      </c>
      <c r="C41" s="1">
        <f t="shared" si="1"/>
        <v>43982.297150257102</v>
      </c>
      <c r="D41" s="73" t="str">
        <f>IMPRODUCT(COMPLEX(1/(Calculations!$B$136*(Rcs+(Calculations!$B$135/1000))),0),IMDIV(COMPLEX(1,0),COMPLEX(1,(C41*Lm)/(Rcs+(Calculations!$B$135/1000)))))</f>
        <v>5.75011413849832-45.717122108863i</v>
      </c>
      <c r="E41" s="1">
        <f t="shared" si="2"/>
        <v>33.269743504936862</v>
      </c>
      <c r="F41" s="1">
        <f t="shared" si="3"/>
        <v>-82.831213561251147</v>
      </c>
      <c r="G41" s="1" t="str">
        <f t="shared" si="11"/>
        <v>-0.11700926992528+0.0246397481193424i</v>
      </c>
      <c r="H41" s="1">
        <f t="shared" si="4"/>
        <v>-18.44716007014264</v>
      </c>
      <c r="I41" s="1">
        <f t="shared" si="5"/>
        <v>168.10842663553532</v>
      </c>
      <c r="J41" s="1" t="str">
        <f t="shared" si="6"/>
        <v>0.453641716170885+5.49100844507301i</v>
      </c>
      <c r="K41" s="1">
        <f t="shared" si="7"/>
        <v>14.822583434794232</v>
      </c>
      <c r="L41" s="1">
        <f t="shared" si="8"/>
        <v>85.277213074284191</v>
      </c>
    </row>
    <row r="42" spans="2:12" x14ac:dyDescent="0.15">
      <c r="B42" s="1">
        <v>8000</v>
      </c>
      <c r="C42" s="1">
        <f t="shared" si="1"/>
        <v>50265.482457436687</v>
      </c>
      <c r="D42" s="73" t="str">
        <f>IMPRODUCT(COMPLEX(1/(Calculations!$B$136*(Rcs+(Calculations!$B$135/1000))),0),IMDIV(COMPLEX(1,0),COMPLEX(1,(C42*Lm)/(Rcs+(Calculations!$B$135/1000)))))</f>
        <v>4.41855876541152-40.1490247737208i</v>
      </c>
      <c r="E42" s="1">
        <f t="shared" si="2"/>
        <v>32.125785204136839</v>
      </c>
      <c r="F42" s="1">
        <f t="shared" si="3"/>
        <v>-83.719647375662532</v>
      </c>
      <c r="G42" s="1" t="str">
        <f t="shared" si="11"/>
        <v>-0.11681888977853+0.0238367841309175i</v>
      </c>
      <c r="H42" s="1">
        <f t="shared" si="4"/>
        <v>-18.472578627732595</v>
      </c>
      <c r="I42" s="1">
        <f t="shared" si="5"/>
        <v>168.4671712563686</v>
      </c>
      <c r="J42" s="1" t="str">
        <f t="shared" si="6"/>
        <v>0.440852507201476+4.79548873121765i</v>
      </c>
      <c r="K42" s="1">
        <f t="shared" si="7"/>
        <v>13.653206576404246</v>
      </c>
      <c r="L42" s="1">
        <f t="shared" si="8"/>
        <v>84.747523880706055</v>
      </c>
    </row>
    <row r="43" spans="2:12" x14ac:dyDescent="0.15">
      <c r="B43" s="1">
        <v>9000</v>
      </c>
      <c r="C43" s="1">
        <f t="shared" si="1"/>
        <v>56548.667764616279</v>
      </c>
      <c r="D43" s="73" t="str">
        <f>IMPRODUCT(COMPLEX(1/(Calculations!$B$136*(Rcs+(Calculations!$B$135/1000))),0),IMDIV(COMPLEX(1,0),COMPLEX(1,(C43*Lm)/(Rcs+(Calculations!$B$135/1000)))))</f>
        <v>3.49999744197928-35.77788095617i</v>
      </c>
      <c r="E43" s="1">
        <f t="shared" si="2"/>
        <v>31.113656120091147</v>
      </c>
      <c r="F43" s="1">
        <f t="shared" si="3"/>
        <v>-84.412776104330575</v>
      </c>
      <c r="G43" s="1" t="str">
        <f t="shared" si="11"/>
        <v>-0.116603873160634+0.0234741763148438i</v>
      </c>
      <c r="H43" s="1">
        <f t="shared" si="4"/>
        <v>-18.493202915686343</v>
      </c>
      <c r="I43" s="1">
        <f t="shared" si="5"/>
        <v>168.61760785663651</v>
      </c>
      <c r="J43" s="1" t="str">
        <f t="shared" si="6"/>
        <v>0.431743027949531+4.25399905002403i</v>
      </c>
      <c r="K43" s="1">
        <f t="shared" si="7"/>
        <v>12.620453204404797</v>
      </c>
      <c r="L43" s="1">
        <f t="shared" si="8"/>
        <v>84.20483175230595</v>
      </c>
    </row>
    <row r="44" spans="2:12" x14ac:dyDescent="0.15">
      <c r="B44" s="1">
        <v>10000</v>
      </c>
      <c r="C44" s="1">
        <f t="shared" si="1"/>
        <v>62831.853071795864</v>
      </c>
      <c r="D44" s="73" t="str">
        <f>IMPRODUCT(COMPLEX(1/(Calculations!$B$136*(Rcs+(Calculations!$B$135/1000))),0),IMDIV(COMPLEX(1,0),COMPLEX(1,(C44*Lm)/(Rcs+(Calculations!$B$135/1000)))))</f>
        <v>2.84011308627115-32.2581911644696i</v>
      </c>
      <c r="E44" s="1">
        <f t="shared" si="2"/>
        <v>30.206335179910543</v>
      </c>
      <c r="F44" s="1">
        <f t="shared" si="3"/>
        <v>-84.968472544019519</v>
      </c>
      <c r="G44" s="1" t="str">
        <f t="shared" si="11"/>
        <v>-0.116364495222792+0.0234171851057011i</v>
      </c>
      <c r="H44" s="1">
        <f t="shared" si="4"/>
        <v>-18.511179719162772</v>
      </c>
      <c r="I44" s="1">
        <f t="shared" si="5"/>
        <v>168.62177244420891</v>
      </c>
      <c r="J44" s="1" t="str">
        <f t="shared" si="6"/>
        <v>0.424907708013888+3.82021558551617i</v>
      </c>
      <c r="K44" s="1">
        <f t="shared" si="7"/>
        <v>11.69515546074777</v>
      </c>
      <c r="L44" s="1">
        <f t="shared" si="8"/>
        <v>83.653299900189396</v>
      </c>
    </row>
    <row r="45" spans="2:12" x14ac:dyDescent="0.15">
      <c r="B45" s="1">
        <v>20000</v>
      </c>
      <c r="C45" s="1">
        <f t="shared" si="1"/>
        <v>125663.70614359173</v>
      </c>
      <c r="D45" s="73" t="str">
        <f>IMPRODUCT(COMPLEX(1/(Calculations!$B$136*(Rcs+(Calculations!$B$135/1000))),0),IMDIV(COMPLEX(1,0),COMPLEX(1,(C45*Lm)/(Rcs+(Calculations!$B$135/1000)))))</f>
        <v>0.714148177913604-16.2226839165341i</v>
      </c>
      <c r="E45" s="1">
        <f t="shared" si="2"/>
        <v>24.210862175361015</v>
      </c>
      <c r="F45" s="1">
        <f t="shared" si="3"/>
        <v>-87.479376655932839</v>
      </c>
      <c r="G45" s="1" t="str">
        <f t="shared" si="11"/>
        <v>-0.112711028047144+0.0291872245181098i</v>
      </c>
      <c r="H45" s="1">
        <f t="shared" si="4"/>
        <v>-18.678790148061097</v>
      </c>
      <c r="I45" s="1">
        <f t="shared" si="5"/>
        <v>165.48181413238098</v>
      </c>
      <c r="J45" s="1" t="str">
        <f t="shared" si="6"/>
        <v>0.393002742447572+1.84931938512439i</v>
      </c>
      <c r="K45" s="1">
        <f t="shared" si="7"/>
        <v>5.5320720272999155</v>
      </c>
      <c r="L45" s="1">
        <f t="shared" si="8"/>
        <v>78.002437476448151</v>
      </c>
    </row>
    <row r="46" spans="2:12" x14ac:dyDescent="0.15">
      <c r="B46" s="1">
        <v>30000</v>
      </c>
      <c r="C46" s="1">
        <f t="shared" si="1"/>
        <v>188495.55921538759</v>
      </c>
      <c r="D46" s="73" t="str">
        <f>IMPRODUCT(COMPLEX(1/(Calculations!$B$136*(Rcs+(Calculations!$B$135/1000))),0),IMDIV(COMPLEX(1,0),COMPLEX(1,(C46*Lm)/(Rcs+(Calculations!$B$135/1000)))))</f>
        <v>0.317740611529198-10.8267562692879i</v>
      </c>
      <c r="E46" s="1">
        <f t="shared" si="2"/>
        <v>20.693706121270495</v>
      </c>
      <c r="F46" s="1">
        <f t="shared" si="3"/>
        <v>-88.318982008631139</v>
      </c>
      <c r="G46" s="1" t="str">
        <f t="shared" si="11"/>
        <v>-0.10710637429596+0.037333713811827i</v>
      </c>
      <c r="H46" s="1">
        <f t="shared" si="4"/>
        <v>-18.905705762824486</v>
      </c>
      <c r="I46" s="1">
        <f t="shared" si="5"/>
        <v>160.78314717400769</v>
      </c>
      <c r="J46" s="1" t="str">
        <f t="shared" si="6"/>
        <v>0.370170975200525+1.17147704644671i</v>
      </c>
      <c r="K46" s="1">
        <f t="shared" si="7"/>
        <v>1.7880003584460291</v>
      </c>
      <c r="L46" s="1">
        <f t="shared" si="8"/>
        <v>72.464165165376599</v>
      </c>
    </row>
    <row r="47" spans="2:12" x14ac:dyDescent="0.15">
      <c r="B47" s="1">
        <v>40000</v>
      </c>
      <c r="C47" s="1">
        <f t="shared" si="1"/>
        <v>251327.41228718346</v>
      </c>
      <c r="D47" s="73" t="str">
        <f>IMPRODUCT(COMPLEX(1/(Calculations!$B$136*(Rcs+(Calculations!$B$135/1000))),0),IMDIV(COMPLEX(1,0),COMPLEX(1,(C47*Lm)/(Rcs+(Calculations!$B$135/1000)))))</f>
        <v>0.178796408960556-8.12312547363072i</v>
      </c>
      <c r="E47" s="1">
        <f t="shared" si="2"/>
        <v>18.196566770215124</v>
      </c>
      <c r="F47" s="1">
        <f t="shared" si="3"/>
        <v>-88.739078231137967</v>
      </c>
      <c r="G47" s="1" t="str">
        <f t="shared" si="11"/>
        <v>-0.100135331452296+0.0446754443818675i</v>
      </c>
      <c r="H47" s="1">
        <f t="shared" si="4"/>
        <v>-19.199878776519444</v>
      </c>
      <c r="I47" s="1">
        <f t="shared" si="5"/>
        <v>155.95592889978093</v>
      </c>
      <c r="J47" s="1" t="str">
        <f t="shared" si="6"/>
        <v>0.345000402630375+0.821399670754796i</v>
      </c>
      <c r="K47" s="1">
        <f t="shared" si="7"/>
        <v>-1.0033120063043195</v>
      </c>
      <c r="L47" s="1">
        <f t="shared" si="8"/>
        <v>67.216850668642977</v>
      </c>
    </row>
    <row r="48" spans="2:12" x14ac:dyDescent="0.15">
      <c r="B48" s="1">
        <v>50000</v>
      </c>
      <c r="C48" s="1">
        <f t="shared" si="1"/>
        <v>314159.26535897929</v>
      </c>
      <c r="D48" s="73" t="str">
        <f>IMPRODUCT(COMPLEX(1/(Calculations!$B$136*(Rcs+(Calculations!$B$135/1000))),0),IMDIV(COMPLEX(1,0),COMPLEX(1,(C48*Lm)/(Rcs+(Calculations!$B$135/1000)))))</f>
        <v>0.114449653342105-6.49963343724476i</v>
      </c>
      <c r="E48" s="1">
        <f t="shared" si="2"/>
        <v>16.259123666416627</v>
      </c>
      <c r="F48" s="1">
        <f t="shared" si="3"/>
        <v>-88.991203958438604</v>
      </c>
      <c r="G48" s="1" t="str">
        <f t="shared" si="11"/>
        <v>-0.0924029587192135+0.0505374006926602i</v>
      </c>
      <c r="H48" s="1">
        <f t="shared" si="4"/>
        <v>-19.549769973495426</v>
      </c>
      <c r="I48" s="1">
        <f t="shared" si="5"/>
        <v>151.32469006486753</v>
      </c>
      <c r="J48" s="1" t="str">
        <f t="shared" si="6"/>
        <v>0.317899092780252+0.606369348181833i</v>
      </c>
      <c r="K48" s="1">
        <f t="shared" si="7"/>
        <v>-3.2906463070787995</v>
      </c>
      <c r="L48" s="1">
        <f t="shared" si="8"/>
        <v>62.333486106428929</v>
      </c>
    </row>
    <row r="49" spans="2:12" x14ac:dyDescent="0.15">
      <c r="B49" s="1">
        <v>60000</v>
      </c>
      <c r="C49" s="1">
        <f t="shared" si="1"/>
        <v>376991.11843077518</v>
      </c>
      <c r="D49" s="73" t="str">
        <f>IMPRODUCT(COMPLEX(1/(Calculations!$B$136*(Rcs+(Calculations!$B$135/1000))),0),IMDIV(COMPLEX(1,0),COMPLEX(1,(C49*Lm)/(Rcs+(Calculations!$B$135/1000)))))</f>
        <v>0.0794864542838156-5.41687424279213i</v>
      </c>
      <c r="E49" s="1">
        <f t="shared" si="2"/>
        <v>14.675910095613659</v>
      </c>
      <c r="F49" s="1">
        <f t="shared" si="3"/>
        <v>-89.159310089015364</v>
      </c>
      <c r="G49" s="1" t="str">
        <f t="shared" si="11"/>
        <v>-0.0844341441296188+0.0548224271133475i</v>
      </c>
      <c r="H49" s="1">
        <f t="shared" si="4"/>
        <v>-19.941923931058572</v>
      </c>
      <c r="I49" s="1">
        <f t="shared" si="5"/>
        <v>147.00465254449242</v>
      </c>
      <c r="J49" s="1" t="str">
        <f t="shared" si="6"/>
        <v>0.290254822620289+0.461726780894403i</v>
      </c>
      <c r="K49" s="1">
        <f t="shared" si="7"/>
        <v>-5.2660138354449195</v>
      </c>
      <c r="L49" s="1">
        <f t="shared" si="8"/>
        <v>57.845342455477052</v>
      </c>
    </row>
    <row r="50" spans="2:12" x14ac:dyDescent="0.15">
      <c r="B50" s="1">
        <v>70000</v>
      </c>
      <c r="C50" s="1">
        <f t="shared" si="1"/>
        <v>439822.97150257102</v>
      </c>
      <c r="D50" s="73" t="str">
        <f>IMPRODUCT(COMPLEX(1/(Calculations!$B$136*(Rcs+(Calculations!$B$135/1000))),0),IMDIV(COMPLEX(1,0),COMPLEX(1,(C50*Lm)/(Rcs+(Calculations!$B$135/1000)))))</f>
        <v>0.0584015468560024-4.64330026266162i</v>
      </c>
      <c r="E50" s="1">
        <f t="shared" si="2"/>
        <v>13.337222352998046</v>
      </c>
      <c r="F50" s="1">
        <f t="shared" si="3"/>
        <v>-89.279394928247399</v>
      </c>
      <c r="G50" s="1" t="str">
        <f t="shared" si="11"/>
        <v>-0.0766245828815318+0.0576654781615432i</v>
      </c>
      <c r="H50" s="1">
        <f t="shared" si="4"/>
        <v>-20.363710933975749</v>
      </c>
      <c r="I50" s="1">
        <f t="shared" si="5"/>
        <v>143.0359231610035</v>
      </c>
      <c r="J50" s="1" t="str">
        <f t="shared" si="6"/>
        <v>0.263283135726524+0.359158698944979i</v>
      </c>
      <c r="K50" s="1">
        <f t="shared" si="7"/>
        <v>-7.0264885809776985</v>
      </c>
      <c r="L50" s="1">
        <f t="shared" si="8"/>
        <v>53.756528232756132</v>
      </c>
    </row>
    <row r="51" spans="2:12" x14ac:dyDescent="0.15">
      <c r="B51" s="1">
        <v>80000</v>
      </c>
      <c r="C51" s="1">
        <f t="shared" si="1"/>
        <v>502654.82457436691</v>
      </c>
      <c r="D51" s="73" t="str">
        <f>IMPRODUCT(COMPLEX(1/(Calculations!$B$136*(Rcs+(Calculations!$B$135/1000))),0),IMDIV(COMPLEX(1,0),COMPLEX(1,(C51*Lm)/(Rcs+(Calculations!$B$135/1000)))))</f>
        <v>0.0447153419672326-4.06303835191979i</v>
      </c>
      <c r="E51" s="1">
        <f t="shared" si="2"/>
        <v>12.177544415014518</v>
      </c>
      <c r="F51" s="1">
        <f t="shared" si="3"/>
        <v>-89.369462770364692</v>
      </c>
      <c r="G51" s="1" t="str">
        <f t="shared" si="11"/>
        <v>-0.0692355809937563+0.0592947646465913i</v>
      </c>
      <c r="H51" s="1">
        <f t="shared" si="4"/>
        <v>-20.804285160373045</v>
      </c>
      <c r="I51" s="1">
        <f t="shared" si="5"/>
        <v>139.42257582808224</v>
      </c>
      <c r="J51" s="1" t="str">
        <f t="shared" si="6"/>
        <v>0.237821010146722+0.28395820657312i</v>
      </c>
      <c r="K51" s="1">
        <f t="shared" si="7"/>
        <v>-8.626740745358525</v>
      </c>
      <c r="L51" s="1">
        <f t="shared" si="8"/>
        <v>50.05311305771766</v>
      </c>
    </row>
    <row r="52" spans="2:12" x14ac:dyDescent="0.15">
      <c r="B52" s="1">
        <v>90000</v>
      </c>
      <c r="C52" s="1">
        <f t="shared" si="1"/>
        <v>565486.6776461628</v>
      </c>
      <c r="D52" s="73" t="str">
        <f>IMPRODUCT(COMPLEX(1/(Calculations!$B$136*(Rcs+(Calculations!$B$135/1000))),0),IMDIV(COMPLEX(1,0),COMPLEX(1,(C52*Lm)/(Rcs+(Calculations!$B$135/1000)))))</f>
        <v>0.0353315385848721-3.61168144389565i</v>
      </c>
      <c r="E52" s="1">
        <f t="shared" si="2"/>
        <v>11.154604351662238</v>
      </c>
      <c r="F52" s="1">
        <f t="shared" si="3"/>
        <v>-89.439517713863523</v>
      </c>
      <c r="G52" s="1" t="str">
        <f t="shared" si="11"/>
        <v>-0.0624143923103807+0.0599583235726907i</v>
      </c>
      <c r="H52" s="1">
        <f t="shared" si="4"/>
        <v>-21.254858907131535</v>
      </c>
      <c r="I52" s="1">
        <f t="shared" si="5"/>
        <v>136.14979455278444</v>
      </c>
      <c r="J52" s="1" t="str">
        <f t="shared" si="6"/>
        <v>0.214345168144413+0.227539322362218i</v>
      </c>
      <c r="K52" s="1">
        <f t="shared" si="7"/>
        <v>-10.100254555469286</v>
      </c>
      <c r="L52" s="1">
        <f t="shared" si="8"/>
        <v>46.710276838920862</v>
      </c>
    </row>
    <row r="53" spans="2:12" x14ac:dyDescent="0.15">
      <c r="B53" s="1">
        <v>100000</v>
      </c>
      <c r="C53" s="1">
        <f t="shared" si="1"/>
        <v>628318.53071795858</v>
      </c>
      <c r="D53" s="73" t="str">
        <f>IMPRODUCT(COMPLEX(1/(Calculations!$B$136*(Rcs+(Calculations!$B$135/1000))),0),IMDIV(COMPLEX(1,0),COMPLEX(1,(C53*Lm)/(Rcs+(Calculations!$B$135/1000)))))</f>
        <v>0.0286190665775938-3.25057239823078i</v>
      </c>
      <c r="E53" s="1">
        <f t="shared" si="2"/>
        <v>10.239533500337021</v>
      </c>
      <c r="F53" s="1">
        <f t="shared" si="3"/>
        <v>-89.495562885362773</v>
      </c>
      <c r="G53" s="1" t="str">
        <f t="shared" si="11"/>
        <v>-0.0562234996209931+0.059886088152351i</v>
      </c>
      <c r="H53" s="1">
        <f t="shared" si="4"/>
        <v>-21.708619042266779</v>
      </c>
      <c r="I53" s="1">
        <f t="shared" si="5"/>
        <v>133.19324736893566</v>
      </c>
      <c r="J53" s="1" t="str">
        <f t="shared" si="6"/>
        <v>0.193055001107169+0.184472439943843i</v>
      </c>
      <c r="K53" s="1">
        <f t="shared" si="7"/>
        <v>-11.469085541929751</v>
      </c>
      <c r="L53" s="1">
        <f t="shared" si="8"/>
        <v>43.697684483572949</v>
      </c>
    </row>
    <row r="54" spans="2:12" x14ac:dyDescent="0.15">
      <c r="B54" s="1">
        <v>200000</v>
      </c>
      <c r="C54" s="1">
        <f t="shared" si="1"/>
        <v>1256637.0614359172</v>
      </c>
      <c r="D54" s="73" t="str">
        <f>IMPRODUCT(COMPLEX(1/(Calculations!$B$136*(Rcs+(Calculations!$B$135/1000))),0),IMDIV(COMPLEX(1,0),COMPLEX(1,(C54*Lm)/(Rcs+(Calculations!$B$135/1000)))))</f>
        <v>0.00715518259290025-1.625380686524i</v>
      </c>
      <c r="E54" s="1">
        <f t="shared" si="2"/>
        <v>4.2191860605443896</v>
      </c>
      <c r="F54" s="1">
        <f t="shared" si="3"/>
        <v>-89.747776555097062</v>
      </c>
      <c r="G54" s="1" t="str">
        <f t="shared" si="11"/>
        <v>-0.0219095828861084+0.0463592397900226i</v>
      </c>
      <c r="H54" s="1">
        <f t="shared" si="4"/>
        <v>-25.801749003096152</v>
      </c>
      <c r="I54" s="1">
        <f t="shared" si="5"/>
        <v>115.29562636230865</v>
      </c>
      <c r="J54" s="1" t="str">
        <f t="shared" si="6"/>
        <v>0.0751946459305533+0.035943121698443i</v>
      </c>
      <c r="K54" s="1">
        <f t="shared" si="7"/>
        <v>-21.58256294255176</v>
      </c>
      <c r="L54" s="1">
        <f t="shared" si="8"/>
        <v>25.547849807211566</v>
      </c>
    </row>
    <row r="55" spans="2:12" x14ac:dyDescent="0.15">
      <c r="B55" s="1">
        <v>300000</v>
      </c>
      <c r="C55" s="1">
        <f t="shared" si="1"/>
        <v>1884955.5921538759</v>
      </c>
      <c r="D55" s="73" t="str">
        <f>IMPRODUCT(COMPLEX(1/(Calculations!$B$136*(Rcs+(Calculations!$B$135/1000))),0),IMDIV(COMPLEX(1,0),COMPLEX(1,(C55*Lm)/(Rcs+(Calculations!$B$135/1000)))))</f>
        <v>0.00318011538920352-1.08359879026526i</v>
      </c>
      <c r="E55" s="1">
        <f t="shared" si="2"/>
        <v>0.69740763539091033</v>
      </c>
      <c r="F55" s="1">
        <f t="shared" si="3"/>
        <v>-89.831850433300971</v>
      </c>
      <c r="G55" s="1" t="str">
        <f t="shared" si="11"/>
        <v>-0.0108614489148951+0.0344298677663537i</v>
      </c>
      <c r="H55" s="1">
        <f t="shared" si="4"/>
        <v>-28.849266593143724</v>
      </c>
      <c r="I55" s="1">
        <f t="shared" si="5"/>
        <v>107.50870809195946</v>
      </c>
      <c r="J55" s="1" t="str">
        <f t="shared" si="6"/>
        <v>0.0372736223997704+0.0118789438570403i</v>
      </c>
      <c r="K55" s="1">
        <f t="shared" si="7"/>
        <v>-28.151858957752825</v>
      </c>
      <c r="L55" s="1">
        <f t="shared" si="8"/>
        <v>17.676857658658555</v>
      </c>
    </row>
    <row r="56" spans="2:12" x14ac:dyDescent="0.15">
      <c r="B56" s="1">
        <v>400000</v>
      </c>
      <c r="C56" s="1">
        <f t="shared" si="1"/>
        <v>2513274.1228718343</v>
      </c>
      <c r="D56" s="73" t="str">
        <f>IMPRODUCT(COMPLEX(1/(Calculations!$B$136*(Rcs+(Calculations!$B$135/1000))),0),IMDIV(COMPLEX(1,0),COMPLEX(1,(C56*Lm)/(Rcs+(Calculations!$B$135/1000)))))</f>
        <v>0.00178882164689562-0.812702155046385i</v>
      </c>
      <c r="E56" s="1">
        <f t="shared" si="2"/>
        <v>-1.8013507320701041</v>
      </c>
      <c r="F56" s="1">
        <f t="shared" si="3"/>
        <v>-89.87388766657385</v>
      </c>
      <c r="G56" s="1" t="str">
        <f t="shared" si="11"/>
        <v>-0.00636674969709385+0.0268975602506681i</v>
      </c>
      <c r="H56" s="1">
        <f t="shared" si="4"/>
        <v>-31.16898541598654</v>
      </c>
      <c r="I56" s="1">
        <f t="shared" si="5"/>
        <v>103.3170174829781</v>
      </c>
      <c r="J56" s="1" t="str">
        <f t="shared" si="6"/>
        <v>0.0218483162015294+0.00522238613749417i</v>
      </c>
      <c r="K56" s="1">
        <f t="shared" si="7"/>
        <v>-32.970336148056646</v>
      </c>
      <c r="L56" s="1">
        <f t="shared" si="8"/>
        <v>13.443129816404278</v>
      </c>
    </row>
    <row r="57" spans="2:12" x14ac:dyDescent="0.15">
      <c r="B57" s="1">
        <v>500000</v>
      </c>
      <c r="C57" s="1">
        <f t="shared" si="1"/>
        <v>3141592.653589793</v>
      </c>
      <c r="D57" s="73" t="str">
        <f>IMPRODUCT(COMPLEX(1/(Calculations!$B$136*(Rcs+(Calculations!$B$135/1000))),0),IMDIV(COMPLEX(1,0),COMPLEX(1,(C57*Lm)/(Rcs+(Calculations!$B$135/1000)))))</f>
        <v>0.0011448478507436-0.650162857986867i</v>
      </c>
      <c r="E57" s="1">
        <f t="shared" si="2"/>
        <v>-3.7395434176897728</v>
      </c>
      <c r="F57" s="1">
        <f t="shared" si="3"/>
        <v>-89.899110074604948</v>
      </c>
      <c r="G57" s="1" t="str">
        <f t="shared" si="11"/>
        <v>-0.0041556899510875+0.0219411673659259i</v>
      </c>
      <c r="H57" s="1">
        <f t="shared" si="4"/>
        <v>-33.021740567577361</v>
      </c>
      <c r="I57" s="1">
        <f t="shared" si="5"/>
        <v>100.72486657652355</v>
      </c>
      <c r="J57" s="1" t="str">
        <f t="shared" si="6"/>
        <v>0.0142605744494897+0.00272699455380804i</v>
      </c>
      <c r="K57" s="1">
        <f t="shared" si="7"/>
        <v>-36.761283985267134</v>
      </c>
      <c r="L57" s="1">
        <f t="shared" si="8"/>
        <v>10.825756501918624</v>
      </c>
    </row>
    <row r="58" spans="2:12" x14ac:dyDescent="0.15">
      <c r="B58" s="1">
        <v>600000</v>
      </c>
      <c r="C58" s="1">
        <f t="shared" si="1"/>
        <v>3769911.1843077517</v>
      </c>
      <c r="D58" s="73" t="str">
        <f>IMPRODUCT(COMPLEX(1/(Calculations!$B$136*(Rcs+(Calculations!$B$135/1000))),0),IMDIV(COMPLEX(1,0),COMPLEX(1,(C58*Lm)/(Rcs+(Calculations!$B$135/1000)))))</f>
        <v>0.000795033982909857-0.541802894967696i</v>
      </c>
      <c r="E58" s="1">
        <f t="shared" si="2"/>
        <v>-5.3231642240709789</v>
      </c>
      <c r="F58" s="1">
        <f t="shared" si="3"/>
        <v>-89.915925035619495</v>
      </c>
      <c r="G58" s="1" t="str">
        <f t="shared" si="11"/>
        <v>-0.00291738697423843+0.0184817792138759i</v>
      </c>
      <c r="H58" s="1">
        <f t="shared" si="4"/>
        <v>-34.558236317116567</v>
      </c>
      <c r="I58" s="1">
        <f t="shared" si="5"/>
        <v>98.970241034083671</v>
      </c>
      <c r="J58" s="1" t="str">
        <f t="shared" si="6"/>
        <v>0.0100111620604459+0.0015953423509231i</v>
      </c>
      <c r="K58" s="1">
        <f t="shared" si="7"/>
        <v>-39.881400541187574</v>
      </c>
      <c r="L58" s="1">
        <f t="shared" si="8"/>
        <v>9.0543159984642294</v>
      </c>
    </row>
    <row r="59" spans="2:12" x14ac:dyDescent="0.15">
      <c r="B59" s="1">
        <v>700000</v>
      </c>
      <c r="C59" s="1">
        <f t="shared" si="1"/>
        <v>4398229.7150257099</v>
      </c>
      <c r="D59" s="73" t="str">
        <f>IMPRODUCT(COMPLEX(1/(Calculations!$B$136*(Rcs+(Calculations!$B$135/1000))),0),IMDIV(COMPLEX(1,0),COMPLEX(1,(C59*Lm)/(Rcs+(Calculations!$B$135/1000)))))</f>
        <v>0.000584106933366771-0.464402746696368i</v>
      </c>
      <c r="E59" s="1">
        <f t="shared" si="2"/>
        <v>-6.6620975357246479</v>
      </c>
      <c r="F59" s="1">
        <f t="shared" si="3"/>
        <v>-89.92793573109418</v>
      </c>
      <c r="G59" s="1" t="str">
        <f t="shared" si="11"/>
        <v>-0.00215758248671919+0.0159453821037064i</v>
      </c>
      <c r="H59" s="1">
        <f t="shared" si="4"/>
        <v>-35.868505502546718</v>
      </c>
      <c r="I59" s="1">
        <f t="shared" si="5"/>
        <v>97.705936118809518</v>
      </c>
      <c r="J59" s="1" t="str">
        <f t="shared" si="6"/>
        <v>0.00740381898719456+0.00101130104129833i</v>
      </c>
      <c r="K59" s="1">
        <f t="shared" si="7"/>
        <v>-42.530603038271366</v>
      </c>
      <c r="L59" s="1">
        <f t="shared" si="8"/>
        <v>7.7780003877153518</v>
      </c>
    </row>
    <row r="60" spans="2:12" x14ac:dyDescent="0.15">
      <c r="B60" s="1">
        <v>800000</v>
      </c>
      <c r="C60" s="1">
        <f t="shared" si="1"/>
        <v>5026548.2457436686</v>
      </c>
      <c r="D60" s="73" t="str">
        <f>IMPRODUCT(COMPLEX(1/(Calculations!$B$136*(Rcs+(Calculations!$B$135/1000))),0),IMDIV(COMPLEX(1,0),COMPLEX(1,(C60*Lm)/(Rcs+(Calculations!$B$135/1000)))))</f>
        <v>0.000447207036670338-0.406352554023064i</v>
      </c>
      <c r="E60" s="1">
        <f t="shared" si="2"/>
        <v>-7.8219348650401175</v>
      </c>
      <c r="F60" s="1">
        <f t="shared" si="3"/>
        <v>-89.93694375691426</v>
      </c>
      <c r="G60" s="1" t="str">
        <f t="shared" si="11"/>
        <v>-0.00165903081737644+0.0140118376385022i</v>
      </c>
      <c r="H60" s="1">
        <f t="shared" si="4"/>
        <v>-37.009636915911472</v>
      </c>
      <c r="I60" s="1">
        <f t="shared" si="5"/>
        <v>96.752502403496436</v>
      </c>
      <c r="J60" s="1" t="str">
        <f t="shared" si="6"/>
        <v>0.00569300408070628+0.000680417602232508i</v>
      </c>
      <c r="K60" s="1">
        <f t="shared" si="7"/>
        <v>-44.831571780951592</v>
      </c>
      <c r="L60" s="1">
        <f t="shared" si="8"/>
        <v>6.8155586465821836</v>
      </c>
    </row>
    <row r="61" spans="2:12" x14ac:dyDescent="0.15">
      <c r="B61" s="1">
        <v>900000</v>
      </c>
      <c r="C61" s="1">
        <f t="shared" si="1"/>
        <v>5654866.7764616273</v>
      </c>
      <c r="D61" s="73" t="str">
        <f>IMPRODUCT(COMPLEX(1/(Calculations!$B$136*(Rcs+(Calculations!$B$135/1000))),0),IMDIV(COMPLEX(1,0),COMPLEX(1,(C61*Lm)/(Rcs+(Calculations!$B$135/1000)))))</f>
        <v>0.000353348859535926-0.361202362060173i</v>
      </c>
      <c r="E61" s="1">
        <f t="shared" si="2"/>
        <v>-8.8449842100133349</v>
      </c>
      <c r="F61" s="1">
        <f t="shared" si="3"/>
        <v>-89.943950001396715</v>
      </c>
      <c r="G61" s="1" t="str">
        <f t="shared" si="11"/>
        <v>-0.00131473066088656+0.0124915706538874i</v>
      </c>
      <c r="H61" s="1">
        <f t="shared" si="4"/>
        <v>-38.019814815073175</v>
      </c>
      <c r="I61" s="1">
        <f t="shared" si="5"/>
        <v>96.008227888500457</v>
      </c>
      <c r="J61" s="1" t="str">
        <f t="shared" si="6"/>
        <v>0.00451152026744605+0.000479297702429521i</v>
      </c>
      <c r="K61" s="1">
        <f t="shared" si="7"/>
        <v>-46.864799025086505</v>
      </c>
      <c r="L61" s="1">
        <f t="shared" si="8"/>
        <v>6.0642778871037422</v>
      </c>
    </row>
    <row r="62" spans="2:12" x14ac:dyDescent="0.15">
      <c r="B62" s="1">
        <v>1000000</v>
      </c>
      <c r="C62" s="1">
        <f t="shared" si="1"/>
        <v>6283185.307179586</v>
      </c>
      <c r="D62" s="73" t="str">
        <f>IMPRODUCT(COMPLEX(1/(Calculations!$B$136*(Rcs+(Calculations!$B$135/1000))),0),IMDIV(COMPLEX(1,0),COMPLEX(1,(C62*Lm)/(Rcs+(Calculations!$B$135/1000)))))</f>
        <v>0.000286212628265408-0.325082184963015i</v>
      </c>
      <c r="E62" s="1">
        <f t="shared" si="2"/>
        <v>-9.7601332315602605</v>
      </c>
      <c r="F62" s="1">
        <f t="shared" si="3"/>
        <v>-89.949554998199616</v>
      </c>
      <c r="G62" s="1" t="str">
        <f t="shared" si="11"/>
        <v>-0.00106719802839231+0.0112660981137714i</v>
      </c>
      <c r="H62" s="1">
        <f t="shared" si="4"/>
        <v>-38.925733499539952</v>
      </c>
      <c r="I62" s="1">
        <f t="shared" si="5"/>
        <v>95.411281790215497</v>
      </c>
      <c r="J62" s="1" t="str">
        <f t="shared" si="6"/>
        <v>0.00366210234527992+0.000350151566409432i</v>
      </c>
      <c r="K62" s="1">
        <f t="shared" si="7"/>
        <v>-48.685866731100226</v>
      </c>
      <c r="L62" s="1">
        <f t="shared" si="8"/>
        <v>5.4617267920158881</v>
      </c>
    </row>
    <row r="69" spans="2:97" x14ac:dyDescent="0.15">
      <c r="Q69" t="s">
        <v>398</v>
      </c>
    </row>
    <row r="74" spans="2:97" ht="28.5" x14ac:dyDescent="0.3">
      <c r="B74" s="30" t="s">
        <v>192</v>
      </c>
      <c r="C74" s="29"/>
      <c r="D74" s="29"/>
      <c r="E74" s="29"/>
    </row>
    <row r="75" spans="2:97" ht="28.5" x14ac:dyDescent="0.3">
      <c r="B75" s="29"/>
      <c r="C75" s="29"/>
      <c r="D75" s="29"/>
      <c r="E75" s="29"/>
    </row>
    <row r="76" spans="2:97" ht="14.25" thickBot="1" x14ac:dyDescent="0.2">
      <c r="B76" s="213" t="s">
        <v>33</v>
      </c>
      <c r="C76" s="213"/>
      <c r="D76" s="206" t="s">
        <v>31</v>
      </c>
      <c r="E76" s="202"/>
      <c r="F76" s="202"/>
      <c r="G76" s="202"/>
      <c r="H76" s="202"/>
      <c r="I76" s="202"/>
      <c r="J76" s="202"/>
      <c r="K76" s="202"/>
      <c r="L76" s="202"/>
      <c r="M76" s="202"/>
      <c r="N76" s="202"/>
      <c r="O76" s="202"/>
      <c r="P76" s="202"/>
      <c r="Q76" s="202"/>
      <c r="R76" s="202"/>
      <c r="S76" s="202"/>
      <c r="T76" s="202"/>
    </row>
    <row r="77" spans="2:97" ht="14.25" thickBot="1" x14ac:dyDescent="0.2">
      <c r="B77" s="213"/>
      <c r="C77" s="213"/>
      <c r="D77" s="203" t="s">
        <v>0</v>
      </c>
      <c r="E77" s="204"/>
      <c r="F77" s="205"/>
      <c r="G77" s="203" t="s">
        <v>386</v>
      </c>
      <c r="H77" s="204"/>
      <c r="I77" s="205"/>
      <c r="J77" s="203" t="s">
        <v>387</v>
      </c>
      <c r="K77" s="204"/>
      <c r="L77" s="205"/>
      <c r="M77" s="203" t="s">
        <v>390</v>
      </c>
      <c r="N77" s="205"/>
      <c r="O77" s="207" t="s">
        <v>444</v>
      </c>
      <c r="P77" s="208"/>
      <c r="Q77" s="209"/>
      <c r="R77" s="210" t="s">
        <v>445</v>
      </c>
      <c r="S77" s="211"/>
      <c r="T77" s="211"/>
      <c r="U77" s="202" t="s">
        <v>393</v>
      </c>
      <c r="V77" s="202"/>
      <c r="W77" s="202"/>
      <c r="X77" t="s">
        <v>387</v>
      </c>
    </row>
    <row r="78" spans="2:97" ht="40.5" x14ac:dyDescent="0.1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x14ac:dyDescent="0.15">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0.71427108379757-0.0030055994682524i</v>
      </c>
      <c r="E79" s="1">
        <f t="shared" ref="E79:E137" si="14">20*LOG(IMABS(D79))</f>
        <v>-2.9226617274496736</v>
      </c>
      <c r="F79" s="6">
        <f t="shared" ref="F79" si="15">IMARGUMENT(D79)*(180/PI())</f>
        <v>-0.24109494552645741</v>
      </c>
      <c r="G79" s="5" t="str">
        <f t="shared" ref="G79:G110" si="16">IMDIV(COMPLEX(V48_Max,0),IMSUM(COMPLEX(Rcs/np,(Lm*C79)/np),D79))</f>
        <v>83.941489610143+0.351238410985209i</v>
      </c>
      <c r="H79" s="1">
        <f>20*LOG10(IMABS(G79))</f>
        <v>38.479609475152891</v>
      </c>
      <c r="I79" s="6">
        <f>IMARGUMENT(G79)*(180/PI())</f>
        <v>0.239742720754137</v>
      </c>
      <c r="J79" s="26" t="str">
        <f t="shared" ref="J79:J110" si="17">IMDIV(IMPRODUCT(COMPLEX(V48_Max,0),D79),IMSUM(COMPLEX(Rcs/np,(Lm*C79)/np),D79))</f>
        <v>59.9580344414006-0.00141505605081825i</v>
      </c>
      <c r="K79" s="1">
        <f>20*LOG10(IMABS(J79))</f>
        <v>35.556947747703219</v>
      </c>
      <c r="L79" s="6">
        <f>IMARGUMENT(J79)*(180/PI())</f>
        <v>-1.3522247723200779E-3</v>
      </c>
      <c r="M79" s="26">
        <f t="shared" ref="M79:M110" si="18">(Ramp_C*Ramp_R*Fsw)/(V48_Max)</f>
        <v>0.16</v>
      </c>
      <c r="N79" s="6">
        <f t="shared" ref="N79:N110" si="19">(Rcs*Acs)/np</f>
        <v>2.5000000000000001E-2</v>
      </c>
      <c r="O79" s="5" t="str">
        <f t="shared" ref="O79:O110" si="20">IMPRODUCT(COMPLEX(gm/(IL_Comp_Ccomp+IL_Comp_Chf),0),IMDIV(COMPLEX(1,C79*IL_Comp_Rcomp*IL_Comp_Ccomp),IMPRODUCT(COMPLEX(0,C79),COMPLEX(1,C79*IL_Comp_Rcomp*IL_Comp_Chf))))</f>
        <v>2.35247524726262-2251.13076163405i</v>
      </c>
      <c r="P79" s="1">
        <f t="shared" ref="P79:P137" si="21">20*LOG(IMABS(O79))</f>
        <v>67.048019195490951</v>
      </c>
      <c r="Q79" s="6">
        <f t="shared" ref="Q79" si="22">IMARGUMENT(O79)*(180/PI())</f>
        <v>-89.940124822463019</v>
      </c>
      <c r="R79" s="5" t="str">
        <f>IMDIV(IMPRODUCT(J79,O79,COMPLEX(M79,0)),IMSUM(COMPLEX(1,0),IMPRODUCT(G79,O79,COMPLEX(N79,0),COMPLEX(M79,0))))</f>
        <v>28.5704366337503-0.158020945888845i</v>
      </c>
      <c r="S79" s="1">
        <f>20*LOG10(IMABS(R79))</f>
        <v>29.118470406187157</v>
      </c>
      <c r="T79" s="6">
        <f>IMARGUMENT(R79)*(180/PI())</f>
        <v>-0.31689543525340796</v>
      </c>
      <c r="U79" t="str">
        <f>IMPRODUCT(COMPLEX(-1,0),IMDIV(COMPLEX(1,C79*Calculations!$B$171*Calculations!$B$173),IMPRODUCT(COMPLEX(0,C79*Calculations!$B$160),COMPLEX((Calculations!$B$173+Calculations!$B$175),C79*Calculations!$B$171*Calculations!$B$173*Calculations!$B$175))))</f>
        <v>-0.409599933766217+254.648073656938i</v>
      </c>
      <c r="V79">
        <f>20*LOG10(IMABS(U79))</f>
        <v>48.118819140396063</v>
      </c>
      <c r="W79">
        <f>IMARGUMENT(U79)*(180/PI())</f>
        <v>90.092159846006808</v>
      </c>
      <c r="X79" t="str">
        <f>IMPRODUCT(U79,R79)</f>
        <v>28.5372805151856+7275.4713776911i</v>
      </c>
      <c r="Y79">
        <f>20*LOG10(IMABS(X79))</f>
        <v>77.237289546583227</v>
      </c>
      <c r="Z79">
        <f>IMARGUMENT(X79)*(180/PI())</f>
        <v>89.775264410753394</v>
      </c>
    </row>
    <row r="80" spans="2:97" x14ac:dyDescent="0.15">
      <c r="B80" s="1">
        <v>2</v>
      </c>
      <c r="C80" s="22">
        <f t="shared" si="12"/>
        <v>12.566370614359172</v>
      </c>
      <c r="D80" s="26" t="str">
        <f t="shared" si="13"/>
        <v>0.714227196492766-0.00601077167219406i</v>
      </c>
      <c r="E80" s="1">
        <f t="shared" si="14"/>
        <v>-2.9229647544804078</v>
      </c>
      <c r="F80" s="6">
        <f t="shared" ref="F80:F133" si="23">IMARGUMENT(D80)*(180/PI())</f>
        <v>-0.48217670782033206</v>
      </c>
      <c r="G80" s="5" t="str">
        <f t="shared" si="16"/>
        <v>83.9422350461441+0.702476015010574i</v>
      </c>
      <c r="H80" s="1">
        <f t="shared" ref="H80:H137" si="24">20*LOG10(IMABS(G80))</f>
        <v>38.479914709359775</v>
      </c>
      <c r="I80" s="6">
        <f t="shared" ref="I80:I133" si="25">IMARGUMENT(G80)*(180/PI())</f>
        <v>0.4794722383117288</v>
      </c>
      <c r="J80" s="26" t="str">
        <f t="shared" si="17"/>
        <v>59.9580496272758-0.0028301337116057i</v>
      </c>
      <c r="K80" s="1">
        <f t="shared" ref="K80:K137" si="26">20*LOG10(IMABS(J80))</f>
        <v>35.556949954879379</v>
      </c>
      <c r="L80" s="6">
        <f t="shared" ref="L80:L133" si="27">IMARGUMENT(J80)*(180/PI())</f>
        <v>-2.7044695086030114E-3</v>
      </c>
      <c r="M80" s="26">
        <f t="shared" si="18"/>
        <v>0.16</v>
      </c>
      <c r="N80" s="6">
        <f t="shared" si="19"/>
        <v>2.5000000000000001E-2</v>
      </c>
      <c r="O80" s="5" t="str">
        <f t="shared" si="20"/>
        <v>2.35247524647624-1125.56541806524i</v>
      </c>
      <c r="P80" s="1">
        <f t="shared" si="21"/>
        <v>61.027433797952796</v>
      </c>
      <c r="Q80" s="6">
        <f t="shared" ref="Q80:Q133" si="28">IMARGUMENT(O80)*(180/PI())</f>
        <v>-89.880249779703774</v>
      </c>
      <c r="R80" s="5" t="str">
        <f t="shared" ref="R80:R133" si="29">IMDIV(IMPRODUCT(J80,O80,COMPLEX(M80,0)),IMSUM(COMPLEX(1,0),IMPRODUCT(G80,O80,COMPLEX(N80,0),COMPLEX(M80,0))))</f>
        <v>28.5674612909863-0.316004488012669i</v>
      </c>
      <c r="S80" s="1">
        <f t="shared" ref="S80:S137" si="30">20*LOG10(IMABS(R80))</f>
        <v>29.117964326441527</v>
      </c>
      <c r="T80" s="6">
        <f t="shared" ref="T80:T133" si="31">IMARGUMENT(R80)*(180/PI())</f>
        <v>-0.63376247758420645</v>
      </c>
      <c r="U80" t="str">
        <f>IMPRODUCT(COMPLEX(-1,0),IMDIV(COMPLEX(1,C80*Calculations!$B$171*Calculations!$B$173),IMPRODUCT(COMPLEX(0,C80*Calculations!$B$160),COMPLEX((Calculations!$B$173+Calculations!$B$175),C80*Calculations!$B$171*Calculations!$B$173*Calculations!$B$175))))</f>
        <v>-0.409599735064995+127.324283893169i</v>
      </c>
      <c r="V80">
        <f t="shared" ref="V80:V137" si="32">20*LOG10(IMABS(U80))</f>
        <v>42.098269790011003</v>
      </c>
      <c r="W80">
        <f t="shared" ref="W80:W134" si="33">IMARGUMENT(U80)*(180/PI())</f>
        <v>90.184318768063477</v>
      </c>
      <c r="X80" t="str">
        <f t="shared" ref="X80:X134" si="34">IMPRODUCT(U80,R80)</f>
        <v>28.5338205669731+3637.46098687523i</v>
      </c>
      <c r="Y80">
        <f t="shared" ref="Y80:Y137" si="35">20*LOG10(IMABS(X80))</f>
        <v>71.21623411645254</v>
      </c>
      <c r="Z80">
        <f t="shared" ref="Z80:Z134" si="36">IMARGUMENT(X80)*(180/PI())</f>
        <v>89.550556290479264</v>
      </c>
    </row>
    <row r="81" spans="2:26" x14ac:dyDescent="0.15">
      <c r="B81" s="1">
        <v>3</v>
      </c>
      <c r="C81" s="22">
        <f t="shared" si="12"/>
        <v>18.849555921538759</v>
      </c>
      <c r="D81" s="26" t="str">
        <f t="shared" si="13"/>
        <v>0.714154064847223-0.00901508954995098i</v>
      </c>
      <c r="E81" s="1">
        <f t="shared" si="14"/>
        <v>-2.923469750791992</v>
      </c>
      <c r="F81" s="6">
        <f t="shared" si="23"/>
        <v>-0.72323210740611243</v>
      </c>
      <c r="G81" s="5" t="str">
        <f t="shared" si="16"/>
        <v>83.9434774368023+1.05371200512011i</v>
      </c>
      <c r="H81" s="1">
        <f t="shared" si="24"/>
        <v>38.480423384286205</v>
      </c>
      <c r="I81" s="6">
        <f t="shared" si="25"/>
        <v>0.71917535323343829</v>
      </c>
      <c r="J81" s="26" t="str">
        <f t="shared" si="17"/>
        <v>59.9580749369895-0.0042452545922149i</v>
      </c>
      <c r="K81" s="1">
        <f t="shared" si="26"/>
        <v>35.55695363349421</v>
      </c>
      <c r="L81" s="6">
        <f t="shared" si="27"/>
        <v>-4.0567541726715508E-3</v>
      </c>
      <c r="M81" s="26">
        <f t="shared" si="18"/>
        <v>0.16</v>
      </c>
      <c r="N81" s="6">
        <f t="shared" si="19"/>
        <v>2.5000000000000001E-2</v>
      </c>
      <c r="O81" s="5" t="str">
        <f t="shared" si="20"/>
        <v>2.35247524516564-750.376986763732i</v>
      </c>
      <c r="P81" s="1">
        <f t="shared" si="21"/>
        <v>57.505632809633774</v>
      </c>
      <c r="Q81" s="6">
        <f t="shared" si="28"/>
        <v>-89.820375006498253</v>
      </c>
      <c r="R81" s="5" t="str">
        <f t="shared" si="29"/>
        <v>28.5625039533908-0.473913252159608i</v>
      </c>
      <c r="S81" s="1">
        <f t="shared" si="30"/>
        <v>29.117120995754256</v>
      </c>
      <c r="T81" s="6">
        <f t="shared" si="31"/>
        <v>-0.95057274756532206</v>
      </c>
      <c r="U81" t="str">
        <f>IMPRODUCT(COMPLEX(-1,0),IMDIV(COMPLEX(1,C81*Calculations!$B$171*Calculations!$B$173),IMPRODUCT(COMPLEX(0,C81*Calculations!$B$160),COMPLEX((Calculations!$B$173+Calculations!$B$175),C81*Calculations!$B$171*Calculations!$B$173*Calculations!$B$175))))</f>
        <v>-0.409599403896722+84.8831304447573i</v>
      </c>
      <c r="V81">
        <f t="shared" si="32"/>
        <v>38.576528878971111</v>
      </c>
      <c r="W81">
        <f t="shared" si="33"/>
        <v>90.276475842265057</v>
      </c>
      <c r="X81" t="str">
        <f t="shared" si="34"/>
        <v>28.5280558094565+2424.66886349015i</v>
      </c>
      <c r="Y81">
        <f t="shared" si="35"/>
        <v>67.693649874725367</v>
      </c>
      <c r="Z81">
        <f t="shared" si="36"/>
        <v>89.325903094699726</v>
      </c>
    </row>
    <row r="82" spans="2:26" x14ac:dyDescent="0.15">
      <c r="B82" s="1">
        <v>4</v>
      </c>
      <c r="C82" s="22">
        <f t="shared" si="12"/>
        <v>25.132741228718345</v>
      </c>
      <c r="D82" s="26" t="str">
        <f t="shared" si="13"/>
        <v>0.714051709644298-0.0120181264443214i</v>
      </c>
      <c r="E82" s="1">
        <f t="shared" si="14"/>
        <v>-2.92417664329917</v>
      </c>
      <c r="F82" s="6">
        <f t="shared" si="23"/>
        <v>-0.96424797231976478</v>
      </c>
      <c r="G82" s="5" t="str">
        <f t="shared" si="16"/>
        <v>83.9452167781017+1.40494557436558i</v>
      </c>
      <c r="H82" s="1">
        <f t="shared" si="24"/>
        <v>38.481135426828807</v>
      </c>
      <c r="I82" s="6">
        <f t="shared" si="25"/>
        <v>0.95883887359169784</v>
      </c>
      <c r="J82" s="26" t="str">
        <f t="shared" si="17"/>
        <v>59.9581103704248-0.00566044030226415i</v>
      </c>
      <c r="K82" s="1">
        <f t="shared" si="26"/>
        <v>35.55695878352963</v>
      </c>
      <c r="L82" s="6">
        <f t="shared" si="27"/>
        <v>-5.4090987280672742E-3</v>
      </c>
      <c r="M82" s="26">
        <f t="shared" si="18"/>
        <v>0.16</v>
      </c>
      <c r="N82" s="6">
        <f t="shared" si="19"/>
        <v>2.5000000000000001E-2</v>
      </c>
      <c r="O82" s="5" t="str">
        <f t="shared" si="20"/>
        <v>2.3524752433308-562.782783529052i</v>
      </c>
      <c r="P82" s="1">
        <f t="shared" si="21"/>
        <v>55.006891947153811</v>
      </c>
      <c r="Q82" s="6">
        <f t="shared" si="28"/>
        <v>-89.760500637618733</v>
      </c>
      <c r="R82" s="5" t="str">
        <f t="shared" si="29"/>
        <v>28.555566969532-0.631709923175122i</v>
      </c>
      <c r="S82" s="1">
        <f t="shared" si="30"/>
        <v>29.115940617346308</v>
      </c>
      <c r="T82" s="6">
        <f t="shared" si="31"/>
        <v>-1.267297892744784</v>
      </c>
      <c r="U82" t="str">
        <f>IMPRODUCT(COMPLEX(-1,0),IMDIV(COMPLEX(1,C82*Calculations!$B$171*Calculations!$B$173),IMPRODUCT(COMPLEX(0,C82*Calculations!$B$160),COMPLEX((Calculations!$B$173+Calculations!$B$175),C82*Calculations!$B$171*Calculations!$B$173*Calculations!$B$175))))</f>
        <v>-0.409598940262038+63.6626360747851i</v>
      </c>
      <c r="V82">
        <f t="shared" si="32"/>
        <v>36.077872121932351</v>
      </c>
      <c r="W82">
        <f t="shared" si="33"/>
        <v>90.368630144796882</v>
      </c>
      <c r="X82" t="str">
        <f t="shared" si="34"/>
        <v>28.5199889746263+1818.18141560556i</v>
      </c>
      <c r="Y82">
        <f t="shared" si="35"/>
        <v>65.193812739278684</v>
      </c>
      <c r="Z82">
        <f t="shared" si="36"/>
        <v>89.101332252052103</v>
      </c>
    </row>
    <row r="83" spans="2:26" x14ac:dyDescent="0.15">
      <c r="B83" s="1">
        <v>5</v>
      </c>
      <c r="C83" s="22">
        <f t="shared" si="12"/>
        <v>31.415926535897931</v>
      </c>
      <c r="D83" s="26" t="str">
        <f t="shared" si="13"/>
        <v>0.713920159960014-0.0150194563046087i</v>
      </c>
      <c r="E83" s="1">
        <f t="shared" si="14"/>
        <v>-2.9250853297311172</v>
      </c>
      <c r="F83" s="6">
        <f t="shared" si="23"/>
        <v>-1.2052111418578013</v>
      </c>
      <c r="G83" s="5" t="str">
        <f t="shared" si="16"/>
        <v>83.9474530644206+1.75617591581032i</v>
      </c>
      <c r="H83" s="1">
        <f t="shared" si="24"/>
        <v>38.482050734691398</v>
      </c>
      <c r="I83" s="6">
        <f t="shared" si="25"/>
        <v>1.198449618719885</v>
      </c>
      <c r="J83" s="26" t="str">
        <f t="shared" si="17"/>
        <v>59.9581559274176-0.00707571245102636i</v>
      </c>
      <c r="K83" s="1">
        <f t="shared" si="26"/>
        <v>35.556965404960273</v>
      </c>
      <c r="L83" s="6">
        <f t="shared" si="27"/>
        <v>-6.7615231379157762E-3</v>
      </c>
      <c r="M83" s="26">
        <f t="shared" si="18"/>
        <v>0.16</v>
      </c>
      <c r="N83" s="6">
        <f t="shared" si="19"/>
        <v>2.5000000000000001E-2</v>
      </c>
      <c r="O83" s="5" t="str">
        <f t="shared" si="20"/>
        <v>2.3524752409717-450.2262715211i</v>
      </c>
      <c r="P83" s="1">
        <f t="shared" si="21"/>
        <v>53.068735233343631</v>
      </c>
      <c r="Q83" s="6">
        <f t="shared" si="28"/>
        <v>-89.700626807832194</v>
      </c>
      <c r="R83" s="5" t="str">
        <f t="shared" si="29"/>
        <v>28.5466536235097-0.78935727436819i</v>
      </c>
      <c r="S83" s="1">
        <f t="shared" si="30"/>
        <v>29.114423475501923</v>
      </c>
      <c r="T83" s="6">
        <f t="shared" si="31"/>
        <v>-1.5839096010932889</v>
      </c>
      <c r="U83" t="str">
        <f>IMPRODUCT(COMPLEX(-1,0),IMDIV(COMPLEX(1,C83*Calculations!$B$171*Calculations!$B$173),IMPRODUCT(COMPLEX(0,C83*Calculations!$B$160),COMPLEX((Calculations!$B$173+Calculations!$B$175),C83*Calculations!$B$171*Calculations!$B$173*Calculations!$B$175))))</f>
        <v>-0.409598344161843+50.9304053357419i</v>
      </c>
      <c r="V83">
        <f t="shared" si="32"/>
        <v>34.13982353897643</v>
      </c>
      <c r="W83">
        <f t="shared" si="33"/>
        <v>90.460780751979826</v>
      </c>
      <c r="X83" t="str">
        <f t="shared" si="34"/>
        <v>28.5096238827371+1454.21595945691i</v>
      </c>
      <c r="Y83">
        <f t="shared" si="35"/>
        <v>63.254247014478366</v>
      </c>
      <c r="Z83">
        <f t="shared" si="36"/>
        <v>88.876871150886544</v>
      </c>
    </row>
    <row r="84" spans="2:26" x14ac:dyDescent="0.15">
      <c r="B84" s="1">
        <v>6</v>
      </c>
      <c r="C84" s="22">
        <f t="shared" si="12"/>
        <v>37.699111843077517</v>
      </c>
      <c r="D84" s="26" t="str">
        <f t="shared" si="13"/>
        <v>0.713759453142428-0.0180186538878516i</v>
      </c>
      <c r="E84" s="1">
        <f t="shared" si="14"/>
        <v>-2.9261956786798078</v>
      </c>
      <c r="F84" s="6">
        <f t="shared" si="23"/>
        <v>-1.4461084703183467</v>
      </c>
      <c r="G84" s="5" t="str">
        <f t="shared" si="16"/>
        <v>83.950186288531+2.10740222253317i</v>
      </c>
      <c r="H84" s="1">
        <f t="shared" si="24"/>
        <v>38.483169176433357</v>
      </c>
      <c r="I84" s="6">
        <f t="shared" si="25"/>
        <v>1.437994422953579</v>
      </c>
      <c r="J84" s="26" t="str">
        <f t="shared" si="17"/>
        <v>59.9582116077572-0.00849109264729433i</v>
      </c>
      <c r="K84" s="1">
        <f t="shared" si="26"/>
        <v>35.55697349775356</v>
      </c>
      <c r="L84" s="6">
        <f t="shared" si="27"/>
        <v>-8.114047364769247E-3</v>
      </c>
      <c r="M84" s="26">
        <f t="shared" si="18"/>
        <v>0.16</v>
      </c>
      <c r="N84" s="6">
        <f t="shared" si="19"/>
        <v>2.5000000000000001E-2</v>
      </c>
      <c r="O84" s="5" t="str">
        <f t="shared" si="20"/>
        <v>2.35247523808835-375.188605126512i</v>
      </c>
      <c r="P84" s="1">
        <f t="shared" si="21"/>
        <v>51.485163535115852</v>
      </c>
      <c r="Q84" s="6">
        <f t="shared" si="28"/>
        <v>-89.640753651898336</v>
      </c>
      <c r="R84" s="5" t="str">
        <f t="shared" si="29"/>
        <v>28.5357681310726-0.9468181967711i</v>
      </c>
      <c r="S84" s="1">
        <f t="shared" si="30"/>
        <v>29.112569935344794</v>
      </c>
      <c r="T84" s="6">
        <f t="shared" si="31"/>
        <v>-1.9003796144040379</v>
      </c>
      <c r="U84" t="str">
        <f>IMPRODUCT(COMPLEX(-1,0),IMDIV(COMPLEX(1,C84*Calculations!$B$171*Calculations!$B$173),IMPRODUCT(COMPLEX(0,C84*Calculations!$B$160),COMPLEX((Calculations!$B$173+Calculations!$B$175),C84*Calculations!$B$171*Calculations!$B$173*Calculations!$B$175))))</f>
        <v>-0.409597615597297+42.4423064116832i</v>
      </c>
      <c r="V84">
        <f t="shared" si="32"/>
        <v>32.55638399348156</v>
      </c>
      <c r="W84">
        <f t="shared" si="33"/>
        <v>90.552926740315343</v>
      </c>
      <c r="X84" t="str">
        <f t="shared" si="34"/>
        <v>28.4969654377917+1211.51162918753i</v>
      </c>
      <c r="Y84">
        <f t="shared" si="35"/>
        <v>61.668953928826362</v>
      </c>
      <c r="Z84">
        <f t="shared" si="36"/>
        <v>88.652547125911312</v>
      </c>
    </row>
    <row r="85" spans="2:26" x14ac:dyDescent="0.15">
      <c r="B85" s="1">
        <v>7</v>
      </c>
      <c r="C85" s="22">
        <f t="shared" si="12"/>
        <v>43.982297150257104</v>
      </c>
      <c r="D85" s="26" t="str">
        <f t="shared" si="13"/>
        <v>0.71356963478514-0.0210152949592522i</v>
      </c>
      <c r="E85" s="1">
        <f t="shared" si="14"/>
        <v>-2.9275075296621793</v>
      </c>
      <c r="F85" s="6">
        <f t="shared" si="23"/>
        <v>-1.6869268307315617</v>
      </c>
      <c r="G85" s="5" t="str">
        <f t="shared" si="16"/>
        <v>83.9534164415985+2.45862368763224i</v>
      </c>
      <c r="H85" s="1">
        <f t="shared" si="24"/>
        <v>38.484490591531767</v>
      </c>
      <c r="I85" s="6">
        <f t="shared" si="25"/>
        <v>1.6774601393610664</v>
      </c>
      <c r="J85" s="26" t="str">
        <f t="shared" si="17"/>
        <v>59.9582774111856-0.00990660249928995i</v>
      </c>
      <c r="K85" s="1">
        <f t="shared" si="26"/>
        <v>35.556983061869587</v>
      </c>
      <c r="L85" s="6">
        <f t="shared" si="27"/>
        <v>-9.4666913704911388E-3</v>
      </c>
      <c r="M85" s="26">
        <f t="shared" si="18"/>
        <v>0.16</v>
      </c>
      <c r="N85" s="6">
        <f t="shared" si="19"/>
        <v>2.5000000000000001E-2</v>
      </c>
      <c r="O85" s="5" t="str">
        <f t="shared" si="20"/>
        <v>2.35247523468077-321.590279082421i</v>
      </c>
      <c r="P85" s="1">
        <f t="shared" si="21"/>
        <v>50.146290641246352</v>
      </c>
      <c r="Q85" s="6">
        <f t="shared" si="28"/>
        <v>-89.58088130456791</v>
      </c>
      <c r="R85" s="5" t="str">
        <f t="shared" si="29"/>
        <v>28.5229156346373-1.10405572820435i</v>
      </c>
      <c r="S85" s="1">
        <f t="shared" si="30"/>
        <v>29.110380442549722</v>
      </c>
      <c r="T85" s="6">
        <f t="shared" si="31"/>
        <v>-2.2166797416287221</v>
      </c>
      <c r="U85" t="str">
        <f>IMPRODUCT(COMPLEX(-1,0),IMDIV(COMPLEX(1,C85*Calculations!$B$171*Calculations!$B$173),IMPRODUCT(COMPLEX(0,C85*Calculations!$B$160),COMPLEX((Calculations!$B$173+Calculations!$B$175),C85*Calculations!$B$171*Calculations!$B$173*Calculations!$B$175))))</f>
        <v>-0.409596754569812+36.3794256671139i</v>
      </c>
      <c r="V85">
        <f t="shared" si="32"/>
        <v>31.217667269904581</v>
      </c>
      <c r="W85">
        <f t="shared" si="33"/>
        <v>90.645067186530625</v>
      </c>
      <c r="X85" t="str">
        <f t="shared" si="34"/>
        <v>28.4820196217455+1038.09950678279i</v>
      </c>
      <c r="Y85">
        <f t="shared" si="35"/>
        <v>60.328047712454349</v>
      </c>
      <c r="Z85">
        <f t="shared" si="36"/>
        <v>88.428387444901915</v>
      </c>
    </row>
    <row r="86" spans="2:26" x14ac:dyDescent="0.15">
      <c r="B86" s="1">
        <v>8</v>
      </c>
      <c r="C86" s="22">
        <f t="shared" si="12"/>
        <v>50.26548245743669</v>
      </c>
      <c r="D86" s="26" t="str">
        <f t="shared" si="13"/>
        <v>0.713350758694987-0.024008956491604i</v>
      </c>
      <c r="E86" s="1">
        <f t="shared" si="14"/>
        <v>-2.9290206931960712</v>
      </c>
      <c r="F86" s="6">
        <f t="shared" si="23"/>
        <v>-1.9276531185768015</v>
      </c>
      <c r="G86" s="5" t="str">
        <f t="shared" si="16"/>
        <v>83.957143513183+2.80983950422888i</v>
      </c>
      <c r="H86" s="1">
        <f t="shared" si="24"/>
        <v>38.486014790457375</v>
      </c>
      <c r="I86" s="6">
        <f t="shared" si="25"/>
        <v>1.9168336434606874</v>
      </c>
      <c r="J86" s="26" t="str">
        <f t="shared" si="17"/>
        <v>59.9583533373984-0.0113222636145479i</v>
      </c>
      <c r="K86" s="1">
        <f t="shared" si="26"/>
        <v>35.556994097261295</v>
      </c>
      <c r="L86" s="6">
        <f t="shared" si="27"/>
        <v>-1.0819475116116284E-2</v>
      </c>
      <c r="M86" s="26">
        <f t="shared" si="18"/>
        <v>0.16</v>
      </c>
      <c r="N86" s="6">
        <f t="shared" si="19"/>
        <v>2.5000000000000001E-2</v>
      </c>
      <c r="O86" s="5" t="str">
        <f t="shared" si="20"/>
        <v>2.35247523074895-281.391540757387i</v>
      </c>
      <c r="P86" s="1">
        <f t="shared" si="21"/>
        <v>48.986524276032824</v>
      </c>
      <c r="Q86" s="6">
        <f t="shared" si="28"/>
        <v>-89.521009900580793</v>
      </c>
      <c r="R86" s="5" t="str">
        <f t="shared" si="29"/>
        <v>28.5081021972263-1.26103308209947i</v>
      </c>
      <c r="S86" s="1">
        <f t="shared" si="30"/>
        <v>29.107855522992342</v>
      </c>
      <c r="T86" s="6">
        <f t="shared" si="31"/>
        <v>-2.5327818721346071</v>
      </c>
      <c r="U86" t="str">
        <f>IMPRODUCT(COMPLEX(-1,0),IMDIV(COMPLEX(1,C86*Calculations!$B$171*Calculations!$B$173),IMPRODUCT(COMPLEX(0,C86*Calculations!$B$160),COMPLEX((Calculations!$B$173+Calculations!$B$175),C86*Calculations!$B$171*Calculations!$B$173*Calculations!$B$175))))</f>
        <v>-0.409595761081054+31.8323062842058i</v>
      </c>
      <c r="V86">
        <f t="shared" si="32"/>
        <v>30.058081087439746</v>
      </c>
      <c r="W86">
        <f t="shared" si="33"/>
        <v>90.737201167623653</v>
      </c>
      <c r="X86" t="str">
        <f t="shared" si="34"/>
        <v>28.464793487457+907.995154528559i</v>
      </c>
      <c r="Y86">
        <f t="shared" si="35"/>
        <v>59.165936610432084</v>
      </c>
      <c r="Z86">
        <f t="shared" si="36"/>
        <v>88.204419295489046</v>
      </c>
    </row>
    <row r="87" spans="2:26" x14ac:dyDescent="0.15">
      <c r="B87" s="1">
        <v>9</v>
      </c>
      <c r="C87" s="22">
        <f t="shared" si="12"/>
        <v>56.548667764616276</v>
      </c>
      <c r="D87" s="26" t="str">
        <f t="shared" si="13"/>
        <v>0.713102886853972-0.0269992168635235i</v>
      </c>
      <c r="E87" s="1">
        <f t="shared" si="14"/>
        <v>-2.9307349508896201</v>
      </c>
      <c r="F87" s="6">
        <f t="shared" si="23"/>
        <v>-2.1682742554838521</v>
      </c>
      <c r="G87" s="5" t="str">
        <f t="shared" si="16"/>
        <v>83.9613674912382+3.16104886547147i</v>
      </c>
      <c r="H87" s="1">
        <f t="shared" si="24"/>
        <v>38.487741554763986</v>
      </c>
      <c r="I87" s="6">
        <f t="shared" si="25"/>
        <v>2.1561018369221845</v>
      </c>
      <c r="J87" s="26" t="str">
        <f t="shared" si="17"/>
        <v>59.9584393860442-0.0127380975997546i</v>
      </c>
      <c r="K87" s="1">
        <f t="shared" si="26"/>
        <v>35.557006603874356</v>
      </c>
      <c r="L87" s="6">
        <f t="shared" si="27"/>
        <v>-1.2172418561668445E-2</v>
      </c>
      <c r="M87" s="26">
        <f t="shared" si="18"/>
        <v>0.16</v>
      </c>
      <c r="N87" s="6">
        <f t="shared" si="19"/>
        <v>2.5000000000000001E-2</v>
      </c>
      <c r="O87" s="5" t="str">
        <f t="shared" si="20"/>
        <v>2.35247522629286-250.125860911725i</v>
      </c>
      <c r="P87" s="1">
        <f t="shared" si="21"/>
        <v>47.963556076537699</v>
      </c>
      <c r="Q87" s="6">
        <f t="shared" si="28"/>
        <v>-89.461139574664301</v>
      </c>
      <c r="R87" s="5" t="str">
        <f t="shared" si="29"/>
        <v>28.4913347953329-1.4177136760323i</v>
      </c>
      <c r="S87" s="1">
        <f t="shared" si="30"/>
        <v>29.104995782335649</v>
      </c>
      <c r="T87" s="6">
        <f t="shared" si="31"/>
        <v>-2.8486579888665138</v>
      </c>
      <c r="U87" t="str">
        <f>IMPRODUCT(COMPLEX(-1,0),IMDIV(COMPLEX(1,C87*Calculations!$B$171*Calculations!$B$173),IMPRODUCT(COMPLEX(0,C87*Calculations!$B$160),COMPLEX((Calculations!$B$173+Calculations!$B$175),C87*Calculations!$B$171*Calculations!$B$173*Calculations!$B$175))))</f>
        <v>-0.409594635132958+28.2956944752059i</v>
      </c>
      <c r="V87">
        <f t="shared" si="32"/>
        <v>29.035317077262043</v>
      </c>
      <c r="W87">
        <f t="shared" si="33"/>
        <v>90.829327760908313</v>
      </c>
      <c r="X87" t="str">
        <f t="shared" si="34"/>
        <v>28.4452951503857+806.7627924754i</v>
      </c>
      <c r="Y87">
        <f t="shared" si="35"/>
        <v>58.140312859597685</v>
      </c>
      <c r="Z87">
        <f t="shared" si="36"/>
        <v>87.980669772041793</v>
      </c>
    </row>
    <row r="88" spans="2:26" x14ac:dyDescent="0.15">
      <c r="B88" s="1">
        <v>10</v>
      </c>
      <c r="C88" s="22">
        <f t="shared" si="12"/>
        <v>62.831853071795862</v>
      </c>
      <c r="D88" s="26" t="str">
        <f t="shared" si="13"/>
        <v>0.712826089375462-0.0299856560562913i</v>
      </c>
      <c r="E88" s="1">
        <f t="shared" si="14"/>
        <v>-2.9326500555443373</v>
      </c>
      <c r="F88" s="6">
        <f t="shared" si="23"/>
        <v>-2.4087771929157027</v>
      </c>
      <c r="G88" s="5" t="str">
        <f t="shared" si="16"/>
        <v>83.966088362112+3.51225096453935i</v>
      </c>
      <c r="H88" s="1">
        <f t="shared" si="24"/>
        <v>38.489670637191537</v>
      </c>
      <c r="I88" s="6">
        <f t="shared" si="25"/>
        <v>2.3952516512496413</v>
      </c>
      <c r="J88" s="26" t="str">
        <f t="shared" si="17"/>
        <v>59.9585355567248-0.0141541260606792i</v>
      </c>
      <c r="K88" s="1">
        <f t="shared" si="26"/>
        <v>35.557020581647194</v>
      </c>
      <c r="L88" s="6">
        <f t="shared" si="27"/>
        <v>-1.3525541666065708E-2</v>
      </c>
      <c r="M88" s="26">
        <f t="shared" si="18"/>
        <v>0.16</v>
      </c>
      <c r="N88" s="6">
        <f t="shared" si="19"/>
        <v>2.5000000000000001E-2</v>
      </c>
      <c r="O88" s="5" t="str">
        <f t="shared" si="20"/>
        <v>2.35247522131255-225.113322001624i</v>
      </c>
      <c r="P88" s="1">
        <f t="shared" si="21"/>
        <v>47.048498189339185</v>
      </c>
      <c r="Q88" s="6">
        <f t="shared" si="28"/>
        <v>-89.401270461531297</v>
      </c>
      <c r="R88" s="5" t="str">
        <f t="shared" si="29"/>
        <v>28.4726213107318-1.57406115992095i</v>
      </c>
      <c r="S88" s="1">
        <f t="shared" si="30"/>
        <v>29.101801905555149</v>
      </c>
      <c r="T88" s="6">
        <f t="shared" si="31"/>
        <v>-3.1642801813990094</v>
      </c>
      <c r="U88" t="str">
        <f>IMPRODUCT(COMPLEX(-1,0),IMDIV(COMPLEX(1,C88*Calculations!$B$171*Calculations!$B$173),IMPRODUCT(COMPLEX(0,C88*Calculations!$B$160),COMPLEX((Calculations!$B$173+Calculations!$B$175),C88*Calculations!$B$171*Calculations!$B$173*Calculations!$B$175))))</f>
        <v>-0.409593376727706+25.4664379673986i</v>
      </c>
      <c r="V88">
        <f t="shared" si="32"/>
        <v>28.120487379278821</v>
      </c>
      <c r="W88">
        <f t="shared" si="33"/>
        <v>90.921446044059351</v>
      </c>
      <c r="X88" t="str">
        <f t="shared" si="34"/>
        <v>28.4235337790665+725.740969404651i</v>
      </c>
      <c r="Y88">
        <f t="shared" si="35"/>
        <v>57.222289284833977</v>
      </c>
      <c r="Z88">
        <f t="shared" si="36"/>
        <v>87.757165862660344</v>
      </c>
    </row>
    <row r="89" spans="2:26" x14ac:dyDescent="0.15">
      <c r="B89" s="1">
        <v>20</v>
      </c>
      <c r="C89" s="22">
        <f t="shared" si="12"/>
        <v>125.66370614359172</v>
      </c>
      <c r="D89" s="26" t="str">
        <f t="shared" si="13"/>
        <v>0.708488327826505-0.0595490098758262i</v>
      </c>
      <c r="E89" s="1">
        <f t="shared" si="14"/>
        <v>-2.9627729771294109</v>
      </c>
      <c r="F89" s="6">
        <f t="shared" si="23"/>
        <v>-4.8044634999903453</v>
      </c>
      <c r="G89" s="5" t="str">
        <f t="shared" si="16"/>
        <v>84.0406220243793+7.02369506490375i</v>
      </c>
      <c r="H89" s="1">
        <f t="shared" si="24"/>
        <v>38.520014231568219</v>
      </c>
      <c r="I89" s="6">
        <f t="shared" si="25"/>
        <v>4.7773924561631658</v>
      </c>
      <c r="J89" s="26" t="str">
        <f t="shared" si="17"/>
        <v>59.9600538543366-0.028329859203407i</v>
      </c>
      <c r="K89" s="1">
        <f t="shared" si="26"/>
        <v>35.557241254438814</v>
      </c>
      <c r="L89" s="6">
        <f t="shared" si="27"/>
        <v>-2.7071043827178991E-2</v>
      </c>
      <c r="M89" s="26">
        <f t="shared" si="18"/>
        <v>0.16</v>
      </c>
      <c r="N89" s="6">
        <f t="shared" si="19"/>
        <v>2.5000000000000001E-2</v>
      </c>
      <c r="O89" s="5" t="str">
        <f t="shared" si="20"/>
        <v>2.35247514267598-112.557033482947i</v>
      </c>
      <c r="P89" s="1">
        <f t="shared" si="21"/>
        <v>41.029349449985006</v>
      </c>
      <c r="Q89" s="6">
        <f t="shared" si="28"/>
        <v>-88.802675656222604</v>
      </c>
      <c r="R89" s="5" t="str">
        <f t="shared" si="29"/>
        <v>28.1808117379786-3.11143832450588i</v>
      </c>
      <c r="S89" s="1">
        <f t="shared" si="30"/>
        <v>29.051691804402957</v>
      </c>
      <c r="T89" s="6">
        <f t="shared" si="31"/>
        <v>-6.3004976344328414</v>
      </c>
      <c r="U89" t="str">
        <f>IMPRODUCT(COMPLEX(-1,0),IMDIV(COMPLEX(1,C89*Calculations!$B$171*Calculations!$B$173),IMPRODUCT(COMPLEX(0,C89*Calculations!$B$160),COMPLEX((Calculations!$B$173+Calculations!$B$175),C89*Calculations!$B$171*Calculations!$B$173*Calculations!$B$175))))</f>
        <v>-0.409573508195949+12.7356894329502i</v>
      </c>
      <c r="V89">
        <f t="shared" si="32"/>
        <v>22.104938500028201</v>
      </c>
      <c r="W89">
        <f t="shared" si="33"/>
        <v>91.841969254559388</v>
      </c>
      <c r="X89" t="str">
        <f t="shared" si="34"/>
        <v>28.0841982633523+360.176428973436i</v>
      </c>
      <c r="Y89">
        <f t="shared" si="35"/>
        <v>51.156630304431154</v>
      </c>
      <c r="Z89">
        <f t="shared" si="36"/>
        <v>85.541471620126543</v>
      </c>
    </row>
    <row r="90" spans="2:26" x14ac:dyDescent="0.15">
      <c r="B90" s="1">
        <v>30</v>
      </c>
      <c r="C90" s="22">
        <f t="shared" si="12"/>
        <v>188.49555921538757</v>
      </c>
      <c r="D90" s="26" t="str">
        <f t="shared" si="13"/>
        <v>0.70139290768512-0.0882873541940453i</v>
      </c>
      <c r="E90" s="1">
        <f t="shared" si="14"/>
        <v>-3.012500929260169</v>
      </c>
      <c r="F90" s="6">
        <f t="shared" si="23"/>
        <v>-7.174335096041438</v>
      </c>
      <c r="G90" s="5" t="str">
        <f t="shared" si="16"/>
        <v>84.1648180321783+10.5335258233784i</v>
      </c>
      <c r="H90" s="1">
        <f t="shared" si="24"/>
        <v>38.570109850988608</v>
      </c>
      <c r="I90" s="6">
        <f t="shared" si="25"/>
        <v>7.1336786430686718</v>
      </c>
      <c r="J90" s="26" t="str">
        <f t="shared" si="17"/>
        <v>59.9625835696593-0.0425487948486029i</v>
      </c>
      <c r="K90" s="1">
        <f t="shared" si="26"/>
        <v>35.557608921728445</v>
      </c>
      <c r="L90" s="6">
        <f t="shared" si="27"/>
        <v>-4.0656452972746948E-2</v>
      </c>
      <c r="M90" s="26">
        <f t="shared" si="18"/>
        <v>0.16</v>
      </c>
      <c r="N90" s="6">
        <f t="shared" si="19"/>
        <v>2.5000000000000001E-2</v>
      </c>
      <c r="O90" s="5" t="str">
        <f t="shared" si="20"/>
        <v>2.35247501161503-75.0384361909661i</v>
      </c>
      <c r="P90" s="1">
        <f t="shared" si="21"/>
        <v>37.509941814823136</v>
      </c>
      <c r="Q90" s="6">
        <f t="shared" si="28"/>
        <v>-88.204350137224253</v>
      </c>
      <c r="R90" s="5" t="str">
        <f t="shared" si="29"/>
        <v>27.7093084328121-4.57824738667801i</v>
      </c>
      <c r="S90" s="1">
        <f t="shared" si="30"/>
        <v>28.969482496408091</v>
      </c>
      <c r="T90" s="6">
        <f t="shared" si="31"/>
        <v>-9.3818880287770483</v>
      </c>
      <c r="U90" t="str">
        <f>IMPRODUCT(COMPLEX(-1,0),IMDIV(COMPLEX(1,C90*Calculations!$B$171*Calculations!$B$173),IMPRODUCT(COMPLEX(0,C90*Calculations!$B$160),COMPLEX((Calculations!$B$173+Calculations!$B$175),C90*Calculations!$B$171*Calculations!$B$173*Calculations!$B$175))))</f>
        <v>-0.409540398259481+8.49320421053681i</v>
      </c>
      <c r="V90">
        <f t="shared" si="32"/>
        <v>18.591517590115831</v>
      </c>
      <c r="W90">
        <f t="shared" si="33"/>
        <v>92.760651296672947</v>
      </c>
      <c r="X90" t="str">
        <f t="shared" si="34"/>
        <v>27.5359087703442+237.215792310693i</v>
      </c>
      <c r="Y90">
        <f t="shared" si="35"/>
        <v>47.561000086523904</v>
      </c>
      <c r="Z90">
        <f t="shared" si="36"/>
        <v>83.378763267895877</v>
      </c>
    </row>
    <row r="91" spans="2:26" x14ac:dyDescent="0.15">
      <c r="B91" s="1">
        <v>40</v>
      </c>
      <c r="C91" s="22">
        <f t="shared" si="12"/>
        <v>251.32741228718345</v>
      </c>
      <c r="D91" s="26" t="str">
        <f t="shared" si="13"/>
        <v>0.691731453192373-0.11583529285476i</v>
      </c>
      <c r="E91" s="1">
        <f t="shared" si="14"/>
        <v>-3.0811415578705734</v>
      </c>
      <c r="F91" s="6">
        <f t="shared" si="23"/>
        <v>-9.5063769818715009</v>
      </c>
      <c r="G91" s="5" t="str">
        <f t="shared" si="16"/>
        <v>84.3386362607871+14.0409375348063i</v>
      </c>
      <c r="H91" s="1">
        <f t="shared" si="24"/>
        <v>38.63926496047285</v>
      </c>
      <c r="I91" s="6">
        <f t="shared" si="25"/>
        <v>9.4520752942703883</v>
      </c>
      <c r="J91" s="26" t="str">
        <f t="shared" si="17"/>
        <v>59.9661235322369-0.0568325051044553i</v>
      </c>
      <c r="K91" s="1">
        <f t="shared" si="26"/>
        <v>35.558123402602277</v>
      </c>
      <c r="L91" s="6">
        <f t="shared" si="27"/>
        <v>-5.4301687601111225E-2</v>
      </c>
      <c r="M91" s="26">
        <f t="shared" si="18"/>
        <v>0.16</v>
      </c>
      <c r="N91" s="6">
        <f t="shared" si="19"/>
        <v>2.5000000000000001E-2</v>
      </c>
      <c r="O91" s="5" t="str">
        <f t="shared" si="20"/>
        <v>2.35247482812972-56.2792617056183i</v>
      </c>
      <c r="P91" s="1">
        <f t="shared" si="21"/>
        <v>35.014549387266463</v>
      </c>
      <c r="Q91" s="6">
        <f t="shared" si="28"/>
        <v>-87.606428098268054</v>
      </c>
      <c r="R91" s="5" t="str">
        <f t="shared" si="29"/>
        <v>27.0786421151364-5.94576691143651i</v>
      </c>
      <c r="S91" s="1">
        <f t="shared" si="30"/>
        <v>28.85703207025184</v>
      </c>
      <c r="T91" s="6">
        <f t="shared" si="31"/>
        <v>-12.384137571570278</v>
      </c>
      <c r="U91" t="str">
        <f>IMPRODUCT(COMPLEX(-1,0),IMDIV(COMPLEX(1,C91*Calculations!$B$171*Calculations!$B$173),IMPRODUCT(COMPLEX(0,C91*Calculations!$B$160),COMPLEX((Calculations!$B$173+Calculations!$B$175),C91*Calculations!$B$171*Calculations!$B$173*Calculations!$B$175))))</f>
        <v>-0.409494053340811+6.37278441684528i</v>
      </c>
      <c r="V91">
        <f t="shared" si="32"/>
        <v>16.104479307463219</v>
      </c>
      <c r="W91">
        <f t="shared" si="33"/>
        <v>93.676582778753414</v>
      </c>
      <c r="X91" t="str">
        <f t="shared" si="34"/>
        <v>26.8025478007045+175.001104693455i</v>
      </c>
      <c r="Y91">
        <f t="shared" si="35"/>
        <v>44.961511377715048</v>
      </c>
      <c r="Z91">
        <f t="shared" si="36"/>
        <v>81.292445207183121</v>
      </c>
    </row>
    <row r="92" spans="2:26" x14ac:dyDescent="0.15">
      <c r="B92" s="1">
        <v>50</v>
      </c>
      <c r="C92" s="22">
        <f t="shared" si="12"/>
        <v>314.15926535897933</v>
      </c>
      <c r="D92" s="26" t="str">
        <f t="shared" si="13"/>
        <v>0.67975418277553-0.141879001884449i</v>
      </c>
      <c r="E92" s="1">
        <f t="shared" si="14"/>
        <v>-3.1677693681934405</v>
      </c>
      <c r="F92" s="6">
        <f t="shared" si="23"/>
        <v>-11.7895773517055</v>
      </c>
      <c r="G92" s="5" t="str">
        <f t="shared" si="16"/>
        <v>84.5620205740656+17.5451256519595i</v>
      </c>
      <c r="H92" s="1">
        <f t="shared" si="24"/>
        <v>38.726553812235693</v>
      </c>
      <c r="I92" s="6">
        <f t="shared" si="25"/>
        <v>11.721550727430429</v>
      </c>
      <c r="J92" s="26" t="str">
        <f t="shared" si="17"/>
        <v>59.9706721046088-0.0712025271389387i</v>
      </c>
      <c r="K92" s="1">
        <f t="shared" si="26"/>
        <v>35.558784444042253</v>
      </c>
      <c r="L92" s="6">
        <f t="shared" si="27"/>
        <v>-6.8026624275059205E-2</v>
      </c>
      <c r="M92" s="26">
        <f t="shared" si="18"/>
        <v>0.16</v>
      </c>
      <c r="N92" s="6">
        <f t="shared" si="19"/>
        <v>2.5000000000000001E-2</v>
      </c>
      <c r="O92" s="5" t="str">
        <f t="shared" si="20"/>
        <v>2.35247459222009-45.0238563428768i</v>
      </c>
      <c r="P92" s="1">
        <f t="shared" si="21"/>
        <v>33.080693936677612</v>
      </c>
      <c r="Q92" s="6">
        <f t="shared" si="28"/>
        <v>-87.009043195456215</v>
      </c>
      <c r="R92" s="5" t="str">
        <f t="shared" si="29"/>
        <v>26.3144393986826-7.19203990451775i</v>
      </c>
      <c r="S92" s="1">
        <f t="shared" si="30"/>
        <v>28.716751688403019</v>
      </c>
      <c r="T92" s="6">
        <f t="shared" si="31"/>
        <v>-15.286272450765512</v>
      </c>
      <c r="U92" t="str">
        <f>IMPRODUCT(COMPLEX(-1,0),IMDIV(COMPLEX(1,C92*Calculations!$B$171*Calculations!$B$173),IMPRODUCT(COMPLEX(0,C92*Calculations!$B$160),COMPLEX((Calculations!$B$173+Calculations!$B$175),C92*Calculations!$B$171*Calculations!$B$173*Calculations!$B$175))))</f>
        <v>-0.409434482427095+5.10119034765822i</v>
      </c>
      <c r="V92">
        <f t="shared" si="32"/>
        <v>14.181318429477505</v>
      </c>
      <c r="W92">
        <f t="shared" si="33"/>
        <v>94.58886758943342</v>
      </c>
      <c r="X92" t="str">
        <f t="shared" si="34"/>
        <v>25.9139256653399+137.179633400498i</v>
      </c>
      <c r="Y92">
        <f t="shared" si="35"/>
        <v>42.898070117880508</v>
      </c>
      <c r="Z92">
        <f t="shared" si="36"/>
        <v>79.302595138667925</v>
      </c>
    </row>
    <row r="93" spans="2:26" x14ac:dyDescent="0.15">
      <c r="B93" s="1">
        <v>60</v>
      </c>
      <c r="C93" s="22">
        <f t="shared" si="12"/>
        <v>376.99111843077515</v>
      </c>
      <c r="D93" s="26" t="str">
        <f t="shared" si="13"/>
        <v>0.665754505807437-0.166165991824826i</v>
      </c>
      <c r="E93" s="1">
        <f t="shared" si="14"/>
        <v>-3.2712646556098952</v>
      </c>
      <c r="F93" s="6">
        <f t="shared" si="23"/>
        <v>-14.014158212783848</v>
      </c>
      <c r="G93" s="5" t="str">
        <f t="shared" si="16"/>
        <v>84.8348988628697+21.0452871698253i</v>
      </c>
      <c r="H93" s="1">
        <f t="shared" si="24"/>
        <v>38.830856376796596</v>
      </c>
      <c r="I93" s="6">
        <f t="shared" si="25"/>
        <v>13.932307129046009</v>
      </c>
      <c r="J93" s="26" t="str">
        <f t="shared" si="17"/>
        <v>59.976227183486-0.085680351584937i</v>
      </c>
      <c r="K93" s="1">
        <f t="shared" si="26"/>
        <v>35.559591721186699</v>
      </c>
      <c r="L93" s="6">
        <f t="shared" si="27"/>
        <v>-8.1851083737865662E-2</v>
      </c>
      <c r="M93" s="26">
        <f t="shared" si="18"/>
        <v>0.16</v>
      </c>
      <c r="N93" s="6">
        <f t="shared" si="19"/>
        <v>2.5000000000000001E-2</v>
      </c>
      <c r="O93" s="5" t="str">
        <f t="shared" si="20"/>
        <v>2.35247430388616-37.5203355413888i</v>
      </c>
      <c r="P93" s="1">
        <f t="shared" si="21"/>
        <v>31.502373441233967</v>
      </c>
      <c r="Q93" s="6">
        <f t="shared" si="28"/>
        <v>-86.412328370838182</v>
      </c>
      <c r="R93" s="5" t="str">
        <f t="shared" si="29"/>
        <v>25.4450324533036-8.30257396335081i</v>
      </c>
      <c r="S93" s="1">
        <f t="shared" si="30"/>
        <v>28.551449142597271</v>
      </c>
      <c r="T93" s="6">
        <f t="shared" si="31"/>
        <v>-18.071219368652329</v>
      </c>
      <c r="U93" t="str">
        <f>IMPRODUCT(COMPLEX(-1,0),IMDIV(COMPLEX(1,C93*Calculations!$B$171*Calculations!$B$173),IMPRODUCT(COMPLEX(0,C93*Calculations!$B$160),COMPLEX((Calculations!$B$173+Calculations!$B$175),C93*Calculations!$B$171*Calculations!$B$173*Calculations!$B$175))))</f>
        <v>-0.409361697065776+4.25400866212114i</v>
      </c>
      <c r="V93">
        <f t="shared" si="32"/>
        <v>12.615998622911857</v>
      </c>
      <c r="W93">
        <f t="shared" si="33"/>
        <v>95.496627076701415</v>
      </c>
      <c r="X93" t="str">
        <f t="shared" si="34"/>
        <v>24.9029998910177+111.642144231958i</v>
      </c>
      <c r="Y93">
        <f t="shared" si="35"/>
        <v>41.167447765509095</v>
      </c>
      <c r="Z93">
        <f t="shared" si="36"/>
        <v>77.425407708049022</v>
      </c>
    </row>
    <row r="94" spans="2:26" x14ac:dyDescent="0.15">
      <c r="B94" s="1">
        <v>70</v>
      </c>
      <c r="C94" s="22">
        <f t="shared" si="12"/>
        <v>439.82297150257102</v>
      </c>
      <c r="D94" s="26" t="str">
        <f t="shared" si="13"/>
        <v>0.650052438185563-0.18850996884584i</v>
      </c>
      <c r="E94" s="1">
        <f t="shared" si="14"/>
        <v>-3.3903574475238329</v>
      </c>
      <c r="F94" s="6">
        <f t="shared" si="23"/>
        <v>-16.171733132857689</v>
      </c>
      <c r="G94" s="5" t="str">
        <f t="shared" si="16"/>
        <v>85.1571830943577+24.5406210084431i</v>
      </c>
      <c r="H94" s="1">
        <f t="shared" si="24"/>
        <v>38.950902285188455</v>
      </c>
      <c r="I94" s="6">
        <f t="shared" si="25"/>
        <v>16.075938315746786</v>
      </c>
      <c r="J94" s="26" t="str">
        <f t="shared" si="17"/>
        <v>59.9827862012608-0.100287410990576i</v>
      </c>
      <c r="K94" s="1">
        <f t="shared" si="26"/>
        <v>35.560544837664622</v>
      </c>
      <c r="L94" s="6">
        <f t="shared" si="27"/>
        <v>-9.5794817110898989E-2</v>
      </c>
      <c r="M94" s="26">
        <f t="shared" si="18"/>
        <v>0.16</v>
      </c>
      <c r="N94" s="6">
        <f t="shared" si="19"/>
        <v>2.5000000000000001E-2</v>
      </c>
      <c r="O94" s="5" t="str">
        <f t="shared" si="20"/>
        <v>2.35247396312797-32.1607487748508i</v>
      </c>
      <c r="P94" s="1">
        <f t="shared" si="21"/>
        <v>30.169698172089554</v>
      </c>
      <c r="Q94" s="6">
        <f t="shared" si="28"/>
        <v>-85.816415678353238</v>
      </c>
      <c r="R94" s="5" t="str">
        <f t="shared" si="29"/>
        <v>24.4991798160538-9.27018872226333i</v>
      </c>
      <c r="S94" s="1">
        <f t="shared" si="30"/>
        <v>28.364166691955969</v>
      </c>
      <c r="T94" s="6">
        <f t="shared" si="31"/>
        <v>-20.726026923297667</v>
      </c>
      <c r="U94" t="str">
        <f>IMPRODUCT(COMPLEX(-1,0),IMDIV(COMPLEX(1,C94*Calculations!$B$171*Calculations!$B$173),IMPRODUCT(COMPLEX(0,C94*Calculations!$B$160),COMPLEX((Calculations!$B$173+Calculations!$B$175),C94*Calculations!$B$171*Calculations!$B$173*Calculations!$B$175))))</f>
        <v>-0.409275711358988+3.64934783768204i</v>
      </c>
      <c r="V94">
        <f t="shared" si="32"/>
        <v>11.298588813267465</v>
      </c>
      <c r="W94">
        <f t="shared" si="33"/>
        <v>96.399004021764767</v>
      </c>
      <c r="X94" t="str">
        <f t="shared" si="34"/>
        <v>23.8032239215689+93.2000919704358i</v>
      </c>
      <c r="Y94">
        <f t="shared" si="35"/>
        <v>39.66275550522343</v>
      </c>
      <c r="Z94">
        <f t="shared" si="36"/>
        <v>75.672977098467129</v>
      </c>
    </row>
    <row r="95" spans="2:26" x14ac:dyDescent="0.15">
      <c r="B95" s="1">
        <v>80</v>
      </c>
      <c r="C95" s="22">
        <f t="shared" si="12"/>
        <v>502.6548245743669</v>
      </c>
      <c r="D95" s="26" t="str">
        <f t="shared" si="13"/>
        <v>0.632978422966327-0.208791009872392i</v>
      </c>
      <c r="E95" s="1">
        <f t="shared" si="14"/>
        <v>-3.5236731414438416</v>
      </c>
      <c r="F95" s="6">
        <f t="shared" si="23"/>
        <v>-18.255390440149178</v>
      </c>
      <c r="G95" s="5" t="str">
        <f t="shared" si="16"/>
        <v>85.5287693721304+28.0303283939421i</v>
      </c>
      <c r="H95" s="1">
        <f t="shared" si="24"/>
        <v>39.085316467446688</v>
      </c>
      <c r="I95" s="6">
        <f t="shared" si="25"/>
        <v>18.145512947957958</v>
      </c>
      <c r="J95" s="26" t="str">
        <f t="shared" si="17"/>
        <v>59.9903461278477-0.115045068324271i</v>
      </c>
      <c r="K95" s="1">
        <f t="shared" si="26"/>
        <v>35.561643326002837</v>
      </c>
      <c r="L95" s="6">
        <f t="shared" si="27"/>
        <v>-0.10987749219120696</v>
      </c>
      <c r="M95" s="26">
        <f t="shared" si="18"/>
        <v>0.16</v>
      </c>
      <c r="N95" s="6">
        <f t="shared" si="19"/>
        <v>2.5000000000000001E-2</v>
      </c>
      <c r="O95" s="5" t="str">
        <f t="shared" si="20"/>
        <v>2.35247356994557-28.1411207801025i</v>
      </c>
      <c r="P95" s="1">
        <f t="shared" si="21"/>
        <v>29.017071714771884</v>
      </c>
      <c r="Q95" s="6">
        <f t="shared" si="28"/>
        <v>-85.221436112703373</v>
      </c>
      <c r="R95" s="5" t="str">
        <f t="shared" si="29"/>
        <v>23.5041782074672-10.0942002502683i</v>
      </c>
      <c r="S95" s="1">
        <f t="shared" si="30"/>
        <v>28.158029864118028</v>
      </c>
      <c r="T95" s="6">
        <f t="shared" si="31"/>
        <v>-23.241785345747044</v>
      </c>
      <c r="U95" t="str">
        <f>IMPRODUCT(COMPLEX(-1,0),IMDIV(COMPLEX(1,C95*Calculations!$B$171*Calculations!$B$173),IMPRODUCT(COMPLEX(0,C95*Calculations!$B$160),COMPLEX((Calculations!$B$173+Calculations!$B$175),C95*Calculations!$B$171*Calculations!$B$173*Calculations!$B$175))))</f>
        <v>-0.409176541956739+3.1962620338646i</v>
      </c>
      <c r="V95">
        <f t="shared" si="32"/>
        <v>10.163444544974467</v>
      </c>
      <c r="W95">
        <f t="shared" si="33"/>
        <v>97.295166364957879</v>
      </c>
      <c r="X95" t="str">
        <f t="shared" si="34"/>
        <v>22.6463506616927+79.2558223939387i</v>
      </c>
      <c r="Y95">
        <f t="shared" si="35"/>
        <v>38.321474409092488</v>
      </c>
      <c r="Z95">
        <f t="shared" si="36"/>
        <v>74.053381019210846</v>
      </c>
    </row>
    <row r="96" spans="2:26" x14ac:dyDescent="0.15">
      <c r="B96" s="1">
        <v>90</v>
      </c>
      <c r="C96" s="22">
        <f t="shared" si="12"/>
        <v>565.48667764616278</v>
      </c>
      <c r="D96" s="26" t="str">
        <f t="shared" si="13"/>
        <v>0.614858844929209-0.22695175439609i</v>
      </c>
      <c r="E96" s="1">
        <f t="shared" si="14"/>
        <v>-3.6697768483974533</v>
      </c>
      <c r="F96" s="6">
        <f t="shared" si="23"/>
        <v>-20.259706757885688</v>
      </c>
      <c r="G96" s="5" t="str">
        <f t="shared" si="16"/>
        <v>85.9495380071294+31.5136132374177i</v>
      </c>
      <c r="H96" s="1">
        <f t="shared" si="24"/>
        <v>39.232663496502852</v>
      </c>
      <c r="I96" s="6">
        <f t="shared" si="25"/>
        <v>20.135588078015534</v>
      </c>
      <c r="J96" s="26" t="str">
        <f t="shared" si="17"/>
        <v>59.9989034728545-0.129974605546942i</v>
      </c>
      <c r="K96" s="1">
        <f t="shared" si="26"/>
        <v>35.562886648105398</v>
      </c>
      <c r="L96" s="6">
        <f t="shared" si="27"/>
        <v>-0.12411867987013764</v>
      </c>
      <c r="M96" s="26">
        <f t="shared" si="18"/>
        <v>0.16</v>
      </c>
      <c r="N96" s="6">
        <f t="shared" si="19"/>
        <v>2.5000000000000001E-2</v>
      </c>
      <c r="O96" s="5" t="str">
        <f t="shared" si="20"/>
        <v>2.352473124339-25.0147986331585i</v>
      </c>
      <c r="P96" s="1">
        <f t="shared" si="21"/>
        <v>28.002180955484562</v>
      </c>
      <c r="Q96" s="6">
        <f t="shared" si="28"/>
        <v>-84.627519441702418</v>
      </c>
      <c r="R96" s="5" t="str">
        <f t="shared" si="29"/>
        <v>22.4845126330436-10.7791977958689i</v>
      </c>
      <c r="S96" s="1">
        <f t="shared" si="30"/>
        <v>27.936118917128834</v>
      </c>
      <c r="T96" s="6">
        <f t="shared" si="31"/>
        <v>-25.613312908490439</v>
      </c>
      <c r="U96" t="str">
        <f>IMPRODUCT(COMPLEX(-1,0),IMDIV(COMPLEX(1,C96*Calculations!$B$171*Calculations!$B$173),IMPRODUCT(COMPLEX(0,C96*Calculations!$B$160),COMPLEX((Calculations!$B$173+Calculations!$B$175),C96*Calculations!$B$171*Calculations!$B$173*Calculations!$B$175))))</f>
        <v>-0.409064208048856+2.8442257135596i</v>
      </c>
      <c r="V96">
        <f t="shared" si="32"/>
        <v>9.1681983545532191</v>
      </c>
      <c r="W96">
        <f t="shared" si="33"/>
        <v>98.184310646216701</v>
      </c>
      <c r="X96" t="str">
        <f t="shared" si="34"/>
        <v>21.4608621889548+68.3604129975274i</v>
      </c>
      <c r="Y96">
        <f t="shared" si="35"/>
        <v>37.104317271682056</v>
      </c>
      <c r="Z96">
        <f t="shared" si="36"/>
        <v>72.570997737726287</v>
      </c>
    </row>
    <row r="97" spans="2:26" x14ac:dyDescent="0.15">
      <c r="B97" s="1">
        <v>100</v>
      </c>
      <c r="C97" s="22">
        <f t="shared" si="12"/>
        <v>628.31853071795865</v>
      </c>
      <c r="D97" s="26" t="str">
        <f t="shared" si="13"/>
        <v>0.596004109211513-0.242990613727468i</v>
      </c>
      <c r="E97" s="1">
        <f t="shared" si="14"/>
        <v>-3.8272140455343768</v>
      </c>
      <c r="F97" s="6">
        <f t="shared" si="23"/>
        <v>-22.180700658400987</v>
      </c>
      <c r="G97" s="5" t="str">
        <f t="shared" si="16"/>
        <v>86.4193535992053+34.9896825112993i</v>
      </c>
      <c r="H97" s="1">
        <f t="shared" si="24"/>
        <v>39.391488241338465</v>
      </c>
      <c r="I97" s="6">
        <f t="shared" si="25"/>
        <v>22.042162817709503</v>
      </c>
      <c r="J97" s="26" t="str">
        <f t="shared" si="17"/>
        <v>60.008454288079-0.145097212261409i</v>
      </c>
      <c r="K97" s="1">
        <f t="shared" si="26"/>
        <v>35.564274195804096</v>
      </c>
      <c r="L97" s="6">
        <f t="shared" si="27"/>
        <v>-0.13853784069151964</v>
      </c>
      <c r="M97" s="26">
        <f t="shared" si="18"/>
        <v>0.16</v>
      </c>
      <c r="N97" s="6">
        <f t="shared" si="19"/>
        <v>2.5000000000000001E-2</v>
      </c>
      <c r="O97" s="5" t="str">
        <f t="shared" si="20"/>
        <v>2.35247262630832-22.5137905796211i</v>
      </c>
      <c r="P97" s="1">
        <f t="shared" si="21"/>
        <v>27.096132688198942</v>
      </c>
      <c r="Q97" s="6">
        <f t="shared" si="28"/>
        <v>-84.034794042626046</v>
      </c>
      <c r="R97" s="5" t="str">
        <f t="shared" si="29"/>
        <v>21.461066614265-11.3336634882017i</v>
      </c>
      <c r="S97" s="1">
        <f t="shared" si="30"/>
        <v>27.701369044816545</v>
      </c>
      <c r="T97" s="6">
        <f t="shared" si="31"/>
        <v>-27.838689160498191</v>
      </c>
      <c r="U97" t="str">
        <f>IMPRODUCT(COMPLEX(-1,0),IMDIV(COMPLEX(1,C97*Calculations!$B$171*Calculations!$B$173),IMPRODUCT(COMPLEX(0,C97*Calculations!$B$160),COMPLEX((Calculations!$B$173+Calculations!$B$175),C97*Calculations!$B$171*Calculations!$B$173*Calculations!$B$175))))</f>
        <v>-0.408938731355707+2.56292349157202i</v>
      </c>
      <c r="V97">
        <f t="shared" si="32"/>
        <v>8.2838968065490093</v>
      </c>
      <c r="W97">
        <f t="shared" si="33"/>
        <v>99.065665128540545</v>
      </c>
      <c r="X97" t="str">
        <f t="shared" si="34"/>
        <v>20.2710510447064+59.6378457483695i</v>
      </c>
      <c r="Y97">
        <f t="shared" si="35"/>
        <v>35.985265851365561</v>
      </c>
      <c r="Z97">
        <f t="shared" si="36"/>
        <v>71.226975968042339</v>
      </c>
    </row>
    <row r="98" spans="2:26" x14ac:dyDescent="0.15">
      <c r="B98" s="1">
        <v>200</v>
      </c>
      <c r="C98" s="22">
        <f t="shared" si="12"/>
        <v>1256.6370614359173</v>
      </c>
      <c r="D98" s="26" t="str">
        <f t="shared" si="13"/>
        <v>0.413826612408575-0.308622551745598i</v>
      </c>
      <c r="E98" s="1">
        <f t="shared" si="14"/>
        <v>-5.7430222509660194</v>
      </c>
      <c r="F98" s="6">
        <f t="shared" si="23"/>
        <v>-36.714745254663328</v>
      </c>
      <c r="G98" s="5" t="str">
        <f t="shared" si="16"/>
        <v>93.7742860921107+69.1819787376277i</v>
      </c>
      <c r="H98" s="1">
        <f t="shared" si="24"/>
        <v>41.328921877662673</v>
      </c>
      <c r="I98" s="6">
        <f t="shared" si="25"/>
        <v>36.418050862436019</v>
      </c>
      <c r="J98" s="26" t="str">
        <f t="shared" si="17"/>
        <v>60.1574139573471-0.311515561154447i</v>
      </c>
      <c r="K98" s="1">
        <f t="shared" si="26"/>
        <v>35.585899626696659</v>
      </c>
      <c r="L98" s="6">
        <f t="shared" si="27"/>
        <v>-0.29669439222734495</v>
      </c>
      <c r="M98" s="26">
        <f t="shared" si="18"/>
        <v>0.16</v>
      </c>
      <c r="N98" s="6">
        <f t="shared" si="19"/>
        <v>2.5000000000000001E-2</v>
      </c>
      <c r="O98" s="5" t="str">
        <f t="shared" si="20"/>
        <v>2.35246476269414-11.2606200906125i</v>
      </c>
      <c r="P98" s="1">
        <f t="shared" si="21"/>
        <v>21.216768722087366</v>
      </c>
      <c r="Q98" s="6">
        <f t="shared" si="28"/>
        <v>-78.200006526657688</v>
      </c>
      <c r="R98" s="5" t="str">
        <f t="shared" si="29"/>
        <v>13.1929116384709-12.2769552107364i</v>
      </c>
      <c r="S98" s="1">
        <f t="shared" si="30"/>
        <v>25.115846597743335</v>
      </c>
      <c r="T98" s="6">
        <f t="shared" si="31"/>
        <v>-42.940396342990653</v>
      </c>
      <c r="U98" t="str">
        <f>IMPRODUCT(COMPLEX(-1,0),IMDIV(COMPLEX(1,C98*Calculations!$B$171*Calculations!$B$173),IMPRODUCT(COMPLEX(0,C98*Calculations!$B$160),COMPLEX((Calculations!$B$173+Calculations!$B$175),C98*Calculations!$B$171*Calculations!$B$173*Calculations!$B$175))))</f>
        <v>-0.406967674502272+1.30596982714066i</v>
      </c>
      <c r="V98">
        <f t="shared" si="32"/>
        <v>2.7211553846048471</v>
      </c>
      <c r="W98">
        <f t="shared" si="33"/>
        <v>107.30813290347639</v>
      </c>
      <c r="X98" t="str">
        <f t="shared" si="34"/>
        <v>10.6642445049566+22.2258684440578i</v>
      </c>
      <c r="Y98">
        <f t="shared" si="35"/>
        <v>27.837001982348191</v>
      </c>
      <c r="Z98">
        <f t="shared" si="36"/>
        <v>64.36773656048571</v>
      </c>
    </row>
    <row r="99" spans="2:26" x14ac:dyDescent="0.15">
      <c r="B99" s="1">
        <v>300</v>
      </c>
      <c r="C99" s="22">
        <f t="shared" si="12"/>
        <v>1884.9555921538758</v>
      </c>
      <c r="D99" s="26" t="str">
        <f t="shared" si="13"/>
        <v>0.293932392985755-0.287849525040912i</v>
      </c>
      <c r="E99" s="1">
        <f t="shared" si="14"/>
        <v>-7.7146208333419857</v>
      </c>
      <c r="F99" s="6">
        <f t="shared" si="23"/>
        <v>-44.400961166822995</v>
      </c>
      <c r="G99" s="5" t="str">
        <f t="shared" si="16"/>
        <v>105.773159967672+101.81697719373i</v>
      </c>
      <c r="H99" s="1">
        <f t="shared" si="24"/>
        <v>43.33541140770501</v>
      </c>
      <c r="I99" s="6">
        <f t="shared" si="25"/>
        <v>43.908208535678611</v>
      </c>
      <c r="J99" s="26" t="str">
        <f t="shared" si="17"/>
        <v>60.3981265492794-0.51944610564187i</v>
      </c>
      <c r="K99" s="1">
        <f t="shared" si="26"/>
        <v>35.620790574363021</v>
      </c>
      <c r="L99" s="6">
        <f t="shared" si="27"/>
        <v>-0.49275263114455975</v>
      </c>
      <c r="M99" s="26">
        <f t="shared" si="18"/>
        <v>0.16</v>
      </c>
      <c r="N99" s="6">
        <f t="shared" si="19"/>
        <v>2.5000000000000001E-2</v>
      </c>
      <c r="O99" s="5" t="str">
        <f t="shared" si="20"/>
        <v>2.35245165678731-7.51121869107464i</v>
      </c>
      <c r="P99" s="1">
        <f t="shared" si="21"/>
        <v>17.920583808674671</v>
      </c>
      <c r="Q99" s="6">
        <f t="shared" si="28"/>
        <v>-72.609874795173965</v>
      </c>
      <c r="R99" s="5" t="str">
        <f t="shared" si="29"/>
        <v>8.96856712099677-10.4607595763647i</v>
      </c>
      <c r="S99" s="1">
        <f t="shared" si="30"/>
        <v>22.784396231317729</v>
      </c>
      <c r="T99" s="6">
        <f t="shared" si="31"/>
        <v>-49.391754098483496</v>
      </c>
      <c r="U99" t="str">
        <f>IMPRODUCT(COMPLEX(-1,0),IMDIV(COMPLEX(1,C99*Calculations!$B$171*Calculations!$B$173),IMPRODUCT(COMPLEX(0,C99*Calculations!$B$160),COMPLEX((Calculations!$B$173+Calculations!$B$175),C99*Calculations!$B$171*Calculations!$B$173*Calculations!$B$175))))</f>
        <v>-0.403724467078117+0.897530535438904i</v>
      </c>
      <c r="V99">
        <f t="shared" si="32"/>
        <v>-0.13875933457257111</v>
      </c>
      <c r="W99">
        <f t="shared" si="33"/>
        <v>114.21902391113376</v>
      </c>
      <c r="X99" t="str">
        <f t="shared" si="34"/>
        <v>5.76802116229351+12.2728274354281i</v>
      </c>
      <c r="Y99">
        <f t="shared" si="35"/>
        <v>22.645636896745142</v>
      </c>
      <c r="Z99">
        <f t="shared" si="36"/>
        <v>64.827269812650215</v>
      </c>
    </row>
    <row r="100" spans="2:26" x14ac:dyDescent="0.15">
      <c r="B100" s="1">
        <v>400</v>
      </c>
      <c r="C100" s="22">
        <f t="shared" si="12"/>
        <v>2513.2741228718346</v>
      </c>
      <c r="D100" s="26" t="str">
        <f t="shared" si="13"/>
        <v>0.225694323021396-0.250933190225978i</v>
      </c>
      <c r="E100" s="1">
        <f t="shared" si="14"/>
        <v>-9.4345571166392403</v>
      </c>
      <c r="F100" s="6">
        <f t="shared" si="23"/>
        <v>-48.03115364853322</v>
      </c>
      <c r="G100" s="5" t="str">
        <f t="shared" si="16"/>
        <v>122.044991179611+132.206313450677i</v>
      </c>
      <c r="H100" s="1">
        <f t="shared" si="24"/>
        <v>45.101895098301156</v>
      </c>
      <c r="I100" s="6">
        <f t="shared" si="25"/>
        <v>47.288645887920751</v>
      </c>
      <c r="J100" s="26" t="str">
        <f t="shared" si="17"/>
        <v>60.7198136646286-0.786924574396236i</v>
      </c>
      <c r="K100" s="1">
        <f t="shared" si="26"/>
        <v>35.66733798166193</v>
      </c>
      <c r="L100" s="6">
        <f t="shared" si="27"/>
        <v>-0.74250776061258883</v>
      </c>
      <c r="M100" s="26">
        <f t="shared" si="18"/>
        <v>0.16</v>
      </c>
      <c r="N100" s="6">
        <f t="shared" si="19"/>
        <v>2.5000000000000001E-2</v>
      </c>
      <c r="O100" s="5" t="str">
        <f t="shared" si="20"/>
        <v>2.35243330876308-5.63775952240274i</v>
      </c>
      <c r="P100" s="1">
        <f t="shared" si="21"/>
        <v>15.719215595996463</v>
      </c>
      <c r="Q100" s="6">
        <f t="shared" si="28"/>
        <v>-67.350986137579341</v>
      </c>
      <c r="R100" s="5" t="str">
        <f t="shared" si="29"/>
        <v>6.87841800405752-8.7125902888585i</v>
      </c>
      <c r="S100" s="1">
        <f t="shared" si="30"/>
        <v>20.906877733850926</v>
      </c>
      <c r="T100" s="6">
        <f t="shared" si="31"/>
        <v>-51.70960487786796</v>
      </c>
      <c r="U100" t="str">
        <f>IMPRODUCT(COMPLEX(-1,0),IMDIV(COMPLEX(1,C100*Calculations!$B$171*Calculations!$B$173),IMPRODUCT(COMPLEX(0,C100*Calculations!$B$160),COMPLEX((Calculations!$B$173+Calculations!$B$175),C100*Calculations!$B$171*Calculations!$B$173*Calculations!$B$175))))</f>
        <v>-0.399269860290473+0.700842147273865i</v>
      </c>
      <c r="V100">
        <f t="shared" si="32"/>
        <v>-1.8668851990604953</v>
      </c>
      <c r="W100">
        <f t="shared" si="33"/>
        <v>119.67017038865139</v>
      </c>
      <c r="X100" t="str">
        <f t="shared" si="34"/>
        <v>3.35980549086149+8.29935995121155i</v>
      </c>
      <c r="Y100">
        <f t="shared" si="35"/>
        <v>19.039992534790432</v>
      </c>
      <c r="Z100">
        <f t="shared" si="36"/>
        <v>67.960565510783454</v>
      </c>
    </row>
    <row r="101" spans="2:26" x14ac:dyDescent="0.15">
      <c r="B101" s="1">
        <v>500</v>
      </c>
      <c r="C101" s="22">
        <f t="shared" si="12"/>
        <v>3141.5926535897929</v>
      </c>
      <c r="D101" s="26" t="str">
        <f t="shared" si="13"/>
        <v>0.186000030729226-0.217055665401729i</v>
      </c>
      <c r="E101" s="1">
        <f t="shared" si="14"/>
        <v>-10.877291834171245</v>
      </c>
      <c r="F101" s="6">
        <f t="shared" si="23"/>
        <v>-49.40596197809954</v>
      </c>
      <c r="G101" s="5" t="str">
        <f t="shared" si="16"/>
        <v>142.104291290645+159.760949967455i</v>
      </c>
      <c r="H101" s="1">
        <f t="shared" si="24"/>
        <v>46.60079535708573</v>
      </c>
      <c r="I101" s="6">
        <f t="shared" si="25"/>
        <v>48.347522424324715</v>
      </c>
      <c r="J101" s="26" t="str">
        <f t="shared" si="17"/>
        <v>61.1084218472131-1.12899989925487i</v>
      </c>
      <c r="K101" s="1">
        <f t="shared" si="26"/>
        <v>35.723503522914484</v>
      </c>
      <c r="L101" s="6">
        <f t="shared" si="27"/>
        <v>-1.0584395537746043</v>
      </c>
      <c r="M101" s="26">
        <f t="shared" si="18"/>
        <v>0.16</v>
      </c>
      <c r="N101" s="6">
        <f t="shared" si="19"/>
        <v>2.5000000000000001E-2</v>
      </c>
      <c r="O101" s="5" t="str">
        <f t="shared" si="20"/>
        <v>2.35240971886675-4.51467719959675i</v>
      </c>
      <c r="P101" s="1">
        <f t="shared" si="21"/>
        <v>14.135703458765711</v>
      </c>
      <c r="Q101" s="6">
        <f t="shared" si="28"/>
        <v>-62.477862177788083</v>
      </c>
      <c r="R101" s="5" t="str">
        <f t="shared" si="29"/>
        <v>5.74706222670488-7.36425319891268i</v>
      </c>
      <c r="S101" s="1">
        <f t="shared" si="30"/>
        <v>19.408199338810174</v>
      </c>
      <c r="T101" s="6">
        <f t="shared" si="31"/>
        <v>-52.031527440790676</v>
      </c>
      <c r="U101" t="str">
        <f>IMPRODUCT(COMPLEX(-1,0),IMDIV(COMPLEX(1,C101*Calculations!$B$171*Calculations!$B$173),IMPRODUCT(COMPLEX(0,C101*Calculations!$B$160),COMPLEX((Calculations!$B$173+Calculations!$B$175),C101*Calculations!$B$171*Calculations!$B$173*Calculations!$B$175))))</f>
        <v>-0.393684932436704+0.588450870154682i</v>
      </c>
      <c r="V101">
        <f t="shared" si="32"/>
        <v>-2.9993499855651113</v>
      </c>
      <c r="W101">
        <f t="shared" si="33"/>
        <v>123.78328268374884</v>
      </c>
      <c r="X101" t="str">
        <f t="shared" si="34"/>
        <v>2.07096939850972+6.28105929119831i</v>
      </c>
      <c r="Y101">
        <f t="shared" si="35"/>
        <v>16.408849353245063</v>
      </c>
      <c r="Z101">
        <f t="shared" si="36"/>
        <v>71.751755242958183</v>
      </c>
    </row>
    <row r="102" spans="2:26" x14ac:dyDescent="0.15">
      <c r="B102" s="1">
        <v>600</v>
      </c>
      <c r="C102" s="22">
        <f t="shared" si="12"/>
        <v>3769.9111843077517</v>
      </c>
      <c r="D102" s="26" t="str">
        <f t="shared" si="13"/>
        <v>0.161609533261827-0.189230782948457i</v>
      </c>
      <c r="E102" s="1">
        <f t="shared" si="14"/>
        <v>-12.081274592832525</v>
      </c>
      <c r="F102" s="6">
        <f t="shared" si="23"/>
        <v>-49.501544810482763</v>
      </c>
      <c r="G102" s="5" t="str">
        <f t="shared" si="16"/>
        <v>165.380270503471+184.01068390314i</v>
      </c>
      <c r="H102" s="1">
        <f t="shared" si="24"/>
        <v>47.86826392942767</v>
      </c>
      <c r="I102" s="6">
        <f t="shared" si="25"/>
        <v>48.052265898179378</v>
      </c>
      <c r="J102" s="26" t="str">
        <f t="shared" si="17"/>
        <v>61.5475141126528-1.55715733082344i</v>
      </c>
      <c r="K102" s="1">
        <f t="shared" si="26"/>
        <v>35.786989336595134</v>
      </c>
      <c r="L102" s="6">
        <f t="shared" si="27"/>
        <v>-1.4492789123034362</v>
      </c>
      <c r="M102" s="26">
        <f t="shared" si="18"/>
        <v>0.16</v>
      </c>
      <c r="N102" s="6">
        <f t="shared" si="19"/>
        <v>2.5000000000000001E-2</v>
      </c>
      <c r="O102" s="5" t="str">
        <f t="shared" si="20"/>
        <v>2.35238088741374-3.76678324992543i</v>
      </c>
      <c r="P102" s="1">
        <f t="shared" si="21"/>
        <v>12.949587033307363</v>
      </c>
      <c r="Q102" s="6">
        <f t="shared" si="28"/>
        <v>-58.014951335944701</v>
      </c>
      <c r="R102" s="5" t="str">
        <f t="shared" si="29"/>
        <v>5.07681021648318-6.34675083171663i</v>
      </c>
      <c r="S102" s="1">
        <f t="shared" si="30"/>
        <v>18.199073280482999</v>
      </c>
      <c r="T102" s="6">
        <f t="shared" si="31"/>
        <v>-51.343442090121243</v>
      </c>
      <c r="U102" t="str">
        <f>IMPRODUCT(COMPLEX(-1,0),IMDIV(COMPLEX(1,C102*Calculations!$B$171*Calculations!$B$173),IMPRODUCT(COMPLEX(0,C102*Calculations!$B$160),COMPLEX((Calculations!$B$173+Calculations!$B$175),C102*Calculations!$B$171*Calculations!$B$173*Calculations!$B$175))))</f>
        <v>-0.387067523869005+0.517802633566617i</v>
      </c>
      <c r="V102">
        <f t="shared" si="32"/>
        <v>-3.7888519356986841</v>
      </c>
      <c r="W102">
        <f t="shared" si="33"/>
        <v>126.77882812665139</v>
      </c>
      <c r="X102" t="str">
        <f t="shared" si="34"/>
        <v>1.32129593560698+5.085406829259i</v>
      </c>
      <c r="Y102">
        <f t="shared" si="35"/>
        <v>14.410221344784313</v>
      </c>
      <c r="Z102">
        <f t="shared" si="36"/>
        <v>75.435386036530105</v>
      </c>
    </row>
    <row r="103" spans="2:26" x14ac:dyDescent="0.15">
      <c r="B103" s="1">
        <v>700</v>
      </c>
      <c r="C103" s="22">
        <f t="shared" si="12"/>
        <v>4398.22971502571</v>
      </c>
      <c r="D103" s="26" t="str">
        <f t="shared" si="13"/>
        <v>0.145783256390618-0.166842464113918i</v>
      </c>
      <c r="E103" s="1">
        <f t="shared" si="14"/>
        <v>-13.090143491513931</v>
      </c>
      <c r="F103" s="6">
        <f t="shared" si="23"/>
        <v>-48.853757168735498</v>
      </c>
      <c r="G103" s="5" t="str">
        <f t="shared" si="16"/>
        <v>191.248632185362+204.614516799259i</v>
      </c>
      <c r="H103" s="1">
        <f t="shared" si="24"/>
        <v>48.945549685953615</v>
      </c>
      <c r="I103" s="6">
        <f t="shared" si="25"/>
        <v>46.93379447183527</v>
      </c>
      <c r="J103" s="26" t="str">
        <f t="shared" si="17"/>
        <v>62.0192385565008-2.07902248843348i</v>
      </c>
      <c r="K103" s="1">
        <f t="shared" si="26"/>
        <v>35.855406194439709</v>
      </c>
      <c r="L103" s="6">
        <f t="shared" si="27"/>
        <v>-1.9199626969003156</v>
      </c>
      <c r="M103" s="26">
        <f t="shared" si="18"/>
        <v>0.16</v>
      </c>
      <c r="N103" s="6">
        <f t="shared" si="19"/>
        <v>2.5000000000000001E-2</v>
      </c>
      <c r="O103" s="5" t="str">
        <f t="shared" si="20"/>
        <v>2.3523468147895-3.23328260416439i</v>
      </c>
      <c r="P103" s="1">
        <f t="shared" si="21"/>
        <v>12.037846847367925</v>
      </c>
      <c r="Q103" s="6">
        <f t="shared" si="28"/>
        <v>-53.962561110434358</v>
      </c>
      <c r="R103" s="5" t="str">
        <f t="shared" si="29"/>
        <v>4.64917215865492-5.56722013791724i</v>
      </c>
      <c r="S103" s="1">
        <f t="shared" si="30"/>
        <v>17.210579154625883</v>
      </c>
      <c r="T103" s="6">
        <f t="shared" si="31"/>
        <v>-50.13482400975127</v>
      </c>
      <c r="U103" t="str">
        <f>IMPRODUCT(COMPLEX(-1,0),IMDIV(COMPLEX(1,C103*Calculations!$B$171*Calculations!$B$173),IMPRODUCT(COMPLEX(0,C103*Calculations!$B$160),COMPLEX((Calculations!$B$173+Calculations!$B$175),C103*Calculations!$B$171*Calculations!$B$173*Calculations!$B$175))))</f>
        <v>-0.379528174907428+0.470614861247498i</v>
      </c>
      <c r="V103">
        <f t="shared" si="32"/>
        <v>-4.370888749423913</v>
      </c>
      <c r="W103">
        <f t="shared" si="33"/>
        <v>128.88450093352145</v>
      </c>
      <c r="X103" t="str">
        <f t="shared" si="34"/>
        <v>0.855524708535469+4.30088640861273i</v>
      </c>
      <c r="Y103">
        <f t="shared" si="35"/>
        <v>12.839690405201978</v>
      </c>
      <c r="Z103">
        <f t="shared" si="36"/>
        <v>78.74967692377021</v>
      </c>
    </row>
    <row r="104" spans="2:26" x14ac:dyDescent="0.15">
      <c r="B104" s="1">
        <v>800</v>
      </c>
      <c r="C104" s="22">
        <f t="shared" si="12"/>
        <v>5026.5482457436692</v>
      </c>
      <c r="D104" s="26" t="str">
        <f t="shared" si="13"/>
        <v>0.135017156607423-0.148751809563893i</v>
      </c>
      <c r="E104" s="1">
        <f t="shared" si="14"/>
        <v>-13.940839938744546</v>
      </c>
      <c r="F104" s="6">
        <f t="shared" si="23"/>
        <v>-47.771000706925044</v>
      </c>
      <c r="G104" s="5" t="str">
        <f t="shared" si="16"/>
        <v>219.06303375489+221.362119725047i</v>
      </c>
      <c r="H104" s="1">
        <f t="shared" si="24"/>
        <v>49.867260673992398</v>
      </c>
      <c r="I104" s="6">
        <f t="shared" si="25"/>
        <v>45.299089925447525</v>
      </c>
      <c r="J104" s="26" t="str">
        <f t="shared" si="17"/>
        <v>62.505283813381-2.69833869372824i</v>
      </c>
      <c r="K104" s="1">
        <f t="shared" si="26"/>
        <v>35.926420735247845</v>
      </c>
      <c r="L104" s="6">
        <f t="shared" si="27"/>
        <v>-2.4719107814774897</v>
      </c>
      <c r="M104" s="26">
        <f t="shared" si="18"/>
        <v>0.16</v>
      </c>
      <c r="N104" s="6">
        <f t="shared" si="19"/>
        <v>2.5000000000000001E-2</v>
      </c>
      <c r="O104" s="5" t="str">
        <f t="shared" si="20"/>
        <v>2.35230750144953-2.83377771940575i</v>
      </c>
      <c r="P104" s="1">
        <f t="shared" si="21"/>
        <v>11.323764703595192</v>
      </c>
      <c r="Q104" s="6">
        <f t="shared" si="28"/>
        <v>-50.304070790068259</v>
      </c>
      <c r="R104" s="5" t="str">
        <f t="shared" si="29"/>
        <v>4.35977162255125-4.95670376216024i</v>
      </c>
      <c r="S104" s="1">
        <f t="shared" si="30"/>
        <v>16.392525525854889</v>
      </c>
      <c r="T104" s="6">
        <f t="shared" si="31"/>
        <v>-48.666086461750439</v>
      </c>
      <c r="U104" t="str">
        <f>IMPRODUCT(COMPLEX(-1,0),IMDIV(COMPLEX(1,C104*Calculations!$B$171*Calculations!$B$173),IMPRODUCT(COMPLEX(0,C104*Calculations!$B$160),COMPLEX((Calculations!$B$173+Calculations!$B$175),C104*Calculations!$B$171*Calculations!$B$173*Calculations!$B$175))))</f>
        <v>-0.371185862594192+0.437720039557722i</v>
      </c>
      <c r="V104">
        <f t="shared" si="32"/>
        <v>-4.8230570505235626</v>
      </c>
      <c r="W104">
        <f t="shared" si="33"/>
        <v>130.29788892061472</v>
      </c>
      <c r="X104" t="str">
        <f t="shared" si="34"/>
        <v>0.551362976418324+3.74821776866709i</v>
      </c>
      <c r="Y104">
        <f t="shared" si="35"/>
        <v>11.569468475331321</v>
      </c>
      <c r="Z104">
        <f t="shared" si="36"/>
        <v>81.631802458864271</v>
      </c>
    </row>
    <row r="105" spans="2:26" x14ac:dyDescent="0.15">
      <c r="B105" s="1">
        <v>900</v>
      </c>
      <c r="C105" s="22">
        <f t="shared" si="12"/>
        <v>5654.8667764616275</v>
      </c>
      <c r="D105" s="26" t="str">
        <f t="shared" si="13"/>
        <v>0.12739723751764-0.133963153320033i</v>
      </c>
      <c r="E105" s="1">
        <f t="shared" si="14"/>
        <v>-14.662764489115485</v>
      </c>
      <c r="F105" s="6">
        <f t="shared" si="23"/>
        <v>-46.439086277495669</v>
      </c>
      <c r="G105" s="5" t="str">
        <f t="shared" si="16"/>
        <v>248.183755805669+234.16753039543i</v>
      </c>
      <c r="H105" s="1">
        <f t="shared" si="24"/>
        <v>50.660634387578234</v>
      </c>
      <c r="I105" s="6">
        <f t="shared" si="25"/>
        <v>43.335560270546885</v>
      </c>
      <c r="J105" s="26" t="str">
        <f t="shared" si="17"/>
        <v>62.9877456633313-3.41518204183068i</v>
      </c>
      <c r="K105" s="1">
        <f t="shared" si="26"/>
        <v>35.99786989846276</v>
      </c>
      <c r="L105" s="6">
        <f t="shared" si="27"/>
        <v>-3.1035260069487727</v>
      </c>
      <c r="M105" s="26">
        <f t="shared" si="18"/>
        <v>0.16</v>
      </c>
      <c r="N105" s="6">
        <f t="shared" si="19"/>
        <v>2.5000000000000001E-2</v>
      </c>
      <c r="O105" s="5" t="str">
        <f t="shared" si="20"/>
        <v>2.35226294791941-2.52360328666175i</v>
      </c>
      <c r="P105" s="1">
        <f t="shared" si="21"/>
        <v>10.756095290344827</v>
      </c>
      <c r="Q105" s="6">
        <f t="shared" si="28"/>
        <v>-47.012573746438008</v>
      </c>
      <c r="R105" s="5" t="str">
        <f t="shared" si="29"/>
        <v>4.15453084158663-4.46814235558999i</v>
      </c>
      <c r="S105" s="1">
        <f t="shared" si="30"/>
        <v>15.708279702692785</v>
      </c>
      <c r="T105" s="6">
        <f t="shared" si="31"/>
        <v>-47.082961856537011</v>
      </c>
      <c r="U105" t="str">
        <f>IMPRODUCT(COMPLEX(-1,0),IMDIV(COMPLEX(1,C105*Calculations!$B$171*Calculations!$B$173),IMPRODUCT(COMPLEX(0,C105*Calculations!$B$160),COMPLEX((Calculations!$B$173+Calculations!$B$175),C105*Calculations!$B$171*Calculations!$B$173*Calculations!$B$175))))</f>
        <v>-0.36216381444376+0.414013360856075i</v>
      </c>
      <c r="V105">
        <f t="shared" si="32"/>
        <v>-5.1917457760498733</v>
      </c>
      <c r="W105">
        <f t="shared" si="33"/>
        <v>131.1782526417249</v>
      </c>
      <c r="X105" t="str">
        <f t="shared" si="34"/>
        <v>0.345249896607933+3.3382307554837i</v>
      </c>
      <c r="Y105">
        <f t="shared" si="35"/>
        <v>10.516533926642921</v>
      </c>
      <c r="Z105">
        <f t="shared" si="36"/>
        <v>84.095290785187885</v>
      </c>
    </row>
    <row r="106" spans="2:26" x14ac:dyDescent="0.15">
      <c r="B106" s="1">
        <v>1000</v>
      </c>
      <c r="C106" s="22">
        <f t="shared" si="12"/>
        <v>6283.1853071795858</v>
      </c>
      <c r="D106" s="26" t="str">
        <f t="shared" si="13"/>
        <v>0.121822603351298-0.121712057294562i</v>
      </c>
      <c r="E106" s="1">
        <f t="shared" si="14"/>
        <v>-15.279083458705385</v>
      </c>
      <c r="F106" s="6">
        <f t="shared" si="23"/>
        <v>-44.973992112494507</v>
      </c>
      <c r="G106" s="5" t="str">
        <f t="shared" si="16"/>
        <v>278.001825497161+243.056813563603i</v>
      </c>
      <c r="H106" s="1">
        <f t="shared" si="24"/>
        <v>51.346921826552567</v>
      </c>
      <c r="I106" s="6">
        <f t="shared" si="25"/>
        <v>41.163180475162797</v>
      </c>
      <c r="J106" s="26" t="str">
        <f t="shared" si="17"/>
        <v>63.4498509367643-4.22636032231402i</v>
      </c>
      <c r="K106" s="1">
        <f t="shared" si="26"/>
        <v>36.067838367847173</v>
      </c>
      <c r="L106" s="6">
        <f t="shared" si="27"/>
        <v>-3.8108116373316467</v>
      </c>
      <c r="M106" s="26">
        <f t="shared" si="18"/>
        <v>0.16</v>
      </c>
      <c r="N106" s="6">
        <f t="shared" si="19"/>
        <v>2.5000000000000001E-2</v>
      </c>
      <c r="O106" s="5" t="str">
        <f t="shared" si="20"/>
        <v>2.35221315479469-2.27596011390629i</v>
      </c>
      <c r="P106" s="1">
        <f t="shared" si="21"/>
        <v>10.299070982479119</v>
      </c>
      <c r="Q106" s="6">
        <f t="shared" si="28"/>
        <v>-44.056089324177847</v>
      </c>
      <c r="R106" s="5" t="str">
        <f t="shared" si="29"/>
        <v>4.00340146435398-4.06958344714071i</v>
      </c>
      <c r="S106" s="1">
        <f t="shared" si="30"/>
        <v>15.130674723317824</v>
      </c>
      <c r="T106" s="6">
        <f t="shared" si="31"/>
        <v>-45.469697811977561</v>
      </c>
      <c r="U106" t="str">
        <f>IMPRODUCT(COMPLEX(-1,0),IMDIV(COMPLEX(1,C106*Calculations!$B$171*Calculations!$B$173),IMPRODUCT(COMPLEX(0,C106*Calculations!$B$160),COMPLEX((Calculations!$B$173+Calculations!$B$175),C106*Calculations!$B$171*Calculations!$B$173*Calculations!$B$175))))</f>
        <v>-0.352585634172308+0.39643100502089i</v>
      </c>
      <c r="V106">
        <f t="shared" si="32"/>
        <v>-5.5056145102395444</v>
      </c>
      <c r="W106">
        <f t="shared" si="33"/>
        <v>131.649885912071</v>
      </c>
      <c r="X106" t="str">
        <f t="shared" si="34"/>
        <v>0.201767211810775+3.02194912654319i</v>
      </c>
      <c r="Y106">
        <f t="shared" si="35"/>
        <v>9.6250602130782923</v>
      </c>
      <c r="Z106">
        <f t="shared" si="36"/>
        <v>86.18018810009346</v>
      </c>
    </row>
    <row r="107" spans="2:26" x14ac:dyDescent="0.15">
      <c r="B107" s="1">
        <v>2000</v>
      </c>
      <c r="C107" s="22">
        <f t="shared" si="12"/>
        <v>12566.370614359172</v>
      </c>
      <c r="D107" s="26" t="str">
        <f t="shared" si="13"/>
        <v>0.103265550116178-0.0627621533366382i</v>
      </c>
      <c r="E107" s="1">
        <f t="shared" si="14"/>
        <v>-18.355620269048277</v>
      </c>
      <c r="F107" s="6">
        <f t="shared" si="23"/>
        <v>-31.29016129788495</v>
      </c>
      <c r="G107" s="5" t="str">
        <f t="shared" si="16"/>
        <v>524.439211945812+167.952996795608i</v>
      </c>
      <c r="H107" s="1">
        <f t="shared" si="24"/>
        <v>54.817932136638007</v>
      </c>
      <c r="I107" s="6">
        <f t="shared" si="25"/>
        <v>17.757796797622532</v>
      </c>
      <c r="J107" s="26" t="str">
        <f t="shared" si="17"/>
        <v>64.6975954623129-15.5711756281296i</v>
      </c>
      <c r="K107" s="1">
        <f t="shared" si="26"/>
        <v>36.462311867589719</v>
      </c>
      <c r="L107" s="6">
        <f t="shared" si="27"/>
        <v>-13.532364500262426</v>
      </c>
      <c r="M107" s="26">
        <f t="shared" si="18"/>
        <v>0.16</v>
      </c>
      <c r="N107" s="6">
        <f t="shared" si="19"/>
        <v>2.5000000000000001E-2</v>
      </c>
      <c r="O107" s="5" t="str">
        <f t="shared" si="20"/>
        <v>2.35142722688912-1.17520753049067i</v>
      </c>
      <c r="P107" s="1">
        <f t="shared" si="21"/>
        <v>8.3949833134878187</v>
      </c>
      <c r="Q107" s="6">
        <f t="shared" si="28"/>
        <v>-26.555185198416172</v>
      </c>
      <c r="R107" s="5" t="str">
        <f t="shared" si="29"/>
        <v>3.47827340271101-2.22296631517206i</v>
      </c>
      <c r="S107" s="1">
        <f t="shared" si="30"/>
        <v>12.314687010027377</v>
      </c>
      <c r="T107" s="6">
        <f t="shared" si="31"/>
        <v>-32.582666828414986</v>
      </c>
      <c r="U107" t="str">
        <f>IMPRODUCT(COMPLEX(-1,0),IMDIV(COMPLEX(1,C107*Calculations!$B$171*Calculations!$B$173),IMPRODUCT(COMPLEX(0,C107*Calculations!$B$160),COMPLEX((Calculations!$B$173+Calculations!$B$175),C107*Calculations!$B$171*Calculations!$B$173*Calculations!$B$175))))</f>
        <v>-0.248722625624919+0.327358558875389i</v>
      </c>
      <c r="V107">
        <f t="shared" si="32"/>
        <v>-7.720450199811463</v>
      </c>
      <c r="W107">
        <f t="shared" si="33"/>
        <v>127.22708054703735</v>
      </c>
      <c r="X107" t="str">
        <f t="shared" si="34"/>
        <v>-0.137418244000344+1.69154458707142i</v>
      </c>
      <c r="Y107">
        <f t="shared" si="35"/>
        <v>4.5942368102159232</v>
      </c>
      <c r="Z107">
        <f t="shared" si="36"/>
        <v>94.644413718622346</v>
      </c>
    </row>
    <row r="108" spans="2:26" x14ac:dyDescent="0.15">
      <c r="B108" s="1">
        <v>3000</v>
      </c>
      <c r="C108" s="22">
        <f t="shared" si="12"/>
        <v>18849.555921538758</v>
      </c>
      <c r="D108" s="26" t="str">
        <f t="shared" si="13"/>
        <v>0.0997007443284874-0.0420855463095608i</v>
      </c>
      <c r="E108" s="1">
        <f t="shared" si="14"/>
        <v>-19.313900126934168</v>
      </c>
      <c r="F108" s="6">
        <f t="shared" si="23"/>
        <v>-22.885516387516908</v>
      </c>
      <c r="G108" s="5" t="str">
        <f t="shared" si="16"/>
        <v>598.50656074121-13.2059318775633i</v>
      </c>
      <c r="H108" s="1">
        <f t="shared" si="24"/>
        <v>55.543492181800929</v>
      </c>
      <c r="I108" s="6">
        <f t="shared" si="25"/>
        <v>-1.2640152245999285</v>
      </c>
      <c r="J108" s="26" t="str">
        <f t="shared" si="17"/>
        <v>59.1157707337875-26.5051168163945i</v>
      </c>
      <c r="K108" s="1">
        <f t="shared" si="26"/>
        <v>36.229592054866743</v>
      </c>
      <c r="L108" s="6">
        <f t="shared" si="27"/>
        <v>-24.14953161211686</v>
      </c>
      <c r="M108" s="26">
        <f t="shared" si="18"/>
        <v>0.16</v>
      </c>
      <c r="N108" s="6">
        <f t="shared" si="19"/>
        <v>2.5000000000000001E-2</v>
      </c>
      <c r="O108" s="5" t="str">
        <f t="shared" si="20"/>
        <v>2.35011851349199-0.824798712042382i</v>
      </c>
      <c r="P108" s="1">
        <f t="shared" si="21"/>
        <v>7.9262628123906067</v>
      </c>
      <c r="Q108" s="6">
        <f t="shared" si="28"/>
        <v>-19.339057113811879</v>
      </c>
      <c r="R108" s="5" t="str">
        <f t="shared" si="29"/>
        <v>3.36408200394566-1.62661777858586i</v>
      </c>
      <c r="S108" s="1">
        <f t="shared" si="30"/>
        <v>11.449766580447102</v>
      </c>
      <c r="T108" s="6">
        <f t="shared" si="31"/>
        <v>-25.804928276228296</v>
      </c>
      <c r="U108" t="str">
        <f>IMPRODUCT(COMPLEX(-1,0),IMDIV(COMPLEX(1,C108*Calculations!$B$171*Calculations!$B$173),IMPRODUCT(COMPLEX(0,C108*Calculations!$B$160),COMPLEX((Calculations!$B$173+Calculations!$B$175),C108*Calculations!$B$171*Calculations!$B$173*Calculations!$B$175))))</f>
        <v>-0.166820591069826+0.286130256170708i</v>
      </c>
      <c r="V108">
        <f t="shared" si="32"/>
        <v>-9.5979482495391473</v>
      </c>
      <c r="W108">
        <f t="shared" si="33"/>
        <v>120.24317944501331</v>
      </c>
      <c r="X108" t="str">
        <f t="shared" si="34"/>
        <v>-0.0957735866269796+1.23391898483662i</v>
      </c>
      <c r="Y108">
        <f t="shared" si="35"/>
        <v>1.8518183309079501</v>
      </c>
      <c r="Z108">
        <f t="shared" si="36"/>
        <v>94.43825116878503</v>
      </c>
    </row>
    <row r="109" spans="2:26" x14ac:dyDescent="0.15">
      <c r="B109" s="1">
        <v>4000</v>
      </c>
      <c r="C109" s="22">
        <f t="shared" si="12"/>
        <v>25132.741228718343</v>
      </c>
      <c r="D109" s="26" t="str">
        <f t="shared" si="13"/>
        <v>0.0984432152619413-0.0316287445337271i</v>
      </c>
      <c r="E109" s="1">
        <f t="shared" si="14"/>
        <v>-19.709636299206757</v>
      </c>
      <c r="F109" s="6">
        <f t="shared" si="23"/>
        <v>-17.811652392933457</v>
      </c>
      <c r="G109" s="5" t="str">
        <f t="shared" si="16"/>
        <v>563.119082071993-156.131543443908i</v>
      </c>
      <c r="H109" s="1">
        <f t="shared" si="24"/>
        <v>55.333654755404652</v>
      </c>
      <c r="I109" s="6">
        <f t="shared" si="25"/>
        <v>-15.496674294902576</v>
      </c>
      <c r="J109" s="26" t="str">
        <f t="shared" si="17"/>
        <v>50.4970083132761-33.1808407293498i</v>
      </c>
      <c r="K109" s="1">
        <f t="shared" si="26"/>
        <v>35.624018456197895</v>
      </c>
      <c r="L109" s="6">
        <f t="shared" si="27"/>
        <v>-33.308326687836086</v>
      </c>
      <c r="M109" s="26">
        <f t="shared" si="18"/>
        <v>0.16</v>
      </c>
      <c r="N109" s="6">
        <f t="shared" si="19"/>
        <v>2.5000000000000001E-2</v>
      </c>
      <c r="O109" s="5" t="str">
        <f t="shared" si="20"/>
        <v>2.34828876018476-0.661934492883731i</v>
      </c>
      <c r="P109" s="1">
        <f t="shared" si="21"/>
        <v>7.7470796760693004</v>
      </c>
      <c r="Q109" s="6">
        <f t="shared" si="28"/>
        <v>-15.74205686700852</v>
      </c>
      <c r="R109" s="5" t="str">
        <f t="shared" si="29"/>
        <v>3.31658696252801-1.36247906772321i</v>
      </c>
      <c r="S109" s="1">
        <f t="shared" si="30"/>
        <v>11.091091841223648</v>
      </c>
      <c r="T109" s="6">
        <f t="shared" si="31"/>
        <v>-22.333230111222335</v>
      </c>
      <c r="U109" t="str">
        <f>IMPRODUCT(COMPLEX(-1,0),IMDIV(COMPLEX(1,C109*Calculations!$B$171*Calculations!$B$173),IMPRODUCT(COMPLEX(0,C109*Calculations!$B$160),COMPLEX((Calculations!$B$173+Calculations!$B$175),C109*Calculations!$B$171*Calculations!$B$173*Calculations!$B$175))))</f>
        <v>-0.114181931826351+0.247323093754315i</v>
      </c>
      <c r="V109">
        <f t="shared" si="32"/>
        <v>-11.295596537933225</v>
      </c>
      <c r="W109">
        <f t="shared" si="33"/>
        <v>114.78140666007744</v>
      </c>
      <c r="X109" t="str">
        <f t="shared" si="34"/>
        <v>-0.0417217682467387+0.975839040303256i</v>
      </c>
      <c r="Y109">
        <f t="shared" si="35"/>
        <v>-0.20450469670957719</v>
      </c>
      <c r="Z109">
        <f t="shared" si="36"/>
        <v>92.448176548855088</v>
      </c>
    </row>
    <row r="110" spans="2:26" x14ac:dyDescent="0.15">
      <c r="B110" s="1">
        <v>5000</v>
      </c>
      <c r="C110" s="22">
        <f t="shared" si="12"/>
        <v>31415.926535897932</v>
      </c>
      <c r="D110" s="26" t="str">
        <f t="shared" si="13"/>
        <v>0.0978594150794834-0.0253269821064585i</v>
      </c>
      <c r="E110" s="1">
        <f t="shared" si="14"/>
        <v>-19.906374533456376</v>
      </c>
      <c r="F110" s="6">
        <f t="shared" si="23"/>
        <v>-14.510325794132067</v>
      </c>
      <c r="G110" s="5" t="str">
        <f t="shared" si="16"/>
        <v>490.698412916196-241.960482299491i</v>
      </c>
      <c r="H110" s="1">
        <f t="shared" si="24"/>
        <v>54.761499662860238</v>
      </c>
      <c r="I110" s="6">
        <f t="shared" si="25"/>
        <v>-26.247633518993347</v>
      </c>
      <c r="J110" s="26" t="str">
        <f t="shared" si="17"/>
        <v>41.8913308627404-36.106021193774i</v>
      </c>
      <c r="K110" s="1">
        <f t="shared" si="26"/>
        <v>34.855125129403859</v>
      </c>
      <c r="L110" s="6">
        <f t="shared" si="27"/>
        <v>-40.75795931312549</v>
      </c>
      <c r="M110" s="26">
        <f t="shared" si="18"/>
        <v>0.16</v>
      </c>
      <c r="N110" s="6">
        <f t="shared" si="19"/>
        <v>2.5000000000000001E-2</v>
      </c>
      <c r="O110" s="5" t="str">
        <f t="shared" si="20"/>
        <v>2.34594040263409-0.574041964822917i</v>
      </c>
      <c r="P110" s="1">
        <f t="shared" si="21"/>
        <v>7.6588903918730971</v>
      </c>
      <c r="Q110" s="6">
        <f t="shared" si="28"/>
        <v>-13.749861747398201</v>
      </c>
      <c r="R110" s="5" t="str">
        <f t="shared" si="29"/>
        <v>3.28777409858669-1.23403934391444i</v>
      </c>
      <c r="S110" s="1">
        <f t="shared" si="30"/>
        <v>10.910444903974287</v>
      </c>
      <c r="T110" s="6">
        <f t="shared" si="31"/>
        <v>-20.573217076602383</v>
      </c>
      <c r="U110" t="str">
        <f>IMPRODUCT(COMPLEX(-1,0),IMDIV(COMPLEX(1,C110*Calculations!$B$171*Calculations!$B$173),IMPRODUCT(COMPLEX(0,C110*Calculations!$B$160),COMPLEX((Calculations!$B$173+Calculations!$B$175),C110*Calculations!$B$171*Calculations!$B$173*Calculations!$B$175))))</f>
        <v>-0.0812280996533384+0.214248366516438i</v>
      </c>
      <c r="V110">
        <f t="shared" si="32"/>
        <v>-12.798376629273559</v>
      </c>
      <c r="W110">
        <f t="shared" si="33"/>
        <v>110.76324805444862</v>
      </c>
      <c r="X110" t="str">
        <f t="shared" si="34"/>
        <v>-0.00266872846697885+0.804638900900875i</v>
      </c>
      <c r="Y110">
        <f t="shared" si="35"/>
        <v>-1.8879317252992742</v>
      </c>
      <c r="Z110">
        <f t="shared" si="36"/>
        <v>90.190030977846249</v>
      </c>
    </row>
    <row r="111" spans="2:26" x14ac:dyDescent="0.15">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0.0975418248865002-0.0211166923918231i</v>
      </c>
      <c r="E111" s="1">
        <f t="shared" si="14"/>
        <v>-20.017266082889101</v>
      </c>
      <c r="F111" s="6">
        <f t="shared" si="23"/>
        <v>-12.215376918011531</v>
      </c>
      <c r="G111" s="5" t="str">
        <f t="shared" ref="G111:G137" si="39">IMDIV(COMPLEX(V48_Max,0),IMSUM(COMPLEX(Rcs/np,(Lm*C111)/np),D111))</f>
        <v>415.277792415507-285.810427305483i</v>
      </c>
      <c r="H111" s="1">
        <f t="shared" si="24"/>
        <v>54.050785712557008</v>
      </c>
      <c r="I111" s="6">
        <f t="shared" si="25"/>
        <v>-34.537270036315356</v>
      </c>
      <c r="J111" s="26" t="str">
        <f t="shared" ref="J111:J137" si="40">IMDIV(IMPRODUCT(COMPLEX(V48_Max,0),D111),IMSUM(COMPLEX(Rcs/np,(Lm*C111)/np),D111))</f>
        <v>34.4715828312604-36.6477640505608i</v>
      </c>
      <c r="K111" s="1">
        <f t="shared" si="26"/>
        <v>34.033519629667907</v>
      </c>
      <c r="L111" s="6">
        <f t="shared" si="27"/>
        <v>-46.752646954326821</v>
      </c>
      <c r="M111" s="26">
        <f t="shared" ref="M111:M137" si="41">(Ramp_C*Ramp_R*Fsw)/(V48_Max)</f>
        <v>0.16</v>
      </c>
      <c r="N111" s="6">
        <f t="shared" ref="N111:N137" si="42">(Rcs*Acs)/np</f>
        <v>2.5000000000000001E-2</v>
      </c>
      <c r="O111" s="5" t="str">
        <f t="shared" ref="O111:O137" si="43">IMPRODUCT(COMPLEX(gm/(IL_Comp_Ccomp+IL_Comp_Chf),0),IMDIV(COMPLEX(1,C111*IL_Comp_Rcomp*IL_Comp_Ccomp),IMPRODUCT(COMPLEX(0,C111),COMPLEX(1,C111*IL_Comp_Rcomp*IL_Comp_Chf))))</f>
        <v>2.3430765585053-0.523586056930106i</v>
      </c>
      <c r="P111" s="1">
        <f t="shared" si="21"/>
        <v>7.6073528279124343</v>
      </c>
      <c r="Q111" s="6">
        <f t="shared" si="28"/>
        <v>-12.596422545534917</v>
      </c>
      <c r="R111" s="5" t="str">
        <f t="shared" si="29"/>
        <v>3.26513170979499-1.17401460689287i</v>
      </c>
      <c r="S111" s="1">
        <f t="shared" si="30"/>
        <v>10.806046771263473</v>
      </c>
      <c r="T111" s="6">
        <f t="shared" si="31"/>
        <v>-19.776615278512228</v>
      </c>
      <c r="U111" t="str">
        <f>IMPRODUCT(COMPLEX(-1,0),IMDIV(COMPLEX(1,C111*Calculations!$B$171*Calculations!$B$173),IMPRODUCT(COMPLEX(0,C111*Calculations!$B$160),COMPLEX((Calculations!$B$173+Calculations!$B$175),C111*Calculations!$B$171*Calculations!$B$173*Calculations!$B$175))))</f>
        <v>-0.0600469449865662+0.187319173830394i</v>
      </c>
      <c r="V111">
        <f t="shared" si="32"/>
        <v>-14.123551550453175</v>
      </c>
      <c r="W111">
        <f t="shared" si="33"/>
        <v>107.7737473598449</v>
      </c>
      <c r="X111" t="str">
        <f t="shared" si="34"/>
        <v>0.0238542620760346+0.682117764839741i</v>
      </c>
      <c r="Y111">
        <f t="shared" si="35"/>
        <v>-3.3175047791896981</v>
      </c>
      <c r="Z111">
        <f t="shared" si="36"/>
        <v>87.99713208133268</v>
      </c>
    </row>
    <row r="112" spans="2:26" x14ac:dyDescent="0.15">
      <c r="B112" s="1">
        <v>7000</v>
      </c>
      <c r="C112" s="22">
        <f t="shared" si="37"/>
        <v>43982.297150257102</v>
      </c>
      <c r="D112" s="26" t="str">
        <f t="shared" si="38"/>
        <v>0.0973501698165124-0.0181056466879334i</v>
      </c>
      <c r="E112" s="1">
        <f t="shared" si="14"/>
        <v>-20.085581599114015</v>
      </c>
      <c r="F112" s="6">
        <f t="shared" si="23"/>
        <v>-10.535763222545469</v>
      </c>
      <c r="G112" s="5" t="str">
        <f t="shared" si="39"/>
        <v>348.579181734422-303.702430505228i</v>
      </c>
      <c r="H112" s="1">
        <f t="shared" si="24"/>
        <v>53.29891112772345</v>
      </c>
      <c r="I112" s="6">
        <f t="shared" si="25"/>
        <v>-41.064271981852791</v>
      </c>
      <c r="J112" s="26" t="str">
        <f t="shared" si="40"/>
        <v>28.4355136313527-35.8767346906238i</v>
      </c>
      <c r="K112" s="1">
        <f t="shared" si="26"/>
        <v>33.213329528609435</v>
      </c>
      <c r="L112" s="6">
        <f t="shared" si="27"/>
        <v>-51.600035204398125</v>
      </c>
      <c r="M112" s="26">
        <f t="shared" si="41"/>
        <v>0.16</v>
      </c>
      <c r="N112" s="6">
        <f t="shared" si="42"/>
        <v>2.5000000000000001E-2</v>
      </c>
      <c r="O112" s="5" t="str">
        <f t="shared" si="43"/>
        <v>2.33970101715129-0.494471219894314i</v>
      </c>
      <c r="P112" s="1">
        <f t="shared" si="21"/>
        <v>7.5729751454215375</v>
      </c>
      <c r="Q112" s="6">
        <f t="shared" si="28"/>
        <v>-11.93326481671301</v>
      </c>
      <c r="R112" s="5" t="str">
        <f t="shared" si="29"/>
        <v>3.24424843952579-1.1531515187325i</v>
      </c>
      <c r="S112" s="1">
        <f t="shared" si="30"/>
        <v>10.738981279977828</v>
      </c>
      <c r="T112" s="6">
        <f t="shared" si="31"/>
        <v>-19.567496414918871</v>
      </c>
      <c r="U112" t="str">
        <f>IMPRODUCT(COMPLEX(-1,0),IMDIV(COMPLEX(1,C112*Calculations!$B$171*Calculations!$B$173),IMPRODUCT(COMPLEX(0,C112*Calculations!$B$160),COMPLEX((Calculations!$B$173+Calculations!$B$175),C112*Calculations!$B$171*Calculations!$B$173*Calculations!$B$175))))</f>
        <v>-0.045901393694166+0.165584591879055i</v>
      </c>
      <c r="V112">
        <f t="shared" si="32"/>
        <v>-15.298072252354176</v>
      </c>
      <c r="W112">
        <f t="shared" si="33"/>
        <v>105.49380568692517</v>
      </c>
      <c r="X112" t="str">
        <f t="shared" si="34"/>
        <v>0.0420285987396765+0.590128815663505i</v>
      </c>
      <c r="Y112">
        <f t="shared" si="35"/>
        <v>-4.5590909723763478</v>
      </c>
      <c r="Z112">
        <f t="shared" si="36"/>
        <v>85.926309272006293</v>
      </c>
    </row>
    <row r="113" spans="2:26" x14ac:dyDescent="0.15">
      <c r="B113" s="1">
        <v>8000</v>
      </c>
      <c r="C113" s="22">
        <f t="shared" si="37"/>
        <v>50265.482457436687</v>
      </c>
      <c r="D113" s="26" t="str">
        <f t="shared" si="38"/>
        <v>0.0972257145482235-0.0158456367696422i</v>
      </c>
      <c r="E113" s="1">
        <f t="shared" si="14"/>
        <v>-20.130526235842204</v>
      </c>
      <c r="F113" s="6">
        <f t="shared" si="23"/>
        <v>-9.2565579794781154</v>
      </c>
      <c r="G113" s="5" t="str">
        <f t="shared" si="39"/>
        <v>293.01371386208-306.663697890361i</v>
      </c>
      <c r="H113" s="1">
        <f t="shared" si="24"/>
        <v>52.55030342832476</v>
      </c>
      <c r="I113" s="6">
        <f t="shared" si="25"/>
        <v>-46.303953476976424</v>
      </c>
      <c r="J113" s="26" t="str">
        <f t="shared" si="40"/>
        <v>23.6291861354635-34.4585860317733i</v>
      </c>
      <c r="K113" s="1">
        <f t="shared" si="26"/>
        <v>32.419777192482563</v>
      </c>
      <c r="L113" s="6">
        <f t="shared" si="27"/>
        <v>-55.560511456454535</v>
      </c>
      <c r="M113" s="26">
        <f t="shared" si="41"/>
        <v>0.16</v>
      </c>
      <c r="N113" s="6">
        <f t="shared" si="42"/>
        <v>2.5000000000000001E-2</v>
      </c>
      <c r="O113" s="5" t="str">
        <f t="shared" si="43"/>
        <v>2.3358182271408-0.478641872702017i</v>
      </c>
      <c r="P113" s="1">
        <f t="shared" si="21"/>
        <v>7.5474153308262748</v>
      </c>
      <c r="Q113" s="6">
        <f t="shared" si="28"/>
        <v>-11.580397820536183</v>
      </c>
      <c r="R113" s="5" t="str">
        <f t="shared" si="29"/>
        <v>3.22324679479794-1.15668204883749i</v>
      </c>
      <c r="S113" s="1">
        <f t="shared" si="30"/>
        <v>10.691955636368331</v>
      </c>
      <c r="T113" s="6">
        <f t="shared" si="31"/>
        <v>-19.740838434118022</v>
      </c>
      <c r="U113" t="str">
        <f>IMPRODUCT(COMPLEX(-1,0),IMDIV(COMPLEX(1,C113*Calculations!$B$171*Calculations!$B$173),IMPRODUCT(COMPLEX(0,C113*Calculations!$B$160),COMPLEX((Calculations!$B$173+Calculations!$B$175),C113*Calculations!$B$171*Calculations!$B$173*Calculations!$B$175))))</f>
        <v>-0.0360911892039297+0.147936015037461i</v>
      </c>
      <c r="V113">
        <f t="shared" si="32"/>
        <v>-16.347434793002371</v>
      </c>
      <c r="W113">
        <f t="shared" si="33"/>
        <v>103.71033660453207</v>
      </c>
      <c r="X113" t="str">
        <f t="shared" si="34"/>
        <v>0.0547841230483717+0.518580316978059i</v>
      </c>
      <c r="Y113">
        <f t="shared" si="35"/>
        <v>-5.6554791566340414</v>
      </c>
      <c r="Z113">
        <f t="shared" si="36"/>
        <v>83.969498170414056</v>
      </c>
    </row>
    <row r="114" spans="2:26" x14ac:dyDescent="0.15">
      <c r="B114" s="1">
        <v>9000</v>
      </c>
      <c r="C114" s="22">
        <f t="shared" si="37"/>
        <v>56548.667764616279</v>
      </c>
      <c r="D114" s="26" t="str">
        <f t="shared" si="38"/>
        <v>0.0971403594078957-0.0140869587781862i</v>
      </c>
      <c r="E114" s="1">
        <f t="shared" si="14"/>
        <v>-20.161621717345216</v>
      </c>
      <c r="F114" s="6">
        <f t="shared" si="23"/>
        <v>-8.2513153627384703</v>
      </c>
      <c r="G114" s="5" t="str">
        <f t="shared" si="39"/>
        <v>247.737975678501-301.431384047657i</v>
      </c>
      <c r="H114" s="1">
        <f t="shared" si="24"/>
        <v>51.825144655825312</v>
      </c>
      <c r="I114" s="6">
        <f t="shared" si="25"/>
        <v>-50.584176615139832</v>
      </c>
      <c r="J114" s="26" t="str">
        <f t="shared" si="40"/>
        <v>19.8191045148631-32.7710276343832i</v>
      </c>
      <c r="K114" s="1">
        <f t="shared" si="26"/>
        <v>31.663522938480092</v>
      </c>
      <c r="L114" s="6">
        <f t="shared" si="27"/>
        <v>-58.835491977878391</v>
      </c>
      <c r="M114" s="26">
        <f t="shared" si="41"/>
        <v>0.16</v>
      </c>
      <c r="N114" s="6">
        <f t="shared" si="42"/>
        <v>2.5000000000000001E-2</v>
      </c>
      <c r="O114" s="5" t="str">
        <f t="shared" si="43"/>
        <v>2.33143328170177-0.471615906807136i</v>
      </c>
      <c r="P114" s="1">
        <f t="shared" si="21"/>
        <v>7.5266315117854399</v>
      </c>
      <c r="Q114" s="6">
        <f t="shared" si="28"/>
        <v>-11.43580787541042</v>
      </c>
      <c r="R114" s="5" t="str">
        <f t="shared" si="29"/>
        <v>3.20121537826694-1.17633455419015i</v>
      </c>
      <c r="S114" s="1">
        <f t="shared" si="30"/>
        <v>10.65637326117136</v>
      </c>
      <c r="T114" s="6">
        <f t="shared" si="31"/>
        <v>-20.176612447949612</v>
      </c>
      <c r="U114" t="str">
        <f>IMPRODUCT(COMPLEX(-1,0),IMDIV(COMPLEX(1,C114*Calculations!$B$171*Calculations!$B$173),IMPRODUCT(COMPLEX(0,C114*Calculations!$B$160),COMPLEX((Calculations!$B$173+Calculations!$B$175),C114*Calculations!$B$171*Calculations!$B$173*Calculations!$B$175))))</f>
        <v>-0.0290537840519432+0.133443190131353i</v>
      </c>
      <c r="V114">
        <f t="shared" si="32"/>
        <v>-17.29293049491362</v>
      </c>
      <c r="W114">
        <f t="shared" si="33"/>
        <v>102.2829738847623</v>
      </c>
      <c r="X114" t="str">
        <f t="shared" si="34"/>
        <v>0.0639664152689492+0.461357362483766i</v>
      </c>
      <c r="Y114">
        <f t="shared" si="35"/>
        <v>-6.6365572337422494</v>
      </c>
      <c r="Z114">
        <f t="shared" si="36"/>
        <v>82.106361436812691</v>
      </c>
    </row>
    <row r="115" spans="2:26" x14ac:dyDescent="0.15">
      <c r="B115" s="1">
        <v>10000</v>
      </c>
      <c r="C115" s="22">
        <f t="shared" si="37"/>
        <v>62831.853071795864</v>
      </c>
      <c r="D115" s="26" t="str">
        <f t="shared" si="38"/>
        <v>0.0970792908904499-0.0126795174552516i</v>
      </c>
      <c r="E115" s="1">
        <f t="shared" si="14"/>
        <v>-20.184006839018377</v>
      </c>
      <c r="F115" s="6">
        <f t="shared" si="23"/>
        <v>-7.4412739591799069</v>
      </c>
      <c r="G115" s="5" t="str">
        <f t="shared" si="39"/>
        <v>211.057853550091-291.943143930095i</v>
      </c>
      <c r="H115" s="1">
        <f t="shared" si="24"/>
        <v>51.13195109686216</v>
      </c>
      <c r="I115" s="6">
        <f t="shared" si="25"/>
        <v>-54.135266959014722</v>
      </c>
      <c r="J115" s="26" t="str">
        <f t="shared" si="40"/>
        <v>16.7876485701006-31.0177451312184i</v>
      </c>
      <c r="K115" s="1">
        <f t="shared" si="26"/>
        <v>30.947944257843766</v>
      </c>
      <c r="L115" s="6">
        <f t="shared" si="27"/>
        <v>-61.576540918194539</v>
      </c>
      <c r="M115" s="26">
        <f t="shared" si="41"/>
        <v>0.16</v>
      </c>
      <c r="N115" s="6">
        <f t="shared" si="42"/>
        <v>2.5000000000000001E-2</v>
      </c>
      <c r="O115" s="5" t="str">
        <f t="shared" si="43"/>
        <v>2.32655190216842-0.470698106712192i</v>
      </c>
      <c r="P115" s="1">
        <f t="shared" si="21"/>
        <v>7.5084771092898706</v>
      </c>
      <c r="Q115" s="6">
        <f t="shared" si="28"/>
        <v>-11.437455317887316</v>
      </c>
      <c r="R115" s="5" t="str">
        <f t="shared" si="29"/>
        <v>3.17766582261224-1.20710328421538i</v>
      </c>
      <c r="S115" s="1">
        <f t="shared" si="30"/>
        <v>10.62757111307741</v>
      </c>
      <c r="T115" s="6">
        <f t="shared" si="31"/>
        <v>-20.800335195924639</v>
      </c>
      <c r="U115" t="str">
        <f>IMPRODUCT(COMPLEX(-1,0),IMDIV(COMPLEX(1,C115*Calculations!$B$171*Calculations!$B$173),IMPRODUCT(COMPLEX(0,C115*Calculations!$B$160),COMPLEX((Calculations!$B$173+Calculations!$B$175),C115*Calculations!$B$171*Calculations!$B$173*Calculations!$B$175))))</f>
        <v>-0.0238550620697817+0.121391687213877i</v>
      </c>
      <c r="V115">
        <f t="shared" si="32"/>
        <v>-18.151665040118438</v>
      </c>
      <c r="W115">
        <f t="shared" si="33"/>
        <v>101.11770607490681</v>
      </c>
      <c r="X115" t="str">
        <f t="shared" si="34"/>
        <v>0.0707288888768782+0.414537739378367i</v>
      </c>
      <c r="Y115">
        <f t="shared" si="35"/>
        <v>-7.524093927041033</v>
      </c>
      <c r="Z115">
        <f t="shared" si="36"/>
        <v>80.317370878982146</v>
      </c>
    </row>
    <row r="116" spans="2:26" x14ac:dyDescent="0.15">
      <c r="B116" s="1">
        <v>20000</v>
      </c>
      <c r="C116" s="22">
        <f t="shared" si="37"/>
        <v>125663.70614359173</v>
      </c>
      <c r="D116" s="26" t="str">
        <f t="shared" si="38"/>
        <v>0.0968839512162901-0.00634176519800128i</v>
      </c>
      <c r="E116" s="1">
        <f t="shared" si="14"/>
        <v>-20.256394851331329</v>
      </c>
      <c r="F116" s="6">
        <f t="shared" si="23"/>
        <v>-3.7450862897166366</v>
      </c>
      <c r="G116" s="5" t="str">
        <f t="shared" si="39"/>
        <v>62.8377429386516-186.4587868005i</v>
      </c>
      <c r="H116" s="1">
        <f t="shared" si="24"/>
        <v>45.878844362077189</v>
      </c>
      <c r="I116" s="6">
        <f t="shared" si="25"/>
        <v>-71.375871233473859</v>
      </c>
      <c r="J116" s="26" t="str">
        <f t="shared" si="40"/>
        <v>4.90549097641715-18.4633662155176i</v>
      </c>
      <c r="K116" s="1">
        <f t="shared" si="26"/>
        <v>25.622449510745867</v>
      </c>
      <c r="L116" s="6">
        <f t="shared" si="27"/>
        <v>-75.120957523190512</v>
      </c>
      <c r="M116" s="26">
        <f t="shared" si="41"/>
        <v>0.16</v>
      </c>
      <c r="N116" s="6">
        <f t="shared" si="42"/>
        <v>2.5000000000000001E-2</v>
      </c>
      <c r="O116" s="5" t="str">
        <f t="shared" si="43"/>
        <v>2.25210014761941-0.588008718782821i</v>
      </c>
      <c r="P116" s="1">
        <f t="shared" si="21"/>
        <v>7.3381570049155531</v>
      </c>
      <c r="Q116" s="6">
        <f t="shared" si="28"/>
        <v>-14.632886541382131</v>
      </c>
      <c r="R116" s="5" t="str">
        <f t="shared" si="29"/>
        <v>2.82719499762325-1.72757239484053i</v>
      </c>
      <c r="S116" s="1">
        <f t="shared" si="30"/>
        <v>10.405049465278564</v>
      </c>
      <c r="T116" s="6">
        <f t="shared" si="31"/>
        <v>-31.427235947768615</v>
      </c>
      <c r="U116" t="str">
        <f>IMPRODUCT(COMPLEX(-1,0),IMDIV(COMPLEX(1,C116*Calculations!$B$171*Calculations!$B$173),IMPRODUCT(COMPLEX(0,C116*Calculations!$B$160),COMPLEX((Calculations!$B$173+Calculations!$B$175),C116*Calculations!$B$171*Calculations!$B$173*Calculations!$B$175))))</f>
        <v>-0.00623616053063266+0.0628865742880357i</v>
      </c>
      <c r="V116">
        <f t="shared" si="32"/>
        <v>-23.986342483928293</v>
      </c>
      <c r="W116">
        <f t="shared" si="33"/>
        <v>95.66323302093366</v>
      </c>
      <c r="X116" t="str">
        <f t="shared" si="34"/>
        <v>0.0910102678895185+0.188566027027312i</v>
      </c>
      <c r="Y116">
        <f t="shared" si="35"/>
        <v>-13.581293018649749</v>
      </c>
      <c r="Z116">
        <f t="shared" si="36"/>
        <v>64.235997073164995</v>
      </c>
    </row>
    <row r="117" spans="2:26" x14ac:dyDescent="0.15">
      <c r="B117" s="1">
        <v>30000</v>
      </c>
      <c r="C117" s="22">
        <f t="shared" si="37"/>
        <v>188495.55921538759</v>
      </c>
      <c r="D117" s="26" t="str">
        <f t="shared" si="38"/>
        <v>0.0968477636329149-0.00422809127064842i</v>
      </c>
      <c r="E117" s="1">
        <f t="shared" si="14"/>
        <v>-20.269938547767868</v>
      </c>
      <c r="F117" s="6">
        <f t="shared" si="23"/>
        <v>-2.4997795095427695</v>
      </c>
      <c r="G117" s="5" t="str">
        <f t="shared" si="39"/>
        <v>28.9200049926487-130.339522068034i</v>
      </c>
      <c r="H117" s="1">
        <f t="shared" si="24"/>
        <v>42.510236350439271</v>
      </c>
      <c r="I117" s="6">
        <f t="shared" si="25"/>
        <v>-77.489764919996887</v>
      </c>
      <c r="J117" s="26" t="str">
        <f t="shared" si="40"/>
        <v>2.24975041231441-12.7453676459286i</v>
      </c>
      <c r="K117" s="1">
        <f t="shared" si="26"/>
        <v>22.240297802671414</v>
      </c>
      <c r="L117" s="6">
        <f t="shared" si="27"/>
        <v>-79.98954442953972</v>
      </c>
      <c r="M117" s="26">
        <f t="shared" si="41"/>
        <v>0.16</v>
      </c>
      <c r="N117" s="6">
        <f t="shared" si="42"/>
        <v>2.5000000000000001E-2</v>
      </c>
      <c r="O117" s="5" t="str">
        <f t="shared" si="43"/>
        <v>2.13806671599859-0.752104707763627i</v>
      </c>
      <c r="P117" s="1">
        <f t="shared" si="21"/>
        <v>7.1070878569297413</v>
      </c>
      <c r="Q117" s="6">
        <f t="shared" si="28"/>
        <v>-19.380270399327014</v>
      </c>
      <c r="R117" s="5" t="str">
        <f t="shared" si="29"/>
        <v>2.25759446032239-2.24252611821259i</v>
      </c>
      <c r="S117" s="1">
        <f t="shared" si="30"/>
        <v>10.05423174893377</v>
      </c>
      <c r="T117" s="6">
        <f t="shared" si="31"/>
        <v>-44.808149767217756</v>
      </c>
      <c r="U117" t="str">
        <f>IMPRODUCT(COMPLEX(-1,0),IMDIV(COMPLEX(1,C117*Calculations!$B$171*Calculations!$B$173),IMPRODUCT(COMPLEX(0,C117*Calculations!$B$160),COMPLEX((Calculations!$B$173+Calculations!$B$175),C117*Calculations!$B$171*Calculations!$B$173*Calculations!$B$175))))</f>
        <v>-0.00279527023189329+0.0422096092647744i</v>
      </c>
      <c r="V117">
        <f t="shared" si="32"/>
        <v>-27.4727687647568</v>
      </c>
      <c r="W117">
        <f t="shared" si="33"/>
        <v>93.788797801287259</v>
      </c>
      <c r="X117" t="str">
        <f t="shared" si="34"/>
        <v>0.0883455646251783+0.10156064655101i</v>
      </c>
      <c r="Y117">
        <f t="shared" si="35"/>
        <v>-17.418537015823041</v>
      </c>
      <c r="Z117">
        <f t="shared" si="36"/>
        <v>48.980648034069468</v>
      </c>
    </row>
    <row r="118" spans="2:26" x14ac:dyDescent="0.15">
      <c r="B118" s="1">
        <v>40000</v>
      </c>
      <c r="C118" s="22">
        <f t="shared" si="37"/>
        <v>251327.41228718346</v>
      </c>
      <c r="D118" s="26" t="str">
        <f t="shared" si="38"/>
        <v>0.0968350969765159-0.00317113350702853i</v>
      </c>
      <c r="E118" s="1">
        <f t="shared" si="14"/>
        <v>-20.274689213699034</v>
      </c>
      <c r="F118" s="6">
        <f t="shared" si="23"/>
        <v>-1.87563872628506</v>
      </c>
      <c r="G118" s="5" t="str">
        <f t="shared" si="39"/>
        <v>16.4709711970548-99.4075527595931i</v>
      </c>
      <c r="H118" s="1">
        <f t="shared" si="24"/>
        <v>40.066009922104648</v>
      </c>
      <c r="I118" s="6">
        <f t="shared" si="25"/>
        <v>-80.592057828970979</v>
      </c>
      <c r="J118" s="26" t="str">
        <f t="shared" si="40"/>
        <v>1.27973347175655-9.6783716603296i</v>
      </c>
      <c r="K118" s="1">
        <f t="shared" si="26"/>
        <v>19.791320708405607</v>
      </c>
      <c r="L118" s="6">
        <f t="shared" si="27"/>
        <v>-82.46769655525604</v>
      </c>
      <c r="M118" s="26">
        <f t="shared" si="41"/>
        <v>0.16</v>
      </c>
      <c r="N118" s="6">
        <f t="shared" si="42"/>
        <v>2.5000000000000001E-2</v>
      </c>
      <c r="O118" s="5" t="str">
        <f t="shared" si="43"/>
        <v>1.99653631279602-0.899275900874515i</v>
      </c>
      <c r="P118" s="1">
        <f t="shared" si="21"/>
        <v>6.8077542344564925</v>
      </c>
      <c r="Q118" s="6">
        <f t="shared" si="28"/>
        <v>-24.247658928661092</v>
      </c>
      <c r="R118" s="5" t="str">
        <f t="shared" si="29"/>
        <v>1.53245830092197-2.54336175378416i</v>
      </c>
      <c r="S118" s="1">
        <f t="shared" si="30"/>
        <v>9.4532662615897589</v>
      </c>
      <c r="T118" s="6">
        <f t="shared" si="31"/>
        <v>-58.929667280484509</v>
      </c>
      <c r="U118" t="str">
        <f>IMPRODUCT(COMPLEX(-1,0),IMDIV(COMPLEX(1,C118*Calculations!$B$171*Calculations!$B$173),IMPRODUCT(COMPLEX(0,C118*Calculations!$B$160),COMPLEX((Calculations!$B$173+Calculations!$B$175),C118*Calculations!$B$171*Calculations!$B$173*Calculations!$B$175))))</f>
        <v>-0.00157704805163+0.0317329436992734i</v>
      </c>
      <c r="V118">
        <f t="shared" si="32"/>
        <v>-29.959079614026507</v>
      </c>
      <c r="W118">
        <f t="shared" si="33"/>
        <v>92.845116362303187</v>
      </c>
      <c r="X118" t="str">
        <f t="shared" si="34"/>
        <v>0.0782915949620448+0.0526404166830366i</v>
      </c>
      <c r="Y118">
        <f t="shared" si="35"/>
        <v>-20.505813352436746</v>
      </c>
      <c r="Z118">
        <f t="shared" si="36"/>
        <v>33.915449081818686</v>
      </c>
    </row>
    <row r="119" spans="2:26" x14ac:dyDescent="0.15">
      <c r="B119" s="1">
        <v>50000</v>
      </c>
      <c r="C119" s="22">
        <f t="shared" si="37"/>
        <v>314159.26535897929</v>
      </c>
      <c r="D119" s="26" t="str">
        <f t="shared" si="38"/>
        <v>0.0968292339481778-0.00253693089492823i</v>
      </c>
      <c r="E119" s="1">
        <f t="shared" si="14"/>
        <v>-20.276889919968927</v>
      </c>
      <c r="F119" s="6">
        <f t="shared" si="23"/>
        <v>-1.5008090177994478</v>
      </c>
      <c r="G119" s="5" t="str">
        <f t="shared" si="39"/>
        <v>10.6026515267903-80.1482385450005i</v>
      </c>
      <c r="H119" s="1">
        <f t="shared" si="24"/>
        <v>38.153224330626472</v>
      </c>
      <c r="I119" s="6">
        <f t="shared" si="25"/>
        <v>-82.464210743696881</v>
      </c>
      <c r="J119" s="26" t="str">
        <f t="shared" si="40"/>
        <v>0.823316082619692-7.78759073483469i</v>
      </c>
      <c r="K119" s="1">
        <f t="shared" si="26"/>
        <v>17.876334410657549</v>
      </c>
      <c r="L119" s="6">
        <f t="shared" si="27"/>
        <v>-83.965019761496336</v>
      </c>
      <c r="M119" s="26">
        <f t="shared" si="41"/>
        <v>0.16</v>
      </c>
      <c r="N119" s="6">
        <f t="shared" si="42"/>
        <v>2.5000000000000001E-2</v>
      </c>
      <c r="O119" s="5" t="str">
        <f t="shared" si="43"/>
        <v>1.83994163169035-1.01612092974564i</v>
      </c>
      <c r="P119" s="1">
        <f t="shared" si="21"/>
        <v>6.4521459863442923</v>
      </c>
      <c r="Q119" s="6">
        <f t="shared" si="28"/>
        <v>-28.90998924838804</v>
      </c>
      <c r="R119" s="5" t="str">
        <f t="shared" si="29"/>
        <v>0.792233918054373-2.55890287404411i</v>
      </c>
      <c r="S119" s="1">
        <f t="shared" si="30"/>
        <v>8.558593408670836</v>
      </c>
      <c r="T119" s="6">
        <f t="shared" si="31"/>
        <v>-72.797524411849182</v>
      </c>
      <c r="U119" t="str">
        <f>IMPRODUCT(COMPLEX(-1,0),IMDIV(COMPLEX(1,C119*Calculations!$B$171*Calculations!$B$173),IMPRODUCT(COMPLEX(0,C119*Calculations!$B$160),COMPLEX((Calculations!$B$173+Calculations!$B$175),C119*Calculations!$B$171*Calculations!$B$173*Calculations!$B$175))))</f>
        <v>-0.00101071167764651+0.0254145222198475i</v>
      </c>
      <c r="V119">
        <f t="shared" si="32"/>
        <v>-31.891497727184237</v>
      </c>
      <c r="W119">
        <f t="shared" si="33"/>
        <v>92.27739921280849</v>
      </c>
      <c r="X119" t="str">
        <f t="shared" si="34"/>
        <v>0.0642325738784205+0.0227205595304693i</v>
      </c>
      <c r="Y119">
        <f t="shared" si="35"/>
        <v>-23.3329043185134</v>
      </c>
      <c r="Z119">
        <f t="shared" si="36"/>
        <v>19.479874800959298</v>
      </c>
    </row>
    <row r="120" spans="2:26" x14ac:dyDescent="0.15">
      <c r="B120" s="1">
        <v>60000</v>
      </c>
      <c r="C120" s="22">
        <f t="shared" si="37"/>
        <v>376991.11843077518</v>
      </c>
      <c r="D120" s="26" t="str">
        <f t="shared" si="38"/>
        <v>0.0968260490466083-0.0021141199838905i</v>
      </c>
      <c r="E120" s="1">
        <f t="shared" si="14"/>
        <v>-20.278085850456684</v>
      </c>
      <c r="F120" s="6">
        <f t="shared" si="23"/>
        <v>-1.2508091599389899</v>
      </c>
      <c r="G120" s="5" t="str">
        <f t="shared" si="39"/>
        <v>7.38622960814455-67.0741353068978i</v>
      </c>
      <c r="H120" s="1">
        <f t="shared" si="24"/>
        <v>36.583449608377151</v>
      </c>
      <c r="I120" s="6">
        <f t="shared" si="25"/>
        <v>-83.715886505884427</v>
      </c>
      <c r="J120" s="26" t="str">
        <f t="shared" si="40"/>
        <v>0.573376660453227-6.51013889060472i</v>
      </c>
      <c r="K120" s="1">
        <f t="shared" si="26"/>
        <v>16.305363757920482</v>
      </c>
      <c r="L120" s="6">
        <f t="shared" si="27"/>
        <v>-84.966695665823423</v>
      </c>
      <c r="M120" s="26">
        <f t="shared" si="41"/>
        <v>0.16</v>
      </c>
      <c r="N120" s="6">
        <f t="shared" si="42"/>
        <v>2.5000000000000001E-2</v>
      </c>
      <c r="O120" s="5" t="str">
        <f t="shared" si="43"/>
        <v>1.67898908871422-1.10089832258427i</v>
      </c>
      <c r="P120" s="1">
        <f t="shared" si="21"/>
        <v>6.0541080247215637</v>
      </c>
      <c r="Q120" s="6">
        <f t="shared" si="28"/>
        <v>-33.252502072606326</v>
      </c>
      <c r="R120" s="5" t="str">
        <f t="shared" si="29"/>
        <v>0.180449943137456-2.33707677178468i</v>
      </c>
      <c r="S120" s="1">
        <f t="shared" si="30"/>
        <v>7.3992738881987314</v>
      </c>
      <c r="T120" s="6">
        <f t="shared" si="31"/>
        <v>-85.584848757481353</v>
      </c>
      <c r="U120" t="str">
        <f>IMPRODUCT(COMPLEX(-1,0),IMDIV(COMPLEX(1,C120*Calculations!$B$171*Calculations!$B$173),IMPRODUCT(COMPLEX(0,C120*Calculations!$B$160),COMPLEX((Calculations!$B$173+Calculations!$B$175),C120*Calculations!$B$171*Calculations!$B$173*Calculations!$B$175))))</f>
        <v>-0.000702412711801089+0.0211915464603845i</v>
      </c>
      <c r="V120">
        <f t="shared" si="32"/>
        <v>-33.471978228967572</v>
      </c>
      <c r="W120">
        <f t="shared" si="33"/>
        <v>91.898424692588307</v>
      </c>
      <c r="X120" t="str">
        <f t="shared" si="34"/>
        <v>0.0493995206568569+0.00546560578672775i</v>
      </c>
      <c r="Y120">
        <f t="shared" si="35"/>
        <v>-26.072704340768844</v>
      </c>
      <c r="Z120">
        <f t="shared" si="36"/>
        <v>6.3135759351069716</v>
      </c>
    </row>
    <row r="121" spans="2:26" x14ac:dyDescent="0.15">
      <c r="B121" s="1">
        <v>70000</v>
      </c>
      <c r="C121" s="22">
        <f t="shared" si="37"/>
        <v>439822.97150257102</v>
      </c>
      <c r="D121" s="26" t="str">
        <f t="shared" si="38"/>
        <v>0.0968241286355349-0.00181210847930182i</v>
      </c>
      <c r="E121" s="1">
        <f t="shared" si="14"/>
        <v>-20.278807123971518</v>
      </c>
      <c r="F121" s="6">
        <f t="shared" si="23"/>
        <v>-1.0721919168854372</v>
      </c>
      <c r="G121" s="5" t="str">
        <f t="shared" si="39"/>
        <v>5.43697465208663-57.6395351011188i</v>
      </c>
      <c r="H121" s="1">
        <f t="shared" si="24"/>
        <v>35.252880345773022</v>
      </c>
      <c r="I121" s="6">
        <f t="shared" si="25"/>
        <v>-84.611395011078926</v>
      </c>
      <c r="J121" s="26" t="str">
        <f t="shared" si="40"/>
        <v>0.421981242802026-5.59075014899195i</v>
      </c>
      <c r="K121" s="1">
        <f t="shared" si="26"/>
        <v>14.9740732218015</v>
      </c>
      <c r="L121" s="6">
        <f t="shared" si="27"/>
        <v>-85.68358692796437</v>
      </c>
      <c r="M121" s="26">
        <f t="shared" si="41"/>
        <v>0.16</v>
      </c>
      <c r="N121" s="6">
        <f t="shared" si="42"/>
        <v>2.5000000000000001E-2</v>
      </c>
      <c r="O121" s="5" t="str">
        <f t="shared" si="43"/>
        <v>1.52167541022384-1.15652891551198i</v>
      </c>
      <c r="P121" s="1">
        <f t="shared" si="21"/>
        <v>5.6265623312330684</v>
      </c>
      <c r="Q121" s="6">
        <f t="shared" si="28"/>
        <v>-37.236161070685164</v>
      </c>
      <c r="R121" s="5" t="str">
        <f t="shared" si="29"/>
        <v>-0.237420447080656-1.99429738033675i</v>
      </c>
      <c r="S121" s="1">
        <f t="shared" si="30"/>
        <v>6.0569180654077837</v>
      </c>
      <c r="T121" s="6">
        <f t="shared" si="31"/>
        <v>-96.789090501826166</v>
      </c>
      <c r="U121" t="str">
        <f>IMPRODUCT(COMPLEX(-1,0),IMDIV(COMPLEX(1,C121*Calculations!$B$171*Calculations!$B$173),IMPRODUCT(COMPLEX(0,C121*Calculations!$B$160),COMPLEX((Calculations!$B$173+Calculations!$B$175),C121*Calculations!$B$171*Calculations!$B$173*Calculations!$B$175))))</f>
        <v>-0.000516293215135689+0.018170794697718i</v>
      </c>
      <c r="V121">
        <f t="shared" si="32"/>
        <v>-34.80901684321762</v>
      </c>
      <c r="W121">
        <f t="shared" si="33"/>
        <v>91.627527360224661</v>
      </c>
      <c r="X121" t="str">
        <f t="shared" si="34"/>
        <v>0.0363605468302581-0.00328447599451228i</v>
      </c>
      <c r="Y121">
        <f t="shared" si="35"/>
        <v>-28.752098777809842</v>
      </c>
      <c r="Z121">
        <f t="shared" si="36"/>
        <v>-5.1615631416015093</v>
      </c>
    </row>
    <row r="122" spans="2:26" x14ac:dyDescent="0.15">
      <c r="B122" s="1">
        <v>80000</v>
      </c>
      <c r="C122" s="22">
        <f t="shared" si="37"/>
        <v>502654.82457436691</v>
      </c>
      <c r="D122" s="26" t="str">
        <f t="shared" si="38"/>
        <v>0.0968228822084936-0.00158559812012001i</v>
      </c>
      <c r="E122" s="1">
        <f t="shared" si="14"/>
        <v>-20.279275324737789</v>
      </c>
      <c r="F122" s="6">
        <f t="shared" si="23"/>
        <v>-0.93820756247535875</v>
      </c>
      <c r="G122" s="5" t="str">
        <f t="shared" si="39"/>
        <v>4.16784433591592-50.5185518715164i</v>
      </c>
      <c r="H122" s="1">
        <f t="shared" si="24"/>
        <v>34.098477785482366</v>
      </c>
      <c r="I122" s="6">
        <f t="shared" si="25"/>
        <v>-85.283706888516107</v>
      </c>
      <c r="J122" s="26" t="str">
        <f t="shared" si="40"/>
        <v>0.323440580321063-4.89796032334349i</v>
      </c>
      <c r="K122" s="1">
        <f t="shared" si="26"/>
        <v>13.819202460744584</v>
      </c>
      <c r="L122" s="6">
        <f t="shared" si="27"/>
        <v>-86.221914450991463</v>
      </c>
      <c r="M122" s="26">
        <f t="shared" si="41"/>
        <v>0.16</v>
      </c>
      <c r="N122" s="6">
        <f t="shared" si="42"/>
        <v>2.5000000000000001E-2</v>
      </c>
      <c r="O122" s="5" t="str">
        <f t="shared" si="43"/>
        <v>1.3732167270007-1.18776587607207i</v>
      </c>
      <c r="P122" s="1">
        <f t="shared" si="21"/>
        <v>5.1805465516681313</v>
      </c>
      <c r="Q122" s="6">
        <f t="shared" si="28"/>
        <v>-40.858216066095871</v>
      </c>
      <c r="R122" s="5" t="str">
        <f t="shared" si="29"/>
        <v>-0.477521322678217-1.63446604165677i</v>
      </c>
      <c r="S122" s="1">
        <f t="shared" si="30"/>
        <v>4.6232399005137346</v>
      </c>
      <c r="T122" s="6">
        <f t="shared" si="31"/>
        <v>-106.28611301499272</v>
      </c>
      <c r="U122" t="str">
        <f>IMPRODUCT(COMPLEX(-1,0),IMDIV(COMPLEX(1,C122*Calculations!$B$171*Calculations!$B$173),IMPRODUCT(COMPLEX(0,C122*Calculations!$B$160),COMPLEX((Calculations!$B$173+Calculations!$B$175),C122*Calculations!$B$171*Calculations!$B$173*Calculations!$B$175))))</f>
        <v>-0.000395403805144764+0.0159032032017469i</v>
      </c>
      <c r="V122">
        <f t="shared" si="32"/>
        <v>-35.967623960354025</v>
      </c>
      <c r="W122">
        <f t="shared" si="33"/>
        <v>91.424260410010433</v>
      </c>
      <c r="X122" t="str">
        <f t="shared" si="34"/>
        <v>0.0261820593348473-0.00694784453546765i</v>
      </c>
      <c r="Y122">
        <f t="shared" si="35"/>
        <v>-31.344384059840277</v>
      </c>
      <c r="Z122">
        <f t="shared" si="36"/>
        <v>-14.861852604982271</v>
      </c>
    </row>
    <row r="123" spans="2:26" x14ac:dyDescent="0.15">
      <c r="B123" s="1">
        <v>90000</v>
      </c>
      <c r="C123" s="22">
        <f t="shared" si="37"/>
        <v>565486.6776461628</v>
      </c>
      <c r="D123" s="26" t="str">
        <f t="shared" si="38"/>
        <v>0.0968220276593098-0.0014094225018116i</v>
      </c>
      <c r="E123" s="1">
        <f t="shared" si="14"/>
        <v>-20.279596351902288</v>
      </c>
      <c r="F123" s="6">
        <f t="shared" si="23"/>
        <v>-0.8339864349017182</v>
      </c>
      <c r="G123" s="5" t="str">
        <f t="shared" si="39"/>
        <v>3.29591216974539-44.9566420445432i</v>
      </c>
      <c r="H123" s="1">
        <f t="shared" si="24"/>
        <v>33.07915731702699</v>
      </c>
      <c r="I123" s="6">
        <f t="shared" si="25"/>
        <v>-85.806968552762257</v>
      </c>
      <c r="J123" s="26" t="str">
        <f t="shared" si="40"/>
        <v>0.255753996358276-4.35743857228249i</v>
      </c>
      <c r="K123" s="1">
        <f t="shared" si="26"/>
        <v>12.799560965124714</v>
      </c>
      <c r="L123" s="6">
        <f t="shared" si="27"/>
        <v>-86.640954987663974</v>
      </c>
      <c r="M123" s="26">
        <f t="shared" si="41"/>
        <v>0.16</v>
      </c>
      <c r="N123" s="6">
        <f t="shared" si="42"/>
        <v>2.5000000000000001E-2</v>
      </c>
      <c r="O123" s="5" t="str">
        <f t="shared" si="43"/>
        <v>1.23649611320682-1.19970565642817i</v>
      </c>
      <c r="P123" s="1">
        <f t="shared" si="21"/>
        <v>4.7249554569444658</v>
      </c>
      <c r="Q123" s="6">
        <f t="shared" si="28"/>
        <v>-44.134809889527723</v>
      </c>
      <c r="R123" s="5" t="str">
        <f t="shared" si="29"/>
        <v>-0.590700943876715-1.31389316535722i</v>
      </c>
      <c r="S123" s="1">
        <f t="shared" si="30"/>
        <v>3.1706892728661562</v>
      </c>
      <c r="T123" s="6">
        <f t="shared" si="31"/>
        <v>-114.20776134235786</v>
      </c>
      <c r="U123" t="str">
        <f>IMPRODUCT(COMPLEX(-1,0),IMDIV(COMPLEX(1,C123*Calculations!$B$171*Calculations!$B$173),IMPRODUCT(COMPLEX(0,C123*Calculations!$B$160),COMPLEX((Calculations!$B$173+Calculations!$B$175),C123*Calculations!$B$171*Calculations!$B$173*Calculations!$B$175))))</f>
        <v>-0.0003124811308071+0.0141384718657048i</v>
      </c>
      <c r="V123">
        <f t="shared" si="32"/>
        <v>-36.98982965712888</v>
      </c>
      <c r="W123">
        <f t="shared" si="33"/>
        <v>91.266115305841268</v>
      </c>
      <c r="X123" t="str">
        <f t="shared" si="34"/>
        <v>0.0187610244518563-0.00794104185397566i</v>
      </c>
      <c r="Y123">
        <f t="shared" si="35"/>
        <v>-33.819140384262724</v>
      </c>
      <c r="Z123">
        <f t="shared" si="36"/>
        <v>-22.941646036516591</v>
      </c>
    </row>
    <row r="124" spans="2:26" x14ac:dyDescent="0.15">
      <c r="B124" s="1">
        <v>100000</v>
      </c>
      <c r="C124" s="22">
        <f t="shared" si="37"/>
        <v>628318.53071795858</v>
      </c>
      <c r="D124" s="26" t="str">
        <f t="shared" si="38"/>
        <v>0.0968214164038542-0.00126848150735688i</v>
      </c>
      <c r="E124" s="1">
        <f t="shared" si="14"/>
        <v>-20.279825995848405</v>
      </c>
      <c r="F124" s="6">
        <f t="shared" si="23"/>
        <v>-0.75060334413774343</v>
      </c>
      <c r="G124" s="5" t="str">
        <f t="shared" si="39"/>
        <v>2.67131353882524-40.4940223707376i</v>
      </c>
      <c r="H124" s="1">
        <f t="shared" si="24"/>
        <v>32.166676946653808</v>
      </c>
      <c r="I124" s="6">
        <f t="shared" si="25"/>
        <v>-86.225775078429805</v>
      </c>
      <c r="J124" s="26" t="str">
        <f t="shared" si="40"/>
        <v>0.207274441952075-3.92407711364853i</v>
      </c>
      <c r="K124" s="1">
        <f t="shared" si="26"/>
        <v>11.88685095080541</v>
      </c>
      <c r="L124" s="6">
        <f t="shared" si="27"/>
        <v>-86.976378422567564</v>
      </c>
      <c r="M124" s="26">
        <f t="shared" si="41"/>
        <v>0.16</v>
      </c>
      <c r="N124" s="6">
        <f t="shared" si="42"/>
        <v>2.5000000000000001E-2</v>
      </c>
      <c r="O124" s="5" t="str">
        <f t="shared" si="43"/>
        <v>1.11268187040715-1.19703061915885i</v>
      </c>
      <c r="P124" s="1">
        <f t="shared" si="21"/>
        <v>4.2666466025281</v>
      </c>
      <c r="Q124" s="6">
        <f t="shared" si="28"/>
        <v>-47.091464032317774</v>
      </c>
      <c r="R124" s="5" t="str">
        <f t="shared" si="29"/>
        <v>-0.625845878982431-1.05024330720352i</v>
      </c>
      <c r="S124" s="1">
        <f t="shared" si="30"/>
        <v>1.7455231110170466</v>
      </c>
      <c r="T124" s="6">
        <f t="shared" si="31"/>
        <v>-120.79095134451995</v>
      </c>
      <c r="U124" t="str">
        <f>IMPRODUCT(COMPLEX(-1,0),IMDIV(COMPLEX(1,C124*Calculations!$B$171*Calculations!$B$173),IMPRODUCT(COMPLEX(0,C124*Calculations!$B$160),COMPLEX((Calculations!$B$173+Calculations!$B$175),C124*Calculations!$B$171*Calculations!$B$173*Calculations!$B$175))))</f>
        <v>-0.00025314640946082+0.012726100212603i</v>
      </c>
      <c r="V124">
        <f t="shared" si="32"/>
        <v>-37.904375112855334</v>
      </c>
      <c r="W124">
        <f t="shared" si="33"/>
        <v>91.139572062463571</v>
      </c>
      <c r="X124" t="str">
        <f t="shared" si="34"/>
        <v>0.0135239322122278-0.0076987120512962i</v>
      </c>
      <c r="Y124">
        <f t="shared" si="35"/>
        <v>-36.158852001838312</v>
      </c>
      <c r="Z124">
        <f t="shared" si="36"/>
        <v>-29.651379282056464</v>
      </c>
    </row>
    <row r="125" spans="2:26" x14ac:dyDescent="0.15">
      <c r="B125" s="1">
        <v>200000</v>
      </c>
      <c r="C125" s="22">
        <f t="shared" si="37"/>
        <v>1256637.0614359172</v>
      </c>
      <c r="D125" s="26" t="str">
        <f t="shared" si="38"/>
        <v>0.0968194619868431-0.000634242761196804i</v>
      </c>
      <c r="E125" s="1">
        <f t="shared" si="14"/>
        <v>-20.280560336694634</v>
      </c>
      <c r="F125" s="6">
        <f t="shared" si="23"/>
        <v>-0.3753265393485215</v>
      </c>
      <c r="G125" s="5" t="str">
        <f t="shared" si="39"/>
        <v>0.669129936136142-20.2999609637316i</v>
      </c>
      <c r="H125" s="1">
        <f t="shared" si="24"/>
        <v>26.154620112079478</v>
      </c>
      <c r="I125" s="6">
        <f t="shared" si="25"/>
        <v>-88.112092653163685</v>
      </c>
      <c r="J125" s="26" t="str">
        <f t="shared" si="40"/>
        <v>0.0519096971221676-1.96585568968071i</v>
      </c>
      <c r="K125" s="1">
        <f t="shared" si="26"/>
        <v>5.8740597753848665</v>
      </c>
      <c r="L125" s="6">
        <f t="shared" si="27"/>
        <v>-88.487419192512206</v>
      </c>
      <c r="M125" s="26">
        <f t="shared" si="41"/>
        <v>0.16</v>
      </c>
      <c r="N125" s="6">
        <f t="shared" si="42"/>
        <v>2.5000000000000001E-2</v>
      </c>
      <c r="O125" s="5" t="str">
        <f t="shared" si="43"/>
        <v>0.43109665747445-0.921365475581154i</v>
      </c>
      <c r="P125" s="1">
        <f t="shared" si="21"/>
        <v>0.14839072965225752</v>
      </c>
      <c r="Q125" s="6">
        <f t="shared" si="28"/>
        <v>-64.925629143065763</v>
      </c>
      <c r="R125" s="5" t="str">
        <f t="shared" si="29"/>
        <v>-0.302233125896767-0.166864645935337i</v>
      </c>
      <c r="S125" s="1">
        <f t="shared" si="30"/>
        <v>-9.2376501745782562</v>
      </c>
      <c r="T125" s="6">
        <f t="shared" si="31"/>
        <v>-151.09665872328372</v>
      </c>
      <c r="U125" t="str">
        <f>IMPRODUCT(COMPLEX(-1,0),IMDIV(COMPLEX(1,C125*Calculations!$B$171*Calculations!$B$173),IMPRODUCT(COMPLEX(0,C125*Calculations!$B$160),COMPLEX((Calculations!$B$173+Calculations!$B$175),C125*Calculations!$B$171*Calculations!$B$173*Calculations!$B$175))))</f>
        <v>-0.0000633159508862523+0.00636541045441331i</v>
      </c>
      <c r="V125">
        <f t="shared" si="32"/>
        <v>-43.923042067366595</v>
      </c>
      <c r="W125">
        <f t="shared" si="33"/>
        <v>90.569895241090933</v>
      </c>
      <c r="X125" t="str">
        <f t="shared" si="34"/>
        <v>0.00108129813946425-0.0019132727055266i</v>
      </c>
      <c r="Y125">
        <f t="shared" si="35"/>
        <v>-53.160692241944851</v>
      </c>
      <c r="Z125">
        <f t="shared" si="36"/>
        <v>-60.526763482192713</v>
      </c>
    </row>
    <row r="126" spans="2:26" x14ac:dyDescent="0.15">
      <c r="B126" s="1">
        <v>300000</v>
      </c>
      <c r="C126" s="22">
        <f t="shared" si="37"/>
        <v>1884955.5921538759</v>
      </c>
      <c r="D126" s="26" t="str">
        <f t="shared" si="38"/>
        <v>0.0968191000564093-0.000422828755307239i</v>
      </c>
      <c r="E126" s="1">
        <f t="shared" si="14"/>
        <v>-20.280696339877643</v>
      </c>
      <c r="F126" s="6">
        <f t="shared" si="23"/>
        <v>-0.2502207633105481</v>
      </c>
      <c r="G126" s="5" t="str">
        <f t="shared" si="39"/>
        <v>0.297498420475249-13.5398579516153i</v>
      </c>
      <c r="H126" s="1">
        <f t="shared" si="24"/>
        <v>22.634378304256035</v>
      </c>
      <c r="I126" s="6">
        <f t="shared" si="25"/>
        <v>-88.741296862071209</v>
      </c>
      <c r="J126" s="26" t="str">
        <f t="shared" si="40"/>
        <v>0.0230784880538986-1.31104265265384i</v>
      </c>
      <c r="K126" s="1">
        <f t="shared" si="26"/>
        <v>2.3536819643783495</v>
      </c>
      <c r="L126" s="6">
        <f t="shared" si="27"/>
        <v>-88.991517625381761</v>
      </c>
      <c r="M126" s="26">
        <f t="shared" si="41"/>
        <v>0.16</v>
      </c>
      <c r="N126" s="6">
        <f t="shared" si="42"/>
        <v>2.5000000000000001E-2</v>
      </c>
      <c r="O126" s="5" t="str">
        <f t="shared" si="43"/>
        <v>0.213315497697528-0.683015372789783i</v>
      </c>
      <c r="P126" s="1">
        <f t="shared" si="21"/>
        <v>-2.9071858718159116</v>
      </c>
      <c r="Q126" s="6">
        <f t="shared" si="28"/>
        <v>-72.655666832027109</v>
      </c>
      <c r="R126" s="5" t="str">
        <f t="shared" si="29"/>
        <v>-0.147266353512815-0.0509618910626543i</v>
      </c>
      <c r="S126" s="1">
        <f t="shared" si="30"/>
        <v>-16.146709551959919</v>
      </c>
      <c r="T126" s="6">
        <f t="shared" si="31"/>
        <v>-160.91169310446494</v>
      </c>
      <c r="U126" t="str">
        <f>IMPRODUCT(COMPLEX(-1,0),IMDIV(COMPLEX(1,C126*Calculations!$B$171*Calculations!$B$173),IMPRODUCT(COMPLEX(0,C126*Calculations!$B$160),COMPLEX((Calculations!$B$173+Calculations!$B$175),C126*Calculations!$B$171*Calculations!$B$173*Calculations!$B$175))))</f>
        <v>-0.0000281428394599719+0.00424389853078321i</v>
      </c>
      <c r="V126">
        <f t="shared" si="32"/>
        <v>-47.44450919084926</v>
      </c>
      <c r="W126">
        <f t="shared" si="33"/>
        <v>90.379943647906657</v>
      </c>
      <c r="X126" t="str">
        <f t="shared" si="34"/>
        <v>0.000220421587951499-0.000623549248988084i</v>
      </c>
      <c r="Y126">
        <f t="shared" si="35"/>
        <v>-63.591218742809168</v>
      </c>
      <c r="Z126">
        <f t="shared" si="36"/>
        <v>-70.53174945655833</v>
      </c>
    </row>
    <row r="127" spans="2:26" x14ac:dyDescent="0.15">
      <c r="B127" s="1">
        <v>400000</v>
      </c>
      <c r="C127" s="22">
        <f t="shared" si="37"/>
        <v>2513274.1228718343</v>
      </c>
      <c r="D127" s="26" t="str">
        <f t="shared" si="38"/>
        <v>0.0968189733806572-0.00031712163153919i</v>
      </c>
      <c r="E127" s="1">
        <f t="shared" si="14"/>
        <v>-20.280743942035592</v>
      </c>
      <c r="F127" s="6">
        <f t="shared" si="23"/>
        <v>-0.18766637848681716</v>
      </c>
      <c r="G127" s="5" t="str">
        <f t="shared" si="39"/>
        <v>0.167364002549013-10.1566137637826i</v>
      </c>
      <c r="H127" s="1">
        <f t="shared" si="24"/>
        <v>20.13615785044685</v>
      </c>
      <c r="I127" s="6">
        <f t="shared" si="25"/>
        <v>-89.055946852668072</v>
      </c>
      <c r="J127" s="26" t="str">
        <f t="shared" si="40"/>
        <v>0.012983128979989-0.983405992378829i</v>
      </c>
      <c r="K127" s="1">
        <f t="shared" si="26"/>
        <v>-0.14458609158877955</v>
      </c>
      <c r="L127" s="6">
        <f t="shared" si="27"/>
        <v>-89.243613231154868</v>
      </c>
      <c r="M127" s="26">
        <f t="shared" si="41"/>
        <v>0.16</v>
      </c>
      <c r="N127" s="6">
        <f t="shared" si="42"/>
        <v>2.5000000000000001E-2</v>
      </c>
      <c r="O127" s="5" t="str">
        <f t="shared" si="43"/>
        <v>0.124946755954028-0.533190580281755i</v>
      </c>
      <c r="P127" s="1">
        <f t="shared" si="21"/>
        <v>-5.2301790579058487</v>
      </c>
      <c r="Q127" s="6">
        <f t="shared" si="28"/>
        <v>-76.811404793373825</v>
      </c>
      <c r="R127" s="5" t="str">
        <f t="shared" si="29"/>
        <v>-0.0853592858413726-0.0216993322204075i</v>
      </c>
      <c r="S127" s="1">
        <f t="shared" si="30"/>
        <v>-21.103023623394908</v>
      </c>
      <c r="T127" s="6">
        <f t="shared" si="31"/>
        <v>-165.73686286590123</v>
      </c>
      <c r="U127" t="str">
        <f>IMPRODUCT(COMPLEX(-1,0),IMDIV(COMPLEX(1,C127*Calculations!$B$171*Calculations!$B$173),IMPRODUCT(COMPLEX(0,C127*Calculations!$B$160),COMPLEX((Calculations!$B$173+Calculations!$B$175),C127*Calculations!$B$171*Calculations!$B$173*Calculations!$B$175))))</f>
        <v>-0.0000158308230675393+0.00318300044176976i</v>
      </c>
      <c r="V127">
        <f t="shared" si="32"/>
        <v>-49.943158595288622</v>
      </c>
      <c r="W127">
        <f t="shared" si="33"/>
        <v>90.284961276562782</v>
      </c>
      <c r="X127" t="str">
        <f t="shared" si="34"/>
        <v>0.0000704202917949921-0.000271355126253175i</v>
      </c>
      <c r="Y127">
        <f t="shared" si="35"/>
        <v>-71.046182218683526</v>
      </c>
      <c r="Z127">
        <f t="shared" si="36"/>
        <v>-75.451901589338433</v>
      </c>
    </row>
    <row r="128" spans="2:26" x14ac:dyDescent="0.15">
      <c r="B128" s="1">
        <v>500000</v>
      </c>
      <c r="C128" s="22">
        <f t="shared" si="37"/>
        <v>3141592.653589793</v>
      </c>
      <c r="D128" s="26" t="str">
        <f t="shared" si="38"/>
        <v>0.0968189147478629-0.00025369732932169i</v>
      </c>
      <c r="E128" s="1">
        <f t="shared" si="14"/>
        <v>-20.280765975217669</v>
      </c>
      <c r="F128" s="6">
        <f t="shared" si="23"/>
        <v>-0.15013340124411864</v>
      </c>
      <c r="G128" s="5" t="str">
        <f t="shared" si="39"/>
        <v>0.107119225210744-8.12592811984395i</v>
      </c>
      <c r="H128" s="1">
        <f t="shared" si="24"/>
        <v>18.198214159138768</v>
      </c>
      <c r="I128" s="6">
        <f t="shared" si="25"/>
        <v>-89.244747930201811</v>
      </c>
      <c r="J128" s="26" t="str">
        <f t="shared" si="40"/>
        <v>0.00830964087127166-0.786770717743788i</v>
      </c>
      <c r="K128" s="1">
        <f t="shared" si="26"/>
        <v>-2.0825518160789001</v>
      </c>
      <c r="L128" s="6">
        <f t="shared" si="27"/>
        <v>-89.39488133144593</v>
      </c>
      <c r="M128" s="26">
        <f t="shared" si="41"/>
        <v>0.16</v>
      </c>
      <c r="N128" s="6">
        <f t="shared" si="42"/>
        <v>2.5000000000000001E-2</v>
      </c>
      <c r="O128" s="5" t="str">
        <f t="shared" si="43"/>
        <v>0.0815247287949559-0.434779643108068i</v>
      </c>
      <c r="P128" s="1">
        <f t="shared" si="21"/>
        <v>-7.0845440486962419</v>
      </c>
      <c r="Q128" s="6">
        <f t="shared" si="28"/>
        <v>-79.379893335478954</v>
      </c>
      <c r="R128" s="5" t="str">
        <f t="shared" si="29"/>
        <v>-0.0553720560211187-0.0111549562075741i</v>
      </c>
      <c r="S128" s="1">
        <f t="shared" si="30"/>
        <v>-24.961415728322358</v>
      </c>
      <c r="T128" s="6">
        <f t="shared" si="31"/>
        <v>-168.60995222020156</v>
      </c>
      <c r="U128" t="str">
        <f>IMPRODUCT(COMPLEX(-1,0),IMDIV(COMPLEX(1,C128*Calculations!$B$171*Calculations!$B$173),IMPRODUCT(COMPLEX(0,C128*Calculations!$B$160),COMPLEX((Calculations!$B$173+Calculations!$B$175),C128*Calculations!$B$171*Calculations!$B$173*Calculations!$B$175))))</f>
        <v>-0.000010131867736101+0.00254642869769429i</v>
      </c>
      <c r="V128">
        <f t="shared" si="32"/>
        <v>-51.8813008452898</v>
      </c>
      <c r="W128">
        <f t="shared" si="33"/>
        <v>90.227970332330827</v>
      </c>
      <c r="X128" t="str">
        <f t="shared" si="34"/>
        <v>0.0000289663229563717-0.000140887971961615i</v>
      </c>
      <c r="Y128">
        <f t="shared" si="35"/>
        <v>-76.842716573612179</v>
      </c>
      <c r="Z128">
        <f t="shared" si="36"/>
        <v>-78.381981887870694</v>
      </c>
    </row>
    <row r="129" spans="1:26" x14ac:dyDescent="0.15">
      <c r="B129" s="1">
        <v>600000</v>
      </c>
      <c r="C129" s="22">
        <f t="shared" si="37"/>
        <v>3769911.1843077517</v>
      </c>
      <c r="D129" s="26" t="str">
        <f t="shared" si="38"/>
        <v>0.0968188828979453-0.0002114144520065i</v>
      </c>
      <c r="E129" s="1">
        <f t="shared" si="14"/>
        <v>-20.28077794390839</v>
      </c>
      <c r="F129" s="6">
        <f t="shared" si="23"/>
        <v>-0.12511130280701438</v>
      </c>
      <c r="G129" s="5" t="str">
        <f t="shared" si="39"/>
        <v>0.0743907138296371-6.7718951932003i</v>
      </c>
      <c r="H129" s="1">
        <f t="shared" si="24"/>
        <v>16.614728613472391</v>
      </c>
      <c r="I129" s="6">
        <f t="shared" si="25"/>
        <v>-89.370618951065609</v>
      </c>
      <c r="J129" s="26" t="str">
        <f t="shared" si="40"/>
        <v>0.0057707492996503-0.655663054979617i</v>
      </c>
      <c r="K129" s="1">
        <f t="shared" si="26"/>
        <v>-3.6660493304360005</v>
      </c>
      <c r="L129" s="6">
        <f t="shared" si="27"/>
        <v>-89.495730253872622</v>
      </c>
      <c r="M129" s="26">
        <f t="shared" si="41"/>
        <v>0.16</v>
      </c>
      <c r="N129" s="6">
        <f t="shared" si="42"/>
        <v>2.5000000000000001E-2</v>
      </c>
      <c r="O129" s="5" t="str">
        <f t="shared" si="43"/>
        <v>0.0572203001073894-0.36615383945975i</v>
      </c>
      <c r="P129" s="1">
        <f t="shared" si="21"/>
        <v>-8.6219411273100608</v>
      </c>
      <c r="Q129" s="6">
        <f t="shared" si="28"/>
        <v>-81.118002346136663</v>
      </c>
      <c r="R129" s="5" t="str">
        <f t="shared" si="29"/>
        <v>-0.0387316928589268-0.0064691397402935i</v>
      </c>
      <c r="S129" s="1">
        <f t="shared" si="30"/>
        <v>-28.119173722825966</v>
      </c>
      <c r="T129" s="6">
        <f t="shared" si="31"/>
        <v>-170.51773345298028</v>
      </c>
      <c r="U129" t="str">
        <f>IMPRODUCT(COMPLEX(-1,0),IMDIV(COMPLEX(1,C129*Calculations!$B$171*Calculations!$B$173),IMPRODUCT(COMPLEX(0,C129*Calculations!$B$160),COMPLEX((Calculations!$B$173+Calculations!$B$175),C129*Calculations!$B$171*Calculations!$B$173*Calculations!$B$175))))</f>
        <v>-7.03607244139158E-06+0.0021220367457641i</v>
      </c>
      <c r="V129">
        <f t="shared" si="32"/>
        <v>-53.464894254198605</v>
      </c>
      <c r="W129">
        <f t="shared" si="33"/>
        <v>90.189975870443334</v>
      </c>
      <c r="X129" t="str">
        <f t="shared" si="34"/>
        <v>0.0000140002712391188-0.0000821445581364455i</v>
      </c>
      <c r="Y129">
        <f t="shared" si="35"/>
        <v>-81.58406797702456</v>
      </c>
      <c r="Z129">
        <f t="shared" si="36"/>
        <v>-80.327757582536933</v>
      </c>
    </row>
    <row r="130" spans="1:26" x14ac:dyDescent="0.15">
      <c r="B130" s="1">
        <v>700000</v>
      </c>
      <c r="C130" s="22">
        <f t="shared" si="37"/>
        <v>4398229.7150257099</v>
      </c>
      <c r="D130" s="26" t="str">
        <f t="shared" si="38"/>
        <v>0.0968188636934476-0.000181212393070224i</v>
      </c>
      <c r="E130" s="1">
        <f t="shared" si="14"/>
        <v>-20.280785160667968</v>
      </c>
      <c r="F130" s="6">
        <f t="shared" si="23"/>
        <v>-0.10723832937465844</v>
      </c>
      <c r="G130" s="5" t="str">
        <f t="shared" si="39"/>
        <v>0.0546554488409455-5.80463066860789i</v>
      </c>
      <c r="H130" s="1">
        <f t="shared" si="24"/>
        <v>15.275876861310302</v>
      </c>
      <c r="I130" s="6">
        <f t="shared" si="25"/>
        <v>-89.460528294605183</v>
      </c>
      <c r="J130" s="26" t="str">
        <f t="shared" si="40"/>
        <v>0.00423980743708846-0.562007649739432i</v>
      </c>
      <c r="K130" s="1">
        <f t="shared" si="26"/>
        <v>-5.0049082993576608</v>
      </c>
      <c r="L130" s="6">
        <f t="shared" si="27"/>
        <v>-89.567766623979836</v>
      </c>
      <c r="M130" s="26">
        <f t="shared" si="41"/>
        <v>0.16</v>
      </c>
      <c r="N130" s="6">
        <f t="shared" si="42"/>
        <v>2.5000000000000001E-2</v>
      </c>
      <c r="O130" s="5" t="str">
        <f t="shared" si="43"/>
        <v>0.0423124531326463-0.315863714041085i</v>
      </c>
      <c r="P130" s="1">
        <f t="shared" si="21"/>
        <v>-9.9327632624116671</v>
      </c>
      <c r="Q130" s="6">
        <f t="shared" si="28"/>
        <v>-82.370197172062973</v>
      </c>
      <c r="R130" s="5" t="str">
        <f t="shared" si="29"/>
        <v>-0.0285791915455663-0.0040789875532145i</v>
      </c>
      <c r="S130" s="1">
        <f t="shared" si="30"/>
        <v>-30.791421636354542</v>
      </c>
      <c r="T130" s="6">
        <f t="shared" si="31"/>
        <v>-171.87727349701692</v>
      </c>
      <c r="U130" t="str">
        <f>IMPRODUCT(COMPLEX(-1,0),IMDIV(COMPLEX(1,C130*Calculations!$B$171*Calculations!$B$173),IMPRODUCT(COMPLEX(0,C130*Calculations!$B$160),COMPLEX((Calculations!$B$173+Calculations!$B$175),C130*Calculations!$B$171*Calculations!$B$173*Calculations!$B$175))))</f>
        <v>-5.16938290366748E-06+0.00181889527076358i</v>
      </c>
      <c r="V130">
        <f t="shared" si="32"/>
        <v>-54.803811045922728</v>
      </c>
      <c r="W130">
        <f t="shared" si="33"/>
        <v>90.162836767121419</v>
      </c>
      <c r="X130" t="str">
        <f t="shared" si="34"/>
        <v>7.56698795422165E-06-0.0000519614704959552i</v>
      </c>
      <c r="Y130">
        <f t="shared" si="35"/>
        <v>-85.59523268227727</v>
      </c>
      <c r="Z130">
        <f t="shared" si="36"/>
        <v>-81.714436729895482</v>
      </c>
    </row>
    <row r="131" spans="1:26" x14ac:dyDescent="0.15">
      <c r="B131" s="1">
        <v>800000</v>
      </c>
      <c r="C131" s="22">
        <f t="shared" si="37"/>
        <v>5026548.2457436686</v>
      </c>
      <c r="D131" s="26" t="str">
        <f t="shared" si="38"/>
        <v>0.0968188512289898-0.000158560847137225i</v>
      </c>
      <c r="E131" s="1">
        <f t="shared" si="14"/>
        <v>-20.280789844629119</v>
      </c>
      <c r="F131" s="6">
        <f t="shared" si="23"/>
        <v>-9.3833577857561828E-2</v>
      </c>
      <c r="G131" s="5" t="str">
        <f t="shared" si="39"/>
        <v>0.0418460982306971-5.07913649810822i</v>
      </c>
      <c r="H131" s="1">
        <f t="shared" si="24"/>
        <v>14.116092467864391</v>
      </c>
      <c r="I131" s="6">
        <f t="shared" si="25"/>
        <v>-89.527960988553318</v>
      </c>
      <c r="J131" s="26" t="str">
        <f t="shared" si="40"/>
        <v>0.00324613897324592-0.491762796134857i</v>
      </c>
      <c r="K131" s="1">
        <f t="shared" si="26"/>
        <v>-6.1646973767647228</v>
      </c>
      <c r="L131" s="6">
        <f t="shared" si="27"/>
        <v>-89.621794566410884</v>
      </c>
      <c r="M131" s="26">
        <f t="shared" si="41"/>
        <v>0.16</v>
      </c>
      <c r="N131" s="6">
        <f t="shared" si="42"/>
        <v>2.5000000000000001E-2</v>
      </c>
      <c r="O131" s="5" t="str">
        <f t="shared" si="43"/>
        <v>0.0325326148519337-0.277538867051585i</v>
      </c>
      <c r="P131" s="1">
        <f t="shared" si="21"/>
        <v>-11.074257459787635</v>
      </c>
      <c r="Q131" s="6">
        <f t="shared" si="28"/>
        <v>-83.314399030447802</v>
      </c>
      <c r="R131" s="5" t="str">
        <f t="shared" si="29"/>
        <v>-0.0219420987216855-0.00273480916155052i</v>
      </c>
      <c r="S131" s="1">
        <f t="shared" si="30"/>
        <v>-33.107489818624558</v>
      </c>
      <c r="T131" s="6">
        <f t="shared" si="31"/>
        <v>-172.8954326089497</v>
      </c>
      <c r="U131" t="str">
        <f>IMPRODUCT(COMPLEX(-1,0),IMDIV(COMPLEX(1,C131*Calculations!$B$171*Calculations!$B$173),IMPRODUCT(COMPLEX(0,C131*Calculations!$B$160),COMPLEX((Calculations!$B$173+Calculations!$B$175),C131*Calculations!$B$171*Calculations!$B$173*Calculations!$B$175))))</f>
        <v>-3.95782049263426E-06+0.00159153712805381i</v>
      </c>
      <c r="V131">
        <f t="shared" si="32"/>
        <v>-55.96363765312104</v>
      </c>
      <c r="W131">
        <f t="shared" si="33"/>
        <v>90.142482345433137</v>
      </c>
      <c r="X131" t="str">
        <f t="shared" si="34"/>
        <v>4.43939320672145E-06-0.0000349108408992415i</v>
      </c>
      <c r="Y131">
        <f t="shared" si="35"/>
        <v>-89.071127471745598</v>
      </c>
      <c r="Z131">
        <f t="shared" si="36"/>
        <v>-82.752950263516567</v>
      </c>
    </row>
    <row r="132" spans="1:26" x14ac:dyDescent="0.15">
      <c r="B132" s="1">
        <v>900000</v>
      </c>
      <c r="C132" s="22">
        <f t="shared" si="37"/>
        <v>5654866.7764616273</v>
      </c>
      <c r="D132" s="26" t="str">
        <f t="shared" si="38"/>
        <v>0.0968188426833981-0.000140942977183705i</v>
      </c>
      <c r="E132" s="1">
        <f t="shared" si="14"/>
        <v>-20.280793055940507</v>
      </c>
      <c r="F132" s="6">
        <f t="shared" si="23"/>
        <v>-8.340764892866509E-2</v>
      </c>
      <c r="G132" s="5" t="str">
        <f t="shared" si="39"/>
        <v>0.0330638655942297-4.51483959460684i</v>
      </c>
      <c r="H132" s="1">
        <f t="shared" si="24"/>
        <v>13.093079415832378</v>
      </c>
      <c r="I132" s="6">
        <f t="shared" si="25"/>
        <v>-89.580408994104417</v>
      </c>
      <c r="J132" s="26" t="str">
        <f t="shared" si="40"/>
        <v>0.00256487026750199-0.437126204570671i</v>
      </c>
      <c r="K132" s="1">
        <f t="shared" si="26"/>
        <v>-7.1877136401081181</v>
      </c>
      <c r="L132" s="6">
        <f t="shared" si="27"/>
        <v>-89.663816643033073</v>
      </c>
      <c r="M132" s="26">
        <f t="shared" si="41"/>
        <v>0.16</v>
      </c>
      <c r="N132" s="6">
        <f t="shared" si="42"/>
        <v>2.5000000000000001E-2</v>
      </c>
      <c r="O132" s="5" t="str">
        <f t="shared" si="43"/>
        <v>0.0257796049246797-0.24741204512434i</v>
      </c>
      <c r="P132" s="1">
        <f t="shared" si="21"/>
        <v>-12.084685880169612</v>
      </c>
      <c r="Q132" s="6">
        <f t="shared" si="28"/>
        <v>-84.051414872595771</v>
      </c>
      <c r="R132" s="5" t="str">
        <f t="shared" si="29"/>
        <v>-0.0173700610976709-0.00192179878285622i</v>
      </c>
      <c r="S132" s="1">
        <f t="shared" si="30"/>
        <v>-35.151134293342075</v>
      </c>
      <c r="T132" s="6">
        <f t="shared" si="31"/>
        <v>-173.68655386974712</v>
      </c>
      <c r="U132" t="str">
        <f>IMPRODUCT(COMPLEX(-1,0),IMDIV(COMPLEX(1,C132*Calculations!$B$171*Calculations!$B$173),IMPRODUCT(COMPLEX(0,C132*Calculations!$B$160),COMPLEX((Calculations!$B$173+Calculations!$B$175),C132*Calculations!$B$171*Calculations!$B$173*Calculations!$B$175))))</f>
        <v>-3.12717315078672E-06+0.00141470196454836i</v>
      </c>
      <c r="V132">
        <f t="shared" si="32"/>
        <v>-56.986679647024474</v>
      </c>
      <c r="W132">
        <f t="shared" si="33"/>
        <v>90.126651079880673</v>
      </c>
      <c r="X132" t="str">
        <f t="shared" si="34"/>
        <v>0.0000027730917022655-0.0000245674497616451i</v>
      </c>
      <c r="Y132">
        <f t="shared" si="35"/>
        <v>-92.137813940366556</v>
      </c>
      <c r="Z132">
        <f t="shared" si="36"/>
        <v>-83.559902789866456</v>
      </c>
    </row>
    <row r="133" spans="1:26" ht="14.25" thickBot="1" x14ac:dyDescent="0.2">
      <c r="B133" s="98">
        <v>1000000</v>
      </c>
      <c r="C133" s="99">
        <f t="shared" si="37"/>
        <v>6283185.307179586</v>
      </c>
      <c r="D133" s="100" t="str">
        <f t="shared" si="38"/>
        <v>0.0968188365707863-0.000126848680721073i</v>
      </c>
      <c r="E133" s="98">
        <f t="shared" si="14"/>
        <v>-20.280795352974181</v>
      </c>
      <c r="F133" s="101">
        <f t="shared" si="23"/>
        <v>-7.5066899593278807E-2</v>
      </c>
      <c r="G133" s="102" t="str">
        <f t="shared" si="39"/>
        <v>0.0267818944090592-4.06338885145395i</v>
      </c>
      <c r="H133" s="98">
        <f t="shared" si="24"/>
        <v>12.177956354554096</v>
      </c>
      <c r="I133" s="101">
        <f t="shared" si="25"/>
        <v>-89.622367596739522</v>
      </c>
      <c r="J133" s="100" t="str">
        <f t="shared" si="40"/>
        <v>0.00207755634278311-0.393415978380448i</v>
      </c>
      <c r="K133" s="98">
        <f t="shared" si="26"/>
        <v>-8.1028389984200864</v>
      </c>
      <c r="L133" s="101">
        <f t="shared" si="27"/>
        <v>-89.697434496332789</v>
      </c>
      <c r="M133" s="100">
        <f t="shared" si="41"/>
        <v>0.16</v>
      </c>
      <c r="N133" s="101">
        <f t="shared" si="42"/>
        <v>2.5000000000000001E-2</v>
      </c>
      <c r="O133" s="102" t="str">
        <f t="shared" si="43"/>
        <v>0.0209250483543678-0.223130737442074i</v>
      </c>
      <c r="P133" s="98">
        <f t="shared" si="21"/>
        <v>-12.990784666508723</v>
      </c>
      <c r="Q133" s="101">
        <f t="shared" si="28"/>
        <v>-84.642509806308212</v>
      </c>
      <c r="R133" s="102" t="str">
        <f t="shared" si="29"/>
        <v>-0.0140889099454429-0.00140153868396959i</v>
      </c>
      <c r="S133" s="98">
        <f t="shared" si="30"/>
        <v>-36.979686036714028</v>
      </c>
      <c r="T133" s="101">
        <f t="shared" si="31"/>
        <v>-174.31901220643729</v>
      </c>
      <c r="U133" t="str">
        <f>IMPRODUCT(COMPLEX(-1,0),IMDIV(COMPLEX(1,C133*Calculations!$B$171*Calculations!$B$173),IMPRODUCT(COMPLEX(0,C133*Calculations!$B$160),COMPLEX((Calculations!$B$173+Calculations!$B$175),C133*Calculations!$B$171*Calculations!$B$173*Calculations!$B$175))))</f>
        <v>-2.53301392650958E-06+0.00127323324564631i</v>
      </c>
      <c r="V133">
        <f t="shared" si="32"/>
        <v>-57.901823410383571</v>
      </c>
      <c r="W133">
        <f t="shared" si="33"/>
        <v>90.113986040236313</v>
      </c>
      <c r="X133" t="str">
        <f t="shared" si="34"/>
        <v>1.82017305259061E-06-0.0000179349184204498i</v>
      </c>
      <c r="Y133">
        <f t="shared" si="35"/>
        <v>-94.881509447097599</v>
      </c>
      <c r="Z133">
        <f t="shared" si="36"/>
        <v>-84.205026166200966</v>
      </c>
    </row>
    <row r="134" spans="1:26" x14ac:dyDescent="0.15">
      <c r="A134" s="82" t="s">
        <v>443</v>
      </c>
      <c r="B134" s="106">
        <f>Calculations!B165</f>
        <v>4000</v>
      </c>
      <c r="C134" s="107">
        <f t="shared" si="37"/>
        <v>25132.741228718343</v>
      </c>
      <c r="D134" s="108" t="str">
        <f t="shared" si="38"/>
        <v>0.0984432152619413-0.0316287445337271i</v>
      </c>
      <c r="E134" s="107">
        <f t="shared" si="14"/>
        <v>-19.709636299206757</v>
      </c>
      <c r="F134" s="107">
        <f t="shared" ref="F134" si="44">IMARGUMENT(D134)*(180/PI())</f>
        <v>-17.811652392933457</v>
      </c>
      <c r="G134" s="107" t="str">
        <f t="shared" si="39"/>
        <v>563.119082071993-156.131543443908i</v>
      </c>
      <c r="H134" s="107">
        <f t="shared" si="24"/>
        <v>55.333654755404652</v>
      </c>
      <c r="I134" s="107">
        <f t="shared" ref="I134" si="45">IMARGUMENT(G134)*(180/PI())</f>
        <v>-15.496674294902576</v>
      </c>
      <c r="J134" s="108" t="str">
        <f t="shared" si="40"/>
        <v>50.4970083132761-33.1808407293498i</v>
      </c>
      <c r="K134" s="107">
        <f t="shared" si="26"/>
        <v>35.624018456197895</v>
      </c>
      <c r="L134" s="107">
        <f t="shared" ref="L134" si="46">IMARGUMENT(J134)*(180/PI())</f>
        <v>-33.308326687836086</v>
      </c>
      <c r="M134" s="108">
        <f t="shared" si="41"/>
        <v>0.16</v>
      </c>
      <c r="N134" s="107">
        <f t="shared" si="42"/>
        <v>2.5000000000000001E-2</v>
      </c>
      <c r="O134" s="107" t="str">
        <f t="shared" si="43"/>
        <v>2.34828876018476-0.661934492883731i</v>
      </c>
      <c r="P134" s="107">
        <f t="shared" si="21"/>
        <v>7.7470796760693004</v>
      </c>
      <c r="Q134" s="107">
        <f t="shared" ref="Q134" si="47">IMARGUMENT(O134)*(180/PI())</f>
        <v>-15.74205686700852</v>
      </c>
      <c r="R134" s="107" t="str">
        <f t="shared" ref="R134" si="48">IMDIV(IMPRODUCT(J134,O134,COMPLEX(M134,0)),IMSUM(COMPLEX(1,0),IMPRODUCT(G134,O134,COMPLEX(N134,0),COMPLEX(M134,0))))</f>
        <v>3.31658696252801-1.36247906772321i</v>
      </c>
      <c r="S134" s="107">
        <f t="shared" si="30"/>
        <v>11.091091841223648</v>
      </c>
      <c r="T134" s="107">
        <f t="shared" ref="T134" si="49">IMARGUMENT(R134)*(180/PI())</f>
        <v>-22.333230111222335</v>
      </c>
      <c r="U134" s="92" t="str">
        <f>IMPRODUCT(COMPLEX(-1,0),IMDIV(COMPLEX(1,C134*Calculations!$B$171*Calculations!$B$173),IMPRODUCT(COMPLEX(0,C134*Calculations!$B$160),COMPLEX((Calculations!$B$173+Calculations!$B$175),C134*Calculations!$B$171*Calculations!$B$173*Calculations!$B$175))))</f>
        <v>-0.114181931826351+0.247323093754315i</v>
      </c>
      <c r="V134" s="107">
        <f t="shared" si="32"/>
        <v>-11.295596537933225</v>
      </c>
      <c r="W134" s="107">
        <f t="shared" si="33"/>
        <v>114.78140666007744</v>
      </c>
      <c r="X134" s="107" t="str">
        <f t="shared" si="34"/>
        <v>-0.0417217682467387+0.975839040303256i</v>
      </c>
      <c r="Y134" s="107">
        <f t="shared" si="35"/>
        <v>-0.20450469670957719</v>
      </c>
      <c r="Z134" s="110">
        <f t="shared" si="36"/>
        <v>92.448176548855088</v>
      </c>
    </row>
    <row r="135" spans="1:26" x14ac:dyDescent="0.15">
      <c r="A135" t="s">
        <v>446</v>
      </c>
      <c r="B135" s="96">
        <f>Calculations!B176*1000</f>
        <v>497.35919716217302</v>
      </c>
      <c r="C135" s="92">
        <f t="shared" si="37"/>
        <v>3125.0000000000005</v>
      </c>
      <c r="D135" s="93" t="str">
        <f t="shared" si="38"/>
        <v>0.186811194377213-0.217873104064851i</v>
      </c>
      <c r="E135" s="92">
        <f t="shared" si="14"/>
        <v>-10.842461621679165</v>
      </c>
      <c r="F135" s="92">
        <f t="shared" ref="F135:F136" si="50">IMARGUMENT(D135)*(180/PI())</f>
        <v>-49.389183347423362</v>
      </c>
      <c r="G135" s="92" t="str">
        <f t="shared" si="39"/>
        <v>141.530558337156+159.073979140587i</v>
      </c>
      <c r="H135" s="92">
        <f t="shared" si="24"/>
        <v>46.56437737225631</v>
      </c>
      <c r="I135" s="92">
        <f t="shared" ref="I135:I136" si="51">IMARGUMENT(G135)*(180/PI())</f>
        <v>48.340019840393147</v>
      </c>
      <c r="J135" s="93" t="str">
        <f t="shared" si="40"/>
        <v>61.0974342551453-1.11890202735883i</v>
      </c>
      <c r="K135" s="92">
        <f t="shared" si="26"/>
        <v>35.721915750577196</v>
      </c>
      <c r="L135" s="92">
        <f t="shared" ref="L135:L136" si="52">IMARGUMENT(J135)*(180/PI())</f>
        <v>-1.049163507030296</v>
      </c>
      <c r="M135" s="93">
        <f t="shared" si="41"/>
        <v>0.16</v>
      </c>
      <c r="N135" s="92">
        <f t="shared" si="42"/>
        <v>2.5000000000000001E-2</v>
      </c>
      <c r="O135" s="92" t="str">
        <f t="shared" si="43"/>
        <v>2.35241040921284-4.53851705705289i</v>
      </c>
      <c r="P135" s="92">
        <f t="shared" si="21"/>
        <v>14.171721810294621</v>
      </c>
      <c r="Q135" s="92">
        <f t="shared" ref="Q135:Q136" si="53">IMARGUMENT(O135)*(180/PI())</f>
        <v>-62.601327270808348</v>
      </c>
      <c r="R135" s="92" t="str">
        <f t="shared" ref="R135:R136" si="54">IMDIV(IMPRODUCT(J135,O135,COMPLEX(M135,0)),IMSUM(COMPLEX(1,0),IMPRODUCT(G135,O135,COMPLEX(N135,0),COMPLEX(M135,0))))</f>
        <v>5.76964630273032-7.39516100267438i</v>
      </c>
      <c r="S135" s="92">
        <f t="shared" si="30"/>
        <v>19.443702578185107</v>
      </c>
      <c r="T135" s="92">
        <f t="shared" ref="T135:T136" si="55">IMARGUMENT(R135)*(180/PI())</f>
        <v>-52.038926083529901</v>
      </c>
      <c r="U135" s="92" t="str">
        <f>IMPRODUCT(COMPLEX(-1,0),IMDIV(COMPLEX(1,C135*Calculations!$B$171*Calculations!$B$173),IMPRODUCT(COMPLEX(0,C135*Calculations!$B$160),COMPLEX((Calculations!$B$173+Calculations!$B$175),C135*Calculations!$B$171*Calculations!$B$173*Calculations!$B$175))))</f>
        <v>-0.393846153846154+0.590769230769231i</v>
      </c>
      <c r="V135" s="92">
        <f t="shared" si="32"/>
        <v>-2.9746342168313729</v>
      </c>
      <c r="W135" s="92">
        <f t="shared" ref="W135:W136" si="56">IMARGUMENT(U135)*(180/PI())</f>
        <v>123.69006752597979</v>
      </c>
      <c r="X135" s="92" t="str">
        <f t="shared" ref="X135:X136" si="57">IMPRODUCT(U135,R135)</f>
        <v>2.09648057158154+6.3210852260509i</v>
      </c>
      <c r="Y135" s="92">
        <f t="shared" si="35"/>
        <v>16.469068361353731</v>
      </c>
      <c r="Z135" s="111">
        <f t="shared" ref="Z135:Z136" si="58">IMARGUMENT(X135)*(180/PI())</f>
        <v>71.651141442449884</v>
      </c>
    </row>
    <row r="136" spans="1:26" ht="14.25" thickBot="1" x14ac:dyDescent="0.2">
      <c r="A136" t="s">
        <v>447</v>
      </c>
      <c r="B136" s="97">
        <f>Calculations!B177*1000</f>
        <v>1989.4367886486921</v>
      </c>
      <c r="C136" s="94">
        <f t="shared" si="37"/>
        <v>12500.000000000002</v>
      </c>
      <c r="D136" s="109" t="str">
        <f t="shared" si="38"/>
        <v>0.103333467504728-0.0630883850392707i</v>
      </c>
      <c r="E136" s="94">
        <f t="shared" si="14"/>
        <v>-18.339267690059145</v>
      </c>
      <c r="F136" s="94">
        <f t="shared" si="50"/>
        <v>-31.405399482768512</v>
      </c>
      <c r="G136" s="94" t="str">
        <f t="shared" si="39"/>
        <v>522.740210017141+169.726990722087i</v>
      </c>
      <c r="H136" s="94">
        <f t="shared" si="24"/>
        <v>54.800998009339175</v>
      </c>
      <c r="I136" s="94">
        <f t="shared" si="51"/>
        <v>17.987943786209904</v>
      </c>
      <c r="J136" s="109" t="str">
        <f t="shared" si="40"/>
        <v>64.7243602474527-15.4403571646146i</v>
      </c>
      <c r="K136" s="94">
        <f t="shared" si="26"/>
        <v>36.461730319280036</v>
      </c>
      <c r="L136" s="94">
        <f t="shared" si="52"/>
        <v>-13.41745569655863</v>
      </c>
      <c r="M136" s="109">
        <f t="shared" si="41"/>
        <v>0.16</v>
      </c>
      <c r="N136" s="94">
        <f t="shared" si="42"/>
        <v>2.5000000000000001E-2</v>
      </c>
      <c r="O136" s="94" t="str">
        <f t="shared" si="43"/>
        <v>2.35143826325066-1.18092192912939i</v>
      </c>
      <c r="P136" s="94">
        <f t="shared" si="21"/>
        <v>8.4034692984873871</v>
      </c>
      <c r="Q136" s="94">
        <f t="shared" si="53"/>
        <v>-26.666379606360486</v>
      </c>
      <c r="R136" s="94" t="str">
        <f t="shared" si="54"/>
        <v>3.48034475283541-2.23276097417162i</v>
      </c>
      <c r="S136" s="94">
        <f t="shared" si="30"/>
        <v>12.329458503773019</v>
      </c>
      <c r="T136" s="94">
        <f t="shared" si="55"/>
        <v>-32.681569197237508</v>
      </c>
      <c r="U136" s="92" t="str">
        <f>IMPRODUCT(COMPLEX(-1,0),IMDIV(COMPLEX(1,C136*Calculations!$B$171*Calculations!$B$173),IMPRODUCT(COMPLEX(0,C136*Calculations!$B$160),COMPLEX((Calculations!$B$173+Calculations!$B$175),C136*Calculations!$B$171*Calculations!$B$173*Calculations!$B$175))))</f>
        <v>-0.249756097560976+0.327804878048781i</v>
      </c>
      <c r="V136" s="94">
        <f t="shared" si="32"/>
        <v>-7.6997498737368586</v>
      </c>
      <c r="W136" s="94">
        <f t="shared" si="56"/>
        <v>127.30394827798344</v>
      </c>
      <c r="X136" s="94" t="str">
        <f t="shared" si="57"/>
        <v>-0.137327384784586+1.69851965496647i</v>
      </c>
      <c r="Y136" s="94">
        <f t="shared" si="35"/>
        <v>4.6297086300361396</v>
      </c>
      <c r="Z136" s="95">
        <f t="shared" si="58"/>
        <v>94.622379080745915</v>
      </c>
    </row>
    <row r="137" spans="1:26" ht="14.25" thickBot="1" x14ac:dyDescent="0.2">
      <c r="A137" t="s">
        <v>448</v>
      </c>
      <c r="B137" s="112">
        <f>Calculations!B162</f>
        <v>237.64603277373453</v>
      </c>
      <c r="C137" s="94">
        <f t="shared" si="37"/>
        <v>1493.1740614334472</v>
      </c>
      <c r="D137" s="109" t="str">
        <f t="shared" si="38"/>
        <v>0.360898246619445-0.305487091689375i</v>
      </c>
      <c r="E137" s="94">
        <f t="shared" si="14"/>
        <v>-6.5058665267279796</v>
      </c>
      <c r="F137" s="94">
        <f t="shared" ref="F137" si="59">IMARGUMENT(D137)*(180/PI())</f>
        <v>-40.246686583568817</v>
      </c>
      <c r="G137" s="94" t="str">
        <f t="shared" si="39"/>
        <v>97.7635036988496+81.6894950763253i</v>
      </c>
      <c r="H137" s="94">
        <f t="shared" si="24"/>
        <v>42.103419668486907</v>
      </c>
      <c r="I137" s="94">
        <f t="shared" ref="I137" si="60">IMARGUMENT(G137)*(180/PI())</f>
        <v>39.881547795107203</v>
      </c>
      <c r="J137" s="109" t="str">
        <f t="shared" si="40"/>
        <v>60.2377633407286-0.383892878051442i</v>
      </c>
      <c r="K137" s="94">
        <f t="shared" si="26"/>
        <v>35.597553141758937</v>
      </c>
      <c r="L137" s="94">
        <f t="shared" ref="L137" si="61">IMARGUMENT(J137)*(180/PI())</f>
        <v>-0.36513878846161674</v>
      </c>
      <c r="M137" s="109">
        <f t="shared" si="41"/>
        <v>0.16</v>
      </c>
      <c r="N137" s="94">
        <f t="shared" si="42"/>
        <v>2.5000000000000001E-2</v>
      </c>
      <c r="O137" s="94" t="str">
        <f t="shared" si="43"/>
        <v>2.35246044411476-9.47852195475923i</v>
      </c>
      <c r="P137" s="94">
        <f t="shared" si="21"/>
        <v>19.794411471253227</v>
      </c>
      <c r="Q137" s="94">
        <f t="shared" ref="Q137" si="62">IMARGUMENT(O137)*(180/PI())</f>
        <v>-76.061482329455274</v>
      </c>
      <c r="R137" s="94" t="str">
        <f t="shared" ref="R137" si="63">IMDIV(IMPRODUCT(J137,O137,COMPLEX(M137,0)),IMSUM(COMPLEX(1,0),IMPRODUCT(G137,O137,COMPLEX(N137,0),COMPLEX(M137,0))))</f>
        <v>11.2312736549808-11.6605114362858i</v>
      </c>
      <c r="S137" s="94">
        <f t="shared" si="30"/>
        <v>24.184819912863379</v>
      </c>
      <c r="T137" s="94">
        <f t="shared" ref="T137" si="64">IMARGUMENT(R137)*(180/PI())</f>
        <v>-46.074212059394831</v>
      </c>
      <c r="U137" s="92" t="str">
        <f>IMPRODUCT(COMPLEX(-1,0),IMDIV(COMPLEX(1,C137*Calculations!$B$171*Calculations!$B$173),IMPRODUCT(COMPLEX(0,C137*Calculations!$B$160),COMPLEX((Calculations!$B$173+Calculations!$B$175),C137*Calculations!$B$171*Calculations!$B$173*Calculations!$B$175))))</f>
        <v>-0.405893255456927+1.11033129111144i</v>
      </c>
      <c r="V137" s="94">
        <f t="shared" si="32"/>
        <v>1.4537820310007097</v>
      </c>
      <c r="W137" s="94">
        <f t="shared" ref="W137" si="65">IMARGUMENT(U137)*(180/PI())</f>
        <v>110.08041557553184</v>
      </c>
      <c r="X137" s="94" t="str">
        <f t="shared" ref="X137" si="66">IMPRODUCT(U137,R137)</f>
        <v>8.38833249132315+17.2033575253275i</v>
      </c>
      <c r="Y137" s="94">
        <f t="shared" si="35"/>
        <v>25.638601943864082</v>
      </c>
      <c r="Z137" s="95">
        <f t="shared" ref="Z137" si="67">IMARGUMENT(X137)*(180/PI())</f>
        <v>64.00620351613702</v>
      </c>
    </row>
    <row r="165" spans="2:93" ht="29.25" thickBot="1" x14ac:dyDescent="0.2">
      <c r="B165" s="30" t="s">
        <v>392</v>
      </c>
    </row>
    <row r="166" spans="2:93" x14ac:dyDescent="0.15">
      <c r="B166" s="207" t="s">
        <v>33</v>
      </c>
      <c r="C166" s="209"/>
      <c r="D166" s="219" t="s">
        <v>31</v>
      </c>
      <c r="E166" s="212"/>
      <c r="F166" s="212"/>
      <c r="G166" s="212" t="s">
        <v>386</v>
      </c>
      <c r="H166" s="212"/>
      <c r="I166" s="212"/>
      <c r="J166" s="212" t="s">
        <v>387</v>
      </c>
      <c r="K166" s="212"/>
      <c r="L166" s="212"/>
      <c r="M166" s="212"/>
      <c r="N166" s="212"/>
      <c r="O166" s="212"/>
      <c r="P166" s="212"/>
      <c r="Q166" s="212"/>
      <c r="R166" s="212"/>
      <c r="S166" s="212"/>
      <c r="T166" s="212"/>
      <c r="U166" s="81"/>
      <c r="V166" s="81"/>
      <c r="W166" s="81"/>
      <c r="X166" s="81"/>
      <c r="Y166" s="81"/>
      <c r="Z166" s="81"/>
      <c r="AA166" s="81"/>
      <c r="AB166" s="213"/>
      <c r="AC166" s="213"/>
      <c r="AD166" s="213"/>
      <c r="BC166" s="202"/>
      <c r="BD166" s="202"/>
      <c r="BE166" s="202"/>
      <c r="BF166" s="202"/>
      <c r="BG166" s="202"/>
      <c r="BH166" s="202"/>
      <c r="BI166" s="202"/>
      <c r="BJ166" s="202"/>
      <c r="BK166" s="202"/>
      <c r="BL166" s="202"/>
      <c r="BM166" s="202"/>
      <c r="BN166" s="202"/>
      <c r="BO166" s="202"/>
      <c r="BP166" s="202"/>
      <c r="BQ166" s="202"/>
      <c r="BR166" s="202"/>
      <c r="BS166" s="202"/>
      <c r="BT166" s="202"/>
      <c r="BU166" s="202"/>
      <c r="BV166" s="202"/>
      <c r="BW166" s="202"/>
      <c r="BX166" s="202"/>
      <c r="BY166" s="202"/>
      <c r="BZ166" s="202"/>
      <c r="CA166" s="202"/>
      <c r="CB166" s="202"/>
      <c r="CC166" s="202"/>
      <c r="CD166" s="202"/>
      <c r="CE166" s="202"/>
      <c r="CF166" s="202"/>
      <c r="CG166" s="202"/>
      <c r="CH166" s="202"/>
      <c r="CI166" s="202"/>
      <c r="CJ166" s="202"/>
      <c r="CK166" s="202"/>
      <c r="CL166" s="202"/>
      <c r="CM166" s="202"/>
      <c r="CN166" s="202"/>
      <c r="CO166" s="202"/>
    </row>
    <row r="167" spans="2:93" ht="14.25" thickBot="1" x14ac:dyDescent="0.2">
      <c r="B167" s="214"/>
      <c r="C167" s="215"/>
      <c r="D167" s="216" t="s">
        <v>385</v>
      </c>
      <c r="E167" s="217"/>
      <c r="F167" s="218"/>
      <c r="G167" s="216" t="s">
        <v>385</v>
      </c>
      <c r="H167" s="217"/>
      <c r="I167" s="218"/>
      <c r="J167" s="216" t="s">
        <v>385</v>
      </c>
      <c r="K167" s="217"/>
      <c r="L167" s="218"/>
      <c r="M167" s="206" t="s">
        <v>390</v>
      </c>
      <c r="N167" s="202"/>
      <c r="O167" s="202" t="s">
        <v>394</v>
      </c>
      <c r="P167" s="202"/>
      <c r="Q167" s="202"/>
      <c r="R167" s="202" t="s">
        <v>391</v>
      </c>
      <c r="S167" s="202"/>
      <c r="T167" s="202"/>
      <c r="U167" s="202" t="s">
        <v>393</v>
      </c>
      <c r="V167" s="202"/>
      <c r="W167" s="202"/>
      <c r="X167" s="202" t="s">
        <v>395</v>
      </c>
      <c r="Y167" s="202"/>
      <c r="Z167" s="202"/>
      <c r="AB167" s="213"/>
      <c r="AC167" s="213"/>
      <c r="AD167" s="213"/>
      <c r="BC167" s="202"/>
      <c r="BD167" s="202"/>
      <c r="BE167" s="202"/>
      <c r="BF167" s="202"/>
      <c r="BG167" s="202"/>
      <c r="BH167" s="202"/>
      <c r="BI167" s="202"/>
      <c r="BJ167" s="202"/>
      <c r="BK167" s="202"/>
      <c r="BL167" s="202"/>
      <c r="BM167" s="202"/>
      <c r="BN167" s="202"/>
      <c r="BO167" s="202"/>
      <c r="BP167" s="202"/>
      <c r="BQ167" s="202"/>
      <c r="BR167" s="202"/>
      <c r="BS167" s="202"/>
      <c r="BT167" s="202"/>
      <c r="BU167" s="202"/>
      <c r="BV167" s="202"/>
      <c r="BW167" s="202"/>
      <c r="BX167" s="202"/>
      <c r="BY167" s="202"/>
      <c r="BZ167" s="202"/>
      <c r="CA167" s="202"/>
      <c r="CB167" s="202"/>
      <c r="CC167" s="202"/>
      <c r="CD167" s="202"/>
      <c r="CE167" s="202"/>
      <c r="CF167" s="202"/>
      <c r="CG167" s="202"/>
      <c r="CH167" s="202"/>
      <c r="CI167" s="202"/>
      <c r="CJ167" s="202"/>
      <c r="CK167" s="202"/>
      <c r="CL167" s="202"/>
      <c r="CM167" s="202"/>
      <c r="CN167" s="202"/>
      <c r="CO167" s="202"/>
    </row>
    <row r="168" spans="2:93" ht="40.5" x14ac:dyDescent="0.1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x14ac:dyDescent="0.15">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3.85986604743958-0.0660146704725508i</v>
      </c>
      <c r="E169" s="1">
        <f t="shared" ref="E169:E200" si="70">20*LOG(IMABS(D169))</f>
        <v>11.732714820629395</v>
      </c>
      <c r="F169" s="1">
        <f t="shared" ref="F169:F200" si="71">IMARGUMENT(D169)*(180/PI())</f>
        <v>-0.97982500764803726</v>
      </c>
      <c r="G169" s="1" t="str">
        <f t="shared" ref="G169:G200" si="72">IMDIV(IMSUM(COMPLEX(V48_Nom,0),IMPRODUCT(COMPLEX(np*(I_Channel_Design*(V12_Min/V48_Nom)),0),D169)),IMSUM(IMPRODUCT(COMPLEX(((V12_Min/V48_Nom)^2),0),D169),COMPLEX(Rcs/np,(Lm*C169)/np)))</f>
        <v>189.010771039612+1.60798170751445i</v>
      </c>
      <c r="H169" s="1">
        <f>20*LOG10(IMABS(G169))</f>
        <v>45.530045384612201</v>
      </c>
      <c r="I169" s="1">
        <f>IMARGUMENT(G169)*(180/PI())</f>
        <v>0.48742377120642782</v>
      </c>
      <c r="J169" s="83" t="str">
        <f t="shared" ref="J169:J200" si="73">IMPRODUCT(COMPLEX(-1,0),IMDIV(IMSUM(IMSUB(IMPRODUCT(COMPLEX((1-(V12_Min/V48_Nom))*V48_Nom,0),D169),IMPRODUCT(COMPLEX(V48_Nom,0),D169)),IMPRODUCT(COMPLEX(0,I_Channel_Design*Lm*C169),D169)),IMSUM(IMPRODUCT(COMPLEX(((V12_Min/V48_Nom)^2),0),D169),COMPLEX(Rcs/np,(Lm*C169)/np))))</f>
        <v>135.007489130715-0.00972137605753819i</v>
      </c>
      <c r="K169" s="1">
        <f>20*LOG10(IMABS(J169))</f>
        <v>42.60715722914837</v>
      </c>
      <c r="L169" s="1">
        <f>IMARGUMENT(J169)*(180/PI())</f>
        <v>-4.1256512640904693E-3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2.35247524726262-2251.13076163405i</v>
      </c>
      <c r="P169" s="1">
        <f>20*LOG(IMABS(O169))</f>
        <v>67.048019195490951</v>
      </c>
      <c r="Q169" s="1">
        <f>IMARGUMENT(O169)*(180/PI())</f>
        <v>-89.940124822463019</v>
      </c>
      <c r="R169" s="1" t="str">
        <f>IMDIV(IMPRODUCT(O169,J169,COMPLEX(M169,0)),IMSUM(COMPLEX(1,0),IMPRODUCT(G169,O169,COMPLEX(M169,0),COMPLEX(N169,0))))</f>
        <v>28.5690396297593-0.25909249856215i</v>
      </c>
      <c r="S169" s="1">
        <f>20*LOG10(IMABS(R169))</f>
        <v>29.118270007821994</v>
      </c>
      <c r="T169" s="1">
        <f>IMARGUMENT(R169)*(180/PI())</f>
        <v>-0.51960093521248629</v>
      </c>
      <c r="U169" s="1" t="str">
        <f>IMPRODUCT(COMPLEX(-1,0),IMDIV(COMPLEX(1,C169*Calculations!$B$195*Calculations!$B$197),IMPRODUCT(COMPLEX(0,C169*Calculations!$B$184),COMPLEX((Calculations!$B$197+Calculations!$B$199),C169*Calculations!$B$195*Calculations!$B$197*Calculations!$B$199))))</f>
        <v>-1.42674946496323+241.722527613214i</v>
      </c>
      <c r="V169" s="1">
        <f>20*LOG10(IMABS(U169))</f>
        <v>47.666493837155272</v>
      </c>
      <c r="W169" s="1">
        <f>IMARGUMENT(U169)*(180/PI())</f>
        <v>90.338180203049703</v>
      </c>
      <c r="X169" s="1" t="str">
        <f>IMPRODUCT(U169,R169)</f>
        <v>21.8676316317935+6906.1501308712i</v>
      </c>
      <c r="Y169" s="1">
        <f>20*LOG10(IMABS(X169))</f>
        <v>76.784763844977263</v>
      </c>
      <c r="Z169" s="1">
        <f>IMARGUMENT(X169)*(180/PI())</f>
        <v>89.818579267837222</v>
      </c>
    </row>
    <row r="170" spans="2:93" x14ac:dyDescent="0.15">
      <c r="B170" s="1">
        <v>2</v>
      </c>
      <c r="C170" s="1">
        <f t="shared" si="68"/>
        <v>12.566370614359172</v>
      </c>
      <c r="D170" s="83" t="str">
        <f t="shared" si="69"/>
        <v>3.85645665807922-0.131911814055022i</v>
      </c>
      <c r="E170" s="1">
        <f t="shared" si="70"/>
        <v>11.728847424748587</v>
      </c>
      <c r="F170" s="1">
        <f t="shared" si="71"/>
        <v>-1.9590637995323981</v>
      </c>
      <c r="G170" s="1" t="str">
        <f t="shared" si="72"/>
        <v>189.01189744685+3.21596765721544i</v>
      </c>
      <c r="H170" s="1">
        <f t="shared" ref="H170:H228" si="77">20*LOG10(IMABS(G170))</f>
        <v>45.531039928687029</v>
      </c>
      <c r="I170" s="1">
        <f t="shared" ref="I170:I223" si="78">IMARGUMENT(G170)*(180/PI())</f>
        <v>0.97477247891103569</v>
      </c>
      <c r="J170" s="83" t="str">
        <f t="shared" si="73"/>
        <v>135.007680298004-0.0194428478305438i</v>
      </c>
      <c r="K170" s="1">
        <f t="shared" ref="K170:K228" si="79">20*LOG10(IMABS(J170))</f>
        <v>42.607169595699816</v>
      </c>
      <c r="L170" s="1">
        <f t="shared" ref="L170:L223" si="80">IMARGUMENT(J170)*(180/PI())</f>
        <v>-8.2513314223681081E-3</v>
      </c>
      <c r="M170" s="1">
        <f t="shared" si="74"/>
        <v>0.192</v>
      </c>
      <c r="N170" s="1">
        <f t="shared" si="75"/>
        <v>2.5000000000000001E-2</v>
      </c>
      <c r="O170" s="1" t="str">
        <f t="shared" si="76"/>
        <v>2.35247524647624-1125.56541806524i</v>
      </c>
      <c r="P170" s="1">
        <f t="shared" ref="P170:P228" si="81">20*LOG(IMABS(O170))</f>
        <v>61.027433797952796</v>
      </c>
      <c r="Q170" s="1">
        <f t="shared" ref="Q170:Q223" si="82">IMARGUMENT(O170)*(180/PI())</f>
        <v>-89.880249779703774</v>
      </c>
      <c r="R170" s="1" t="str">
        <f t="shared" ref="R170:R223" si="83">IMDIV(IMPRODUCT(O170,J170,COMPLEX(M170,0)),IMSUM(COMPLEX(1,0),IMPRODUCT(G170,O170,COMPLEX(M170,0),COMPLEX(N170,0))))</f>
        <v>28.5618752454452-0.51805276762126i</v>
      </c>
      <c r="S170" s="1">
        <f t="shared" ref="S170:S228" si="84">20*LOG10(IMABS(R170))</f>
        <v>29.117162881289943</v>
      </c>
      <c r="T170" s="1">
        <f t="shared" ref="T170:T223" si="85">IMARGUMENT(R170)*(180/PI())</f>
        <v>-1.0391118420970309</v>
      </c>
      <c r="U170" s="1" t="str">
        <f>IMPRODUCT(COMPLEX(-1,0),IMDIV(COMPLEX(1,C170*Calculations!$B$195*Calculations!$B$197),IMPRODUCT(COMPLEX(0,C170*Calculations!$B$184),COMPLEX((Calculations!$B$197+Calculations!$B$199),C170*Calculations!$B$195*Calculations!$B$197*Calculations!$B$199))))</f>
        <v>-1.42674946490248+120.861271869539i</v>
      </c>
      <c r="V170" s="1">
        <f t="shared" ref="V170:V228" si="86">20*LOG10(IMABS(U170))</f>
        <v>41.646348370583283</v>
      </c>
      <c r="W170" s="1">
        <f t="shared" ref="W170:W224" si="87">IMARGUMENT(U170)*(180/PI())</f>
        <v>90.676336799667567</v>
      </c>
      <c r="X170" s="1" t="str">
        <f t="shared" ref="X170:X224" si="88">IMPRODUCT(U170,R170)</f>
        <v>21.8618761671899+3452.7637006526i</v>
      </c>
      <c r="Y170" s="1">
        <f t="shared" ref="Y170:Y228" si="89">20*LOG10(IMABS(X170))</f>
        <v>70.763511251873211</v>
      </c>
      <c r="Z170" s="1">
        <f t="shared" ref="Z170:Z224" si="90">IMARGUMENT(X170)*(180/PI())</f>
        <v>89.637224957570538</v>
      </c>
    </row>
    <row r="171" spans="2:93" x14ac:dyDescent="0.15">
      <c r="B171" s="1">
        <v>3</v>
      </c>
      <c r="C171" s="1">
        <f t="shared" si="68"/>
        <v>18.849555921538759</v>
      </c>
      <c r="D171" s="83" t="str">
        <f t="shared" si="69"/>
        <v>3.85078781091046-0.197574600273645i</v>
      </c>
      <c r="E171" s="1">
        <f t="shared" si="70"/>
        <v>11.722409409179715</v>
      </c>
      <c r="F171" s="1">
        <f t="shared" si="71"/>
        <v>-2.9371322453315907</v>
      </c>
      <c r="G171" s="1" t="str">
        <f t="shared" si="72"/>
        <v>189.013774804473+4.82396209132371i</v>
      </c>
      <c r="H171" s="1">
        <f t="shared" si="77"/>
        <v>45.532697008490707</v>
      </c>
      <c r="I171" s="1">
        <f t="shared" si="78"/>
        <v>1.4619711274832681</v>
      </c>
      <c r="J171" s="83" t="str">
        <f t="shared" si="73"/>
        <v>135.007998911263-0.0291645110361403i</v>
      </c>
      <c r="K171" s="1">
        <f t="shared" si="79"/>
        <v>42.60719020665374</v>
      </c>
      <c r="L171" s="1">
        <f t="shared" si="80"/>
        <v>-1.237706936934492E-2</v>
      </c>
      <c r="M171" s="1">
        <f t="shared" si="74"/>
        <v>0.192</v>
      </c>
      <c r="N171" s="1">
        <f t="shared" si="75"/>
        <v>2.5000000000000001E-2</v>
      </c>
      <c r="O171" s="1" t="str">
        <f t="shared" si="76"/>
        <v>2.35247524516564-750.376986763732i</v>
      </c>
      <c r="P171" s="1">
        <f t="shared" si="81"/>
        <v>57.505632809633774</v>
      </c>
      <c r="Q171" s="1">
        <f t="shared" si="82"/>
        <v>-89.820375006498253</v>
      </c>
      <c r="R171" s="1" t="str">
        <f t="shared" si="83"/>
        <v>28.5499427343362-0.776748802755509i</v>
      </c>
      <c r="S171" s="1">
        <f t="shared" si="84"/>
        <v>29.115318300033035</v>
      </c>
      <c r="T171" s="1">
        <f t="shared" si="85"/>
        <v>-1.5584427843191919</v>
      </c>
      <c r="U171" s="1" t="str">
        <f>IMPRODUCT(COMPLEX(-1,0),IMDIV(COMPLEX(1,C171*Calculations!$B$195*Calculations!$B$197),IMPRODUCT(COMPLEX(0,C171*Calculations!$B$184),COMPLEX((Calculations!$B$197+Calculations!$B$199),C171*Calculations!$B$195*Calculations!$B$197*Calculations!$B$199))))</f>
        <v>-1.42674946480121+80.5741902051716i</v>
      </c>
      <c r="V171" s="1">
        <f t="shared" si="86"/>
        <v>38.125280494990584</v>
      </c>
      <c r="W171" s="1">
        <f t="shared" si="87"/>
        <v>91.014446193300927</v>
      </c>
      <c r="X171" s="1" t="str">
        <f t="shared" si="88"/>
        <v>21.8522902585423+2301.49674216178i</v>
      </c>
      <c r="Y171" s="1">
        <f t="shared" si="89"/>
        <v>67.240598795023615</v>
      </c>
      <c r="Z171" s="1">
        <f t="shared" si="90"/>
        <v>89.456003408981744</v>
      </c>
    </row>
    <row r="172" spans="2:93" x14ac:dyDescent="0.15">
      <c r="B172" s="1">
        <v>4</v>
      </c>
      <c r="C172" s="1">
        <f t="shared" si="68"/>
        <v>25.132741228718345</v>
      </c>
      <c r="D172" s="83" t="str">
        <f t="shared" si="69"/>
        <v>3.84287958314291-0.262887582839184i</v>
      </c>
      <c r="E172" s="1">
        <f t="shared" si="70"/>
        <v>11.713412192768597</v>
      </c>
      <c r="F172" s="1">
        <f t="shared" si="71"/>
        <v>-3.9134503670960648</v>
      </c>
      <c r="G172" s="1" t="str">
        <f t="shared" si="72"/>
        <v>189.016403130828+6.43196925212884i</v>
      </c>
      <c r="H172" s="1">
        <f t="shared" si="77"/>
        <v>45.535015884323073</v>
      </c>
      <c r="I172" s="1">
        <f t="shared" si="78"/>
        <v>1.9489448568817469</v>
      </c>
      <c r="J172" s="83" t="str">
        <f t="shared" si="73"/>
        <v>135.008444972162-0.0388864613944246i</v>
      </c>
      <c r="K172" s="1">
        <f t="shared" si="79"/>
        <v>42.607219062062711</v>
      </c>
      <c r="L172" s="1">
        <f t="shared" si="80"/>
        <v>-1.6502894000038338E-2</v>
      </c>
      <c r="M172" s="1">
        <f t="shared" si="74"/>
        <v>0.192</v>
      </c>
      <c r="N172" s="1">
        <f t="shared" si="75"/>
        <v>2.5000000000000001E-2</v>
      </c>
      <c r="O172" s="1" t="str">
        <f t="shared" si="76"/>
        <v>2.3524752433308-562.782783529052i</v>
      </c>
      <c r="P172" s="1">
        <f t="shared" si="81"/>
        <v>55.006891947153811</v>
      </c>
      <c r="Q172" s="1">
        <f t="shared" si="82"/>
        <v>-89.760500637618733</v>
      </c>
      <c r="R172" s="1" t="str">
        <f t="shared" si="83"/>
        <v>28.5332542687721-1.03504904890138i</v>
      </c>
      <c r="S172" s="1">
        <f t="shared" si="84"/>
        <v>29.11273720737104</v>
      </c>
      <c r="T172" s="1">
        <f t="shared" si="85"/>
        <v>-2.077504009296673</v>
      </c>
      <c r="U172" s="1" t="str">
        <f>IMPRODUCT(COMPLEX(-1,0),IMDIV(COMPLEX(1,C172*Calculations!$B$195*Calculations!$B$197),IMPRODUCT(COMPLEX(0,C172*Calculations!$B$184),COMPLEX((Calculations!$B$197+Calculations!$B$199),C172*Calculations!$B$195*Calculations!$B$197*Calculations!$B$199))))</f>
        <v>-1.42674946465946+60.4306520606326i</v>
      </c>
      <c r="V172" s="1">
        <f t="shared" si="86"/>
        <v>35.627565768748859</v>
      </c>
      <c r="W172" s="1">
        <f t="shared" si="87"/>
        <v>91.352484807145174</v>
      </c>
      <c r="X172" s="1" t="str">
        <f t="shared" si="88"/>
        <v>21.8388836868851+1725.75991655014i</v>
      </c>
      <c r="Y172" s="1">
        <f t="shared" si="89"/>
        <v>64.740302976119878</v>
      </c>
      <c r="Z172" s="1">
        <f t="shared" si="90"/>
        <v>89.274980797848514</v>
      </c>
    </row>
    <row r="173" spans="2:93" x14ac:dyDescent="0.15">
      <c r="B173" s="1">
        <v>5</v>
      </c>
      <c r="C173" s="1">
        <f t="shared" si="68"/>
        <v>31.415926535897931</v>
      </c>
      <c r="D173" s="83" t="str">
        <f t="shared" si="69"/>
        <v>3.83275983412444-0.327737370302591i</v>
      </c>
      <c r="E173" s="1">
        <f t="shared" si="70"/>
        <v>11.701871667499624</v>
      </c>
      <c r="F173" s="1">
        <f t="shared" si="71"/>
        <v>-4.8874443694589669</v>
      </c>
      <c r="G173" s="1" t="str">
        <f t="shared" si="72"/>
        <v>189.019782451595+8.03999338202312i</v>
      </c>
      <c r="H173" s="1">
        <f t="shared" si="77"/>
        <v>45.537995522163357</v>
      </c>
      <c r="I173" s="1">
        <f t="shared" si="78"/>
        <v>2.4356190100659072</v>
      </c>
      <c r="J173" s="83" t="str">
        <f t="shared" si="73"/>
        <v>135.00901848304-0.0486087946299195i</v>
      </c>
      <c r="K173" s="1">
        <f t="shared" si="79"/>
        <v>42.60725616200034</v>
      </c>
      <c r="L173" s="1">
        <f t="shared" si="80"/>
        <v>-2.062883421020922E-2</v>
      </c>
      <c r="M173" s="1">
        <f t="shared" si="74"/>
        <v>0.192</v>
      </c>
      <c r="N173" s="1">
        <f t="shared" si="75"/>
        <v>2.5000000000000001E-2</v>
      </c>
      <c r="O173" s="1" t="str">
        <f t="shared" si="76"/>
        <v>2.3524752409717-450.2262715211i</v>
      </c>
      <c r="P173" s="1">
        <f t="shared" si="81"/>
        <v>53.068735233343631</v>
      </c>
      <c r="Q173" s="1">
        <f t="shared" si="82"/>
        <v>-89.700626807832194</v>
      </c>
      <c r="R173" s="1" t="str">
        <f t="shared" si="83"/>
        <v>28.5118268465723-1.29282262302744i</v>
      </c>
      <c r="S173" s="1">
        <f t="shared" si="84"/>
        <v>29.109420921706004</v>
      </c>
      <c r="T173" s="1">
        <f t="shared" si="85"/>
        <v>-2.5962060394893909</v>
      </c>
      <c r="U173" s="1" t="str">
        <f>IMPRODUCT(COMPLEX(-1,0),IMDIV(COMPLEX(1,C173*Calculations!$B$195*Calculations!$B$197),IMPRODUCT(COMPLEX(0,C173*Calculations!$B$184),COMPLEX((Calculations!$B$197+Calculations!$B$199),C173*Calculations!$B$195*Calculations!$B$197*Calculations!$B$199))))</f>
        <v>-1.4267494644772+48.3445313240239i</v>
      </c>
      <c r="V173" s="1">
        <f t="shared" si="86"/>
        <v>33.69072799329556</v>
      </c>
      <c r="W173" s="1">
        <f t="shared" si="87"/>
        <v>91.690429093991909</v>
      </c>
      <c r="X173" s="1" t="str">
        <f t="shared" si="88"/>
        <v>21.8216701107431+1380.23544007433i</v>
      </c>
      <c r="Y173" s="1">
        <f t="shared" si="89"/>
        <v>62.800148915001571</v>
      </c>
      <c r="Z173" s="1">
        <f t="shared" si="90"/>
        <v>89.094223054502521</v>
      </c>
    </row>
    <row r="174" spans="2:93" x14ac:dyDescent="0.15">
      <c r="B174" s="1">
        <v>6</v>
      </c>
      <c r="C174" s="1">
        <f t="shared" si="68"/>
        <v>37.699111843077517</v>
      </c>
      <c r="D174" s="83" t="str">
        <f t="shared" si="69"/>
        <v>3.82046396150945-0.392013271494908i</v>
      </c>
      <c r="E174" s="1">
        <f t="shared" si="70"/>
        <v>11.687808105496099</v>
      </c>
      <c r="F174" s="1">
        <f t="shared" si="71"/>
        <v>-5.8585486155255779</v>
      </c>
      <c r="G174" s="1" t="str">
        <f t="shared" si="72"/>
        <v>189.023912799796+9.6480387235364i</v>
      </c>
      <c r="H174" s="1">
        <f t="shared" si="77"/>
        <v>45.541634595224288</v>
      </c>
      <c r="I174" s="1">
        <f t="shared" si="78"/>
        <v>2.9219191999501537</v>
      </c>
      <c r="J174" s="83" t="str">
        <f t="shared" si="73"/>
        <v>135.009719446903-0.0583316064734614i</v>
      </c>
      <c r="K174" s="1">
        <f t="shared" si="79"/>
        <v>42.607301506561214</v>
      </c>
      <c r="L174" s="1">
        <f t="shared" si="80"/>
        <v>-2.4754918896784908E-2</v>
      </c>
      <c r="M174" s="1">
        <f t="shared" si="74"/>
        <v>0.192</v>
      </c>
      <c r="N174" s="1">
        <f t="shared" si="75"/>
        <v>2.5000000000000001E-2</v>
      </c>
      <c r="O174" s="1" t="str">
        <f t="shared" si="76"/>
        <v>2.35247523808835-375.188605126512i</v>
      </c>
      <c r="P174" s="1">
        <f t="shared" si="81"/>
        <v>51.485163535115852</v>
      </c>
      <c r="Q174" s="1">
        <f t="shared" si="82"/>
        <v>-89.640753651898336</v>
      </c>
      <c r="R174" s="1" t="str">
        <f t="shared" si="83"/>
        <v>28.4856822478253-1.54993953441552i</v>
      </c>
      <c r="S174" s="1">
        <f t="shared" si="84"/>
        <v>29.105371134285591</v>
      </c>
      <c r="T174" s="1">
        <f t="shared" si="85"/>
        <v>-3.114459762989906</v>
      </c>
      <c r="U174" s="1" t="str">
        <f>IMPRODUCT(COMPLEX(-1,0),IMDIV(COMPLEX(1,C174*Calculations!$B$195*Calculations!$B$197),IMPRODUCT(COMPLEX(0,C174*Calculations!$B$184),COMPLEX((Calculations!$B$197+Calculations!$B$199),C174*Calculations!$B$195*Calculations!$B$197*Calculations!$B$199))))</f>
        <v>-1.42674946425443+40.2871192913807i</v>
      </c>
      <c r="V174" s="1">
        <f t="shared" si="86"/>
        <v>32.108767751159803</v>
      </c>
      <c r="W174" s="1">
        <f t="shared" si="87"/>
        <v>92.028255546046211</v>
      </c>
      <c r="X174" s="1" t="str">
        <f t="shared" si="88"/>
        <v>21.8006670314184+1149.81745421486i</v>
      </c>
      <c r="Y174" s="1">
        <f t="shared" si="89"/>
        <v>61.214138885445415</v>
      </c>
      <c r="Z174" s="1">
        <f t="shared" si="90"/>
        <v>88.913795783056329</v>
      </c>
    </row>
    <row r="175" spans="2:93" x14ac:dyDescent="0.15">
      <c r="B175" s="1">
        <v>7</v>
      </c>
      <c r="C175" s="1">
        <f t="shared" si="68"/>
        <v>43.982297150257104</v>
      </c>
      <c r="D175" s="83" t="str">
        <f t="shared" si="69"/>
        <v>3.80603459463564-0.455607908175577i</v>
      </c>
      <c r="E175" s="1">
        <f t="shared" si="70"/>
        <v>11.671246041416865</v>
      </c>
      <c r="F175" s="1">
        <f t="shared" si="71"/>
        <v>-6.826207531724485</v>
      </c>
      <c r="G175" s="1" t="str">
        <f t="shared" si="72"/>
        <v>189.02879421579+11.25610951937i</v>
      </c>
      <c r="H175" s="1">
        <f t="shared" si="77"/>
        <v>45.545931485941125</v>
      </c>
      <c r="I175" s="1">
        <f t="shared" si="78"/>
        <v>3.4077713757506767</v>
      </c>
      <c r="J175" s="83" t="str">
        <f t="shared" si="73"/>
        <v>135.010547867425-0.0680549926628338i</v>
      </c>
      <c r="K175" s="1">
        <f t="shared" si="79"/>
        <v>42.607355095860918</v>
      </c>
      <c r="L175" s="1">
        <f t="shared" si="80"/>
        <v>-2.8881176957749666E-2</v>
      </c>
      <c r="M175" s="1">
        <f t="shared" si="74"/>
        <v>0.192</v>
      </c>
      <c r="N175" s="1">
        <f t="shared" si="75"/>
        <v>2.5000000000000001E-2</v>
      </c>
      <c r="O175" s="1" t="str">
        <f t="shared" si="76"/>
        <v>2.35247523468077-321.590279082421i</v>
      </c>
      <c r="P175" s="1">
        <f t="shared" si="81"/>
        <v>50.146290641246352</v>
      </c>
      <c r="Q175" s="1">
        <f t="shared" si="82"/>
        <v>-89.58088130456791</v>
      </c>
      <c r="R175" s="1" t="str">
        <f t="shared" si="83"/>
        <v>28.4548469796868-1.80627090177413i</v>
      </c>
      <c r="S175" s="1">
        <f t="shared" si="84"/>
        <v>29.100589906341764</v>
      </c>
      <c r="T175" s="1">
        <f t="shared" si="85"/>
        <v>-3.6321765231851466</v>
      </c>
      <c r="U175" s="1" t="str">
        <f>IMPRODUCT(COMPLEX(-1,0),IMDIV(COMPLEX(1,C175*Calculations!$B$195*Calculations!$B$197),IMPRODUCT(COMPLEX(0,C175*Calculations!$B$184),COMPLEX((Calculations!$B$197+Calculations!$B$199),C175*Calculations!$B$195*Calculations!$B$197*Calculations!$B$199))))</f>
        <v>-1.42674946399116+34.5318265181464i</v>
      </c>
      <c r="V175" s="1">
        <f t="shared" si="86"/>
        <v>30.771798483941414</v>
      </c>
      <c r="W175" s="1">
        <f t="shared" si="87"/>
        <v>92.365940704702908</v>
      </c>
      <c r="X175" s="1" t="str">
        <f t="shared" si="88"/>
        <v>21.7758957486215+985.174935543876i</v>
      </c>
      <c r="Y175" s="1">
        <f t="shared" si="89"/>
        <v>59.872388390283184</v>
      </c>
      <c r="Z175" s="1">
        <f t="shared" si="90"/>
        <v>88.733764181517785</v>
      </c>
    </row>
    <row r="176" spans="2:93" x14ac:dyDescent="0.15">
      <c r="B176" s="1">
        <v>8</v>
      </c>
      <c r="C176" s="1">
        <f t="shared" si="68"/>
        <v>50.26548245743669</v>
      </c>
      <c r="D176" s="83" t="str">
        <f t="shared" si="69"/>
        <v>3.78952123001678-0.518417787990032i</v>
      </c>
      <c r="E176" s="1">
        <f t="shared" si="70"/>
        <v>11.652214131667488</v>
      </c>
      <c r="F176" s="1">
        <f t="shared" si="71"/>
        <v>-7.7898774260489256</v>
      </c>
      <c r="G176" s="1" t="str">
        <f t="shared" si="72"/>
        <v>189.034426747276+12.864210012431i</v>
      </c>
      <c r="H176" s="1">
        <f t="shared" si="77"/>
        <v>45.550884288390364</v>
      </c>
      <c r="I176" s="1">
        <f t="shared" si="78"/>
        <v>3.8931018885781126</v>
      </c>
      <c r="J176" s="83" t="str">
        <f t="shared" si="73"/>
        <v>135.011503748947-0.0777790489456323i</v>
      </c>
      <c r="K176" s="1">
        <f t="shared" si="79"/>
        <v>42.607416930035996</v>
      </c>
      <c r="L176" s="1">
        <f t="shared" si="80"/>
        <v>-3.3007637292982443E-2</v>
      </c>
      <c r="M176" s="1">
        <f t="shared" si="74"/>
        <v>0.192</v>
      </c>
      <c r="N176" s="1">
        <f t="shared" si="75"/>
        <v>2.5000000000000001E-2</v>
      </c>
      <c r="O176" s="1" t="str">
        <f t="shared" si="76"/>
        <v>2.35247523074895-281.391540757387i</v>
      </c>
      <c r="P176" s="1">
        <f t="shared" si="81"/>
        <v>48.986524276032824</v>
      </c>
      <c r="Q176" s="1">
        <f t="shared" si="82"/>
        <v>-89.521009900580793</v>
      </c>
      <c r="R176" s="1" t="str">
        <f t="shared" si="83"/>
        <v>28.4193522094439-2.06168916642925i</v>
      </c>
      <c r="S176" s="1">
        <f t="shared" si="84"/>
        <v>29.095079665613994</v>
      </c>
      <c r="T176" s="1">
        <f t="shared" si="85"/>
        <v>-4.1492682072672942</v>
      </c>
      <c r="U176" s="1" t="str">
        <f>IMPRODUCT(COMPLEX(-1,0),IMDIV(COMPLEX(1,C176*Calculations!$B$195*Calculations!$B$197),IMPRODUCT(COMPLEX(0,C176*Calculations!$B$184),COMPLEX((Calculations!$B$197+Calculations!$B$199),C176*Calculations!$B$195*Calculations!$B$197*Calculations!$B$199))))</f>
        <v>-1.42674946368739+30.2153582820426i</v>
      </c>
      <c r="V176" s="1">
        <f t="shared" si="86"/>
        <v>29.6142275062113</v>
      </c>
      <c r="W176" s="1">
        <f t="shared" si="87"/>
        <v>92.703461170271325</v>
      </c>
      <c r="X176" s="1" t="str">
        <f t="shared" si="88"/>
        <v>21.7473813066984+861.6424230644i</v>
      </c>
      <c r="Y176" s="1">
        <f t="shared" si="89"/>
        <v>58.709307171825301</v>
      </c>
      <c r="Z176" s="1">
        <f t="shared" si="90"/>
        <v>88.554192963004027</v>
      </c>
    </row>
    <row r="177" spans="2:26" x14ac:dyDescent="0.15">
      <c r="B177" s="1">
        <v>9</v>
      </c>
      <c r="C177" s="1">
        <f t="shared" si="68"/>
        <v>56.548667764616276</v>
      </c>
      <c r="D177" s="83" t="str">
        <f t="shared" si="69"/>
        <v>3.77097981468549-0.580343831642317i</v>
      </c>
      <c r="E177" s="1">
        <f t="shared" si="70"/>
        <v>11.630744992098778</v>
      </c>
      <c r="F177" s="1">
        <f t="shared" si="71"/>
        <v>-8.7490282054908715</v>
      </c>
      <c r="G177" s="1" t="str">
        <f t="shared" si="72"/>
        <v>189.040810449295+14.472344445867i</v>
      </c>
      <c r="H177" s="1">
        <f t="shared" si="77"/>
        <v>45.556490811130047</v>
      </c>
      <c r="I177" s="1">
        <f t="shared" si="78"/>
        <v>4.3778375561322971</v>
      </c>
      <c r="J177" s="83" t="str">
        <f t="shared" si="73"/>
        <v>135.012587096477-0.0875038710796661i</v>
      </c>
      <c r="K177" s="1">
        <f t="shared" si="79"/>
        <v>42.607487009243947</v>
      </c>
      <c r="L177" s="1">
        <f t="shared" si="80"/>
        <v>-3.7134328804048954E-2</v>
      </c>
      <c r="M177" s="1">
        <f t="shared" si="74"/>
        <v>0.192</v>
      </c>
      <c r="N177" s="1">
        <f t="shared" si="75"/>
        <v>2.5000000000000001E-2</v>
      </c>
      <c r="O177" s="1" t="str">
        <f t="shared" si="76"/>
        <v>2.35247522629286-250.125860911725i</v>
      </c>
      <c r="P177" s="1">
        <f t="shared" si="81"/>
        <v>47.963556076537699</v>
      </c>
      <c r="Q177" s="1">
        <f t="shared" si="82"/>
        <v>-89.461139574664301</v>
      </c>
      <c r="R177" s="1" t="str">
        <f t="shared" si="83"/>
        <v>28.3792336861608-2.31606830085959i</v>
      </c>
      <c r="S177" s="1">
        <f t="shared" si="84"/>
        <v>29.088843202269715</v>
      </c>
      <c r="T177" s="1">
        <f t="shared" si="85"/>
        <v>-4.665647333373399</v>
      </c>
      <c r="U177" s="1" t="str">
        <f>IMPRODUCT(COMPLEX(-1,0),IMDIV(COMPLEX(1,C177*Calculations!$B$195*Calculations!$B$197),IMPRODUCT(COMPLEX(0,C177*Calculations!$B$184),COMPLEX((Calculations!$B$197+Calculations!$B$199),C177*Calculations!$B$195*Calculations!$B$197*Calculations!$B$199))))</f>
        <v>-1.42674946334312+26.8581064040257i</v>
      </c>
      <c r="V177" s="1">
        <f t="shared" si="86"/>
        <v>28.593745983038591</v>
      </c>
      <c r="W177" s="1">
        <f t="shared" si="87"/>
        <v>93.04079361163889</v>
      </c>
      <c r="X177" s="1" t="str">
        <f t="shared" si="88"/>
        <v>21.715152431659+765.516927212935i</v>
      </c>
      <c r="Y177" s="1">
        <f t="shared" si="89"/>
        <v>57.682589185308316</v>
      </c>
      <c r="Z177" s="1">
        <f t="shared" si="90"/>
        <v>88.375146278265504</v>
      </c>
    </row>
    <row r="178" spans="2:26" x14ac:dyDescent="0.15">
      <c r="B178" s="1">
        <v>10</v>
      </c>
      <c r="C178" s="1">
        <f t="shared" si="68"/>
        <v>62.831853071795862</v>
      </c>
      <c r="D178" s="83" t="str">
        <f t="shared" si="69"/>
        <v>3.75047228380395-0.641291849096971i</v>
      </c>
      <c r="E178" s="1">
        <f t="shared" si="70"/>
        <v>11.606875016086388</v>
      </c>
      <c r="F178" s="1">
        <f t="shared" si="71"/>
        <v>-9.7031449800394984</v>
      </c>
      <c r="G178" s="1" t="str">
        <f t="shared" si="72"/>
        <v>189.04794538423+16.0805170631002i</v>
      </c>
      <c r="H178" s="1">
        <f t="shared" si="77"/>
        <v>45.56274858045284</v>
      </c>
      <c r="I178" s="1">
        <f t="shared" si="78"/>
        <v>4.8619057263586711</v>
      </c>
      <c r="J178" s="83" t="str">
        <f t="shared" si="73"/>
        <v>135.013797915697-0.0972295548348222i</v>
      </c>
      <c r="K178" s="1">
        <f t="shared" si="79"/>
        <v>42.607565333663629</v>
      </c>
      <c r="L178" s="1">
        <f t="shared" si="80"/>
        <v>-4.1261280394612312E-2</v>
      </c>
      <c r="M178" s="1">
        <f t="shared" si="74"/>
        <v>0.192</v>
      </c>
      <c r="N178" s="1">
        <f t="shared" si="75"/>
        <v>2.5000000000000001E-2</v>
      </c>
      <c r="O178" s="1" t="str">
        <f t="shared" si="76"/>
        <v>2.35247522131255-225.113322001624i</v>
      </c>
      <c r="P178" s="1">
        <f t="shared" si="81"/>
        <v>47.048498189339185</v>
      </c>
      <c r="Q178" s="1">
        <f t="shared" si="82"/>
        <v>-89.401270461531297</v>
      </c>
      <c r="R178" s="1" t="str">
        <f t="shared" si="83"/>
        <v>28.3345316512734-2.56928401187343i</v>
      </c>
      <c r="S178" s="1">
        <f t="shared" si="84"/>
        <v>29.081883664236781</v>
      </c>
      <c r="T178" s="1">
        <f t="shared" si="85"/>
        <v>-5.1812271361435682</v>
      </c>
      <c r="U178" s="1" t="str">
        <f>IMPRODUCT(COMPLEX(-1,0),IMDIV(COMPLEX(1,C178*Calculations!$B$195*Calculations!$B$197),IMPRODUCT(COMPLEX(0,C178*Calculations!$B$184),COMPLEX((Calculations!$B$197+Calculations!$B$199),C178*Calculations!$B$195*Calculations!$B$197*Calculations!$B$199))))</f>
        <v>-1.42674946295834+24.1723059766699i</v>
      </c>
      <c r="V178" s="1">
        <f t="shared" si="86"/>
        <v>27.681465527069125</v>
      </c>
      <c r="W178" s="1">
        <f t="shared" si="87"/>
        <v>93.377914775863502</v>
      </c>
      <c r="X178" s="1" t="str">
        <f t="shared" si="88"/>
        <v>21.6792414593401+688.576693364346i</v>
      </c>
      <c r="Y178" s="1">
        <f t="shared" si="89"/>
        <v>56.763349191305899</v>
      </c>
      <c r="Z178" s="1">
        <f t="shared" si="90"/>
        <v>88.196687639719954</v>
      </c>
    </row>
    <row r="179" spans="2:26" x14ac:dyDescent="0.15">
      <c r="B179" s="1">
        <v>20</v>
      </c>
      <c r="C179" s="1">
        <f t="shared" si="68"/>
        <v>125.66370614359172</v>
      </c>
      <c r="D179" s="83" t="str">
        <f t="shared" si="69"/>
        <v>3.45409560299756-1.18041810223031i</v>
      </c>
      <c r="E179" s="1">
        <f t="shared" si="70"/>
        <v>11.246399477354176</v>
      </c>
      <c r="F179" s="1">
        <f t="shared" si="71"/>
        <v>-18.867579735666833</v>
      </c>
      <c r="G179" s="1" t="str">
        <f t="shared" si="72"/>
        <v>189.160631520432+32.1652771622422i</v>
      </c>
      <c r="H179" s="1">
        <f t="shared" si="77"/>
        <v>45.660407249807882</v>
      </c>
      <c r="I179" s="1">
        <f t="shared" si="78"/>
        <v>9.6503915068298003</v>
      </c>
      <c r="J179" s="83" t="str">
        <f t="shared" si="73"/>
        <v>135.03291877772-0.194554862623387i</v>
      </c>
      <c r="K179" s="1">
        <f t="shared" si="79"/>
        <v>42.608802118822837</v>
      </c>
      <c r="L179" s="1">
        <f t="shared" si="80"/>
        <v>-8.2551461521635644E-2</v>
      </c>
      <c r="M179" s="1">
        <f t="shared" si="74"/>
        <v>0.192</v>
      </c>
      <c r="N179" s="1">
        <f t="shared" si="75"/>
        <v>2.5000000000000001E-2</v>
      </c>
      <c r="O179" s="1" t="str">
        <f t="shared" si="76"/>
        <v>2.35247514267598-112.557033482947i</v>
      </c>
      <c r="P179" s="1">
        <f t="shared" si="81"/>
        <v>41.029349449985006</v>
      </c>
      <c r="Q179" s="1">
        <f t="shared" si="82"/>
        <v>-88.802675656222604</v>
      </c>
      <c r="R179" s="1" t="str">
        <f t="shared" si="83"/>
        <v>27.6472542995845-5.01172112290098i</v>
      </c>
      <c r="S179" s="1">
        <f t="shared" si="84"/>
        <v>28.973455436456735</v>
      </c>
      <c r="T179" s="1">
        <f t="shared" si="85"/>
        <v>-10.274647444617466</v>
      </c>
      <c r="U179" s="1" t="str">
        <f>IMPRODUCT(COMPLEX(-1,0),IMDIV(COMPLEX(1,C179*Calculations!$B$195*Calculations!$B$197),IMPRODUCT(COMPLEX(0,C179*Calculations!$B$184),COMPLEX((Calculations!$B$197+Calculations!$B$199),C179*Calculations!$B$195*Calculations!$B$197*Calculations!$B$199))))</f>
        <v>-1.42674945688291+12.0862336176503i</v>
      </c>
      <c r="V179" s="1">
        <f t="shared" si="86"/>
        <v>21.705921730528942</v>
      </c>
      <c r="W179" s="1">
        <f t="shared" si="87"/>
        <v>96.732465157752742</v>
      </c>
      <c r="X179" s="1" t="str">
        <f t="shared" si="88"/>
        <v>21.1271272616581+341.301644741513i</v>
      </c>
      <c r="Y179" s="1">
        <f t="shared" si="89"/>
        <v>50.679377166985688</v>
      </c>
      <c r="Z179" s="1">
        <f t="shared" si="90"/>
        <v>86.457817713135285</v>
      </c>
    </row>
    <row r="180" spans="2:26" x14ac:dyDescent="0.15">
      <c r="B180" s="1">
        <v>30</v>
      </c>
      <c r="C180" s="1">
        <f t="shared" si="68"/>
        <v>188.49555921538757</v>
      </c>
      <c r="D180" s="83" t="str">
        <f t="shared" si="69"/>
        <v>3.05276251584809-1.5631086303784i</v>
      </c>
      <c r="E180" s="1">
        <f t="shared" si="70"/>
        <v>10.705058233487941</v>
      </c>
      <c r="F180" s="1">
        <f t="shared" si="71"/>
        <v>-27.113847526892304</v>
      </c>
      <c r="G180" s="1" t="str">
        <f t="shared" si="72"/>
        <v>189.348564147921+48.2585267671308i</v>
      </c>
      <c r="H180" s="1">
        <f t="shared" si="77"/>
        <v>45.818559906678225</v>
      </c>
      <c r="I180" s="1">
        <f t="shared" si="78"/>
        <v>14.298347175529216</v>
      </c>
      <c r="J180" s="83" t="str">
        <f t="shared" si="73"/>
        <v>135.064798018859-0.292071827632098i</v>
      </c>
      <c r="K180" s="1">
        <f t="shared" si="79"/>
        <v>42.61086377774717</v>
      </c>
      <c r="L180" s="1">
        <f t="shared" si="80"/>
        <v>-0.12389947046762598</v>
      </c>
      <c r="M180" s="1">
        <f t="shared" si="74"/>
        <v>0.192</v>
      </c>
      <c r="N180" s="1">
        <f t="shared" si="75"/>
        <v>2.5000000000000001E-2</v>
      </c>
      <c r="O180" s="1" t="str">
        <f t="shared" si="76"/>
        <v>2.35247501161503-75.0384361909661i</v>
      </c>
      <c r="P180" s="1">
        <f t="shared" si="81"/>
        <v>37.509941814823136</v>
      </c>
      <c r="Q180" s="1">
        <f t="shared" si="82"/>
        <v>-88.204350137224253</v>
      </c>
      <c r="R180" s="1" t="str">
        <f t="shared" si="83"/>
        <v>26.5742799310568-7.22053433778485i</v>
      </c>
      <c r="S180" s="1">
        <f t="shared" si="84"/>
        <v>28.798573610398922</v>
      </c>
      <c r="T180" s="1">
        <f t="shared" si="85"/>
        <v>-15.200928181196049</v>
      </c>
      <c r="U180" s="1" t="str">
        <f>IMPRODUCT(COMPLEX(-1,0),IMDIV(COMPLEX(1,C180*Calculations!$B$195*Calculations!$B$197),IMPRODUCT(COMPLEX(0,C180*Calculations!$B$184),COMPLEX((Calculations!$B$197+Calculations!$B$199),C180*Calculations!$B$195*Calculations!$B$197*Calculations!$B$199))))</f>
        <v>-1.42674944675719+8.05757866656069i</v>
      </c>
      <c r="V180" s="1">
        <f t="shared" si="86"/>
        <v>18.258166640151284</v>
      </c>
      <c r="W180" s="1">
        <f t="shared" si="87"/>
        <v>100.04124149682123</v>
      </c>
      <c r="X180" s="1" t="str">
        <f t="shared" si="88"/>
        <v>20.2651842516981+224.426244423421i</v>
      </c>
      <c r="Y180" s="1">
        <f t="shared" si="89"/>
        <v>47.056740250550206</v>
      </c>
      <c r="Z180" s="1">
        <f t="shared" si="90"/>
        <v>84.840313315625195</v>
      </c>
    </row>
    <row r="181" spans="2:26" x14ac:dyDescent="0.15">
      <c r="B181" s="1">
        <v>40</v>
      </c>
      <c r="C181" s="1">
        <f t="shared" si="68"/>
        <v>251.32741228718345</v>
      </c>
      <c r="D181" s="83" t="str">
        <f t="shared" si="69"/>
        <v>2.62666214357087-1.79037814903892i</v>
      </c>
      <c r="E181" s="1">
        <f t="shared" si="70"/>
        <v>10.045280630843344</v>
      </c>
      <c r="F181" s="1">
        <f t="shared" si="71"/>
        <v>-34.279016023750003</v>
      </c>
      <c r="G181" s="1" t="str">
        <f t="shared" si="72"/>
        <v>189.611927116918+64.364519219972i</v>
      </c>
      <c r="H181" s="1">
        <f t="shared" si="77"/>
        <v>46.03095354570933</v>
      </c>
      <c r="I181" s="1">
        <f t="shared" si="78"/>
        <v>18.749984563532031</v>
      </c>
      <c r="J181" s="83" t="str">
        <f t="shared" si="73"/>
        <v>135.109452359833-0.389876657159137i</v>
      </c>
      <c r="K181" s="1">
        <f t="shared" si="79"/>
        <v>42.613750836217299</v>
      </c>
      <c r="L181" s="1">
        <f t="shared" si="80"/>
        <v>-0.16533428707756434</v>
      </c>
      <c r="M181" s="1">
        <f t="shared" si="74"/>
        <v>0.192</v>
      </c>
      <c r="N181" s="1">
        <f t="shared" si="75"/>
        <v>2.5000000000000001E-2</v>
      </c>
      <c r="O181" s="1" t="str">
        <f t="shared" si="76"/>
        <v>2.35247482812972-56.2792617056183i</v>
      </c>
      <c r="P181" s="1">
        <f t="shared" si="81"/>
        <v>35.014549387266463</v>
      </c>
      <c r="Q181" s="1">
        <f t="shared" si="82"/>
        <v>-87.606428098268054</v>
      </c>
      <c r="R181" s="1" t="str">
        <f t="shared" si="83"/>
        <v>25.2072241615453-9.12276778667274i</v>
      </c>
      <c r="S181" s="1">
        <f t="shared" si="84"/>
        <v>28.565047644051489</v>
      </c>
      <c r="T181" s="1">
        <f t="shared" si="85"/>
        <v>-19.895739487338997</v>
      </c>
      <c r="U181" s="1" t="str">
        <f>IMPRODUCT(COMPLEX(-1,0),IMDIV(COMPLEX(1,C181*Calculations!$B$195*Calculations!$B$197),IMPRODUCT(COMPLEX(0,C181*Calculations!$B$184),COMPLEX((Calculations!$B$197+Calculations!$B$199),C181*Calculations!$B$195*Calculations!$B$197*Calculations!$B$199))))</f>
        <v>-1.42674943258119+6.0432780674525i</v>
      </c>
      <c r="V181" s="1">
        <f t="shared" si="86"/>
        <v>15.861012501451221</v>
      </c>
      <c r="W181" s="1">
        <f t="shared" si="87"/>
        <v>103.28364815480812</v>
      </c>
      <c r="X181" s="1" t="str">
        <f t="shared" si="88"/>
        <v>19.1670297102299+165.350168680031i</v>
      </c>
      <c r="Y181" s="1">
        <f t="shared" si="89"/>
        <v>44.426060145502724</v>
      </c>
      <c r="Z181" s="1">
        <f t="shared" si="90"/>
        <v>83.387908667469148</v>
      </c>
    </row>
    <row r="182" spans="2:26" x14ac:dyDescent="0.15">
      <c r="B182" s="1">
        <v>50</v>
      </c>
      <c r="C182" s="1">
        <f t="shared" si="68"/>
        <v>314.15926535897933</v>
      </c>
      <c r="D182" s="83" t="str">
        <f t="shared" si="69"/>
        <v>2.22824275147722-1.89461946999664i</v>
      </c>
      <c r="E182" s="1">
        <f t="shared" si="70"/>
        <v>9.3220217954695386</v>
      </c>
      <c r="F182" s="1">
        <f t="shared" si="71"/>
        <v>-40.373688138221617</v>
      </c>
      <c r="G182" s="1" t="str">
        <f t="shared" si="72"/>
        <v>189.95097831754+80.4875181846717i</v>
      </c>
      <c r="H182" s="1">
        <f t="shared" si="77"/>
        <v>46.289976880400225</v>
      </c>
      <c r="I182" s="1">
        <f t="shared" si="78"/>
        <v>22.963725881318602</v>
      </c>
      <c r="J182" s="83" t="str">
        <f t="shared" si="73"/>
        <v>135.166905237831-0.488066014058824i</v>
      </c>
      <c r="K182" s="1">
        <f t="shared" si="79"/>
        <v>42.617464030911954</v>
      </c>
      <c r="L182" s="1">
        <f t="shared" si="80"/>
        <v>-0.20688497045558002</v>
      </c>
      <c r="M182" s="1">
        <f t="shared" si="74"/>
        <v>0.192</v>
      </c>
      <c r="N182" s="1">
        <f t="shared" si="75"/>
        <v>2.5000000000000001E-2</v>
      </c>
      <c r="O182" s="1" t="str">
        <f t="shared" si="76"/>
        <v>2.35247459222009-45.0238563428768i</v>
      </c>
      <c r="P182" s="1">
        <f t="shared" si="81"/>
        <v>33.080693936677612</v>
      </c>
      <c r="Q182" s="1">
        <f t="shared" si="82"/>
        <v>-87.009043195456215</v>
      </c>
      <c r="R182" s="1" t="str">
        <f t="shared" si="83"/>
        <v>23.6470396640746-10.6835953322371i</v>
      </c>
      <c r="S182" s="1">
        <f t="shared" si="84"/>
        <v>28.282226074502304</v>
      </c>
      <c r="T182" s="1">
        <f t="shared" si="85"/>
        <v>-24.313176461430245</v>
      </c>
      <c r="U182" s="1" t="str">
        <f>IMPRODUCT(COMPLEX(-1,0),IMDIV(COMPLEX(1,C182*Calculations!$B$195*Calculations!$B$197),IMPRODUCT(COMPLEX(0,C182*Calculations!$B$184),COMPLEX((Calculations!$B$197+Calculations!$B$199),C182*Calculations!$B$195*Calculations!$B$197*Calculations!$B$199))))</f>
        <v>-1.42674941435491+4.83471920913552i</v>
      </c>
      <c r="V182" s="1">
        <f t="shared" si="86"/>
        <v>14.050067796465219</v>
      </c>
      <c r="W182" s="1">
        <f t="shared" si="87"/>
        <v>106.44158915330388</v>
      </c>
      <c r="X182" s="1" t="str">
        <f t="shared" si="88"/>
        <v>17.9137835834515+129.569610286565i</v>
      </c>
      <c r="Y182" s="1">
        <f t="shared" si="89"/>
        <v>42.332293870967504</v>
      </c>
      <c r="Z182" s="1">
        <f t="shared" si="90"/>
        <v>82.128412691873649</v>
      </c>
    </row>
    <row r="183" spans="2:26" x14ac:dyDescent="0.15">
      <c r="B183" s="1">
        <v>60</v>
      </c>
      <c r="C183" s="1">
        <f t="shared" si="68"/>
        <v>376.99111843077515</v>
      </c>
      <c r="D183" s="83" t="str">
        <f t="shared" si="69"/>
        <v>1.88109154779402-1.91453830141189i</v>
      </c>
      <c r="E183" s="1">
        <f t="shared" si="70"/>
        <v>8.5757143252069472</v>
      </c>
      <c r="F183" s="1">
        <f t="shared" si="71"/>
        <v>-45.504872260355206</v>
      </c>
      <c r="G183" s="1" t="str">
        <f t="shared" si="72"/>
        <v>190.366050181539+96.6318011116017i</v>
      </c>
      <c r="H183" s="1">
        <f t="shared" si="77"/>
        <v>46.587451450300613</v>
      </c>
      <c r="I183" s="1">
        <f t="shared" si="78"/>
        <v>26.912826665628593</v>
      </c>
      <c r="J183" s="83" t="str">
        <f t="shared" si="73"/>
        <v>135.237186834739-0.586737170506657i</v>
      </c>
      <c r="K183" s="1">
        <f t="shared" si="79"/>
        <v>42.622004309993414</v>
      </c>
      <c r="L183" s="1">
        <f t="shared" si="80"/>
        <v>-0.24858068562293456</v>
      </c>
      <c r="M183" s="1">
        <f t="shared" si="74"/>
        <v>0.192</v>
      </c>
      <c r="N183" s="1">
        <f t="shared" si="75"/>
        <v>2.5000000000000001E-2</v>
      </c>
      <c r="O183" s="1" t="str">
        <f t="shared" si="76"/>
        <v>2.35247430388616-37.5203355413888i</v>
      </c>
      <c r="P183" s="1">
        <f t="shared" si="81"/>
        <v>31.502373441233967</v>
      </c>
      <c r="Q183" s="1">
        <f t="shared" si="82"/>
        <v>-86.412328370838182</v>
      </c>
      <c r="R183" s="1" t="str">
        <f t="shared" si="83"/>
        <v>21.9887241969101-11.9021613127861i</v>
      </c>
      <c r="S183" s="1">
        <f t="shared" si="84"/>
        <v>27.959949586472533</v>
      </c>
      <c r="T183" s="1">
        <f t="shared" si="85"/>
        <v>-28.426008059544095</v>
      </c>
      <c r="U183" s="1" t="str">
        <f>IMPRODUCT(COMPLEX(-1,0),IMDIV(COMPLEX(1,C183*Calculations!$B$195*Calculations!$B$197),IMPRODUCT(COMPLEX(0,C183*Calculations!$B$184),COMPLEX((Calculations!$B$197+Calculations!$B$199),C183*Calculations!$B$195*Calculations!$B$197*Calculations!$B$199))))</f>
        <v>-1.42674939207834+4.02903122121279i</v>
      </c>
      <c r="V183" s="1">
        <f t="shared" si="86"/>
        <v>12.617077964389535</v>
      </c>
      <c r="W183" s="1">
        <f t="shared" si="87"/>
        <v>109.49993185746958</v>
      </c>
      <c r="X183" s="1" t="str">
        <f t="shared" si="88"/>
        <v>16.5817806486064+105.574657721424i</v>
      </c>
      <c r="Y183" s="1">
        <f t="shared" si="89"/>
        <v>40.577027550862084</v>
      </c>
      <c r="Z183" s="1">
        <f t="shared" si="90"/>
        <v>81.073923797925517</v>
      </c>
    </row>
    <row r="184" spans="2:26" x14ac:dyDescent="0.15">
      <c r="B184" s="1">
        <v>70</v>
      </c>
      <c r="C184" s="1">
        <f t="shared" si="68"/>
        <v>439.82297150257102</v>
      </c>
      <c r="D184" s="83" t="str">
        <f t="shared" si="69"/>
        <v>1.58993933323002-1.88235177071419i</v>
      </c>
      <c r="E184" s="1">
        <f t="shared" si="70"/>
        <v>7.832713402585072</v>
      </c>
      <c r="F184" s="1">
        <f t="shared" si="71"/>
        <v>-49.813697964071785</v>
      </c>
      <c r="G184" s="1" t="str">
        <f t="shared" si="72"/>
        <v>190.857550330153+112.801662723171i</v>
      </c>
      <c r="H184" s="1">
        <f t="shared" si="77"/>
        <v>46.915307644532582</v>
      </c>
      <c r="I184" s="1">
        <f t="shared" si="78"/>
        <v>30.584166555662243</v>
      </c>
      <c r="J184" s="83" t="str">
        <f t="shared" si="73"/>
        <v>135.320334113555-0.685988163384215i</v>
      </c>
      <c r="K184" s="1">
        <f t="shared" si="79"/>
        <v>42.62737283386339</v>
      </c>
      <c r="L184" s="1">
        <f t="shared" si="80"/>
        <v>-0.29045073036847896</v>
      </c>
      <c r="M184" s="1">
        <f t="shared" si="74"/>
        <v>0.192</v>
      </c>
      <c r="N184" s="1">
        <f t="shared" si="75"/>
        <v>2.5000000000000001E-2</v>
      </c>
      <c r="O184" s="1" t="str">
        <f t="shared" si="76"/>
        <v>2.35247396312797-32.1607487748508i</v>
      </c>
      <c r="P184" s="1">
        <f t="shared" si="81"/>
        <v>30.169698172089554</v>
      </c>
      <c r="Q184" s="1">
        <f t="shared" si="82"/>
        <v>-85.816415678353238</v>
      </c>
      <c r="R184" s="1" t="str">
        <f t="shared" si="83"/>
        <v>20.3115132679514-12.8024966977896i</v>
      </c>
      <c r="S184" s="1">
        <f t="shared" si="84"/>
        <v>27.607703021492128</v>
      </c>
      <c r="T184" s="1">
        <f t="shared" si="85"/>
        <v>-32.223533562254211</v>
      </c>
      <c r="U184" s="1" t="str">
        <f>IMPRODUCT(COMPLEX(-1,0),IMDIV(COMPLEX(1,C184*Calculations!$B$195*Calculations!$B$197),IMPRODUCT(COMPLEX(0,C184*Calculations!$B$184),COMPLEX((Calculations!$B$197+Calculations!$B$199),C184*Calculations!$B$195*Calculations!$B$197*Calculations!$B$199))))</f>
        <v>-1.42674936575148+3.4535551592282i</v>
      </c>
      <c r="V184" s="1">
        <f t="shared" si="86"/>
        <v>11.449680691837399</v>
      </c>
      <c r="W184" s="1">
        <f t="shared" si="87"/>
        <v>112.44673473210779</v>
      </c>
      <c r="X184" s="1" t="str">
        <f t="shared" si="88"/>
        <v>15.2346898491508+88.4128854818723i</v>
      </c>
      <c r="Y184" s="1">
        <f t="shared" si="89"/>
        <v>39.057383713329521</v>
      </c>
      <c r="Z184" s="1">
        <f t="shared" si="90"/>
        <v>80.22320116985361</v>
      </c>
    </row>
    <row r="185" spans="2:26" x14ac:dyDescent="0.15">
      <c r="B185" s="1">
        <v>80</v>
      </c>
      <c r="C185" s="1">
        <f t="shared" si="68"/>
        <v>502.6548245743669</v>
      </c>
      <c r="D185" s="83" t="str">
        <f t="shared" si="69"/>
        <v>1.35031100275031-1.82084489606066i</v>
      </c>
      <c r="E185" s="1">
        <f t="shared" si="70"/>
        <v>7.1086306255341327</v>
      </c>
      <c r="F185" s="1">
        <f t="shared" si="71"/>
        <v>-53.439928192193761</v>
      </c>
      <c r="G185" s="1" t="str">
        <f t="shared" si="72"/>
        <v>191.425962370163+129.00141852549i</v>
      </c>
      <c r="H185" s="1">
        <f t="shared" si="77"/>
        <v>47.266071303813824</v>
      </c>
      <c r="I185" s="1">
        <f t="shared" si="78"/>
        <v>33.975919464177544</v>
      </c>
      <c r="J185" s="83" t="str">
        <f t="shared" si="73"/>
        <v>135.416390863027-0.785917951737132i</v>
      </c>
      <c r="K185" s="1">
        <f t="shared" si="79"/>
        <v>42.633570976088166</v>
      </c>
      <c r="L185" s="1">
        <f t="shared" si="80"/>
        <v>-0.33252456235606143</v>
      </c>
      <c r="M185" s="1">
        <f t="shared" si="74"/>
        <v>0.192</v>
      </c>
      <c r="N185" s="1">
        <f t="shared" si="75"/>
        <v>2.5000000000000001E-2</v>
      </c>
      <c r="O185" s="1" t="str">
        <f t="shared" si="76"/>
        <v>2.35247356994557-28.1411207801025i</v>
      </c>
      <c r="P185" s="1">
        <f t="shared" si="81"/>
        <v>29.017071714771884</v>
      </c>
      <c r="Q185" s="1">
        <f t="shared" si="82"/>
        <v>-85.221436112703373</v>
      </c>
      <c r="R185" s="1" t="str">
        <f t="shared" si="83"/>
        <v>18.6749233374354-13.4233240877674i</v>
      </c>
      <c r="S185" s="1">
        <f t="shared" si="84"/>
        <v>27.23405089975655</v>
      </c>
      <c r="T185" s="1">
        <f t="shared" si="85"/>
        <v>-35.708153867293717</v>
      </c>
      <c r="U185" s="1" t="str">
        <f>IMPRODUCT(COMPLEX(-1,0),IMDIV(COMPLEX(1,C185*Calculations!$B$195*Calculations!$B$197),IMPRODUCT(COMPLEX(0,C185*Calculations!$B$184),COMPLEX((Calculations!$B$197+Calculations!$B$199),C185*Calculations!$B$195*Calculations!$B$197*Calculations!$B$199))))</f>
        <v>-1.42674933537434+3.02196155095345i</v>
      </c>
      <c r="V185" s="1">
        <f t="shared" si="86"/>
        <v>10.479701663926662</v>
      </c>
      <c r="W185" s="1">
        <f t="shared" si="87"/>
        <v>115.27325628477435</v>
      </c>
      <c r="X185" s="1" t="str">
        <f t="shared" si="88"/>
        <v>13.9203348193677+75.5866190134696i</v>
      </c>
      <c r="Y185" s="1">
        <f t="shared" si="89"/>
        <v>37.713752563683215</v>
      </c>
      <c r="Z185" s="1">
        <f t="shared" si="90"/>
        <v>79.565102417480603</v>
      </c>
    </row>
    <row r="186" spans="2:26" x14ac:dyDescent="0.15">
      <c r="B186" s="1">
        <v>90</v>
      </c>
      <c r="C186" s="1">
        <f t="shared" si="68"/>
        <v>565.48667764616278</v>
      </c>
      <c r="D186" s="83" t="str">
        <f t="shared" si="69"/>
        <v>1.15452480022582-1.7447432020961i</v>
      </c>
      <c r="E186" s="1">
        <f t="shared" si="70"/>
        <v>6.4118213828943347</v>
      </c>
      <c r="F186" s="1">
        <f t="shared" si="71"/>
        <v>-56.506749078558137</v>
      </c>
      <c r="G186" s="1" t="str">
        <f t="shared" si="72"/>
        <v>192.07184684074+145.235408351448i</v>
      </c>
      <c r="H186" s="1">
        <f t="shared" si="77"/>
        <v>47.633150487431422</v>
      </c>
      <c r="I186" s="1">
        <f t="shared" si="78"/>
        <v>37.094802314981273</v>
      </c>
      <c r="J186" s="83" t="str">
        <f t="shared" si="73"/>
        <v>135.525407750624-0.886626576722016i</v>
      </c>
      <c r="K186" s="1">
        <f t="shared" si="79"/>
        <v>42.64060032449563</v>
      </c>
      <c r="L186" s="1">
        <f t="shared" si="80"/>
        <v>-0.37483182653465558</v>
      </c>
      <c r="M186" s="1">
        <f t="shared" si="74"/>
        <v>0.192</v>
      </c>
      <c r="N186" s="1">
        <f t="shared" si="75"/>
        <v>2.5000000000000001E-2</v>
      </c>
      <c r="O186" s="1" t="str">
        <f t="shared" si="76"/>
        <v>2.352473124339-25.0147986331585i</v>
      </c>
      <c r="P186" s="1">
        <f t="shared" si="81"/>
        <v>28.002180955484562</v>
      </c>
      <c r="Q186" s="1">
        <f t="shared" si="82"/>
        <v>-84.627519441702418</v>
      </c>
      <c r="R186" s="1" t="str">
        <f t="shared" si="83"/>
        <v>17.1192125915387-13.8093409716419i</v>
      </c>
      <c r="S186" s="1">
        <f t="shared" si="84"/>
        <v>26.84634747592494</v>
      </c>
      <c r="T186" s="1">
        <f t="shared" si="85"/>
        <v>-38.891642981649362</v>
      </c>
      <c r="U186" s="1" t="str">
        <f>IMPRODUCT(COMPLEX(-1,0),IMDIV(COMPLEX(1,C186*Calculations!$B$195*Calculations!$B$197),IMPRODUCT(COMPLEX(0,C186*Calculations!$B$184),COMPLEX((Calculations!$B$197+Calculations!$B$199),C186*Calculations!$B$195*Calculations!$B$197*Calculations!$B$199))))</f>
        <v>-1.42674930094691+2.68628957848375i</v>
      </c>
      <c r="V186" s="1">
        <f t="shared" si="86"/>
        <v>9.6622460546012103</v>
      </c>
      <c r="W186" s="1">
        <f t="shared" si="87"/>
        <v>117.97378452528164</v>
      </c>
      <c r="X186" s="1" t="str">
        <f t="shared" si="88"/>
        <v>12.6710641401109+65.6896299543258i</v>
      </c>
      <c r="Y186" s="1">
        <f t="shared" si="89"/>
        <v>36.508593530526149</v>
      </c>
      <c r="Z186" s="1">
        <f t="shared" si="90"/>
        <v>79.082141543632318</v>
      </c>
    </row>
    <row r="187" spans="2:26" x14ac:dyDescent="0.15">
      <c r="B187" s="1">
        <v>100</v>
      </c>
      <c r="C187" s="1">
        <f t="shared" si="68"/>
        <v>628.31853071795865</v>
      </c>
      <c r="D187" s="83" t="str">
        <f t="shared" si="69"/>
        <v>0.994641056527582-1.66303164184544i</v>
      </c>
      <c r="E187" s="1">
        <f t="shared" si="70"/>
        <v>5.7460821492764778</v>
      </c>
      <c r="F187" s="1">
        <f t="shared" si="71"/>
        <v>-59.116817175237784</v>
      </c>
      <c r="G187" s="1" t="str">
        <f t="shared" si="72"/>
        <v>192.795842314139+161.507999940625i</v>
      </c>
      <c r="H187" s="1">
        <f t="shared" si="77"/>
        <v>48.010953465682434</v>
      </c>
      <c r="I187" s="1">
        <f t="shared" si="78"/>
        <v>39.953418821020641</v>
      </c>
      <c r="J187" s="83" t="str">
        <f t="shared" si="73"/>
        <v>135.64744238393-0.988215324487707i</v>
      </c>
      <c r="K187" s="1">
        <f t="shared" si="79"/>
        <v>42.648462682444865</v>
      </c>
      <c r="L187" s="1">
        <f t="shared" si="80"/>
        <v>-0.41740238290615617</v>
      </c>
      <c r="M187" s="1">
        <f t="shared" si="74"/>
        <v>0.192</v>
      </c>
      <c r="N187" s="1">
        <f t="shared" si="75"/>
        <v>2.5000000000000001E-2</v>
      </c>
      <c r="O187" s="1" t="str">
        <f t="shared" si="76"/>
        <v>2.35247262630832-22.5137905796211i</v>
      </c>
      <c r="P187" s="1">
        <f t="shared" si="81"/>
        <v>27.096132688198942</v>
      </c>
      <c r="Q187" s="1">
        <f t="shared" si="82"/>
        <v>-84.034794042626046</v>
      </c>
      <c r="R187" s="1" t="str">
        <f t="shared" si="83"/>
        <v>15.6683211803288-14.005046457459i</v>
      </c>
      <c r="S187" s="1">
        <f t="shared" si="84"/>
        <v>26.450660557572022</v>
      </c>
      <c r="T187" s="1">
        <f t="shared" si="85"/>
        <v>-41.791769508956172</v>
      </c>
      <c r="U187" s="1" t="str">
        <f>IMPRODUCT(COMPLEX(-1,0),IMDIV(COMPLEX(1,C187*Calculations!$B$195*Calculations!$B$197),IMPRODUCT(COMPLEX(0,C187*Calculations!$B$184),COMPLEX((Calculations!$B$197+Calculations!$B$199),C187*Calculations!$B$195*Calculations!$B$197*Calculations!$B$199))))</f>
        <v>-1.4267492624692+2.41776275107602i</v>
      </c>
      <c r="V187" s="1">
        <f t="shared" si="86"/>
        <v>8.9659180745163063</v>
      </c>
      <c r="W187" s="1">
        <f t="shared" si="87"/>
        <v>120.54533749745077</v>
      </c>
      <c r="X187" s="1" t="str">
        <f t="shared" si="88"/>
        <v>11.5061139637689+57.8639730257209i</v>
      </c>
      <c r="Y187" s="1">
        <f t="shared" si="89"/>
        <v>35.416578632088324</v>
      </c>
      <c r="Z187" s="1">
        <f t="shared" si="90"/>
        <v>78.753567988494581</v>
      </c>
    </row>
    <row r="188" spans="2:26" x14ac:dyDescent="0.15">
      <c r="B188" s="1">
        <v>200</v>
      </c>
      <c r="C188" s="1">
        <f t="shared" si="68"/>
        <v>1256.6370614359173</v>
      </c>
      <c r="D188" s="83" t="str">
        <f t="shared" si="69"/>
        <v>0.327158615398756-1.02514874454284i</v>
      </c>
      <c r="E188" s="1">
        <f t="shared" si="70"/>
        <v>0.63694573259001519</v>
      </c>
      <c r="F188" s="1">
        <f t="shared" si="71"/>
        <v>-72.300409959602575</v>
      </c>
      <c r="G188" s="1" t="str">
        <f t="shared" si="72"/>
        <v>204.531203461776+327.345283934557i</v>
      </c>
      <c r="H188" s="1">
        <f t="shared" si="77"/>
        <v>51.73151138991183</v>
      </c>
      <c r="I188" s="1">
        <f t="shared" si="78"/>
        <v>58.002118859999754</v>
      </c>
      <c r="J188" s="83" t="str">
        <f t="shared" si="73"/>
        <v>137.601567323906-2.07602883868816i</v>
      </c>
      <c r="K188" s="1">
        <f t="shared" si="79"/>
        <v>42.773456063911929</v>
      </c>
      <c r="L188" s="1">
        <f t="shared" si="80"/>
        <v>-0.86436999950568993</v>
      </c>
      <c r="M188" s="1">
        <f t="shared" si="74"/>
        <v>0.192</v>
      </c>
      <c r="N188" s="1">
        <f t="shared" si="75"/>
        <v>2.5000000000000001E-2</v>
      </c>
      <c r="O188" s="1" t="str">
        <f t="shared" si="76"/>
        <v>2.35246476269414-11.2606200906125i</v>
      </c>
      <c r="P188" s="1">
        <f t="shared" si="81"/>
        <v>21.216768722087366</v>
      </c>
      <c r="Q188" s="1">
        <f t="shared" si="82"/>
        <v>-78.200006526657688</v>
      </c>
      <c r="R188" s="1" t="str">
        <f t="shared" si="83"/>
        <v>6.87948355593596-11.7990107662409i</v>
      </c>
      <c r="S188" s="1">
        <f t="shared" si="84"/>
        <v>22.707811663587442</v>
      </c>
      <c r="T188" s="1">
        <f t="shared" si="85"/>
        <v>-59.755421727392964</v>
      </c>
      <c r="U188" s="1" t="str">
        <f>IMPRODUCT(COMPLEX(-1,0),IMDIV(COMPLEX(1,C188*Calculations!$B$195*Calculations!$B$197),IMPRODUCT(COMPLEX(0,C188*Calculations!$B$184),COMPLEX((Calculations!$B$197+Calculations!$B$199),C188*Calculations!$B$195*Calculations!$B$197*Calculations!$B$199))))</f>
        <v>-1.42674865492671+1.20968766812536i</v>
      </c>
      <c r="V188" s="1">
        <f t="shared" si="86"/>
        <v>5.4393847854854354</v>
      </c>
      <c r="W188" s="1">
        <f t="shared" si="87"/>
        <v>139.70661540049329</v>
      </c>
      <c r="X188" s="1" t="str">
        <f t="shared" si="88"/>
        <v>4.45782390997792+25.1562491608869i</v>
      </c>
      <c r="Y188" s="1">
        <f t="shared" si="89"/>
        <v>28.147196449072879</v>
      </c>
      <c r="Z188" s="1">
        <f t="shared" si="90"/>
        <v>79.951193673100335</v>
      </c>
    </row>
    <row r="189" spans="2:26" x14ac:dyDescent="0.15">
      <c r="B189" s="1">
        <v>300</v>
      </c>
      <c r="C189" s="1">
        <f t="shared" si="68"/>
        <v>1884.9555921538758</v>
      </c>
      <c r="D189" s="83" t="str">
        <f t="shared" si="69"/>
        <v>0.167898654060794-0.714232779165188i</v>
      </c>
      <c r="E189" s="1">
        <f t="shared" si="70"/>
        <v>-2.6896075868500731</v>
      </c>
      <c r="F189" s="1">
        <f t="shared" si="71"/>
        <v>-76.771347431380079</v>
      </c>
      <c r="G189" s="1" t="str">
        <f t="shared" si="72"/>
        <v>225.430741270822+502.202087420352i</v>
      </c>
      <c r="H189" s="1">
        <f t="shared" si="77"/>
        <v>54.814798296338864</v>
      </c>
      <c r="I189" s="1">
        <f t="shared" si="78"/>
        <v>65.825426541038965</v>
      </c>
      <c r="J189" s="83" t="str">
        <f t="shared" si="73"/>
        <v>140.976243376526-3.37959092828493i</v>
      </c>
      <c r="K189" s="1">
        <f t="shared" si="79"/>
        <v>42.985413818939328</v>
      </c>
      <c r="L189" s="1">
        <f t="shared" si="80"/>
        <v>-1.3732754609523317</v>
      </c>
      <c r="M189" s="1">
        <f t="shared" si="74"/>
        <v>0.192</v>
      </c>
      <c r="N189" s="1">
        <f t="shared" si="75"/>
        <v>2.5000000000000001E-2</v>
      </c>
      <c r="O189" s="1" t="str">
        <f t="shared" si="76"/>
        <v>2.35245165678731-7.51121869107464i</v>
      </c>
      <c r="P189" s="1">
        <f t="shared" si="81"/>
        <v>17.920583808674671</v>
      </c>
      <c r="Q189" s="1">
        <f t="shared" si="82"/>
        <v>-72.609874795173965</v>
      </c>
      <c r="R189" s="1" t="str">
        <f t="shared" si="83"/>
        <v>3.74108331367896-9.03593170158169i</v>
      </c>
      <c r="S189" s="1">
        <f t="shared" si="84"/>
        <v>19.806566685899302</v>
      </c>
      <c r="T189" s="1">
        <f t="shared" si="85"/>
        <v>-67.509321366007384</v>
      </c>
      <c r="U189" s="1" t="str">
        <f>IMPRODUCT(COMPLEX(-1,0),IMDIV(COMPLEX(1,C189*Calculations!$B$195*Calculations!$B$197),IMPRODUCT(COMPLEX(0,C189*Calculations!$B$184),COMPLEX((Calculations!$B$197+Calculations!$B$199),C189*Calculations!$B$195*Calculations!$B$197*Calculations!$B$199))))</f>
        <v>-1.42674764235702+0.807354325052214i</v>
      </c>
      <c r="V189" s="1">
        <f t="shared" si="86"/>
        <v>4.2933713524986183</v>
      </c>
      <c r="W189" s="1">
        <f t="shared" si="87"/>
        <v>150.49576112577279</v>
      </c>
      <c r="X189" s="1" t="str">
        <f t="shared" si="88"/>
        <v>1.95761674249575+15.9123740454101i</v>
      </c>
      <c r="Y189" s="1">
        <f t="shared" si="89"/>
        <v>24.099938038397912</v>
      </c>
      <c r="Z189" s="1">
        <f t="shared" si="90"/>
        <v>82.986439759765403</v>
      </c>
    </row>
    <row r="190" spans="2:26" x14ac:dyDescent="0.15">
      <c r="B190" s="1">
        <v>400</v>
      </c>
      <c r="C190" s="1">
        <f t="shared" si="68"/>
        <v>2513.2741228718346</v>
      </c>
      <c r="D190" s="83" t="str">
        <f t="shared" si="69"/>
        <v>0.108712007534775-0.54425944196709i</v>
      </c>
      <c r="E190" s="1">
        <f t="shared" si="70"/>
        <v>-5.1139762138850706</v>
      </c>
      <c r="F190" s="1">
        <f t="shared" si="71"/>
        <v>-78.704227519916472</v>
      </c>
      <c r="G190" s="1" t="str">
        <f t="shared" si="72"/>
        <v>257.802398731727+691.546772676773i</v>
      </c>
      <c r="H190" s="1">
        <f t="shared" si="77"/>
        <v>57.361565903941731</v>
      </c>
      <c r="I190" s="1">
        <f t="shared" si="78"/>
        <v>69.554998622053262</v>
      </c>
      <c r="J190" s="83" t="str">
        <f t="shared" si="73"/>
        <v>145.963808229235-5.05297828291497i</v>
      </c>
      <c r="K190" s="1">
        <f t="shared" si="79"/>
        <v>43.290105214852929</v>
      </c>
      <c r="L190" s="1">
        <f t="shared" si="80"/>
        <v>-1.9826747749322515</v>
      </c>
      <c r="M190" s="1">
        <f t="shared" si="74"/>
        <v>0.192</v>
      </c>
      <c r="N190" s="1">
        <f t="shared" si="75"/>
        <v>2.5000000000000001E-2</v>
      </c>
      <c r="O190" s="1" t="str">
        <f t="shared" si="76"/>
        <v>2.35243330876308-5.63775952240274i</v>
      </c>
      <c r="P190" s="1">
        <f t="shared" si="81"/>
        <v>15.719215595996463</v>
      </c>
      <c r="Q190" s="1">
        <f t="shared" si="82"/>
        <v>-67.350986137579341</v>
      </c>
      <c r="R190" s="1" t="str">
        <f t="shared" si="83"/>
        <v>2.40828462055204-7.17277831395058i</v>
      </c>
      <c r="S190" s="1">
        <f t="shared" si="84"/>
        <v>17.577647458241184</v>
      </c>
      <c r="T190" s="1">
        <f t="shared" si="85"/>
        <v>-71.440348881365182</v>
      </c>
      <c r="U190" s="1" t="str">
        <f>IMPRODUCT(COMPLEX(-1,0),IMDIV(COMPLEX(1,C190*Calculations!$B$195*Calculations!$B$197),IMPRODUCT(COMPLEX(0,C190*Calculations!$B$184),COMPLEX((Calculations!$B$197+Calculations!$B$199),C190*Calculations!$B$195*Calculations!$B$197*Calculations!$B$199))))</f>
        <v>-1.4267462247619+0.606456415804004i</v>
      </c>
      <c r="V190" s="1">
        <f t="shared" si="86"/>
        <v>3.8082500410230886</v>
      </c>
      <c r="W190" s="1">
        <f t="shared" si="87"/>
        <v>156.97147157708267</v>
      </c>
      <c r="X190" s="1" t="str">
        <f t="shared" si="88"/>
        <v>0.913966437110388+11.6942540396989i</v>
      </c>
      <c r="Y190" s="1">
        <f t="shared" si="89"/>
        <v>21.385897499264264</v>
      </c>
      <c r="Z190" s="1">
        <f t="shared" si="90"/>
        <v>85.531122695717471</v>
      </c>
    </row>
    <row r="191" spans="2:26" x14ac:dyDescent="0.15">
      <c r="B191" s="1">
        <v>500</v>
      </c>
      <c r="C191" s="1">
        <f t="shared" si="68"/>
        <v>3141.5926535897929</v>
      </c>
      <c r="D191" s="83" t="str">
        <f t="shared" si="69"/>
        <v>0.0806699948627528-0.438661485999936i</v>
      </c>
      <c r="E191" s="1">
        <f t="shared" si="70"/>
        <v>-7.0129633923532353</v>
      </c>
      <c r="F191" s="1">
        <f t="shared" si="71"/>
        <v>-79.579714875919194</v>
      </c>
      <c r="G191" s="1" t="str">
        <f t="shared" si="72"/>
        <v>305.582313872369+902.16642877906i</v>
      </c>
      <c r="H191" s="1">
        <f t="shared" si="77"/>
        <v>59.577436426269266</v>
      </c>
      <c r="I191" s="1">
        <f t="shared" si="78"/>
        <v>71.287703005732638</v>
      </c>
      <c r="J191" s="83" t="str">
        <f t="shared" si="73"/>
        <v>152.868109942646-7.3214423411621i</v>
      </c>
      <c r="K191" s="1">
        <f t="shared" si="79"/>
        <v>43.696288449575469</v>
      </c>
      <c r="L191" s="1">
        <f t="shared" si="80"/>
        <v>-2.7420201879841772</v>
      </c>
      <c r="M191" s="1">
        <f t="shared" si="74"/>
        <v>0.192</v>
      </c>
      <c r="N191" s="1">
        <f t="shared" si="75"/>
        <v>2.5000000000000001E-2</v>
      </c>
      <c r="O191" s="1" t="str">
        <f t="shared" si="76"/>
        <v>2.35240971886675-4.51467719959675i</v>
      </c>
      <c r="P191" s="1">
        <f t="shared" si="81"/>
        <v>14.135703458765711</v>
      </c>
      <c r="Q191" s="1">
        <f t="shared" si="82"/>
        <v>-62.477862177788083</v>
      </c>
      <c r="R191" s="1" t="str">
        <f t="shared" si="83"/>
        <v>1.73361874435305-5.91627230414439i</v>
      </c>
      <c r="S191" s="1">
        <f t="shared" si="84"/>
        <v>15.798717257687061</v>
      </c>
      <c r="T191" s="1">
        <f t="shared" si="85"/>
        <v>-73.668069135651095</v>
      </c>
      <c r="U191" s="1" t="str">
        <f>IMPRODUCT(COMPLEX(-1,0),IMDIV(COMPLEX(1,C191*Calculations!$B$195*Calculations!$B$197),IMPRODUCT(COMPLEX(0,C191*Calculations!$B$184),COMPLEX((Calculations!$B$197+Calculations!$B$199),C191*Calculations!$B$195*Calculations!$B$197*Calculations!$B$199))))</f>
        <v>-1.42674440214373+0.486132678803974i</v>
      </c>
      <c r="V191" s="1">
        <f t="shared" si="86"/>
        <v>3.5639390838523495</v>
      </c>
      <c r="W191" s="1">
        <f t="shared" si="87"/>
        <v>161.18455311379319</v>
      </c>
      <c r="X191" s="1" t="str">
        <f t="shared" si="88"/>
        <v>0.402662464790315+9.28377711571313i</v>
      </c>
      <c r="Y191" s="1">
        <f t="shared" si="89"/>
        <v>19.362656341539413</v>
      </c>
      <c r="Z191" s="1">
        <f t="shared" si="90"/>
        <v>87.516483978142091</v>
      </c>
    </row>
    <row r="192" spans="2:26" x14ac:dyDescent="0.15">
      <c r="B192" s="1">
        <v>600</v>
      </c>
      <c r="C192" s="1">
        <f t="shared" si="68"/>
        <v>3769.9111843077517</v>
      </c>
      <c r="D192" s="83" t="str">
        <f t="shared" si="69"/>
        <v>0.0652609037449821-0.367041268721902i</v>
      </c>
      <c r="E192" s="1">
        <f t="shared" si="70"/>
        <v>-8.5705307214609068</v>
      </c>
      <c r="F192" s="1">
        <f t="shared" si="71"/>
        <v>-79.918021587046468</v>
      </c>
      <c r="G192" s="1" t="str">
        <f t="shared" si="72"/>
        <v>375.362023349035+1142.91894140709i</v>
      </c>
      <c r="H192" s="1">
        <f t="shared" si="77"/>
        <v>61.605166565647174</v>
      </c>
      <c r="I192" s="1">
        <f t="shared" si="78"/>
        <v>71.818578006847801</v>
      </c>
      <c r="J192" s="83" t="str">
        <f t="shared" si="73"/>
        <v>162.147481876116-10.539561746455i</v>
      </c>
      <c r="K192" s="1">
        <f t="shared" si="79"/>
        <v>44.216514374127641</v>
      </c>
      <c r="L192" s="1">
        <f t="shared" si="80"/>
        <v>-3.7189853257962429</v>
      </c>
      <c r="M192" s="1">
        <f t="shared" si="74"/>
        <v>0.192</v>
      </c>
      <c r="N192" s="1">
        <f t="shared" si="75"/>
        <v>2.5000000000000001E-2</v>
      </c>
      <c r="O192" s="1" t="str">
        <f t="shared" si="76"/>
        <v>2.35238088741374-3.76678324992543i</v>
      </c>
      <c r="P192" s="1">
        <f t="shared" si="81"/>
        <v>12.949587033307363</v>
      </c>
      <c r="Q192" s="1">
        <f t="shared" si="82"/>
        <v>-58.014951335944701</v>
      </c>
      <c r="R192" s="1" t="str">
        <f t="shared" si="83"/>
        <v>1.34519629218793-5.02874229885435i</v>
      </c>
      <c r="S192" s="1">
        <f t="shared" si="84"/>
        <v>14.329340678880094</v>
      </c>
      <c r="T192" s="1">
        <f t="shared" si="85"/>
        <v>-75.023933322910878</v>
      </c>
      <c r="U192" s="1" t="str">
        <f>IMPRODUCT(COMPLEX(-1,0),IMDIV(COMPLEX(1,C192*Calculations!$B$195*Calculations!$B$197),IMPRODUCT(COMPLEX(0,C192*Calculations!$B$184),COMPLEX((Calculations!$B$197+Calculations!$B$199),C192*Calculations!$B$195*Calculations!$B$197*Calculations!$B$199))))</f>
        <v>-1.42674217450562+0.406096026554705i</v>
      </c>
      <c r="V192" s="1">
        <f t="shared" si="86"/>
        <v>3.4252279692002139</v>
      </c>
      <c r="W192" s="1">
        <f t="shared" si="87"/>
        <v>164.11196764127803</v>
      </c>
      <c r="X192" s="1" t="str">
        <f t="shared" si="88"/>
        <v>0.12290398307922+7.72099759168949i</v>
      </c>
      <c r="Y192" s="1">
        <f t="shared" si="89"/>
        <v>17.754568648080316</v>
      </c>
      <c r="Z192" s="1">
        <f t="shared" si="90"/>
        <v>89.08803431836715</v>
      </c>
    </row>
    <row r="193" spans="2:26" x14ac:dyDescent="0.15">
      <c r="B193" s="1">
        <v>700</v>
      </c>
      <c r="C193" s="1">
        <f t="shared" si="68"/>
        <v>4398.22971502571</v>
      </c>
      <c r="D193" s="83" t="str">
        <f t="shared" si="69"/>
        <v>0.0559088505730963-0.315381938426954i</v>
      </c>
      <c r="E193" s="1">
        <f t="shared" si="70"/>
        <v>-9.8888833809628842</v>
      </c>
      <c r="F193" s="1">
        <f t="shared" si="71"/>
        <v>-79.947413919152922</v>
      </c>
      <c r="G193" s="1" t="str">
        <f t="shared" si="72"/>
        <v>478.383458145248+1425.80368997737i</v>
      </c>
      <c r="H193" s="1">
        <f t="shared" si="77"/>
        <v>63.544478431770571</v>
      </c>
      <c r="I193" s="1">
        <f t="shared" si="78"/>
        <v>71.452446463132645</v>
      </c>
      <c r="J193" s="83" t="str">
        <f t="shared" si="73"/>
        <v>174.483344194189-15.3015038304056i</v>
      </c>
      <c r="K193" s="1">
        <f t="shared" si="79"/>
        <v>44.868351606895843</v>
      </c>
      <c r="L193" s="1">
        <f t="shared" si="80"/>
        <v>-5.0117931204895978</v>
      </c>
      <c r="M193" s="1">
        <f t="shared" si="74"/>
        <v>0.192</v>
      </c>
      <c r="N193" s="1">
        <f t="shared" si="75"/>
        <v>2.5000000000000001E-2</v>
      </c>
      <c r="O193" s="1" t="str">
        <f t="shared" si="76"/>
        <v>2.3523468147895-3.23328260416439i</v>
      </c>
      <c r="P193" s="1">
        <f t="shared" si="81"/>
        <v>12.037846847367925</v>
      </c>
      <c r="Q193" s="1">
        <f t="shared" si="82"/>
        <v>-53.962561110434358</v>
      </c>
      <c r="R193" s="1" t="str">
        <f t="shared" si="83"/>
        <v>1.09955287503384-4.37322882475144i</v>
      </c>
      <c r="S193" s="1">
        <f t="shared" si="84"/>
        <v>13.082259562500875</v>
      </c>
      <c r="T193" s="1">
        <f t="shared" si="85"/>
        <v>-75.886768313749414</v>
      </c>
      <c r="U193" s="1" t="str">
        <f>IMPRODUCT(COMPLEX(-1,0),IMDIV(COMPLEX(1,C193*Calculations!$B$195*Calculations!$B$197),IMPRODUCT(COMPLEX(0,C193*Calculations!$B$184),COMPLEX((Calculations!$B$197+Calculations!$B$199),C193*Calculations!$B$195*Calculations!$B$197*Calculations!$B$199))))</f>
        <v>-1.42673954185136+0.349080564152866i</v>
      </c>
      <c r="V193" s="1">
        <f t="shared" si="86"/>
        <v>3.3393932246595326</v>
      </c>
      <c r="W193" s="1">
        <f t="shared" si="87"/>
        <v>166.25153002411622</v>
      </c>
      <c r="X193" s="1" t="str">
        <f t="shared" si="88"/>
        <v>-0.0421663798533187+6.62329102776975i</v>
      </c>
      <c r="Y193" s="1">
        <f t="shared" si="89"/>
        <v>16.421652787160411</v>
      </c>
      <c r="Z193" s="1">
        <f t="shared" si="90"/>
        <v>90.364761710366793</v>
      </c>
    </row>
    <row r="194" spans="2:26" x14ac:dyDescent="0.15">
      <c r="B194" s="1">
        <v>800</v>
      </c>
      <c r="C194" s="1">
        <f t="shared" si="68"/>
        <v>5026.5482457436692</v>
      </c>
      <c r="D194" s="83" t="str">
        <f t="shared" si="69"/>
        <v>0.0498143074346333-0.276401194344554i</v>
      </c>
      <c r="E194" s="1">
        <f t="shared" si="70"/>
        <v>-11.030381333337424</v>
      </c>
      <c r="F194" s="1">
        <f t="shared" si="71"/>
        <v>-79.78355943444015</v>
      </c>
      <c r="G194" s="1" t="str">
        <f t="shared" si="72"/>
        <v>634.576851073114+1767.40979526336i</v>
      </c>
      <c r="H194" s="1">
        <f t="shared" si="77"/>
        <v>65.473346719402272</v>
      </c>
      <c r="I194" s="1">
        <f t="shared" si="78"/>
        <v>70.249658439878985</v>
      </c>
      <c r="J194" s="83" t="str">
        <f t="shared" si="73"/>
        <v>190.883772051261-22.6648907468985i</v>
      </c>
      <c r="K194" s="1">
        <f t="shared" si="79"/>
        <v>45.676181063635404</v>
      </c>
      <c r="L194" s="1">
        <f t="shared" si="80"/>
        <v>-6.7714030724599237</v>
      </c>
      <c r="M194" s="1">
        <f t="shared" si="74"/>
        <v>0.192</v>
      </c>
      <c r="N194" s="1">
        <f t="shared" si="75"/>
        <v>2.5000000000000001E-2</v>
      </c>
      <c r="O194" s="1" t="str">
        <f t="shared" si="76"/>
        <v>2.35230750144953-2.83377771940575i</v>
      </c>
      <c r="P194" s="1">
        <f t="shared" si="81"/>
        <v>11.323764703595192</v>
      </c>
      <c r="Q194" s="1">
        <f t="shared" si="82"/>
        <v>-50.304070790068259</v>
      </c>
      <c r="R194" s="1" t="str">
        <f t="shared" si="83"/>
        <v>0.932954368085582-3.87071238279925i</v>
      </c>
      <c r="S194" s="1">
        <f t="shared" si="84"/>
        <v>12.001064792565092</v>
      </c>
      <c r="T194" s="1">
        <f t="shared" si="85"/>
        <v>-76.448527324729042</v>
      </c>
      <c r="U194" s="1" t="str">
        <f>IMPRODUCT(COMPLEX(-1,0),IMDIV(COMPLEX(1,C194*Calculations!$B$195*Calculations!$B$197),IMPRODUCT(COMPLEX(0,C194*Calculations!$B$184),COMPLEX((Calculations!$B$197+Calculations!$B$199),C194*Calculations!$B$195*Calculations!$B$197*Calculations!$B$199))))</f>
        <v>-1.42673650418545+0.306453343917916i</v>
      </c>
      <c r="V194" s="1">
        <f t="shared" si="86"/>
        <v>3.2827574863706053</v>
      </c>
      <c r="W194" s="1">
        <f t="shared" si="87"/>
        <v>167.87744385459854</v>
      </c>
      <c r="X194" s="1" t="str">
        <f t="shared" si="88"/>
        <v>-0.144887300633654+5.80839363956499i</v>
      </c>
      <c r="Y194" s="1">
        <f t="shared" si="89"/>
        <v>15.283822278935704</v>
      </c>
      <c r="Z194" s="1">
        <f t="shared" si="90"/>
        <v>91.428916529869497</v>
      </c>
    </row>
    <row r="195" spans="2:26" x14ac:dyDescent="0.15">
      <c r="B195" s="1">
        <v>900</v>
      </c>
      <c r="C195" s="1">
        <f t="shared" si="68"/>
        <v>5654.8667764616275</v>
      </c>
      <c r="D195" s="83" t="str">
        <f t="shared" si="69"/>
        <v>0.0456246155402101-0.245960040792911i</v>
      </c>
      <c r="E195" s="1">
        <f t="shared" si="70"/>
        <v>-12.035786874342076</v>
      </c>
      <c r="F195" s="1">
        <f t="shared" si="71"/>
        <v>-79.491303372303364</v>
      </c>
      <c r="G195" s="1" t="str">
        <f t="shared" si="72"/>
        <v>881.19706137135+2190.36897304946i</v>
      </c>
      <c r="H195" s="1">
        <f t="shared" si="77"/>
        <v>67.461844557197168</v>
      </c>
      <c r="I195" s="1">
        <f t="shared" si="78"/>
        <v>68.084815295543493</v>
      </c>
      <c r="J195" s="83" t="str">
        <f t="shared" si="73"/>
        <v>212.815728754287-34.6367578008017i</v>
      </c>
      <c r="K195" s="1">
        <f t="shared" si="79"/>
        <v>46.673617825385996</v>
      </c>
      <c r="L195" s="1">
        <f t="shared" si="80"/>
        <v>-9.2441028664330318</v>
      </c>
      <c r="M195" s="1">
        <f t="shared" si="74"/>
        <v>0.192</v>
      </c>
      <c r="N195" s="1">
        <f t="shared" si="75"/>
        <v>2.5000000000000001E-2</v>
      </c>
      <c r="O195" s="1" t="str">
        <f t="shared" si="76"/>
        <v>2.35226294791941-2.52360328666175i</v>
      </c>
      <c r="P195" s="1">
        <f t="shared" si="81"/>
        <v>10.756095290344827</v>
      </c>
      <c r="Q195" s="1">
        <f t="shared" si="82"/>
        <v>-47.012573746438008</v>
      </c>
      <c r="R195" s="1" t="str">
        <f t="shared" si="83"/>
        <v>0.813818642503174-3.47363388436833i</v>
      </c>
      <c r="S195" s="1">
        <f t="shared" si="84"/>
        <v>11.047749458267219</v>
      </c>
      <c r="T195" s="1">
        <f t="shared" si="85"/>
        <v>-76.814303639124475</v>
      </c>
      <c r="U195" s="1" t="str">
        <f>IMPRODUCT(COMPLEX(-1,0),IMDIV(COMPLEX(1,C195*Calculations!$B$195*Calculations!$B$197),IMPRODUCT(COMPLEX(0,C195*Calculations!$B$184),COMPLEX((Calculations!$B$197+Calculations!$B$199),C195*Calculations!$B$195*Calculations!$B$197*Calculations!$B$199))))</f>
        <v>-1.42673306151306+0.273418283601673i</v>
      </c>
      <c r="V195" s="1">
        <f t="shared" si="86"/>
        <v>3.2434929993415555</v>
      </c>
      <c r="W195" s="1">
        <f t="shared" si="87"/>
        <v>169.1514016753753</v>
      </c>
      <c r="X195" s="1" t="str">
        <f t="shared" si="88"/>
        <v>-0.211346948810355+5.17846120281659i</v>
      </c>
      <c r="Y195" s="1">
        <f t="shared" si="89"/>
        <v>14.291242457608773</v>
      </c>
      <c r="Z195" s="1">
        <f t="shared" si="90"/>
        <v>92.337098036250808</v>
      </c>
    </row>
    <row r="196" spans="2:26" x14ac:dyDescent="0.15">
      <c r="B196" s="1">
        <v>1000</v>
      </c>
      <c r="C196" s="1">
        <f t="shared" si="68"/>
        <v>6283.1853071795858</v>
      </c>
      <c r="D196" s="83" t="str">
        <f t="shared" si="69"/>
        <v>0.0426220981058917-0.221538239417153i</v>
      </c>
      <c r="E196" s="1">
        <f t="shared" si="70"/>
        <v>-12.93317758134531</v>
      </c>
      <c r="F196" s="1">
        <f t="shared" si="71"/>
        <v>-79.109836474625524</v>
      </c>
      <c r="G196" s="1" t="str">
        <f t="shared" si="72"/>
        <v>1292.38430075265+2722.12784790725i</v>
      </c>
      <c r="H196" s="1">
        <f t="shared" si="77"/>
        <v>69.580971936554249</v>
      </c>
      <c r="I196" s="1">
        <f t="shared" si="78"/>
        <v>64.603040737348678</v>
      </c>
      <c r="J196" s="83" t="str">
        <f t="shared" si="73"/>
        <v>242.250293995427-55.2992392250334i</v>
      </c>
      <c r="K196" s="1">
        <f t="shared" si="79"/>
        <v>47.905892101209915</v>
      </c>
      <c r="L196" s="1">
        <f t="shared" si="80"/>
        <v>-12.858759286360938</v>
      </c>
      <c r="M196" s="1">
        <f t="shared" si="74"/>
        <v>0.192</v>
      </c>
      <c r="N196" s="1">
        <f t="shared" si="75"/>
        <v>2.5000000000000001E-2</v>
      </c>
      <c r="O196" s="1" t="str">
        <f t="shared" si="76"/>
        <v>2.35221315479469-2.27596011390629i</v>
      </c>
      <c r="P196" s="1">
        <f t="shared" si="81"/>
        <v>10.299070982479119</v>
      </c>
      <c r="Q196" s="1">
        <f t="shared" si="82"/>
        <v>-44.056089324177847</v>
      </c>
      <c r="R196" s="1" t="str">
        <f t="shared" si="83"/>
        <v>0.725082153259471-3.15203729842471i</v>
      </c>
      <c r="S196" s="1">
        <f t="shared" si="84"/>
        <v>10.195766586539561</v>
      </c>
      <c r="T196" s="1">
        <f t="shared" si="85"/>
        <v>-77.045274737455685</v>
      </c>
      <c r="U196" s="1" t="str">
        <f>IMPRODUCT(COMPLEX(-1,0),IMDIV(COMPLEX(1,C196*Calculations!$B$195*Calculations!$B$197),IMPRODUCT(COMPLEX(0,C196*Calculations!$B$184),COMPLEX((Calculations!$B$197+Calculations!$B$199),C196*Calculations!$B$195*Calculations!$B$197*Calculations!$B$199))))</f>
        <v>-1.42672921384004+0.247097733672139i</v>
      </c>
      <c r="V196" s="1">
        <f t="shared" si="86"/>
        <v>3.2151838607712699</v>
      </c>
      <c r="W196" s="1">
        <f t="shared" si="87"/>
        <v>170.17431156580398</v>
      </c>
      <c r="X196" s="1" t="str">
        <f t="shared" si="88"/>
        <v>-0.255634617598531+4.6762698535725i</v>
      </c>
      <c r="Y196" s="1">
        <f t="shared" si="89"/>
        <v>13.410950447310832</v>
      </c>
      <c r="Z196" s="1">
        <f t="shared" si="90"/>
        <v>93.129036828348305</v>
      </c>
    </row>
    <row r="197" spans="2:26" x14ac:dyDescent="0.15">
      <c r="B197" s="1">
        <v>2000</v>
      </c>
      <c r="C197" s="1">
        <f t="shared" si="68"/>
        <v>12566.370614359172</v>
      </c>
      <c r="D197" s="83" t="str">
        <f t="shared" si="69"/>
        <v>0.0329901531840764-0.11104853704459i</v>
      </c>
      <c r="E197" s="1">
        <f t="shared" si="70"/>
        <v>-18.722433487824755</v>
      </c>
      <c r="F197" s="1">
        <f t="shared" si="71"/>
        <v>-73.454437778637413</v>
      </c>
      <c r="G197" s="1" t="str">
        <f t="shared" si="72"/>
        <v>1008.19078012254-3166.41771907134i</v>
      </c>
      <c r="H197" s="1">
        <f t="shared" si="77"/>
        <v>70.430733002459021</v>
      </c>
      <c r="I197" s="1">
        <f t="shared" si="78"/>
        <v>-72.338469332563776</v>
      </c>
      <c r="J197" s="83" t="str">
        <f t="shared" si="73"/>
        <v>-119.058213682443-76.2664184173338i</v>
      </c>
      <c r="K197" s="1">
        <f t="shared" si="79"/>
        <v>43.008437481409047</v>
      </c>
      <c r="L197" s="1">
        <f t="shared" si="80"/>
        <v>-147.35715115522476</v>
      </c>
      <c r="M197" s="1">
        <f t="shared" si="74"/>
        <v>0.192</v>
      </c>
      <c r="N197" s="1">
        <f t="shared" si="75"/>
        <v>2.5000000000000001E-2</v>
      </c>
      <c r="O197" s="1" t="str">
        <f t="shared" si="76"/>
        <v>2.35142722688912-1.17520753049067i</v>
      </c>
      <c r="P197" s="1">
        <f t="shared" si="81"/>
        <v>8.3949833134878187</v>
      </c>
      <c r="Q197" s="1">
        <f t="shared" si="82"/>
        <v>-26.555185198416172</v>
      </c>
      <c r="R197" s="1" t="str">
        <f t="shared" si="83"/>
        <v>0.402336467402922-1.65969449348857i</v>
      </c>
      <c r="S197" s="1">
        <f t="shared" si="84"/>
        <v>4.6485609056992203</v>
      </c>
      <c r="T197" s="1">
        <f t="shared" si="85"/>
        <v>-76.373452257104262</v>
      </c>
      <c r="U197" s="1" t="str">
        <f>IMPRODUCT(COMPLEX(-1,0),IMDIV(COMPLEX(1,C197*Calculations!$B$195*Calculations!$B$197),IMPRODUCT(COMPLEX(0,C197*Calculations!$B$184),COMPLEX((Calculations!$B$197+Calculations!$B$199),C197*Calculations!$B$195*Calculations!$B$197*Calculations!$B$199))))</f>
        <v>-1.42666846385888+0.131611226235503i</v>
      </c>
      <c r="V197" s="1">
        <f t="shared" si="86"/>
        <v>3.1232641759928441</v>
      </c>
      <c r="W197" s="1">
        <f t="shared" si="87"/>
        <v>174.72933942957258</v>
      </c>
      <c r="X197" s="1" t="str">
        <f t="shared" si="88"/>
        <v>-0.355566322439792+2.42078578933454i</v>
      </c>
      <c r="Y197" s="1">
        <f t="shared" si="89"/>
        <v>7.7718250816920689</v>
      </c>
      <c r="Z197" s="1">
        <f t="shared" si="90"/>
        <v>98.355887172468314</v>
      </c>
    </row>
    <row r="198" spans="2:26" x14ac:dyDescent="0.15">
      <c r="B198" s="1">
        <v>3000</v>
      </c>
      <c r="C198" s="1">
        <f t="shared" si="68"/>
        <v>18849.555921538758</v>
      </c>
      <c r="D198" s="83" t="str">
        <f t="shared" si="69"/>
        <v>0.0312011245622865-0.0740669571763238i</v>
      </c>
      <c r="E198" s="1">
        <f t="shared" si="70"/>
        <v>-21.898061857336092</v>
      </c>
      <c r="F198" s="1">
        <f t="shared" si="71"/>
        <v>-67.156465852710227</v>
      </c>
      <c r="G198" s="1" t="str">
        <f t="shared" si="72"/>
        <v>174.650749216012-1451.27411584963i</v>
      </c>
      <c r="H198" s="1">
        <f t="shared" si="77"/>
        <v>63.297434369074246</v>
      </c>
      <c r="I198" s="1">
        <f t="shared" si="78"/>
        <v>-83.137851242158746</v>
      </c>
      <c r="J198" s="83" t="str">
        <f t="shared" si="73"/>
        <v>-38.8826689532833-18.9689124067002i</v>
      </c>
      <c r="K198" s="1">
        <f t="shared" si="79"/>
        <v>32.722319669529014</v>
      </c>
      <c r="L198" s="1">
        <f t="shared" si="80"/>
        <v>-153.99456302243644</v>
      </c>
      <c r="M198" s="1">
        <f t="shared" si="74"/>
        <v>0.192</v>
      </c>
      <c r="N198" s="1">
        <f t="shared" si="75"/>
        <v>2.5000000000000001E-2</v>
      </c>
      <c r="O198" s="1" t="str">
        <f t="shared" si="76"/>
        <v>2.35011851349199-0.824798712042382i</v>
      </c>
      <c r="P198" s="1">
        <f t="shared" si="81"/>
        <v>7.9262628123906067</v>
      </c>
      <c r="Q198" s="1">
        <f t="shared" si="82"/>
        <v>-19.339057113811879</v>
      </c>
      <c r="R198" s="1" t="str">
        <f t="shared" si="83"/>
        <v>0.327977175718654-1.15095821466789i</v>
      </c>
      <c r="S198" s="1">
        <f t="shared" si="84"/>
        <v>1.5602605966361613</v>
      </c>
      <c r="T198" s="1">
        <f t="shared" si="85"/>
        <v>-74.094562096421328</v>
      </c>
      <c r="U198" s="1" t="str">
        <f>IMPRODUCT(COMPLEX(-1,0),IMDIV(COMPLEX(1,C198*Calculations!$B$195*Calculations!$B$197),IMPRODUCT(COMPLEX(0,C198*Calculations!$B$184),COMPLEX((Calculations!$B$197+Calculations!$B$199),C198*Calculations!$B$195*Calculations!$B$197*Calculations!$B$199))))</f>
        <v>-1.42656722538602+0.0966979775043371i</v>
      </c>
      <c r="V198" s="1">
        <f t="shared" si="86"/>
        <v>3.1057533544050169</v>
      </c>
      <c r="W198" s="1">
        <f t="shared" si="87"/>
        <v>176.1222129043276</v>
      </c>
      <c r="X198" s="1" t="str">
        <f t="shared" si="88"/>
        <v>-0.356586158004516+1.6736339963936i</v>
      </c>
      <c r="Y198" s="1">
        <f t="shared" si="89"/>
        <v>4.6660139510411893</v>
      </c>
      <c r="Z198" s="1">
        <f t="shared" si="90"/>
        <v>102.02765080790627</v>
      </c>
    </row>
    <row r="199" spans="2:26" x14ac:dyDescent="0.15">
      <c r="B199" s="1">
        <v>4000</v>
      </c>
      <c r="C199" s="1">
        <f t="shared" si="68"/>
        <v>25132.741228718343</v>
      </c>
      <c r="D199" s="83" t="str">
        <f t="shared" si="69"/>
        <v>0.0305745694201679-0.0555593058893949i</v>
      </c>
      <c r="E199" s="1">
        <f t="shared" si="70"/>
        <v>-23.955967254475947</v>
      </c>
      <c r="F199" s="1">
        <f t="shared" si="71"/>
        <v>-61.175786888051199</v>
      </c>
      <c r="G199" s="1" t="str">
        <f t="shared" si="72"/>
        <v>74.5847267026106-972.609330672249i</v>
      </c>
      <c r="H199" s="1">
        <f t="shared" si="77"/>
        <v>59.784233030506904</v>
      </c>
      <c r="I199" s="1">
        <f t="shared" si="78"/>
        <v>-85.614844902279529</v>
      </c>
      <c r="J199" s="83" t="str">
        <f t="shared" si="73"/>
        <v>-20.238039257711-10.603408859074i</v>
      </c>
      <c r="K199" s="1">
        <f t="shared" si="79"/>
        <v>27.17679249063724</v>
      </c>
      <c r="L199" s="1">
        <f t="shared" si="80"/>
        <v>-152.348401838234</v>
      </c>
      <c r="M199" s="1">
        <f t="shared" si="74"/>
        <v>0.192</v>
      </c>
      <c r="N199" s="1">
        <f t="shared" si="75"/>
        <v>2.5000000000000001E-2</v>
      </c>
      <c r="O199" s="1" t="str">
        <f t="shared" si="76"/>
        <v>2.34828876018476-0.661934492883731i</v>
      </c>
      <c r="P199" s="1">
        <f t="shared" si="81"/>
        <v>7.7470796760693004</v>
      </c>
      <c r="Q199" s="1">
        <f t="shared" si="82"/>
        <v>-15.74205686700852</v>
      </c>
      <c r="R199" s="1" t="str">
        <f t="shared" si="83"/>
        <v>0.297816017558527-0.901803548226791i</v>
      </c>
      <c r="S199" s="1">
        <f t="shared" si="84"/>
        <v>-0.44820416559096848</v>
      </c>
      <c r="T199" s="1">
        <f t="shared" si="85"/>
        <v>-71.72445752546885</v>
      </c>
      <c r="U199" s="1" t="str">
        <f>IMPRODUCT(COMPLEX(-1,0),IMDIV(COMPLEX(1,C199*Calculations!$B$195*Calculations!$B$197),IMPRODUCT(COMPLEX(0,C199*Calculations!$B$184),COMPLEX((Calculations!$B$197+Calculations!$B$199),C199*Calculations!$B$195*Calculations!$B$197*Calculations!$B$199))))</f>
        <v>-1.42642551565999+0.0819268995569915i</v>
      </c>
      <c r="V199" s="1">
        <f t="shared" si="86"/>
        <v>3.0992848669216451</v>
      </c>
      <c r="W199" s="1">
        <f t="shared" si="87"/>
        <v>176.71282227287702</v>
      </c>
      <c r="X199" s="1" t="str">
        <f t="shared" si="88"/>
        <v>-0.350930397702012+1.31075473426039i</v>
      </c>
      <c r="Y199" s="1">
        <f t="shared" si="89"/>
        <v>2.6510807013306787</v>
      </c>
      <c r="Z199" s="1">
        <f t="shared" si="90"/>
        <v>104.98836474740818</v>
      </c>
    </row>
    <row r="200" spans="2:26" x14ac:dyDescent="0.15">
      <c r="B200" s="1">
        <v>5000</v>
      </c>
      <c r="C200" s="1">
        <f t="shared" si="68"/>
        <v>31415.926535897932</v>
      </c>
      <c r="D200" s="83" t="str">
        <f t="shared" si="69"/>
        <v>0.0302844944869372-0.0444508106761574i</v>
      </c>
      <c r="E200" s="1">
        <f t="shared" si="70"/>
        <v>-25.386477869560984</v>
      </c>
      <c r="F200" s="1">
        <f t="shared" si="71"/>
        <v>-55.733257220235622</v>
      </c>
      <c r="G200" s="1" t="str">
        <f t="shared" si="72"/>
        <v>42.3210448212106-740.980194431024i</v>
      </c>
      <c r="H200" s="1">
        <f t="shared" si="77"/>
        <v>57.410276136271548</v>
      </c>
      <c r="I200" s="1">
        <f t="shared" si="78"/>
        <v>-86.731105985861007</v>
      </c>
      <c r="J200" s="83" t="str">
        <f t="shared" si="73"/>
        <v>-12.7833871888368-7.45171601543873i</v>
      </c>
      <c r="K200" s="1">
        <f t="shared" si="79"/>
        <v>23.403311827887038</v>
      </c>
      <c r="L200" s="1">
        <f t="shared" si="80"/>
        <v>-149.76115553911649</v>
      </c>
      <c r="M200" s="1">
        <f t="shared" si="74"/>
        <v>0.192</v>
      </c>
      <c r="N200" s="1">
        <f t="shared" si="75"/>
        <v>2.5000000000000001E-2</v>
      </c>
      <c r="O200" s="1" t="str">
        <f t="shared" si="76"/>
        <v>2.34594040263409-0.574041964822917i</v>
      </c>
      <c r="P200" s="1">
        <f t="shared" si="81"/>
        <v>7.6588903918730971</v>
      </c>
      <c r="Q200" s="1">
        <f t="shared" si="82"/>
        <v>-13.749861747398201</v>
      </c>
      <c r="R200" s="1" t="str">
        <f t="shared" si="83"/>
        <v>0.280877798294553-0.758881532708289i</v>
      </c>
      <c r="S200" s="1">
        <f t="shared" si="84"/>
        <v>-1.838956282790948</v>
      </c>
      <c r="T200" s="1">
        <f t="shared" si="85"/>
        <v>-69.689441401146823</v>
      </c>
      <c r="U200" s="1" t="str">
        <f>IMPRODUCT(COMPLEX(-1,0),IMDIV(COMPLEX(1,C200*Calculations!$B$195*Calculations!$B$197),IMPRODUCT(COMPLEX(0,C200*Calculations!$B$184),COMPLEX((Calculations!$B$197+Calculations!$B$199),C200*Calculations!$B$195*Calculations!$B$197*Calculations!$B$199))))</f>
        <v>-1.42624335880436+0.0752114093088821i</v>
      </c>
      <c r="V200" s="1">
        <f t="shared" si="86"/>
        <v>3.0959330929542928</v>
      </c>
      <c r="W200" s="1">
        <f t="shared" si="87"/>
        <v>176.98136476957416</v>
      </c>
      <c r="X200" s="1" t="str">
        <f t="shared" si="88"/>
        <v>-0.343523544879722+1.10347496119778i</v>
      </c>
      <c r="Y200" s="1">
        <f t="shared" si="89"/>
        <v>1.2569768101633438</v>
      </c>
      <c r="Z200" s="1">
        <f t="shared" si="90"/>
        <v>107.29192336842736</v>
      </c>
    </row>
    <row r="201" spans="2:26" x14ac:dyDescent="0.15">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0.0301269045027706-0.0370438660959033i</v>
      </c>
      <c r="E201" s="1">
        <f t="shared" ref="E201:E228" si="93">20*LOG(IMABS(D201))</f>
        <v>-26.420883178468269</v>
      </c>
      <c r="F201" s="1">
        <f t="shared" ref="F201:F223" si="94">IMARGUMENT(D201)*(180/PI())</f>
        <v>-50.879353684738113</v>
      </c>
      <c r="G201" s="1" t="str">
        <f t="shared" ref="G201:G228" si="95">IMDIV(IMSUM(COMPLEX(V48_Nom,0),IMPRODUCT(COMPLEX(np*(I_Channel_Design*(V12_Min/V48_Nom)),0),D201)),IMSUM(IMPRODUCT(COMPLEX(((V12_Min/V48_Nom)^2),0),D201),COMPLEX(Rcs/np,(Lm*C201)/np)))</f>
        <v>27.5760017396353-601.791837536652i</v>
      </c>
      <c r="H201" s="1">
        <f t="shared" si="77"/>
        <v>55.598035445511655</v>
      </c>
      <c r="I201" s="1">
        <f t="shared" si="78"/>
        <v>-87.376361821922288</v>
      </c>
      <c r="J201" s="83" t="str">
        <f t="shared" ref="J201:J228" si="96">IMPRODUCT(COMPLEX(-1,0),IMDIV(IMSUM(IMSUB(IMPRODUCT(COMPLEX((1-(V12_Min/V48_Nom))*V48_Nom,0),D201),IMPRODUCT(COMPLEX(V48_Nom,0),D201)),IMPRODUCT(COMPLEX(0,I_Channel_Design*Lm*C201),D201)),IMSUM(IMPRODUCT(COMPLEX(((V12_Min/V48_Nom)^2),0),D201),COMPLEX(Rcs/np,(Lm*C201)/np))))</f>
        <v>-9.00274035044854-5.79629557992047i</v>
      </c>
      <c r="K201" s="1">
        <f t="shared" si="79"/>
        <v>20.593603321410242</v>
      </c>
      <c r="L201" s="1">
        <f t="shared" si="80"/>
        <v>-147.22507454867846</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2.3430765585053-0.523586056930106i</v>
      </c>
      <c r="P201" s="1">
        <f t="shared" si="81"/>
        <v>7.6073528279124343</v>
      </c>
      <c r="Q201" s="1">
        <f t="shared" si="82"/>
        <v>-12.596422545534917</v>
      </c>
      <c r="R201" s="1" t="str">
        <f t="shared" si="83"/>
        <v>0.268811663404208-0.66959745720991i</v>
      </c>
      <c r="S201" s="1">
        <f t="shared" si="84"/>
        <v>-2.8347876419755997</v>
      </c>
      <c r="T201" s="1">
        <f t="shared" si="85"/>
        <v>-68.126876611929035</v>
      </c>
      <c r="U201" s="1" t="str">
        <f>IMPRODUCT(COMPLEX(-1,0),IMDIV(COMPLEX(1,C201*Calculations!$B$195*Calculations!$B$197),IMPRODUCT(COMPLEX(0,C201*Calculations!$B$184),COMPLEX((Calculations!$B$197+Calculations!$B$199),C201*Calculations!$B$195*Calculations!$B$197*Calculations!$B$199))))</f>
        <v>-1.42602078581762+0.0725223416023077i</v>
      </c>
      <c r="V201" s="1">
        <f t="shared" si="86"/>
        <v>3.0937351119217587</v>
      </c>
      <c r="W201" s="1">
        <f t="shared" si="87"/>
        <v>177.08864880632774</v>
      </c>
      <c r="X201" s="1" t="str">
        <f t="shared" si="88"/>
        <v>-0.334770243956796+0.974354743392041i</v>
      </c>
      <c r="Y201" s="1">
        <f t="shared" si="89"/>
        <v>0.25894746994615953</v>
      </c>
      <c r="Z201" s="1">
        <f t="shared" si="90"/>
        <v>108.96177219439868</v>
      </c>
    </row>
    <row r="202" spans="2:26" x14ac:dyDescent="0.15">
      <c r="B202" s="1">
        <v>7000</v>
      </c>
      <c r="C202" s="1">
        <f t="shared" si="91"/>
        <v>43982.297150257102</v>
      </c>
      <c r="D202" s="83" t="str">
        <f t="shared" si="92"/>
        <v>0.0300318764464458-0.0317526728567099i</v>
      </c>
      <c r="E202" s="1">
        <f t="shared" si="93"/>
        <v>-27.189334738291212</v>
      </c>
      <c r="F202" s="1">
        <f t="shared" si="94"/>
        <v>-46.595364717285761</v>
      </c>
      <c r="G202" s="1" t="str">
        <f t="shared" si="95"/>
        <v>19.507123645921-508.011493628091i</v>
      </c>
      <c r="H202" s="1">
        <f t="shared" si="77"/>
        <v>54.123869640355153</v>
      </c>
      <c r="I202" s="1">
        <f t="shared" si="78"/>
        <v>-87.800980836141065</v>
      </c>
      <c r="J202" s="83" t="str">
        <f t="shared" si="96"/>
        <v>-6.80807732059822-4.76831226712864i</v>
      </c>
      <c r="K202" s="1">
        <f t="shared" si="79"/>
        <v>18.39394566066867</v>
      </c>
      <c r="L202" s="1">
        <f t="shared" si="80"/>
        <v>-144.99296877072288</v>
      </c>
      <c r="M202" s="1">
        <f t="shared" si="97"/>
        <v>0.192</v>
      </c>
      <c r="N202" s="1">
        <f t="shared" si="98"/>
        <v>2.5000000000000001E-2</v>
      </c>
      <c r="O202" s="1" t="str">
        <f t="shared" si="99"/>
        <v>2.33970101715129-0.494471219894314i</v>
      </c>
      <c r="P202" s="1">
        <f t="shared" si="81"/>
        <v>7.5729751454215375</v>
      </c>
      <c r="Q202" s="1">
        <f t="shared" si="82"/>
        <v>-11.93326481671301</v>
      </c>
      <c r="R202" s="1" t="str">
        <f t="shared" si="83"/>
        <v>0.258632606056685-0.611049669041962i</v>
      </c>
      <c r="S202" s="1">
        <f t="shared" si="84"/>
        <v>-3.5627841765812551</v>
      </c>
      <c r="T202" s="1">
        <f t="shared" si="85"/>
        <v>-67.059025142150446</v>
      </c>
      <c r="U202" s="1" t="str">
        <f>IMPRODUCT(COMPLEX(-1,0),IMDIV(COMPLEX(1,C202*Calculations!$B$195*Calculations!$B$197),IMPRODUCT(COMPLEX(0,C202*Calculations!$B$184),COMPLEX((Calculations!$B$197+Calculations!$B$199),C202*Calculations!$B$195*Calculations!$B$197*Calculations!$B$199))))</f>
        <v>-1.42575783455991+0.0721326511870832i</v>
      </c>
      <c r="V202" s="1">
        <f t="shared" si="86"/>
        <v>3.0920173375796418</v>
      </c>
      <c r="W202" s="1">
        <f t="shared" si="87"/>
        <v>177.10373276934874</v>
      </c>
      <c r="X202" s="1" t="str">
        <f t="shared" si="88"/>
        <v>-0.324670831722979+0.889864708500111i</v>
      </c>
      <c r="Y202" s="1">
        <f t="shared" si="89"/>
        <v>-0.47076683900160954</v>
      </c>
      <c r="Z202" s="1">
        <f t="shared" si="90"/>
        <v>110.04470762719829</v>
      </c>
    </row>
    <row r="203" spans="2:26" x14ac:dyDescent="0.15">
      <c r="B203" s="1">
        <v>8000</v>
      </c>
      <c r="C203" s="1">
        <f t="shared" si="91"/>
        <v>50265.482457436687</v>
      </c>
      <c r="D203" s="83" t="str">
        <f t="shared" si="92"/>
        <v>0.0299701970599863-0.0277840360707487i</v>
      </c>
      <c r="E203" s="1">
        <f t="shared" si="93"/>
        <v>-27.772405248548072</v>
      </c>
      <c r="F203" s="1">
        <f t="shared" si="94"/>
        <v>-42.83222773530094</v>
      </c>
      <c r="G203" s="1" t="str">
        <f t="shared" si="95"/>
        <v>14.5756450511306-440.175943107529i</v>
      </c>
      <c r="H203" s="1">
        <f t="shared" si="77"/>
        <v>52.877285436198491</v>
      </c>
      <c r="I203" s="1">
        <f t="shared" si="78"/>
        <v>-88.103444939715175</v>
      </c>
      <c r="J203" s="83" t="str">
        <f t="shared" si="96"/>
        <v>-5.41643958797781-4.06324818245427i</v>
      </c>
      <c r="K203" s="1">
        <f t="shared" si="79"/>
        <v>16.613185350727278</v>
      </c>
      <c r="L203" s="1">
        <f t="shared" si="80"/>
        <v>-143.12388467252802</v>
      </c>
      <c r="M203" s="1">
        <f t="shared" si="97"/>
        <v>0.192</v>
      </c>
      <c r="N203" s="1">
        <f t="shared" si="98"/>
        <v>2.5000000000000001E-2</v>
      </c>
      <c r="O203" s="1" t="str">
        <f t="shared" si="99"/>
        <v>2.3358182271408-0.478641872702017i</v>
      </c>
      <c r="P203" s="1">
        <f t="shared" si="81"/>
        <v>7.5474153308262748</v>
      </c>
      <c r="Q203" s="1">
        <f t="shared" si="82"/>
        <v>-11.580397820536183</v>
      </c>
      <c r="R203" s="1" t="str">
        <f t="shared" si="83"/>
        <v>0.249067174608094-0.571667306282269i</v>
      </c>
      <c r="S203" s="1">
        <f t="shared" si="84"/>
        <v>-4.1023133671516332</v>
      </c>
      <c r="T203" s="1">
        <f t="shared" si="85"/>
        <v>-66.457939738754774</v>
      </c>
      <c r="U203" s="1" t="str">
        <f>IMPRODUCT(COMPLEX(-1,0),IMDIV(COMPLEX(1,C203*Calculations!$B$195*Calculations!$B$197),IMPRODUCT(COMPLEX(0,C203*Calculations!$B$184),COMPLEX((Calculations!$B$197+Calculations!$B$199),C203*Calculations!$B$195*Calculations!$B$197*Calculations!$B$199))))</f>
        <v>-1.42545454973697+0.0731785883121814i</v>
      </c>
      <c r="V203" s="1">
        <f t="shared" si="86"/>
        <v>3.090498219592714</v>
      </c>
      <c r="W203" s="1">
        <f t="shared" si="87"/>
        <v>177.06118536449665</v>
      </c>
      <c r="X203" s="1" t="str">
        <f t="shared" si="88"/>
        <v>-0.313200130777276+0.833112146908662i</v>
      </c>
      <c r="Y203" s="1">
        <f t="shared" si="89"/>
        <v>-1.0118151475589201</v>
      </c>
      <c r="Z203" s="1">
        <f t="shared" si="90"/>
        <v>110.60324562574189</v>
      </c>
    </row>
    <row r="204" spans="2:26" x14ac:dyDescent="0.15">
      <c r="B204" s="1">
        <v>9000</v>
      </c>
      <c r="C204" s="1">
        <f t="shared" si="91"/>
        <v>56548.667764616279</v>
      </c>
      <c r="D204" s="83" t="str">
        <f t="shared" si="92"/>
        <v>0.0299279087280689-0.0246971935653014i</v>
      </c>
      <c r="E204" s="1">
        <f t="shared" si="93"/>
        <v>-28.222814257713686</v>
      </c>
      <c r="F204" s="1">
        <f t="shared" si="94"/>
        <v>-39.530227181682086</v>
      </c>
      <c r="G204" s="1" t="str">
        <f t="shared" si="95"/>
        <v>11.3268412618377-388.666103523293i</v>
      </c>
      <c r="H204" s="1">
        <f t="shared" si="77"/>
        <v>51.795220253504695</v>
      </c>
      <c r="I204" s="1">
        <f t="shared" si="78"/>
        <v>-88.330709677102675</v>
      </c>
      <c r="J204" s="83" t="str">
        <f t="shared" si="96"/>
        <v>-4.47685660784142-3.5470862998292i</v>
      </c>
      <c r="K204" s="1">
        <f t="shared" si="79"/>
        <v>15.135380911011506</v>
      </c>
      <c r="L204" s="1">
        <f t="shared" si="80"/>
        <v>-141.60964219394603</v>
      </c>
      <c r="M204" s="1">
        <f t="shared" si="97"/>
        <v>0.192</v>
      </c>
      <c r="N204" s="1">
        <f t="shared" si="98"/>
        <v>2.5000000000000001E-2</v>
      </c>
      <c r="O204" s="1" t="str">
        <f t="shared" si="99"/>
        <v>2.33143328170177-0.471615906807136i</v>
      </c>
      <c r="P204" s="1">
        <f t="shared" si="81"/>
        <v>7.5266315117854399</v>
      </c>
      <c r="Q204" s="1">
        <f t="shared" si="82"/>
        <v>-11.43580787541042</v>
      </c>
      <c r="R204" s="1" t="str">
        <f t="shared" si="83"/>
        <v>0.239502459583761-0.544968839823634i</v>
      </c>
      <c r="S204" s="1">
        <f t="shared" si="84"/>
        <v>-4.5056454236893932</v>
      </c>
      <c r="T204" s="1">
        <f t="shared" si="85"/>
        <v>-66.27551090192118</v>
      </c>
      <c r="U204" s="1" t="str">
        <f>IMPRODUCT(COMPLEX(-1,0),IMDIV(COMPLEX(1,C204*Calculations!$B$195*Calculations!$B$197),IMPRODUCT(COMPLEX(0,C204*Calculations!$B$184),COMPLEX((Calculations!$B$197+Calculations!$B$199),C204*Calculations!$B$195*Calculations!$B$197*Calculations!$B$199))))</f>
        <v>-1.42511098288115+0.0751800906750007i</v>
      </c>
      <c r="V204" s="1">
        <f t="shared" si="86"/>
        <v>3.0890432339006697</v>
      </c>
      <c r="W204" s="1">
        <f t="shared" si="87"/>
        <v>176.98022629194458</v>
      </c>
      <c r="X204" s="1" t="str">
        <f t="shared" si="88"/>
        <v>-0.300346778786876+0.794646895589052i</v>
      </c>
      <c r="Y204" s="1">
        <f t="shared" si="89"/>
        <v>-1.4166021897887195</v>
      </c>
      <c r="Z204" s="1">
        <f t="shared" si="90"/>
        <v>110.70471539002341</v>
      </c>
    </row>
    <row r="205" spans="2:26" x14ac:dyDescent="0.15">
      <c r="B205" s="1">
        <v>10000</v>
      </c>
      <c r="C205" s="1">
        <f t="shared" si="91"/>
        <v>62831.853071795864</v>
      </c>
      <c r="D205" s="83" t="str">
        <f t="shared" si="92"/>
        <v>0.0298976595602708-0.0222276497110598i</v>
      </c>
      <c r="E205" s="1">
        <f t="shared" si="93"/>
        <v>-28.576297900557229</v>
      </c>
      <c r="F205" s="1">
        <f t="shared" si="94"/>
        <v>-36.629247322614667</v>
      </c>
      <c r="G205" s="1" t="str">
        <f t="shared" si="95"/>
        <v>9.06679516067405-348.142405018414i</v>
      </c>
      <c r="H205" s="1">
        <f t="shared" si="77"/>
        <v>50.838083133911816</v>
      </c>
      <c r="I205" s="1">
        <f t="shared" si="78"/>
        <v>-88.508163074056881</v>
      </c>
      <c r="J205" s="83" t="str">
        <f t="shared" si="96"/>
        <v>-3.81189567068352-3.15149734274411i</v>
      </c>
      <c r="K205" s="1">
        <f t="shared" si="79"/>
        <v>13.885005564832742</v>
      </c>
      <c r="L205" s="1">
        <f t="shared" si="80"/>
        <v>-140.41764658142921</v>
      </c>
      <c r="M205" s="1">
        <f t="shared" si="97"/>
        <v>0.192</v>
      </c>
      <c r="N205" s="1">
        <f t="shared" si="98"/>
        <v>2.5000000000000001E-2</v>
      </c>
      <c r="O205" s="1" t="str">
        <f t="shared" si="99"/>
        <v>2.32655190216842-0.470698106712192i</v>
      </c>
      <c r="P205" s="1">
        <f t="shared" si="81"/>
        <v>7.5084771092898706</v>
      </c>
      <c r="Q205" s="1">
        <f t="shared" si="82"/>
        <v>-11.437455317887316</v>
      </c>
      <c r="R205" s="1" t="str">
        <f t="shared" si="83"/>
        <v>0.229617567176725-0.527034732487231i</v>
      </c>
      <c r="S205" s="1">
        <f t="shared" si="84"/>
        <v>-4.8084189188639224</v>
      </c>
      <c r="T205" s="1">
        <f t="shared" si="85"/>
        <v>-66.458290668329099</v>
      </c>
      <c r="U205" s="1" t="str">
        <f>IMPRODUCT(COMPLEX(-1,0),IMDIV(COMPLEX(1,C205*Calculations!$B$195*Calculations!$B$197),IMPRODUCT(COMPLEX(0,C205*Calculations!$B$184),COMPLEX((Calculations!$B$197+Calculations!$B$199),C205*Calculations!$B$195*Calculations!$B$197*Calculations!$B$199))))</f>
        <v>-1.42472719232951+0.0778489402775178i</v>
      </c>
      <c r="V205" s="1">
        <f t="shared" si="86"/>
        <v>3.087581553262011</v>
      </c>
      <c r="W205" s="1">
        <f t="shared" si="87"/>
        <v>176.87239454321846</v>
      </c>
      <c r="X205" s="1" t="str">
        <f t="shared" si="88"/>
        <v>-0.286113296379652+0.768756198950477i</v>
      </c>
      <c r="Y205" s="1">
        <f t="shared" si="89"/>
        <v>-1.7208373656019087</v>
      </c>
      <c r="Z205" s="1">
        <f t="shared" si="90"/>
        <v>110.41410387488934</v>
      </c>
    </row>
    <row r="206" spans="2:26" x14ac:dyDescent="0.15">
      <c r="B206" s="1">
        <v>20000</v>
      </c>
      <c r="C206" s="1">
        <f t="shared" si="91"/>
        <v>125663.70614359173</v>
      </c>
      <c r="D206" s="83" t="str">
        <f t="shared" si="92"/>
        <v>0.0298009386209559-0.0111141054375662i</v>
      </c>
      <c r="E206" s="1">
        <f t="shared" si="93"/>
        <v>-29.949829012079071</v>
      </c>
      <c r="F206" s="1">
        <f t="shared" si="94"/>
        <v>-20.452739475081735</v>
      </c>
      <c r="G206" s="1" t="str">
        <f t="shared" si="95"/>
        <v>2.18307891594962-171.470216269035i</v>
      </c>
      <c r="H206" s="1">
        <f t="shared" si="77"/>
        <v>44.684477811662198</v>
      </c>
      <c r="I206" s="1">
        <f t="shared" si="78"/>
        <v>-89.270576235412364</v>
      </c>
      <c r="J206" s="83" t="str">
        <f t="shared" si="96"/>
        <v>-1.72471875347417-1.51245879339974i</v>
      </c>
      <c r="K206" s="1">
        <f t="shared" si="79"/>
        <v>7.2116622621073017</v>
      </c>
      <c r="L206" s="1">
        <f t="shared" si="80"/>
        <v>-138.751482739002</v>
      </c>
      <c r="M206" s="1">
        <f t="shared" si="97"/>
        <v>0.192</v>
      </c>
      <c r="N206" s="1">
        <f t="shared" si="98"/>
        <v>2.5000000000000001E-2</v>
      </c>
      <c r="O206" s="1" t="str">
        <f t="shared" si="99"/>
        <v>2.25210014761941-0.588008718782821i</v>
      </c>
      <c r="P206" s="1">
        <f t="shared" si="81"/>
        <v>7.3381570049155531</v>
      </c>
      <c r="Q206" s="1">
        <f t="shared" si="82"/>
        <v>-14.632886541382131</v>
      </c>
      <c r="R206" s="1" t="str">
        <f t="shared" si="83"/>
        <v>0.0958830608969023-0.52063945258518i</v>
      </c>
      <c r="S206" s="1">
        <f t="shared" si="84"/>
        <v>-5.5244043046400755</v>
      </c>
      <c r="T206" s="1">
        <f t="shared" si="85"/>
        <v>-79.565101158996669</v>
      </c>
      <c r="U206" s="1" t="str">
        <f>IMPRODUCT(COMPLEX(-1,0),IMDIV(COMPLEX(1,C206*Calculations!$B$195*Calculations!$B$197),IMPRODUCT(COMPLEX(0,C206*Calculations!$B$184),COMPLEX((Calculations!$B$197+Calculations!$B$199),C206*Calculations!$B$195*Calculations!$B$197*Calculations!$B$199))))</f>
        <v>-1.41869462512314+0.118984947509023i</v>
      </c>
      <c r="V206" s="1">
        <f t="shared" si="86"/>
        <v>3.0682200720272212</v>
      </c>
      <c r="W206" s="1">
        <f t="shared" si="87"/>
        <v>175.20586192270937</v>
      </c>
      <c r="X206" s="1" t="str">
        <f t="shared" si="88"/>
        <v>-0.0740805251978159+0.750037033977471i</v>
      </c>
      <c r="Y206" s="1">
        <f t="shared" si="89"/>
        <v>-2.456184232612856</v>
      </c>
      <c r="Z206" s="1">
        <f t="shared" si="90"/>
        <v>95.640760763712706</v>
      </c>
    </row>
    <row r="207" spans="2:26" x14ac:dyDescent="0.15">
      <c r="B207" s="1">
        <v>30000</v>
      </c>
      <c r="C207" s="1">
        <f t="shared" si="91"/>
        <v>188495.55921538759</v>
      </c>
      <c r="D207" s="83" t="str">
        <f t="shared" si="92"/>
        <v>0.0297830267999637-0.00740943826583818i</v>
      </c>
      <c r="E207" s="1">
        <f t="shared" si="93"/>
        <v>-30.259820805055952</v>
      </c>
      <c r="F207" s="1">
        <f t="shared" si="94"/>
        <v>-13.970466111608319</v>
      </c>
      <c r="G207" s="1" t="str">
        <f t="shared" si="95"/>
        <v>0.963567231918235-113.997636588316i</v>
      </c>
      <c r="H207" s="1">
        <f t="shared" si="77"/>
        <v>41.138227222738735</v>
      </c>
      <c r="I207" s="1">
        <f t="shared" si="78"/>
        <v>-89.51571784655772</v>
      </c>
      <c r="J207" s="83" t="str">
        <f t="shared" si="96"/>
        <v>-1.34459247244578-1.00071553594165i</v>
      </c>
      <c r="K207" s="1">
        <f t="shared" si="79"/>
        <v>4.4860747201637894</v>
      </c>
      <c r="L207" s="1">
        <f t="shared" si="80"/>
        <v>-143.34146243724783</v>
      </c>
      <c r="M207" s="1">
        <f t="shared" si="97"/>
        <v>0.192</v>
      </c>
      <c r="N207" s="1">
        <f t="shared" si="98"/>
        <v>2.5000000000000001E-2</v>
      </c>
      <c r="O207" s="1" t="str">
        <f t="shared" si="99"/>
        <v>2.13806671599859-0.752104707763627i</v>
      </c>
      <c r="P207" s="1">
        <f t="shared" si="81"/>
        <v>7.1070878569297413</v>
      </c>
      <c r="Q207" s="1">
        <f t="shared" si="82"/>
        <v>-19.380270399327014</v>
      </c>
      <c r="R207" s="1" t="str">
        <f t="shared" si="83"/>
        <v>-0.093682096079324-0.545779608809696i</v>
      </c>
      <c r="S207" s="1">
        <f t="shared" si="84"/>
        <v>-5.1335459995633217</v>
      </c>
      <c r="T207" s="1">
        <f t="shared" si="85"/>
        <v>-99.739803522662186</v>
      </c>
      <c r="U207" s="1" t="str">
        <f>IMPRODUCT(COMPLEX(-1,0),IMDIV(COMPLEX(1,C207*Calculations!$B$195*Calculations!$B$197),IMPRODUCT(COMPLEX(0,C207*Calculations!$B$184),COMPLEX((Calculations!$B$197+Calculations!$B$199),C207*Calculations!$B$195*Calculations!$B$197*Calculations!$B$199))))</f>
        <v>-1.40875307555117+0.167282003956561i</v>
      </c>
      <c r="V207" s="1">
        <f t="shared" si="86"/>
        <v>3.0375067027837801</v>
      </c>
      <c r="W207" s="1">
        <f t="shared" si="87"/>
        <v>173.22813776950659</v>
      </c>
      <c r="X207" s="1" t="str">
        <f t="shared" si="88"/>
        <v>0.223274047656142+0.753197373716773i</v>
      </c>
      <c r="Y207" s="1">
        <f t="shared" si="89"/>
        <v>-2.0960392967795425</v>
      </c>
      <c r="Z207" s="1">
        <f t="shared" si="90"/>
        <v>73.488334246844374</v>
      </c>
    </row>
    <row r="208" spans="2:26" x14ac:dyDescent="0.15">
      <c r="B208" s="1">
        <v>40000</v>
      </c>
      <c r="C208" s="1">
        <f t="shared" si="91"/>
        <v>251327.41228718346</v>
      </c>
      <c r="D208" s="83" t="str">
        <f t="shared" si="92"/>
        <v>0.0297767576230481-0.00555708779264446i</v>
      </c>
      <c r="E208" s="1">
        <f t="shared" si="93"/>
        <v>-30.373766411850678</v>
      </c>
      <c r="F208" s="1">
        <f t="shared" si="94"/>
        <v>-10.571217207201162</v>
      </c>
      <c r="G208" s="1" t="str">
        <f t="shared" si="95"/>
        <v>0.540697246541451-85.4156063321019i</v>
      </c>
      <c r="H208" s="1">
        <f t="shared" si="77"/>
        <v>38.630918586549839</v>
      </c>
      <c r="I208" s="1">
        <f t="shared" si="78"/>
        <v>-89.6373115199615</v>
      </c>
      <c r="J208" s="83" t="str">
        <f t="shared" si="96"/>
        <v>-1.21201239220536-0.748556242043553i</v>
      </c>
      <c r="K208" s="1">
        <f t="shared" si="79"/>
        <v>3.0734849957034145</v>
      </c>
      <c r="L208" s="1">
        <f t="shared" si="80"/>
        <v>-148.29992704359239</v>
      </c>
      <c r="M208" s="1">
        <f t="shared" si="97"/>
        <v>0.192</v>
      </c>
      <c r="N208" s="1">
        <f t="shared" si="98"/>
        <v>2.5000000000000001E-2</v>
      </c>
      <c r="O208" s="1" t="str">
        <f t="shared" si="99"/>
        <v>1.99653631279602-0.899275900874515i</v>
      </c>
      <c r="P208" s="1">
        <f t="shared" si="81"/>
        <v>6.8077542344564925</v>
      </c>
      <c r="Q208" s="1">
        <f t="shared" si="82"/>
        <v>-24.247658928661092</v>
      </c>
      <c r="R208" s="1" t="str">
        <f t="shared" si="83"/>
        <v>-0.291205895890717-0.497629084158198i</v>
      </c>
      <c r="S208" s="1">
        <f t="shared" si="84"/>
        <v>-4.7829250166277495</v>
      </c>
      <c r="T208" s="1">
        <f t="shared" si="85"/>
        <v>-120.33560096074194</v>
      </c>
      <c r="U208" s="1" t="str">
        <f>IMPRODUCT(COMPLEX(-1,0),IMDIV(COMPLEX(1,C208*Calculations!$B$195*Calculations!$B$197),IMPRODUCT(COMPLEX(0,C208*Calculations!$B$184),COMPLEX((Calculations!$B$197+Calculations!$B$199),C208*Calculations!$B$195*Calculations!$B$197*Calculations!$B$199))))</f>
        <v>-1.39506670891791+0.21627997283595i</v>
      </c>
      <c r="V208" s="1">
        <f t="shared" si="86"/>
        <v>2.9950471623813293</v>
      </c>
      <c r="W208" s="1">
        <f t="shared" si="87"/>
        <v>171.1874769415069</v>
      </c>
      <c r="X208" s="1" t="str">
        <f t="shared" si="88"/>
        <v>0.513878855601868+0.631243765445498i</v>
      </c>
      <c r="Y208" s="1">
        <f t="shared" si="89"/>
        <v>-1.7878778542464222</v>
      </c>
      <c r="Z208" s="1">
        <f t="shared" si="90"/>
        <v>50.851875980764959</v>
      </c>
    </row>
    <row r="209" spans="1:26" x14ac:dyDescent="0.15">
      <c r="B209" s="1">
        <v>50000</v>
      </c>
      <c r="C209" s="1">
        <f t="shared" si="91"/>
        <v>314159.26535897929</v>
      </c>
      <c r="D209" s="83" t="str">
        <f t="shared" si="92"/>
        <v>0.0297738558827868-0.00444567360123006i</v>
      </c>
      <c r="E209" s="1">
        <f t="shared" si="93"/>
        <v>-30.427536539146995</v>
      </c>
      <c r="F209" s="1">
        <f t="shared" si="94"/>
        <v>-8.4923595482290075</v>
      </c>
      <c r="G209" s="1" t="str">
        <f t="shared" si="95"/>
        <v>0.345659249124293-68.3019318303221i</v>
      </c>
      <c r="H209" s="1">
        <f t="shared" si="77"/>
        <v>36.688770972793456</v>
      </c>
      <c r="I209" s="1">
        <f t="shared" si="78"/>
        <v>-89.710042651486575</v>
      </c>
      <c r="J209" s="83" t="str">
        <f t="shared" si="96"/>
        <v>-1.15072793720036-0.598113358940362i</v>
      </c>
      <c r="K209" s="1">
        <f t="shared" si="79"/>
        <v>2.2580388257213495</v>
      </c>
      <c r="L209" s="1">
        <f t="shared" si="80"/>
        <v>-152.53596212273689</v>
      </c>
      <c r="M209" s="1">
        <f t="shared" si="97"/>
        <v>0.192</v>
      </c>
      <c r="N209" s="1">
        <f t="shared" si="98"/>
        <v>2.5000000000000001E-2</v>
      </c>
      <c r="O209" s="1" t="str">
        <f t="shared" si="99"/>
        <v>1.83994163169035-1.01612092974564i</v>
      </c>
      <c r="P209" s="1">
        <f t="shared" si="81"/>
        <v>6.4521459863442923</v>
      </c>
      <c r="Q209" s="1">
        <f t="shared" si="82"/>
        <v>-28.90998924838804</v>
      </c>
      <c r="R209" s="1" t="str">
        <f t="shared" si="83"/>
        <v>-0.440028332452327-0.377614066161319i</v>
      </c>
      <c r="S209" s="1">
        <f t="shared" si="84"/>
        <v>-4.7337992269266085</v>
      </c>
      <c r="T209" s="1">
        <f t="shared" si="85"/>
        <v>-139.36517524868336</v>
      </c>
      <c r="U209" s="1" t="str">
        <f>IMPRODUCT(COMPLEX(-1,0),IMDIV(COMPLEX(1,C209*Calculations!$B$195*Calculations!$B$197),IMPRODUCT(COMPLEX(0,C209*Calculations!$B$184),COMPLEX((Calculations!$B$197+Calculations!$B$199),C209*Calculations!$B$195*Calculations!$B$197*Calculations!$B$199))))</f>
        <v>-1.3778558890664+0.2643884939788i</v>
      </c>
      <c r="V209" s="1">
        <f t="shared" si="86"/>
        <v>2.941107367278069</v>
      </c>
      <c r="W209" s="1">
        <f t="shared" si="87"/>
        <v>169.13788502737827</v>
      </c>
      <c r="X209" s="1" t="str">
        <f t="shared" si="88"/>
        <v>0.706132443483109+0.403959336729609i</v>
      </c>
      <c r="Y209" s="1">
        <f t="shared" si="89"/>
        <v>-1.7926918596485355</v>
      </c>
      <c r="Z209" s="1">
        <f t="shared" si="90"/>
        <v>29.772709778694896</v>
      </c>
    </row>
    <row r="210" spans="1:26" x14ac:dyDescent="0.15">
      <c r="B210" s="1">
        <v>60000</v>
      </c>
      <c r="C210" s="1">
        <f t="shared" si="91"/>
        <v>376991.11843077518</v>
      </c>
      <c r="D210" s="83" t="str">
        <f t="shared" si="92"/>
        <v>0.0297722796269754-0.00370472952523504i</v>
      </c>
      <c r="E210" s="1">
        <f t="shared" si="93"/>
        <v>-30.457026498482655</v>
      </c>
      <c r="F210" s="1">
        <f t="shared" si="94"/>
        <v>-7.0931702038088327</v>
      </c>
      <c r="G210" s="1" t="str">
        <f t="shared" si="95"/>
        <v>0.239895321696285-56.9044547114759i</v>
      </c>
      <c r="H210" s="1">
        <f t="shared" si="77"/>
        <v>35.103002505927947</v>
      </c>
      <c r="I210" s="1">
        <f t="shared" si="78"/>
        <v>-89.758456379195408</v>
      </c>
      <c r="J210" s="83" t="str">
        <f t="shared" si="96"/>
        <v>-1.11745911817295-0.498096977579994i</v>
      </c>
      <c r="K210" s="1">
        <f t="shared" si="79"/>
        <v>1.7516826592966548</v>
      </c>
      <c r="L210" s="1">
        <f t="shared" si="80"/>
        <v>-155.97552298412927</v>
      </c>
      <c r="M210" s="1">
        <f t="shared" si="97"/>
        <v>0.192</v>
      </c>
      <c r="N210" s="1">
        <f t="shared" si="98"/>
        <v>2.5000000000000001E-2</v>
      </c>
      <c r="O210" s="1" t="str">
        <f t="shared" si="99"/>
        <v>1.67898908871422-1.10089832258427i</v>
      </c>
      <c r="P210" s="1">
        <f t="shared" si="81"/>
        <v>6.0541080247215637</v>
      </c>
      <c r="Q210" s="1">
        <f t="shared" si="82"/>
        <v>-33.252502072606326</v>
      </c>
      <c r="R210" s="1" t="str">
        <f t="shared" si="83"/>
        <v>-0.513667310507649-0.229009784705412i</v>
      </c>
      <c r="S210" s="1">
        <f t="shared" si="84"/>
        <v>-4.9990137463782087</v>
      </c>
      <c r="T210" s="1">
        <f t="shared" si="85"/>
        <v>-155.97111489513622</v>
      </c>
      <c r="U210" s="1" t="str">
        <f>IMPRODUCT(COMPLEX(-1,0),IMDIV(COMPLEX(1,C210*Calculations!$B$195*Calculations!$B$197),IMPRODUCT(COMPLEX(0,C210*Calculations!$B$184),COMPLEX((Calculations!$B$197+Calculations!$B$199),C210*Calculations!$B$195*Calculations!$B$197*Calculations!$B$199))))</f>
        <v>-1.35738857058364+0.310866915750943i</v>
      </c>
      <c r="V210" s="1">
        <f t="shared" si="86"/>
        <v>2.8760960634729775</v>
      </c>
      <c r="W210" s="1">
        <f t="shared" si="87"/>
        <v>167.10066448562614</v>
      </c>
      <c r="X210" s="1" t="str">
        <f t="shared" si="88"/>
        <v>0.768437701813679+0.151173091771352i</v>
      </c>
      <c r="Y210" s="1">
        <f t="shared" si="89"/>
        <v>-2.1229176829052339</v>
      </c>
      <c r="Z210" s="1">
        <f t="shared" si="90"/>
        <v>11.129549590489958</v>
      </c>
    </row>
    <row r="211" spans="1:26" x14ac:dyDescent="0.15">
      <c r="B211" s="1">
        <v>70000</v>
      </c>
      <c r="C211" s="1">
        <f t="shared" si="91"/>
        <v>439822.97150257102</v>
      </c>
      <c r="D211" s="83" t="str">
        <f t="shared" si="92"/>
        <v>0.0297713291938093-0.0031754832379596i</v>
      </c>
      <c r="E211" s="1">
        <f t="shared" si="93"/>
        <v>-30.474905284265024</v>
      </c>
      <c r="F211" s="1">
        <f t="shared" si="94"/>
        <v>-6.0882898958843841</v>
      </c>
      <c r="G211" s="1" t="str">
        <f t="shared" si="95"/>
        <v>0.176185064594089-48.7681059505279i</v>
      </c>
      <c r="H211" s="1">
        <f t="shared" si="77"/>
        <v>33.762774459263426</v>
      </c>
      <c r="I211" s="1">
        <f t="shared" si="78"/>
        <v>-89.793007817288625</v>
      </c>
      <c r="J211" s="83" t="str">
        <f t="shared" si="96"/>
        <v>-1.09740637988656-0.426769396070448i</v>
      </c>
      <c r="K211" s="1">
        <f t="shared" si="79"/>
        <v>1.4189884936668591</v>
      </c>
      <c r="L211" s="1">
        <f t="shared" si="80"/>
        <v>-158.74948323043034</v>
      </c>
      <c r="M211" s="1">
        <f t="shared" si="97"/>
        <v>0.192</v>
      </c>
      <c r="N211" s="1">
        <f t="shared" si="98"/>
        <v>2.5000000000000001E-2</v>
      </c>
      <c r="O211" s="1" t="str">
        <f t="shared" si="99"/>
        <v>1.52167541022384-1.15652891551198i</v>
      </c>
      <c r="P211" s="1">
        <f t="shared" si="81"/>
        <v>5.6265623312330684</v>
      </c>
      <c r="Q211" s="1">
        <f t="shared" si="82"/>
        <v>-37.236161070685164</v>
      </c>
      <c r="R211" s="1" t="str">
        <f t="shared" si="83"/>
        <v>-0.523166404056595-0.0928994454428134i</v>
      </c>
      <c r="S211" s="1">
        <f t="shared" si="84"/>
        <v>-5.492377521507283</v>
      </c>
      <c r="T211" s="1">
        <f t="shared" si="85"/>
        <v>-169.93085892876169</v>
      </c>
      <c r="U211" s="1" t="str">
        <f>IMPRODUCT(COMPLEX(-1,0),IMDIV(COMPLEX(1,C211*Calculations!$B$195*Calculations!$B$197),IMPRODUCT(COMPLEX(0,C211*Calculations!$B$184),COMPLEX((Calculations!$B$197+Calculations!$B$199),C211*Calculations!$B$195*Calculations!$B$197*Calculations!$B$199))))</f>
        <v>-1.33397034459029+0.35525510498061i</v>
      </c>
      <c r="V211" s="1">
        <f t="shared" si="86"/>
        <v>2.8005067570670281</v>
      </c>
      <c r="W211" s="1">
        <f t="shared" si="87"/>
        <v>165.08744421260195</v>
      </c>
      <c r="X211" s="1" t="str">
        <f t="shared" si="88"/>
        <v>0.730891470540866-0.0619324305458573i</v>
      </c>
      <c r="Y211" s="1">
        <f t="shared" si="89"/>
        <v>-2.6918707644402557</v>
      </c>
      <c r="Z211" s="1">
        <f t="shared" si="90"/>
        <v>-4.8434147161597343</v>
      </c>
    </row>
    <row r="212" spans="1:26" x14ac:dyDescent="0.15">
      <c r="B212" s="1">
        <v>80000</v>
      </c>
      <c r="C212" s="1">
        <f t="shared" si="91"/>
        <v>502654.82457436691</v>
      </c>
      <c r="D212" s="83" t="str">
        <f t="shared" si="92"/>
        <v>0.0297707123258771-0.00277854828058949i</v>
      </c>
      <c r="E212" s="1">
        <f t="shared" si="93"/>
        <v>-30.486548821189739</v>
      </c>
      <c r="F212" s="1">
        <f t="shared" si="94"/>
        <v>-5.3320605526809803</v>
      </c>
      <c r="G212" s="1" t="str">
        <f t="shared" si="95"/>
        <v>0.134859621457969-42.6680382123123i</v>
      </c>
      <c r="H212" s="1">
        <f t="shared" si="77"/>
        <v>32.602096892325825</v>
      </c>
      <c r="I212" s="1">
        <f t="shared" si="78"/>
        <v>-89.818907507116734</v>
      </c>
      <c r="J212" s="83" t="str">
        <f t="shared" si="96"/>
        <v>-1.08439432336487-0.373326220824876i</v>
      </c>
      <c r="K212" s="1">
        <f t="shared" si="79"/>
        <v>1.1901937718555842</v>
      </c>
      <c r="L212" s="1">
        <f t="shared" si="80"/>
        <v>-161.00286674277967</v>
      </c>
      <c r="M212" s="1">
        <f t="shared" si="97"/>
        <v>0.192</v>
      </c>
      <c r="N212" s="1">
        <f t="shared" si="98"/>
        <v>2.5000000000000001E-2</v>
      </c>
      <c r="O212" s="1" t="str">
        <f t="shared" si="99"/>
        <v>1.3732167270007-1.18776587607207i</v>
      </c>
      <c r="P212" s="1">
        <f t="shared" si="81"/>
        <v>5.1805465516681313</v>
      </c>
      <c r="Q212" s="1">
        <f t="shared" si="82"/>
        <v>-40.858216066095871</v>
      </c>
      <c r="R212" s="1" t="str">
        <f t="shared" si="83"/>
        <v>-0.494387784862784+0.0124643573355954i</v>
      </c>
      <c r="S212" s="1">
        <f t="shared" si="84"/>
        <v>-6.115885734623328</v>
      </c>
      <c r="T212" s="1">
        <f t="shared" si="85"/>
        <v>178.55578184485299</v>
      </c>
      <c r="U212" s="1" t="str">
        <f>IMPRODUCT(COMPLEX(-1,0),IMDIV(COMPLEX(1,C212*Calculations!$B$195*Calculations!$B$197),IMPRODUCT(COMPLEX(0,C212*Calculations!$B$184),COMPLEX((Calculations!$B$197+Calculations!$B$199),C212*Calculations!$B$195*Calculations!$B$197*Calculations!$B$199))))</f>
        <v>-1.30793379249252+0.397233445514156i</v>
      </c>
      <c r="V212" s="1">
        <f t="shared" si="86"/>
        <v>2.7148966588325427</v>
      </c>
      <c r="W212" s="1">
        <f t="shared" si="87"/>
        <v>163.10590450530381</v>
      </c>
      <c r="X212" s="1" t="str">
        <f t="shared" si="88"/>
        <v>0.641675230807019-0.212689917362082i</v>
      </c>
      <c r="Y212" s="1">
        <f t="shared" si="89"/>
        <v>-3.400989075790787</v>
      </c>
      <c r="Z212" s="1">
        <f t="shared" si="90"/>
        <v>-18.338313649843165</v>
      </c>
    </row>
    <row r="213" spans="1:26" x14ac:dyDescent="0.15">
      <c r="B213" s="1">
        <v>90000</v>
      </c>
      <c r="C213" s="1">
        <f t="shared" si="91"/>
        <v>565486.6776461628</v>
      </c>
      <c r="D213" s="83" t="str">
        <f t="shared" si="92"/>
        <v>0.0297702894031388-0.00246982096649627i</v>
      </c>
      <c r="E213" s="1">
        <f t="shared" si="93"/>
        <v>-30.494549669821307</v>
      </c>
      <c r="F213" s="1">
        <f t="shared" si="94"/>
        <v>-4.742546760200038</v>
      </c>
      <c r="G213" s="1" t="str">
        <f t="shared" si="95"/>
        <v>0.106538382938079-37.9246745583421i</v>
      </c>
      <c r="H213" s="1">
        <f t="shared" si="77"/>
        <v>31.578471526497388</v>
      </c>
      <c r="I213" s="1">
        <f t="shared" si="78"/>
        <v>-89.839044534666755</v>
      </c>
      <c r="J213" s="83" t="str">
        <f t="shared" si="96"/>
        <v>-1.07547463799849-0.33178643088179i</v>
      </c>
      <c r="K213" s="1">
        <f t="shared" si="79"/>
        <v>1.0268334730874702</v>
      </c>
      <c r="L213" s="1">
        <f t="shared" si="80"/>
        <v>-162.85488378089025</v>
      </c>
      <c r="M213" s="1">
        <f t="shared" si="97"/>
        <v>0.192</v>
      </c>
      <c r="N213" s="1">
        <f t="shared" si="98"/>
        <v>2.5000000000000001E-2</v>
      </c>
      <c r="O213" s="1" t="str">
        <f t="shared" si="99"/>
        <v>1.23649611320682-1.19970565642817i</v>
      </c>
      <c r="P213" s="1">
        <f t="shared" si="81"/>
        <v>4.7249554569444658</v>
      </c>
      <c r="Q213" s="1">
        <f t="shared" si="82"/>
        <v>-44.134809889527723</v>
      </c>
      <c r="R213" s="1" t="str">
        <f t="shared" si="83"/>
        <v>-0.449041505442296+0.086431181047634i</v>
      </c>
      <c r="S213" s="1">
        <f t="shared" si="84"/>
        <v>-6.7962805852827435</v>
      </c>
      <c r="T213" s="1">
        <f t="shared" si="85"/>
        <v>169.10499317893201</v>
      </c>
      <c r="U213" s="1" t="str">
        <f>IMPRODUCT(COMPLEX(-1,0),IMDIV(COMPLEX(1,C213*Calculations!$B$195*Calculations!$B$197),IMPRODUCT(COMPLEX(0,C213*Calculations!$B$184),COMPLEX((Calculations!$B$197+Calculations!$B$199),C213*Calculations!$B$195*Calculations!$B$197*Calculations!$B$199))))</f>
        <v>-1.27962778476547+0.436576333180636i</v>
      </c>
      <c r="V213" s="1">
        <f t="shared" si="86"/>
        <v>2.619871584392635</v>
      </c>
      <c r="W213" s="1">
        <f t="shared" si="87"/>
        <v>161.16166903911767</v>
      </c>
      <c r="X213" s="1" t="str">
        <f t="shared" si="88"/>
        <v>0.536872178782629-0.306640634630557i</v>
      </c>
      <c r="Y213" s="1">
        <f t="shared" si="89"/>
        <v>-4.1764090008901125</v>
      </c>
      <c r="Z213" s="1">
        <f t="shared" si="90"/>
        <v>-29.733337781950276</v>
      </c>
    </row>
    <row r="214" spans="1:26" x14ac:dyDescent="0.15">
      <c r="B214" s="1">
        <v>100000</v>
      </c>
      <c r="C214" s="1">
        <f t="shared" si="91"/>
        <v>628318.53071795858</v>
      </c>
      <c r="D214" s="83" t="str">
        <f t="shared" si="92"/>
        <v>0.0297699868889346-0.002222839045362i</v>
      </c>
      <c r="E214" s="1">
        <f t="shared" si="93"/>
        <v>-30.500281686732265</v>
      </c>
      <c r="F214" s="1">
        <f t="shared" si="94"/>
        <v>-4.2701866586859039</v>
      </c>
      <c r="G214" s="1" t="str">
        <f t="shared" si="95"/>
        <v>0.0862860295265144-34.1306168345858i</v>
      </c>
      <c r="H214" s="1">
        <f t="shared" si="77"/>
        <v>30.662910502223273</v>
      </c>
      <c r="I214" s="1">
        <f t="shared" si="78"/>
        <v>-89.855150148201645</v>
      </c>
      <c r="J214" s="83" t="str">
        <f t="shared" si="96"/>
        <v>-1.06909510700037-0.298569749016432i</v>
      </c>
      <c r="K214" s="1">
        <f t="shared" si="79"/>
        <v>0.9064886302570927</v>
      </c>
      <c r="L214" s="1">
        <f t="shared" si="80"/>
        <v>-164.39636914062501</v>
      </c>
      <c r="M214" s="1">
        <f t="shared" si="97"/>
        <v>0.192</v>
      </c>
      <c r="N214" s="1">
        <f t="shared" si="98"/>
        <v>2.5000000000000001E-2</v>
      </c>
      <c r="O214" s="1" t="str">
        <f t="shared" si="99"/>
        <v>1.11268187040715-1.19703061915885i</v>
      </c>
      <c r="P214" s="1">
        <f t="shared" si="81"/>
        <v>4.2666466025281</v>
      </c>
      <c r="Q214" s="1">
        <f t="shared" si="82"/>
        <v>-47.091464032317774</v>
      </c>
      <c r="R214" s="1" t="str">
        <f t="shared" si="83"/>
        <v>-0.400001080878632+0.135278150351572i</v>
      </c>
      <c r="S214" s="1">
        <f t="shared" si="84"/>
        <v>-7.4884611715535794</v>
      </c>
      <c r="T214" s="1">
        <f t="shared" si="85"/>
        <v>161.31474785752573</v>
      </c>
      <c r="U214" s="1" t="str">
        <f>IMPRODUCT(COMPLEX(-1,0),IMDIV(COMPLEX(1,C214*Calculations!$B$195*Calculations!$B$197),IMPRODUCT(COMPLEX(0,C214*Calculations!$B$184),COMPLEX((Calculations!$B$197+Calculations!$B$199),C214*Calculations!$B$195*Calculations!$B$197*Calculations!$B$199))))</f>
        <v>-1.24940728964469+0.47313222034123i</v>
      </c>
      <c r="V214" s="1">
        <f t="shared" si="86"/>
        <v>2.5160724048342544</v>
      </c>
      <c r="W214" s="1">
        <f t="shared" si="87"/>
        <v>159.25905791522086</v>
      </c>
      <c r="X214" s="1" t="str">
        <f t="shared" si="88"/>
        <v>0.435759814676024-0.358270906713903i</v>
      </c>
      <c r="Y214" s="1">
        <f t="shared" si="89"/>
        <v>-4.9723887667193285</v>
      </c>
      <c r="Z214" s="1">
        <f t="shared" si="90"/>
        <v>-39.42619422725334</v>
      </c>
    </row>
    <row r="215" spans="1:26" x14ac:dyDescent="0.15">
      <c r="B215" s="1">
        <v>200000</v>
      </c>
      <c r="C215" s="1">
        <f t="shared" si="91"/>
        <v>1256637.0614359172</v>
      </c>
      <c r="D215" s="83" t="str">
        <f t="shared" si="92"/>
        <v>0.0297690196392505-0.00111141980327472i</v>
      </c>
      <c r="E215" s="1">
        <f t="shared" si="93"/>
        <v>-30.518659994157066</v>
      </c>
      <c r="F215" s="1">
        <f t="shared" si="94"/>
        <v>-2.1381322627746799</v>
      </c>
      <c r="G215" s="1" t="str">
        <f t="shared" si="95"/>
        <v>0.0215634679740504-17.0627665432104i</v>
      </c>
      <c r="H215" s="1">
        <f t="shared" si="77"/>
        <v>24.6409959101683</v>
      </c>
      <c r="I215" s="1">
        <f t="shared" si="78"/>
        <v>-89.927591164908449</v>
      </c>
      <c r="J215" s="83" t="str">
        <f t="shared" si="96"/>
        <v>-1.048701130735-0.149224081833625i</v>
      </c>
      <c r="K215" s="1">
        <f t="shared" si="79"/>
        <v>0.50009070357095509</v>
      </c>
      <c r="L215" s="1">
        <f t="shared" si="80"/>
        <v>-171.90150965245641</v>
      </c>
      <c r="M215" s="1">
        <f t="shared" si="97"/>
        <v>0.192</v>
      </c>
      <c r="N215" s="1">
        <f t="shared" si="98"/>
        <v>2.5000000000000001E-2</v>
      </c>
      <c r="O215" s="1" t="str">
        <f t="shared" si="99"/>
        <v>0.43109665747445-0.921365475581154i</v>
      </c>
      <c r="P215" s="1">
        <f t="shared" si="81"/>
        <v>0.14839072965225752</v>
      </c>
      <c r="Q215" s="1">
        <f t="shared" si="82"/>
        <v>-64.925629143065763</v>
      </c>
      <c r="R215" s="1" t="str">
        <f t="shared" si="83"/>
        <v>-0.129414819362659+0.182335601120984i</v>
      </c>
      <c r="S215" s="1">
        <f t="shared" si="84"/>
        <v>-13.010780581600894</v>
      </c>
      <c r="T215" s="1">
        <f t="shared" si="85"/>
        <v>125.36567181187037</v>
      </c>
      <c r="U215" s="1" t="str">
        <f>IMPRODUCT(COMPLEX(-1,0),IMDIV(COMPLEX(1,C215*Calculations!$B$195*Calculations!$B$197),IMPRODUCT(COMPLEX(0,C215*Calculations!$B$184),COMPLEX((Calculations!$B$197+Calculations!$B$199),C215*Calculations!$B$195*Calculations!$B$197*Calculations!$B$199))))</f>
        <v>-0.910053620341282+0.686935179131645i</v>
      </c>
      <c r="V215" s="1">
        <f t="shared" si="86"/>
        <v>1.1396925293251907</v>
      </c>
      <c r="W215" s="1">
        <f t="shared" si="87"/>
        <v>142.95342373719313</v>
      </c>
      <c r="X215" s="1" t="str">
        <f t="shared" si="88"/>
        <v>-0.00747831393131845-0.254834766038433i</v>
      </c>
      <c r="Y215" s="1">
        <f t="shared" si="89"/>
        <v>-11.871088052275706</v>
      </c>
      <c r="Z215" s="1">
        <f t="shared" si="90"/>
        <v>-91.680904450936509</v>
      </c>
    </row>
    <row r="216" spans="1:26" x14ac:dyDescent="0.15">
      <c r="B216" s="1">
        <v>300000</v>
      </c>
      <c r="C216" s="1">
        <f t="shared" si="91"/>
        <v>1884955.5921538759</v>
      </c>
      <c r="D216" s="83" t="str">
        <f t="shared" si="92"/>
        <v>0.0297688405188851-0.000740946570157692i</v>
      </c>
      <c r="E216" s="1">
        <f t="shared" si="93"/>
        <v>-30.522071936687517</v>
      </c>
      <c r="F216" s="1">
        <f t="shared" si="94"/>
        <v>-1.4257978171250214</v>
      </c>
      <c r="G216" s="1" t="str">
        <f t="shared" si="95"/>
        <v>0.00958310204981706-11.3748639353581i</v>
      </c>
      <c r="H216" s="1">
        <f t="shared" si="77"/>
        <v>21.118927290229298</v>
      </c>
      <c r="I216" s="1">
        <f t="shared" si="78"/>
        <v>-89.95172942944086</v>
      </c>
      <c r="J216" s="83" t="str">
        <f t="shared" si="96"/>
        <v>-1.04492509274395-0.0994752181064592i</v>
      </c>
      <c r="K216" s="1">
        <f t="shared" si="79"/>
        <v>0.42088486484215826</v>
      </c>
      <c r="L216" s="1">
        <f t="shared" si="80"/>
        <v>-174.56192075358422</v>
      </c>
      <c r="M216" s="1">
        <f t="shared" si="97"/>
        <v>0.192</v>
      </c>
      <c r="N216" s="1">
        <f t="shared" si="98"/>
        <v>2.5000000000000001E-2</v>
      </c>
      <c r="O216" s="1" t="str">
        <f t="shared" si="99"/>
        <v>0.213315497697528-0.683015372789783i</v>
      </c>
      <c r="P216" s="1">
        <f t="shared" si="81"/>
        <v>-2.9071858718159116</v>
      </c>
      <c r="Q216" s="1">
        <f t="shared" si="82"/>
        <v>-72.655666832027109</v>
      </c>
      <c r="R216" s="1" t="str">
        <f t="shared" si="83"/>
        <v>-0.0596706744313124+0.137381265197612i</v>
      </c>
      <c r="S216" s="1">
        <f t="shared" si="84"/>
        <v>-16.490893853463749</v>
      </c>
      <c r="T216" s="1">
        <f t="shared" si="85"/>
        <v>113.47740827457652</v>
      </c>
      <c r="U216" s="1" t="str">
        <f>IMPRODUCT(COMPLEX(-1,0),IMDIV(COMPLEX(1,C216*Calculations!$B$195*Calculations!$B$197),IMPRODUCT(COMPLEX(0,C216*Calculations!$B$184),COMPLEX((Calculations!$B$197+Calculations!$B$199),C216*Calculations!$B$195*Calculations!$B$197*Calculations!$B$199))))</f>
        <v>-0.626462628341604+0.708866328915262i</v>
      </c>
      <c r="V216" s="1">
        <f t="shared" si="86"/>
        <v>-0.48202733436522044</v>
      </c>
      <c r="W216" s="1">
        <f t="shared" si="87"/>
        <v>131.46873183972235</v>
      </c>
      <c r="X216" s="1" t="str">
        <f t="shared" si="88"/>
        <v>-0.0600035055832092-0.128362760408613i</v>
      </c>
      <c r="Y216" s="1">
        <f t="shared" si="89"/>
        <v>-16.972921187828977</v>
      </c>
      <c r="Z216" s="1">
        <f t="shared" si="90"/>
        <v>-115.05385988570116</v>
      </c>
    </row>
    <row r="217" spans="1:26" x14ac:dyDescent="0.15">
      <c r="B217" s="1">
        <v>400000</v>
      </c>
      <c r="C217" s="1">
        <f t="shared" si="91"/>
        <v>2513274.1228718343</v>
      </c>
      <c r="D217" s="83" t="str">
        <f t="shared" si="92"/>
        <v>0.0297687778267532-0.000555709936711587i</v>
      </c>
      <c r="E217" s="1">
        <f t="shared" si="93"/>
        <v>-30.523266750203597</v>
      </c>
      <c r="F217" s="1">
        <f t="shared" si="94"/>
        <v>-1.0694472067511769</v>
      </c>
      <c r="G217" s="1" t="str">
        <f t="shared" si="95"/>
        <v>0.00539036467904914-8.53106559233943i</v>
      </c>
      <c r="H217" s="1">
        <f t="shared" si="77"/>
        <v>18.620067355966142</v>
      </c>
      <c r="I217" s="1">
        <f t="shared" si="78"/>
        <v>-89.963797593430471</v>
      </c>
      <c r="J217" s="83" t="str">
        <f t="shared" si="96"/>
        <v>-1.04360352552919-0.0746044441310615i</v>
      </c>
      <c r="K217" s="1">
        <f t="shared" si="79"/>
        <v>0.3928485929076424</v>
      </c>
      <c r="L217" s="1">
        <f t="shared" si="80"/>
        <v>-175.91103291258844</v>
      </c>
      <c r="M217" s="1">
        <f t="shared" si="97"/>
        <v>0.192</v>
      </c>
      <c r="N217" s="1">
        <f t="shared" si="98"/>
        <v>2.5000000000000001E-2</v>
      </c>
      <c r="O217" s="1" t="str">
        <f t="shared" si="99"/>
        <v>0.124946755954028-0.533190580281755i</v>
      </c>
      <c r="P217" s="1">
        <f t="shared" si="81"/>
        <v>-5.2301790579058487</v>
      </c>
      <c r="Q217" s="1">
        <f t="shared" si="82"/>
        <v>-76.811404793373825</v>
      </c>
      <c r="R217" s="1" t="str">
        <f t="shared" si="83"/>
        <v>-0.0339647618398679+0.107212911496004i</v>
      </c>
      <c r="S217" s="1">
        <f t="shared" si="84"/>
        <v>-18.979708143053703</v>
      </c>
      <c r="T217" s="1">
        <f t="shared" si="85"/>
        <v>107.57806157533605</v>
      </c>
      <c r="U217" s="1" t="str">
        <f>IMPRODUCT(COMPLEX(-1,0),IMDIV(COMPLEX(1,C217*Calculations!$B$195*Calculations!$B$197),IMPRODUCT(COMPLEX(0,C217*Calculations!$B$184),COMPLEX((Calculations!$B$197+Calculations!$B$199),C217*Calculations!$B$195*Calculations!$B$197*Calculations!$B$199))))</f>
        <v>-0.436173870589352+0.657919444666363i</v>
      </c>
      <c r="V217" s="1">
        <f t="shared" si="86"/>
        <v>-2.054383170039999</v>
      </c>
      <c r="W217" s="1">
        <f t="shared" si="87"/>
        <v>123.54276163253273</v>
      </c>
      <c r="X217" s="1" t="str">
        <f t="shared" si="88"/>
        <v>-0.0557229175571742-0.0691095478322769i</v>
      </c>
      <c r="Y217" s="1">
        <f t="shared" si="89"/>
        <v>-21.0340913130937</v>
      </c>
      <c r="Z217" s="1">
        <f t="shared" si="90"/>
        <v>-128.8791767921312</v>
      </c>
    </row>
    <row r="218" spans="1:26" x14ac:dyDescent="0.15">
      <c r="B218" s="1">
        <v>500000</v>
      </c>
      <c r="C218" s="1">
        <f t="shared" si="91"/>
        <v>3141592.653589793</v>
      </c>
      <c r="D218" s="83" t="str">
        <f t="shared" si="92"/>
        <v>0.0297687488092513-0.000444567952736396i</v>
      </c>
      <c r="E218" s="1">
        <f t="shared" si="93"/>
        <v>-30.523819889491371</v>
      </c>
      <c r="F218" s="1">
        <f t="shared" si="94"/>
        <v>-0.85559437472829392</v>
      </c>
      <c r="G218" s="1" t="str">
        <f t="shared" si="95"/>
        <v>0.00344979481939483-6.82482197784443i</v>
      </c>
      <c r="H218" s="1">
        <f t="shared" si="77"/>
        <v>16.681827659667579</v>
      </c>
      <c r="I218" s="1">
        <f t="shared" si="78"/>
        <v>-89.971038267790036</v>
      </c>
      <c r="J218" s="83" t="str">
        <f t="shared" si="96"/>
        <v>-1.04299183679316-0.0596828260628318i</v>
      </c>
      <c r="K218" s="1">
        <f t="shared" si="79"/>
        <v>0.37981566409392653</v>
      </c>
      <c r="L218" s="1">
        <f t="shared" si="80"/>
        <v>-176.72495139246047</v>
      </c>
      <c r="M218" s="1">
        <f t="shared" si="97"/>
        <v>0.192</v>
      </c>
      <c r="N218" s="1">
        <f t="shared" si="98"/>
        <v>2.5000000000000001E-2</v>
      </c>
      <c r="O218" s="1" t="str">
        <f t="shared" si="99"/>
        <v>0.0815247287949559-0.434779643108068i</v>
      </c>
      <c r="P218" s="1">
        <f t="shared" si="81"/>
        <v>-7.0845440486962419</v>
      </c>
      <c r="Q218" s="1">
        <f t="shared" si="82"/>
        <v>-79.379893335478954</v>
      </c>
      <c r="R218" s="1" t="str">
        <f t="shared" si="83"/>
        <v>-0.0218529201549118+0.0873173753740176i</v>
      </c>
      <c r="S218" s="1">
        <f t="shared" si="84"/>
        <v>-20.914145065719346</v>
      </c>
      <c r="T218" s="1">
        <f t="shared" si="85"/>
        <v>104.05080279425384</v>
      </c>
      <c r="U218" s="1" t="str">
        <f>IMPRODUCT(COMPLEX(-1,0),IMDIV(COMPLEX(1,C218*Calculations!$B$195*Calculations!$B$197),IMPRODUCT(COMPLEX(0,C218*Calculations!$B$184),COMPLEX((Calculations!$B$197+Calculations!$B$199),C218*Calculations!$B$195*Calculations!$B$197*Calculations!$B$199))))</f>
        <v>-0.313672919963588+0.591365810680288i</v>
      </c>
      <c r="V218" s="1">
        <f t="shared" si="86"/>
        <v>-3.486209634452659</v>
      </c>
      <c r="W218" s="1">
        <f t="shared" si="87"/>
        <v>117.94242382698944</v>
      </c>
      <c r="X218" s="1" t="str">
        <f t="shared" si="88"/>
        <v>-0.0447818411998086-0.0403121659402658i</v>
      </c>
      <c r="Y218" s="1">
        <f t="shared" si="89"/>
        <v>-24.400354700172006</v>
      </c>
      <c r="Z218" s="1">
        <f t="shared" si="90"/>
        <v>-138.00677337875672</v>
      </c>
    </row>
    <row r="219" spans="1:26" x14ac:dyDescent="0.15">
      <c r="B219" s="1">
        <v>600000</v>
      </c>
      <c r="C219" s="1">
        <f t="shared" si="91"/>
        <v>3769911.1843077517</v>
      </c>
      <c r="D219" s="83" t="str">
        <f t="shared" si="92"/>
        <v>0.0297687330466576-0.00037047329547121i</v>
      </c>
      <c r="E219" s="1">
        <f t="shared" si="93"/>
        <v>-30.5241203897506</v>
      </c>
      <c r="F219" s="1">
        <f t="shared" si="94"/>
        <v>-0.71301188635176316</v>
      </c>
      <c r="G219" s="1" t="str">
        <f t="shared" si="95"/>
        <v>0.00239567629527531-5.68733784350625i</v>
      </c>
      <c r="H219" s="1">
        <f t="shared" si="77"/>
        <v>15.098181316685187</v>
      </c>
      <c r="I219" s="1">
        <f t="shared" si="78"/>
        <v>-89.975865310544691</v>
      </c>
      <c r="J219" s="83" t="str">
        <f t="shared" si="96"/>
        <v>-1.0426595635759-0.0497353582798375i</v>
      </c>
      <c r="K219" s="1">
        <f t="shared" si="79"/>
        <v>0.37272105260023847</v>
      </c>
      <c r="L219" s="1">
        <f t="shared" si="80"/>
        <v>-177.26903403360203</v>
      </c>
      <c r="M219" s="1">
        <f t="shared" si="97"/>
        <v>0.192</v>
      </c>
      <c r="N219" s="1">
        <f t="shared" si="98"/>
        <v>2.5000000000000001E-2</v>
      </c>
      <c r="O219" s="1" t="str">
        <f t="shared" si="99"/>
        <v>0.0572203001073894-0.36615383945975i</v>
      </c>
      <c r="P219" s="1">
        <f t="shared" si="81"/>
        <v>-8.6219411273100608</v>
      </c>
      <c r="Q219" s="1">
        <f t="shared" si="82"/>
        <v>-81.118002346136663</v>
      </c>
      <c r="R219" s="1" t="str">
        <f t="shared" si="83"/>
        <v>-0.0152186175271988+0.0734646089455273i</v>
      </c>
      <c r="S219" s="1">
        <f t="shared" si="84"/>
        <v>-22.495953632460228</v>
      </c>
      <c r="T219" s="1">
        <f t="shared" si="85"/>
        <v>101.70361081126202</v>
      </c>
      <c r="U219" s="1" t="str">
        <f>IMPRODUCT(COMPLEX(-1,0),IMDIV(COMPLEX(1,C219*Calculations!$B$195*Calculations!$B$197),IMPRODUCT(COMPLEX(0,C219*Calculations!$B$184),COMPLEX((Calculations!$B$197+Calculations!$B$199),C219*Calculations!$B$195*Calculations!$B$197*Calculations!$B$199))))</f>
        <v>-0.233515229001291+0.528264941744562i</v>
      </c>
      <c r="V219" s="1">
        <f t="shared" si="86"/>
        <v>-4.767827965221735</v>
      </c>
      <c r="W219" s="1">
        <f t="shared" si="87"/>
        <v>113.84743610551307</v>
      </c>
      <c r="X219" s="1" t="str">
        <f t="shared" si="88"/>
        <v>-0.0352549984079491-0.0251945670828435i</v>
      </c>
      <c r="Y219" s="1">
        <f t="shared" si="89"/>
        <v>-27.263781597681973</v>
      </c>
      <c r="Z219" s="1">
        <f t="shared" si="90"/>
        <v>-144.44895308322492</v>
      </c>
    </row>
    <row r="220" spans="1:26" x14ac:dyDescent="0.15">
      <c r="B220" s="1">
        <v>700000</v>
      </c>
      <c r="C220" s="1">
        <f t="shared" si="91"/>
        <v>4398229.7150257099</v>
      </c>
      <c r="D220" s="83" t="str">
        <f t="shared" si="92"/>
        <v>0.0297687235423107-0.000317548539763082i</v>
      </c>
      <c r="E220" s="1">
        <f t="shared" si="93"/>
        <v>-30.524301591979231</v>
      </c>
      <c r="F220" s="1">
        <f t="shared" si="94"/>
        <v>-0.61116161199711994</v>
      </c>
      <c r="G220" s="1" t="str">
        <f t="shared" si="95"/>
        <v>0.00176008226048662-4.87485387406218i</v>
      </c>
      <c r="H220" s="1">
        <f t="shared" si="77"/>
        <v>13.759232607288187</v>
      </c>
      <c r="I220" s="1">
        <f t="shared" si="78"/>
        <v>-89.979313168487735</v>
      </c>
      <c r="J220" s="83" t="str">
        <f t="shared" si="96"/>
        <v>-1.0424592140357-0.0426301364894362i</v>
      </c>
      <c r="K220" s="1">
        <f t="shared" si="79"/>
        <v>0.36843810546853684</v>
      </c>
      <c r="L220" s="1">
        <f t="shared" si="80"/>
        <v>-177.65826165362574</v>
      </c>
      <c r="M220" s="1">
        <f t="shared" si="97"/>
        <v>0.192</v>
      </c>
      <c r="N220" s="1">
        <f t="shared" si="98"/>
        <v>2.5000000000000001E-2</v>
      </c>
      <c r="O220" s="1" t="str">
        <f t="shared" si="99"/>
        <v>0.0423124531326463-0.315863714041085i</v>
      </c>
      <c r="P220" s="1">
        <f t="shared" si="81"/>
        <v>-9.9327632624116671</v>
      </c>
      <c r="Q220" s="1">
        <f t="shared" si="82"/>
        <v>-82.370197172062973</v>
      </c>
      <c r="R220" s="1" t="str">
        <f t="shared" si="83"/>
        <v>-0.0111999161593633+0.0633314211594305i</v>
      </c>
      <c r="S220" s="1">
        <f t="shared" si="84"/>
        <v>-23.833872320903772</v>
      </c>
      <c r="T220" s="1">
        <f t="shared" si="85"/>
        <v>100.02884506771048</v>
      </c>
      <c r="U220" s="1" t="str">
        <f>IMPRODUCT(COMPLEX(-1,0),IMDIV(COMPLEX(1,C220*Calculations!$B$195*Calculations!$B$197),IMPRODUCT(COMPLEX(0,C220*Calculations!$B$184),COMPLEX((Calculations!$B$197+Calculations!$B$199),C220*Calculations!$B$195*Calculations!$B$197*Calculations!$B$199))))</f>
        <v>-0.179350034856579+0.473336999922894i</v>
      </c>
      <c r="V220" s="1">
        <f t="shared" si="86"/>
        <v>-5.9139654918924069</v>
      </c>
      <c r="W220" s="1">
        <f t="shared" si="87"/>
        <v>110.75197810214145</v>
      </c>
      <c r="X220" s="1" t="str">
        <f t="shared" si="88"/>
        <v>-0.0279683995388856-0.0166598273067215i</v>
      </c>
      <c r="Y220" s="1">
        <f t="shared" si="89"/>
        <v>-29.747837812796163</v>
      </c>
      <c r="Z220" s="1">
        <f t="shared" si="90"/>
        <v>-149.21917683014814</v>
      </c>
    </row>
    <row r="221" spans="1:26" x14ac:dyDescent="0.15">
      <c r="B221" s="1">
        <v>800000</v>
      </c>
      <c r="C221" s="1">
        <f t="shared" si="91"/>
        <v>5026548.2457436686</v>
      </c>
      <c r="D221" s="83" t="str">
        <f t="shared" si="92"/>
        <v>0.029768717373624-0.000277854972740073i</v>
      </c>
      <c r="E221" s="1">
        <f t="shared" si="93"/>
        <v>-30.524419203241422</v>
      </c>
      <c r="F221" s="1">
        <f t="shared" si="94"/>
        <v>-0.53477127571778116</v>
      </c>
      <c r="G221" s="1" t="str">
        <f t="shared" si="95"/>
        <v>0.00134755977742819-4.26549308797979i</v>
      </c>
      <c r="H221" s="1">
        <f t="shared" si="77"/>
        <v>12.599385284253888</v>
      </c>
      <c r="I221" s="1">
        <f t="shared" si="78"/>
        <v>-89.981899048075562</v>
      </c>
      <c r="J221" s="83" t="str">
        <f t="shared" si="96"/>
        <v>-1.04232917977223-0.0373012725391233i</v>
      </c>
      <c r="K221" s="1">
        <f t="shared" si="79"/>
        <v>0.36565624241297856</v>
      </c>
      <c r="L221" s="1">
        <f t="shared" si="80"/>
        <v>-177.95046145055136</v>
      </c>
      <c r="M221" s="1">
        <f t="shared" si="97"/>
        <v>0.192</v>
      </c>
      <c r="N221" s="1">
        <f t="shared" si="98"/>
        <v>2.5000000000000001E-2</v>
      </c>
      <c r="O221" s="1" t="str">
        <f t="shared" si="99"/>
        <v>0.0325326148519337-0.277538867051585i</v>
      </c>
      <c r="P221" s="1">
        <f t="shared" si="81"/>
        <v>-11.074257459787635</v>
      </c>
      <c r="Q221" s="1">
        <f t="shared" si="82"/>
        <v>-83.314399030447802</v>
      </c>
      <c r="R221" s="1" t="str">
        <f t="shared" si="83"/>
        <v>-0.00858427687481483+0.055620397718946i</v>
      </c>
      <c r="S221" s="1">
        <f t="shared" si="84"/>
        <v>-24.993082691383041</v>
      </c>
      <c r="T221" s="1">
        <f t="shared" si="85"/>
        <v>98.773624894686748</v>
      </c>
      <c r="U221" s="1" t="str">
        <f>IMPRODUCT(COMPLEX(-1,0),IMDIV(COMPLEX(1,C221*Calculations!$B$195*Calculations!$B$197),IMPRODUCT(COMPLEX(0,C221*Calculations!$B$184),COMPLEX((Calculations!$B$197+Calculations!$B$199),C221*Calculations!$B$195*Calculations!$B$197*Calculations!$B$199))))</f>
        <v>-0.141483277706146+0.426733475760411i</v>
      </c>
      <c r="V221" s="1">
        <f t="shared" si="86"/>
        <v>-6.9439290811505083</v>
      </c>
      <c r="W221" s="1">
        <f t="shared" si="87"/>
        <v>108.34291500955737</v>
      </c>
      <c r="X221" s="1" t="str">
        <f t="shared" si="88"/>
        <v>-0.0225205540127964-0.0115325544842754i</v>
      </c>
      <c r="Y221" s="1">
        <f t="shared" si="89"/>
        <v>-31.937011772533545</v>
      </c>
      <c r="Z221" s="1">
        <f t="shared" si="90"/>
        <v>-152.88346009575585</v>
      </c>
    </row>
    <row r="222" spans="1:26" x14ac:dyDescent="0.15">
      <c r="B222" s="1">
        <v>900000</v>
      </c>
      <c r="C222" s="1">
        <f t="shared" si="91"/>
        <v>5654866.7764616273</v>
      </c>
      <c r="D222" s="83" t="str">
        <f t="shared" si="92"/>
        <v>0.0297687131443927-0.000246982198263815i</v>
      </c>
      <c r="E222" s="1">
        <f t="shared" si="93"/>
        <v>-30.524499838976208</v>
      </c>
      <c r="F222" s="1">
        <f t="shared" si="94"/>
        <v>-0.47535521012281412</v>
      </c>
      <c r="G222" s="1" t="str">
        <f t="shared" si="95"/>
        <v>0.00106473685435368-3.79154694228114i</v>
      </c>
      <c r="H222" s="1">
        <f t="shared" si="77"/>
        <v>11.576329087623865</v>
      </c>
      <c r="I222" s="1">
        <f t="shared" si="78"/>
        <v>-89.983910280586898</v>
      </c>
      <c r="J222" s="83" t="str">
        <f t="shared" si="96"/>
        <v>-1.04224002884296-0.0331566276554891i</v>
      </c>
      <c r="K222" s="1">
        <f t="shared" si="79"/>
        <v>0.36374806548415417</v>
      </c>
      <c r="L222" s="1">
        <f t="shared" si="80"/>
        <v>-178.17787238682766</v>
      </c>
      <c r="M222" s="1">
        <f t="shared" si="97"/>
        <v>0.192</v>
      </c>
      <c r="N222" s="1">
        <f t="shared" si="98"/>
        <v>2.5000000000000001E-2</v>
      </c>
      <c r="O222" s="1" t="str">
        <f t="shared" si="99"/>
        <v>0.0257796049246797-0.24741204512434i</v>
      </c>
      <c r="P222" s="1">
        <f t="shared" si="81"/>
        <v>-12.084685880169612</v>
      </c>
      <c r="Q222" s="1">
        <f t="shared" si="82"/>
        <v>-84.051414872595771</v>
      </c>
      <c r="R222" s="1" t="str">
        <f t="shared" si="83"/>
        <v>-0.00678768187670042+0.0495655124217077i</v>
      </c>
      <c r="S222" s="1">
        <f t="shared" si="84"/>
        <v>-26.015716591688584</v>
      </c>
      <c r="T222" s="1">
        <f t="shared" si="85"/>
        <v>97.797788789725487</v>
      </c>
      <c r="U222" s="1" t="str">
        <f>IMPRODUCT(COMPLEX(-1,0),IMDIV(COMPLEX(1,C222*Calculations!$B$195*Calculations!$B$197),IMPRODUCT(COMPLEX(0,C222*Calculations!$B$184),COMPLEX((Calculations!$B$197+Calculations!$B$199),C222*Calculations!$B$195*Calculations!$B$197*Calculations!$B$199))))</f>
        <v>-0.114165305721475+0.387375247827565i</v>
      </c>
      <c r="V222" s="1">
        <f t="shared" si="86"/>
        <v>-7.8756388065491603</v>
      </c>
      <c r="W222" s="1">
        <f t="shared" si="87"/>
        <v>106.4210373567454</v>
      </c>
      <c r="X222" s="1" t="str">
        <f t="shared" si="88"/>
        <v>-0.0184255348814657-0.00828804182802732i</v>
      </c>
      <c r="Y222" s="1">
        <f t="shared" si="89"/>
        <v>-33.891355398237728</v>
      </c>
      <c r="Z222" s="1">
        <f t="shared" si="90"/>
        <v>-155.78117385352917</v>
      </c>
    </row>
    <row r="223" spans="1:26" ht="14.25" thickBot="1" x14ac:dyDescent="0.2">
      <c r="B223" s="98">
        <v>1000000</v>
      </c>
      <c r="C223" s="98">
        <f t="shared" si="91"/>
        <v>6283185.307179586</v>
      </c>
      <c r="D223" s="113" t="str">
        <f t="shared" si="92"/>
        <v>0.0297687101192485-0.000222283978612949i</v>
      </c>
      <c r="E223" s="98">
        <f t="shared" si="93"/>
        <v>-30.524557518161547</v>
      </c>
      <c r="F223" s="98">
        <f t="shared" si="94"/>
        <v>-0.42782159793533303</v>
      </c>
      <c r="G223" s="98" t="str">
        <f t="shared" si="95"/>
        <v>0.000862435846662691-3.41239065843455i</v>
      </c>
      <c r="H223" s="98">
        <f t="shared" si="77"/>
        <v>10.661175165129178</v>
      </c>
      <c r="I223" s="98">
        <f t="shared" si="78"/>
        <v>-89.985519262590785</v>
      </c>
      <c r="J223" s="113" t="str">
        <f t="shared" si="96"/>
        <v>-1.04217625977437-0.0298409268783082i</v>
      </c>
      <c r="K223" s="98">
        <f t="shared" si="79"/>
        <v>0.36238268784720468</v>
      </c>
      <c r="L223" s="98">
        <f t="shared" si="80"/>
        <v>-178.35988190728068</v>
      </c>
      <c r="M223" s="98">
        <f t="shared" si="97"/>
        <v>0.192</v>
      </c>
      <c r="N223" s="98">
        <f t="shared" si="98"/>
        <v>2.5000000000000001E-2</v>
      </c>
      <c r="O223" s="98" t="str">
        <f t="shared" si="99"/>
        <v>0.0209250483543678-0.223130737442074i</v>
      </c>
      <c r="P223" s="98">
        <f t="shared" si="81"/>
        <v>-12.990784666508723</v>
      </c>
      <c r="Q223" s="98">
        <f t="shared" si="82"/>
        <v>-84.642509806308212</v>
      </c>
      <c r="R223" s="98" t="str">
        <f t="shared" si="83"/>
        <v>-0.00550093757669907+0.044689525167122i</v>
      </c>
      <c r="S223" s="98">
        <f t="shared" si="84"/>
        <v>-26.930575644704039</v>
      </c>
      <c r="T223" s="98">
        <f t="shared" si="85"/>
        <v>97.017371066420438</v>
      </c>
      <c r="U223" s="98" t="str">
        <f>IMPRODUCT(COMPLEX(-1,0),IMDIV(COMPLEX(1,C223*Calculations!$B$195*Calculations!$B$197),IMPRODUCT(COMPLEX(0,C223*Calculations!$B$184),COMPLEX((Calculations!$B$197+Calculations!$B$199),C223*Calculations!$B$195*Calculations!$B$197*Calculations!$B$199))))</f>
        <v>-0.0939015176826526+0.354016290703384i</v>
      </c>
      <c r="V223" s="98">
        <f t="shared" si="86"/>
        <v>-8.7242541595977006</v>
      </c>
      <c r="W223" s="98">
        <f t="shared" si="87"/>
        <v>104.85541319243102</v>
      </c>
      <c r="X223" s="98" t="str">
        <f t="shared" si="88"/>
        <v>-0.0153042735458305-0.00614383575400372i</v>
      </c>
      <c r="Y223" s="98">
        <f t="shared" si="89"/>
        <v>-35.654829804301727</v>
      </c>
      <c r="Z223" s="98">
        <f t="shared" si="90"/>
        <v>-158.12721574114858</v>
      </c>
    </row>
    <row r="224" spans="1:26" x14ac:dyDescent="0.15">
      <c r="A224" s="82" t="s">
        <v>407</v>
      </c>
      <c r="B224" s="106">
        <f>Calculations!B189</f>
        <v>5500</v>
      </c>
      <c r="C224" s="107">
        <f t="shared" si="91"/>
        <v>34557.519189487721</v>
      </c>
      <c r="D224" s="108" t="str">
        <f t="shared" si="92"/>
        <v>0.0301949859138809-0.040410772103289i</v>
      </c>
      <c r="E224" s="107">
        <f t="shared" si="93"/>
        <v>-25.943518602805757</v>
      </c>
      <c r="F224" s="107">
        <f t="shared" ref="F224" si="100">IMARGUMENT(D224)*(180/PI())</f>
        <v>-53.232862600152522</v>
      </c>
      <c r="G224" s="107" t="str">
        <f t="shared" si="95"/>
        <v>33.7285809893579-663.796348260598i</v>
      </c>
      <c r="H224" s="107">
        <f t="shared" si="77"/>
        <v>56.451895441905705</v>
      </c>
      <c r="I224" s="107">
        <f t="shared" ref="I224" si="101">IMARGUMENT(G224)*(180/PI())</f>
        <v>-87.091209092113488</v>
      </c>
      <c r="J224" s="108" t="str">
        <f t="shared" si="96"/>
        <v>-10.6139612902892-6.51348748313022i</v>
      </c>
      <c r="K224" s="107">
        <f t="shared" si="79"/>
        <v>21.905605347799618</v>
      </c>
      <c r="L224" s="107">
        <f t="shared" ref="L224" si="102">IMARGUMENT(J224)*(180/PI())</f>
        <v>-148.46373804921626</v>
      </c>
      <c r="M224" s="107">
        <f t="shared" si="97"/>
        <v>0.192</v>
      </c>
      <c r="N224" s="107">
        <f t="shared" si="98"/>
        <v>2.5000000000000001E-2</v>
      </c>
      <c r="O224" s="107" t="str">
        <f t="shared" si="99"/>
        <v>2.34457269516432-0.545414492319554i</v>
      </c>
      <c r="P224" s="107">
        <f t="shared" si="81"/>
        <v>7.6301582414766678</v>
      </c>
      <c r="Q224" s="107">
        <f t="shared" ref="Q224" si="103">IMARGUMENT(O224)*(180/PI())</f>
        <v>-13.09571898321216</v>
      </c>
      <c r="R224" s="107" t="str">
        <f t="shared" ref="R224" si="104">IMDIV(IMPRODUCT(O224,J224,COMPLEX(M224,0)),IMSUM(COMPLEX(1,0),IMPRODUCT(G224,O224,COMPLEX(M224,0),COMPLEX(N224,0))))</f>
        <v>0.274483670127229-0.709350640540363i</v>
      </c>
      <c r="S224" s="107">
        <f t="shared" si="84"/>
        <v>-2.3768191043651044</v>
      </c>
      <c r="T224" s="107">
        <f t="shared" ref="T224" si="105">IMARGUMENT(R224)*(180/PI())</f>
        <v>-68.846023287044602</v>
      </c>
      <c r="U224" s="8" t="str">
        <f>IMPRODUCT(COMPLEX(-1,0),IMDIV(COMPLEX(1,C224*Calculations!$B$195*Calculations!$B$197),IMPRODUCT(COMPLEX(0,C224*Calculations!$B$184),COMPLEX((Calculations!$B$197+Calculations!$B$199),C224*Calculations!$B$195*Calculations!$B$197*Calculations!$B$199))))</f>
        <v>-1.42613712212177+0.0735009434846365i</v>
      </c>
      <c r="V224" s="8">
        <f t="shared" si="86"/>
        <v>3.0947461952574966</v>
      </c>
      <c r="W224" s="8">
        <f t="shared" si="87"/>
        <v>177.04967284211367</v>
      </c>
      <c r="X224" s="8" t="str">
        <f t="shared" si="88"/>
        <v>-0.33931341004352+1.03180608980094i</v>
      </c>
      <c r="Y224" s="8">
        <f t="shared" si="89"/>
        <v>0.71792709089235973</v>
      </c>
      <c r="Z224" s="9">
        <f t="shared" si="90"/>
        <v>108.20364955506916</v>
      </c>
    </row>
    <row r="225" spans="1:26" x14ac:dyDescent="0.15">
      <c r="A225" t="s">
        <v>449</v>
      </c>
      <c r="B225" s="114">
        <f>Calculations!B200</f>
        <v>169.31376924669715</v>
      </c>
      <c r="C225" s="92">
        <f t="shared" si="91"/>
        <v>1063.8297872340424</v>
      </c>
      <c r="D225" s="93" t="str">
        <f t="shared" si="92"/>
        <v>0.432370069456032-1.17489262035436i</v>
      </c>
      <c r="E225" s="92">
        <f t="shared" si="93"/>
        <v>1.9515671850971352</v>
      </c>
      <c r="F225" s="92">
        <f t="shared" ref="F225:F228" si="106">IMARGUMENT(D225)*(180/PI())</f>
        <v>-69.79597314684888</v>
      </c>
      <c r="G225" s="92" t="str">
        <f t="shared" si="95"/>
        <v>200.029961553381+275.725271526187i</v>
      </c>
      <c r="H225" s="92">
        <f t="shared" si="77"/>
        <v>50.645942871737375</v>
      </c>
      <c r="I225" s="92">
        <f t="shared" ref="I225:I228" si="107">IMARGUMENT(G225)*(180/PI())</f>
        <v>54.040302359785109</v>
      </c>
      <c r="J225" s="93" t="str">
        <f t="shared" si="96"/>
        <v>136.857297395705-1.72517510319897i</v>
      </c>
      <c r="K225" s="92">
        <f t="shared" si="79"/>
        <v>42.726049238866175</v>
      </c>
      <c r="L225" s="92">
        <f t="shared" ref="L225:L228" si="108">IMARGUMENT(J225)*(180/PI())</f>
        <v>-0.7222122541643281</v>
      </c>
      <c r="M225" s="92">
        <f t="shared" si="97"/>
        <v>0.192</v>
      </c>
      <c r="N225" s="92">
        <f t="shared" si="98"/>
        <v>2.5000000000000001E-2</v>
      </c>
      <c r="O225" s="92" t="str">
        <f t="shared" si="99"/>
        <v>2.35246773325933-13.2998196862302i</v>
      </c>
      <c r="P225" s="92">
        <f t="shared" si="81"/>
        <v>22.610708042071078</v>
      </c>
      <c r="Q225" s="92">
        <f t="shared" ref="Q225:Q228" si="109">IMARGUMENT(O225)*(180/PI())</f>
        <v>-79.969290944140894</v>
      </c>
      <c r="R225" s="92" t="str">
        <f t="shared" ref="R225:R228" si="110">IMDIV(IMPRODUCT(O225,J225,COMPLEX(M225,0)),IMSUM(COMPLEX(1,0),IMPRODUCT(G225,O225,COMPLEX(M225,0),COMPLEX(N225,0))))</f>
        <v>8.66695392656354-12.7781778826764i</v>
      </c>
      <c r="S225" s="92">
        <f t="shared" si="84"/>
        <v>23.77302462572835</v>
      </c>
      <c r="T225" s="92">
        <f t="shared" ref="T225:T228" si="111">IMARGUMENT(R225)*(180/PI())</f>
        <v>-55.852442078188872</v>
      </c>
      <c r="U225" s="1" t="str">
        <f>IMPRODUCT(COMPLEX(-1,0),IMDIV(COMPLEX(1,C225*Calculations!$B$195*Calculations!$B$197),IMPRODUCT(COMPLEX(0,C225*Calculations!$B$184),COMPLEX((Calculations!$B$197+Calculations!$B$199),C225*Calculations!$B$195*Calculations!$B$197*Calculations!$B$199))))</f>
        <v>-1.42674888443286+1.42857026598746i</v>
      </c>
      <c r="V225" s="1">
        <f t="shared" si="86"/>
        <v>6.1027949729837649</v>
      </c>
      <c r="W225" s="1">
        <f t="shared" ref="W225:W228" si="112">IMARGUMENT(U225)*(180/PI())</f>
        <v>134.96345155959477</v>
      </c>
      <c r="X225" s="1" t="str">
        <f t="shared" ref="X225:X228" si="113">IMPRODUCT(U225,R225)</f>
        <v>5.88895813053458+30.6126037153651i</v>
      </c>
      <c r="Y225" s="1">
        <f t="shared" si="89"/>
        <v>29.875819598712106</v>
      </c>
      <c r="Z225" s="6">
        <f t="shared" ref="Z225:Z228" si="114">IMARGUMENT(X225)*(180/PI())</f>
        <v>79.111009481405887</v>
      </c>
    </row>
    <row r="226" spans="1:26" x14ac:dyDescent="0.15">
      <c r="A226" t="s">
        <v>450</v>
      </c>
      <c r="B226" s="27">
        <f>Calculations!B201</f>
        <v>265258.23848649225</v>
      </c>
      <c r="C226" s="92">
        <f t="shared" si="91"/>
        <v>1666666.6666666667</v>
      </c>
      <c r="D226" s="93" t="str">
        <f t="shared" si="92"/>
        <v>0.0297688805129862-0.000837990819795834i</v>
      </c>
      <c r="E226" s="92">
        <f t="shared" si="93"/>
        <v>-30.521309883667961</v>
      </c>
      <c r="F226" s="92">
        <f t="shared" si="106"/>
        <v>-1.612444279298342</v>
      </c>
      <c r="G226" s="92" t="str">
        <f t="shared" si="95"/>
        <v>0.0122579417464718-12.8647472614698i</v>
      </c>
      <c r="H226" s="92">
        <f t="shared" si="77"/>
        <v>22.18802911407337</v>
      </c>
      <c r="I226" s="92">
        <f t="shared" si="107"/>
        <v>-89.945406769307596</v>
      </c>
      <c r="J226" s="93" t="str">
        <f t="shared" si="96"/>
        <v>-1.04576819179874-0.112505715844136i</v>
      </c>
      <c r="K226" s="92">
        <f t="shared" si="79"/>
        <v>0.43868455609615159</v>
      </c>
      <c r="L226" s="92">
        <f t="shared" si="108"/>
        <v>-173.85962849866965</v>
      </c>
      <c r="M226" s="92">
        <f t="shared" si="97"/>
        <v>0.192</v>
      </c>
      <c r="N226" s="92">
        <f t="shared" si="98"/>
        <v>2.5000000000000001E-2</v>
      </c>
      <c r="O226" s="92" t="str">
        <f t="shared" si="99"/>
        <v>0.2661171094485-0.753614469397808i</v>
      </c>
      <c r="P226" s="92">
        <f t="shared" si="81"/>
        <v>-1.9466698972004679</v>
      </c>
      <c r="Q226" s="92">
        <f t="shared" si="109"/>
        <v>-70.550802855912551</v>
      </c>
      <c r="R226" s="92" t="str">
        <f t="shared" si="110"/>
        <v>-0.0757288686237906+0.151361567595402i</v>
      </c>
      <c r="S226" s="92">
        <f t="shared" si="84"/>
        <v>-15.429483581585719</v>
      </c>
      <c r="T226" s="92">
        <f t="shared" si="111"/>
        <v>116.57961079101307</v>
      </c>
      <c r="U226" s="1" t="str">
        <f>IMPRODUCT(COMPLEX(-1,0),IMDIV(COMPLEX(1,C226*Calculations!$B$195*Calculations!$B$197),IMPRODUCT(COMPLEX(0,C226*Calculations!$B$184),COMPLEX((Calculations!$B$197+Calculations!$B$199),C226*Calculations!$B$195*Calculations!$B$197*Calculations!$B$199))))</f>
        <v>-0.713829932742646+0.714285859701499i</v>
      </c>
      <c r="V226" s="1">
        <f t="shared" si="86"/>
        <v>8.4968920245855617E-2</v>
      </c>
      <c r="W226" s="1">
        <f t="shared" si="112"/>
        <v>134.98170828320838</v>
      </c>
      <c r="X226" s="1" t="str">
        <f t="shared" si="113"/>
        <v>-0.0540578942392512-0.162138477645613i</v>
      </c>
      <c r="Y226" s="1">
        <f t="shared" si="89"/>
        <v>-15.344514661339886</v>
      </c>
      <c r="Z226" s="6">
        <f t="shared" si="114"/>
        <v>-108.43868092577858</v>
      </c>
    </row>
    <row r="227" spans="1:26" x14ac:dyDescent="0.15">
      <c r="A227" t="s">
        <v>451</v>
      </c>
      <c r="B227" s="27">
        <f>Calculations!B186</f>
        <v>116.93937662638552</v>
      </c>
      <c r="C227" s="92">
        <f t="shared" si="91"/>
        <v>734.75177304964541</v>
      </c>
      <c r="D227" s="93" t="str">
        <f t="shared" si="92"/>
        <v>0.7865706162601-1.52536453989688i</v>
      </c>
      <c r="E227" s="92">
        <f t="shared" si="93"/>
        <v>4.6914875220189352</v>
      </c>
      <c r="F227" s="92">
        <f t="shared" si="106"/>
        <v>-62.721618713748612</v>
      </c>
      <c r="G227" s="92" t="str">
        <f t="shared" si="95"/>
        <v>194.202526026225+189.173209247055i</v>
      </c>
      <c r="H227" s="92">
        <f t="shared" si="77"/>
        <v>48.662939817406013</v>
      </c>
      <c r="I227" s="92">
        <f t="shared" si="107"/>
        <v>44.248408101404756</v>
      </c>
      <c r="J227" s="93" t="str">
        <f t="shared" si="96"/>
        <v>135.884048784895-1.16259778019453i</v>
      </c>
      <c r="K227" s="92">
        <f t="shared" si="79"/>
        <v>42.663687471480287</v>
      </c>
      <c r="L227" s="92">
        <f t="shared" si="108"/>
        <v>-0.49019970608046881</v>
      </c>
      <c r="M227" s="92">
        <f t="shared" si="97"/>
        <v>0.192</v>
      </c>
      <c r="N227" s="92">
        <f t="shared" si="98"/>
        <v>2.5000000000000001E-2</v>
      </c>
      <c r="O227" s="92" t="str">
        <f t="shared" si="99"/>
        <v>2.35247166306052-19.2533120688551i</v>
      </c>
      <c r="P227" s="92">
        <f t="shared" si="81"/>
        <v>25.754466679920924</v>
      </c>
      <c r="Q227" s="92">
        <f t="shared" si="109"/>
        <v>-83.033827759727529</v>
      </c>
      <c r="R227" s="92" t="str">
        <f t="shared" si="110"/>
        <v>13.4774798409165-14.0138057254507i</v>
      </c>
      <c r="S227" s="92">
        <f t="shared" si="84"/>
        <v>25.775253630386953</v>
      </c>
      <c r="T227" s="92">
        <f t="shared" si="111"/>
        <v>-46.117638240057808</v>
      </c>
      <c r="U227" s="1" t="str">
        <f>IMPRODUCT(COMPLEX(-1,0),IMDIV(COMPLEX(1,C227*Calculations!$B$195*Calculations!$B$197),IMPRODUCT(COMPLEX(0,C227*Calculations!$B$184),COMPLEX((Calculations!$B$197+Calculations!$B$199),C227*Calculations!$B$195*Calculations!$B$197*Calculations!$B$199))))</f>
        <v>-1.42674918804891+2.06770409830858i</v>
      </c>
      <c r="V227" s="1">
        <f t="shared" si="86"/>
        <v>8.0009910806519677</v>
      </c>
      <c r="W227" s="1">
        <f t="shared" si="112"/>
        <v>124.6063017963078</v>
      </c>
      <c r="X227" s="1" t="str">
        <f t="shared" si="113"/>
        <v>9.74742011144149+47.8616262421963i</v>
      </c>
      <c r="Y227" s="1">
        <f t="shared" si="89"/>
        <v>33.776244711038927</v>
      </c>
      <c r="Z227" s="6">
        <f t="shared" si="114"/>
        <v>78.488663556250017</v>
      </c>
    </row>
    <row r="228" spans="1:26" ht="14.25" thickBot="1" x14ac:dyDescent="0.2">
      <c r="A228" t="s">
        <v>452</v>
      </c>
      <c r="B228" s="28">
        <f>Calculations!B187</f>
        <v>35797.768355015964</v>
      </c>
      <c r="C228" s="94">
        <f t="shared" si="91"/>
        <v>224924.01215805465</v>
      </c>
      <c r="D228" s="109" t="str">
        <f t="shared" si="92"/>
        <v>0.0297787610798378-0.00620942046618697i</v>
      </c>
      <c r="E228" s="94">
        <f t="shared" si="93"/>
        <v>-30.337026468319923</v>
      </c>
      <c r="F228" s="94">
        <f t="shared" si="106"/>
        <v>-11.778452587027855</v>
      </c>
      <c r="G228" s="94" t="str">
        <f t="shared" si="95"/>
        <v>0.675612747527858-95.4718660143908i</v>
      </c>
      <c r="H228" s="94">
        <f t="shared" si="77"/>
        <v>39.597725699675749</v>
      </c>
      <c r="I228" s="94">
        <f t="shared" si="107"/>
        <v>-89.594549530788214</v>
      </c>
      <c r="J228" s="109" t="str">
        <f t="shared" si="96"/>
        <v>-1.25435520985972-0.837134250730474i</v>
      </c>
      <c r="K228" s="94">
        <f t="shared" si="79"/>
        <v>3.5682879770436049</v>
      </c>
      <c r="L228" s="94">
        <f t="shared" si="108"/>
        <v>-146.28156208673741</v>
      </c>
      <c r="M228" s="94">
        <f t="shared" si="97"/>
        <v>0.192</v>
      </c>
      <c r="N228" s="94">
        <f t="shared" si="98"/>
        <v>2.5000000000000001E-2</v>
      </c>
      <c r="O228" s="94" t="str">
        <f t="shared" si="99"/>
        <v>2.05854127375049-0.840750475819716i</v>
      </c>
      <c r="P228" s="94">
        <f t="shared" si="81"/>
        <v>6.9411830030043919</v>
      </c>
      <c r="Q228" s="94">
        <f t="shared" si="109"/>
        <v>-22.216111580029015</v>
      </c>
      <c r="R228" s="94" t="str">
        <f t="shared" si="110"/>
        <v>-0.211187965769532-0.528150831885494i</v>
      </c>
      <c r="S228" s="94">
        <f t="shared" si="84"/>
        <v>-4.900671085168959</v>
      </c>
      <c r="T228" s="94">
        <f t="shared" si="111"/>
        <v>-111.79464137227404</v>
      </c>
      <c r="U228" s="87" t="str">
        <f>IMPRODUCT(COMPLEX(-1,0),IMDIV(COMPLEX(1,C228*Calculations!$B$195*Calculations!$B$197),IMPRODUCT(COMPLEX(0,C228*Calculations!$B$184),COMPLEX((Calculations!$B$197+Calculations!$B$199),C228*Calculations!$B$195*Calculations!$B$197*Calculations!$B$199))))</f>
        <v>-1.40126127343262+0.195738202100122i</v>
      </c>
      <c r="V228" s="87">
        <f t="shared" si="86"/>
        <v>3.0143079479846735</v>
      </c>
      <c r="W228" s="87">
        <f t="shared" si="112"/>
        <v>172.04797043172297</v>
      </c>
      <c r="X228" s="87" t="str">
        <f t="shared" si="113"/>
        <v>0.399308812118809+0.698739754527455i</v>
      </c>
      <c r="Y228" s="87">
        <f t="shared" si="89"/>
        <v>-1.8863631371842848</v>
      </c>
      <c r="Z228" s="88">
        <f t="shared" si="114"/>
        <v>60.253329059448973</v>
      </c>
    </row>
  </sheetData>
  <mergeCells count="47">
    <mergeCell ref="B76:C77"/>
    <mergeCell ref="D77:F77"/>
    <mergeCell ref="J77:L77"/>
    <mergeCell ref="BC166:BN166"/>
    <mergeCell ref="BO166:BZ166"/>
    <mergeCell ref="BC167:BE167"/>
    <mergeCell ref="BF167:BH167"/>
    <mergeCell ref="BI167:BK167"/>
    <mergeCell ref="BL167:BN167"/>
    <mergeCell ref="BO167:BQ167"/>
    <mergeCell ref="BR167:BT167"/>
    <mergeCell ref="BU167:BW167"/>
    <mergeCell ref="BX167:BZ167"/>
    <mergeCell ref="CD166:CO166"/>
    <mergeCell ref="CA167:CC167"/>
    <mergeCell ref="CD167:CF167"/>
    <mergeCell ref="CG167:CI167"/>
    <mergeCell ref="CJ167:CL167"/>
    <mergeCell ref="CM167:CO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X167:Z167"/>
    <mergeCell ref="G77:I77"/>
    <mergeCell ref="M77:N77"/>
    <mergeCell ref="D76:T76"/>
    <mergeCell ref="O77:Q77"/>
    <mergeCell ref="R77:T77"/>
    <mergeCell ref="U77:W77"/>
    <mergeCell ref="R167:T167"/>
    <mergeCell ref="M166:N166"/>
    <mergeCell ref="O166:Q166"/>
    <mergeCell ref="R166:T166"/>
    <mergeCell ref="U167:W167"/>
  </mergeCells>
  <phoneticPr fontId="30"/>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defaultColWidth="8.875" defaultRowHeight="13.5" x14ac:dyDescent="0.15"/>
  <sheetData/>
  <phoneticPr fontId="30"/>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defaultColWidth="8.875" defaultRowHeight="13.5" x14ac:dyDescent="0.15"/>
  <cols>
    <col min="1" max="1" width="34.625" style="12" customWidth="1"/>
    <col min="2" max="2" width="9.125" style="5"/>
    <col min="3" max="3" width="12" style="1" bestFit="1" customWidth="1"/>
    <col min="4" max="4" width="9.125" style="6"/>
    <col min="5" max="5" width="9.125" style="13"/>
  </cols>
  <sheetData>
    <row r="1" spans="1:9" x14ac:dyDescent="0.15">
      <c r="A1" s="10" t="s">
        <v>17</v>
      </c>
      <c r="B1" s="7" t="s">
        <v>18</v>
      </c>
      <c r="C1" s="8" t="s">
        <v>19</v>
      </c>
      <c r="D1" s="9" t="s">
        <v>20</v>
      </c>
      <c r="E1" s="11" t="s">
        <v>21</v>
      </c>
    </row>
    <row r="2" spans="1:9" x14ac:dyDescent="0.15">
      <c r="A2" s="220" t="s">
        <v>91</v>
      </c>
      <c r="B2" s="197"/>
      <c r="C2" s="197"/>
      <c r="D2" s="197"/>
      <c r="E2" s="221"/>
    </row>
    <row r="3" spans="1:9" x14ac:dyDescent="0.15">
      <c r="A3" s="12" t="s">
        <v>22</v>
      </c>
      <c r="C3" s="1">
        <f>200*(10^-9)</f>
        <v>2.0000000000000002E-7</v>
      </c>
      <c r="E3" s="13" t="s">
        <v>23</v>
      </c>
    </row>
    <row r="4" spans="1:9" x14ac:dyDescent="0.15">
      <c r="A4" s="12" t="s">
        <v>41</v>
      </c>
      <c r="C4" s="1">
        <f>1*10^-3</f>
        <v>1E-3</v>
      </c>
      <c r="E4" s="13" t="s">
        <v>42</v>
      </c>
    </row>
    <row r="5" spans="1:9" x14ac:dyDescent="0.15">
      <c r="A5" s="12" t="s">
        <v>43</v>
      </c>
      <c r="C5" s="1">
        <v>50</v>
      </c>
      <c r="E5" s="13" t="s">
        <v>42</v>
      </c>
    </row>
    <row r="6" spans="1:9" x14ac:dyDescent="0.15">
      <c r="A6" s="12" t="s">
        <v>185</v>
      </c>
      <c r="C6" s="1">
        <v>0.05</v>
      </c>
      <c r="E6" s="13" t="s">
        <v>1</v>
      </c>
    </row>
    <row r="7" spans="1:9" x14ac:dyDescent="0.15">
      <c r="A7" s="12" t="s">
        <v>46</v>
      </c>
      <c r="C7" s="1">
        <v>0.02</v>
      </c>
      <c r="E7" s="13" t="s">
        <v>42</v>
      </c>
    </row>
    <row r="8" spans="1:9" x14ac:dyDescent="0.15">
      <c r="A8" s="12" t="s">
        <v>47</v>
      </c>
      <c r="C8" s="1">
        <v>6.25E-2</v>
      </c>
      <c r="E8" s="13" t="s">
        <v>42</v>
      </c>
    </row>
    <row r="9" spans="1:9" x14ac:dyDescent="0.15">
      <c r="A9" s="12" t="s">
        <v>64</v>
      </c>
      <c r="C9" s="1">
        <f>100*10^3</f>
        <v>100000</v>
      </c>
      <c r="E9" s="13" t="s">
        <v>56</v>
      </c>
    </row>
    <row r="10" spans="1:9" x14ac:dyDescent="0.15">
      <c r="A10" s="12" t="s">
        <v>45</v>
      </c>
      <c r="C10" s="1">
        <v>1.23</v>
      </c>
      <c r="E10" s="13" t="s">
        <v>1</v>
      </c>
      <c r="I10" t="s">
        <v>70</v>
      </c>
    </row>
    <row r="11" spans="1:9" x14ac:dyDescent="0.15">
      <c r="A11" s="12" t="s">
        <v>69</v>
      </c>
      <c r="C11" s="1">
        <v>2.5</v>
      </c>
      <c r="E11" s="13" t="s">
        <v>1</v>
      </c>
    </row>
    <row r="12" spans="1:9" x14ac:dyDescent="0.15">
      <c r="A12" s="12" t="s">
        <v>66</v>
      </c>
      <c r="C12" s="1">
        <v>1.25</v>
      </c>
      <c r="E12" s="13" t="s">
        <v>1</v>
      </c>
    </row>
    <row r="13" spans="1:9" x14ac:dyDescent="0.15">
      <c r="A13" s="12" t="s">
        <v>180</v>
      </c>
      <c r="C13" s="1">
        <f>25*(10^-6)</f>
        <v>2.4999999999999998E-5</v>
      </c>
      <c r="E13" s="13" t="s">
        <v>4</v>
      </c>
    </row>
    <row r="14" spans="1:9" x14ac:dyDescent="0.15">
      <c r="A14" s="12" t="s">
        <v>65</v>
      </c>
      <c r="C14" s="1">
        <v>8</v>
      </c>
      <c r="E14" s="13" t="s">
        <v>1</v>
      </c>
    </row>
    <row r="15" spans="1:9" x14ac:dyDescent="0.15">
      <c r="A15" s="12" t="s">
        <v>48</v>
      </c>
      <c r="C15" s="1">
        <f>25*(10^-6)</f>
        <v>2.4999999999999998E-5</v>
      </c>
      <c r="E15" s="13" t="s">
        <v>4</v>
      </c>
    </row>
    <row r="16" spans="1:9" x14ac:dyDescent="0.15">
      <c r="A16" s="12" t="s">
        <v>49</v>
      </c>
      <c r="C16" s="1">
        <v>200</v>
      </c>
      <c r="E16" s="13" t="s">
        <v>50</v>
      </c>
    </row>
    <row r="17" spans="1:5" x14ac:dyDescent="0.15">
      <c r="A17" s="12" t="s">
        <v>53</v>
      </c>
      <c r="C17" s="1">
        <f>4*(10^9)</f>
        <v>4000000000</v>
      </c>
      <c r="E17" s="13" t="s">
        <v>51</v>
      </c>
    </row>
    <row r="18" spans="1:5" x14ac:dyDescent="0.15">
      <c r="A18" s="12" t="s">
        <v>52</v>
      </c>
      <c r="C18" s="1">
        <v>1.1850000000000001</v>
      </c>
      <c r="E18" s="13" t="s">
        <v>1</v>
      </c>
    </row>
    <row r="19" spans="1:5" x14ac:dyDescent="0.15">
      <c r="A19" s="12" t="s">
        <v>54</v>
      </c>
      <c r="C19" s="1">
        <f>3*10^6</f>
        <v>3000000</v>
      </c>
      <c r="E19" s="13" t="s">
        <v>56</v>
      </c>
    </row>
    <row r="20" spans="1:5" x14ac:dyDescent="0.15">
      <c r="A20" s="12" t="s">
        <v>55</v>
      </c>
      <c r="C20" s="1">
        <f>1*10^6</f>
        <v>1000000</v>
      </c>
      <c r="E20" s="13" t="s">
        <v>56</v>
      </c>
    </row>
    <row r="21" spans="1:5" x14ac:dyDescent="0.15">
      <c r="A21" s="12" t="s">
        <v>57</v>
      </c>
      <c r="C21" s="1">
        <f>25*(10^-6)</f>
        <v>2.4999999999999998E-5</v>
      </c>
      <c r="E21" s="13" t="s">
        <v>4</v>
      </c>
    </row>
    <row r="22" spans="1:5" x14ac:dyDescent="0.15">
      <c r="A22" s="12" t="s">
        <v>63</v>
      </c>
      <c r="C22" s="1">
        <f>1.1*(10^-6)</f>
        <v>1.1000000000000001E-6</v>
      </c>
      <c r="E22" s="13" t="s">
        <v>4</v>
      </c>
    </row>
    <row r="23" spans="1:5" x14ac:dyDescent="0.15">
      <c r="A23" s="12" t="s">
        <v>62</v>
      </c>
      <c r="C23" s="1">
        <f>3*10^-3</f>
        <v>3.0000000000000001E-3</v>
      </c>
      <c r="E23" s="13" t="s">
        <v>1</v>
      </c>
    </row>
    <row r="24" spans="1:5" x14ac:dyDescent="0.15">
      <c r="A24" s="12" t="s">
        <v>58</v>
      </c>
      <c r="C24" s="1">
        <f>10*10^3</f>
        <v>10000</v>
      </c>
      <c r="E24" s="13" t="s">
        <v>56</v>
      </c>
    </row>
    <row r="25" spans="1:5" x14ac:dyDescent="0.15">
      <c r="A25" s="12" t="s">
        <v>59</v>
      </c>
      <c r="C25" s="1">
        <f>50*10^3</f>
        <v>50000</v>
      </c>
      <c r="E25" s="13" t="s">
        <v>56</v>
      </c>
    </row>
    <row r="26" spans="1:5" x14ac:dyDescent="0.15">
      <c r="A26" s="12" t="s">
        <v>60</v>
      </c>
      <c r="C26" s="1">
        <f>4*(10^-12)</f>
        <v>3.9999999999999999E-12</v>
      </c>
      <c r="E26" s="13" t="s">
        <v>61</v>
      </c>
    </row>
    <row r="27" spans="1:5" x14ac:dyDescent="0.15">
      <c r="A27" s="12" t="s">
        <v>230</v>
      </c>
      <c r="C27" s="1">
        <f>16*(10^-9)</f>
        <v>1.6000000000000001E-8</v>
      </c>
      <c r="E27" s="13" t="s">
        <v>23</v>
      </c>
    </row>
    <row r="28" spans="1:5" x14ac:dyDescent="0.15">
      <c r="A28" s="12" t="s">
        <v>68</v>
      </c>
      <c r="C28" s="1">
        <v>1.5</v>
      </c>
      <c r="E28" s="13" t="s">
        <v>1</v>
      </c>
    </row>
    <row r="29" spans="1:5" x14ac:dyDescent="0.15">
      <c r="A29" s="12" t="s">
        <v>235</v>
      </c>
      <c r="C29" s="1">
        <f>36*(10^-9)</f>
        <v>3.6000000000000005E-8</v>
      </c>
      <c r="E29" s="13" t="s">
        <v>23</v>
      </c>
    </row>
    <row r="30" spans="1:5" x14ac:dyDescent="0.15">
      <c r="A30" s="12" t="s">
        <v>236</v>
      </c>
      <c r="C30" s="1">
        <f>41*(10^-9)</f>
        <v>4.1000000000000003E-8</v>
      </c>
      <c r="E30" s="13" t="s">
        <v>23</v>
      </c>
    </row>
    <row r="31" spans="1:5" x14ac:dyDescent="0.15">
      <c r="A31" s="12" t="s">
        <v>248</v>
      </c>
      <c r="C31" s="1">
        <f>15*(10^-9)</f>
        <v>1.5000000000000002E-8</v>
      </c>
      <c r="E31" s="13" t="s">
        <v>23</v>
      </c>
    </row>
    <row r="32" spans="1:5" x14ac:dyDescent="0.15">
      <c r="A32" s="12" t="s">
        <v>249</v>
      </c>
      <c r="C32" s="1">
        <f>200*(10^-9)</f>
        <v>2.0000000000000002E-7</v>
      </c>
      <c r="E32" s="13" t="s">
        <v>23</v>
      </c>
    </row>
    <row r="33" spans="1:5" x14ac:dyDescent="0.15">
      <c r="A33" s="12" t="s">
        <v>67</v>
      </c>
      <c r="C33" s="1">
        <f>25*(10^-6)</f>
        <v>2.4999999999999998E-5</v>
      </c>
      <c r="E33" s="13" t="s">
        <v>4</v>
      </c>
    </row>
    <row r="34" spans="1:5" x14ac:dyDescent="0.15">
      <c r="A34" s="12" t="s">
        <v>159</v>
      </c>
      <c r="C34" s="1">
        <v>5</v>
      </c>
      <c r="E34" s="13" t="s">
        <v>1</v>
      </c>
    </row>
    <row r="36" spans="1:5" x14ac:dyDescent="0.15">
      <c r="A36" s="12" t="s">
        <v>92</v>
      </c>
      <c r="B36" s="5">
        <v>0</v>
      </c>
      <c r="D36" s="6">
        <v>42</v>
      </c>
      <c r="E36" s="13" t="s">
        <v>1</v>
      </c>
    </row>
    <row r="37" spans="1:5" x14ac:dyDescent="0.15">
      <c r="A37" s="12" t="s">
        <v>93</v>
      </c>
      <c r="B37" s="5">
        <v>3</v>
      </c>
      <c r="D37" s="6">
        <v>42</v>
      </c>
      <c r="E37" s="13" t="s">
        <v>1</v>
      </c>
    </row>
    <row r="38" spans="1:5" x14ac:dyDescent="0.15">
      <c r="A38" s="12" t="s">
        <v>94</v>
      </c>
      <c r="B38" s="5">
        <v>6</v>
      </c>
      <c r="D38" s="6">
        <v>80</v>
      </c>
      <c r="E38" s="13" t="s">
        <v>1</v>
      </c>
    </row>
    <row r="39" spans="1:5" x14ac:dyDescent="0.15">
      <c r="A39" s="12" t="s">
        <v>95</v>
      </c>
      <c r="B39" s="5">
        <v>50000</v>
      </c>
      <c r="D39" s="6">
        <v>500000</v>
      </c>
      <c r="E39" s="13" t="s">
        <v>87</v>
      </c>
    </row>
    <row r="40" spans="1:5" x14ac:dyDescent="0.15">
      <c r="A40" s="12" t="s">
        <v>96</v>
      </c>
      <c r="B40" s="5">
        <v>15</v>
      </c>
      <c r="D40" s="6">
        <v>200</v>
      </c>
      <c r="E40" s="13" t="s">
        <v>97</v>
      </c>
    </row>
    <row r="43" spans="1:5" x14ac:dyDescent="0.15">
      <c r="A43" s="12" t="s">
        <v>105</v>
      </c>
      <c r="C43" s="1">
        <v>14</v>
      </c>
      <c r="E43" s="13" t="s">
        <v>1</v>
      </c>
    </row>
    <row r="44" spans="1:5" x14ac:dyDescent="0.15">
      <c r="A44" s="12" t="s">
        <v>106</v>
      </c>
      <c r="C44" s="1">
        <v>0.625</v>
      </c>
      <c r="E44" s="13" t="s">
        <v>1</v>
      </c>
    </row>
    <row r="46" spans="1:5" x14ac:dyDescent="0.15">
      <c r="A46" s="12" t="s">
        <v>116</v>
      </c>
      <c r="C46" s="1">
        <v>2.5</v>
      </c>
      <c r="E46" s="13" t="s">
        <v>1</v>
      </c>
    </row>
    <row r="48" spans="1:5" x14ac:dyDescent="0.15">
      <c r="A48" s="12" t="s">
        <v>187</v>
      </c>
      <c r="C48" s="1">
        <f>3.3</f>
        <v>3.3</v>
      </c>
      <c r="E48" s="13" t="s">
        <v>1</v>
      </c>
    </row>
  </sheetData>
  <autoFilter ref="A1:E33" xr:uid="{00000000-0009-0000-0000-000004000000}"/>
  <mergeCells count="1">
    <mergeCell ref="A2:E2"/>
  </mergeCells>
  <phoneticPr fontId="3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defaultColWidth="8.875" defaultRowHeight="13.5" x14ac:dyDescent="0.15"/>
  <sheetData>
    <row r="1" spans="1:7" x14ac:dyDescent="0.15">
      <c r="A1" t="s">
        <v>171</v>
      </c>
      <c r="C1" t="s">
        <v>221</v>
      </c>
      <c r="E1" t="s">
        <v>189</v>
      </c>
      <c r="G1" t="s">
        <v>96</v>
      </c>
    </row>
    <row r="2" spans="1:7" ht="15" x14ac:dyDescent="0.25">
      <c r="A2" s="43" t="s">
        <v>172</v>
      </c>
      <c r="C2" t="s">
        <v>222</v>
      </c>
      <c r="E2">
        <v>1.8</v>
      </c>
      <c r="G2" t="s">
        <v>225</v>
      </c>
    </row>
    <row r="3" spans="1:7" x14ac:dyDescent="0.15">
      <c r="A3" t="s">
        <v>173</v>
      </c>
      <c r="C3" t="s">
        <v>312</v>
      </c>
      <c r="E3">
        <v>3.3</v>
      </c>
      <c r="G3" t="s">
        <v>226</v>
      </c>
    </row>
  </sheetData>
  <phoneticPr fontId="3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defaultColWidth="8.875" defaultRowHeight="13.5" x14ac:dyDescent="0.15"/>
  <cols>
    <col min="2" max="2" width="137.375" customWidth="1"/>
  </cols>
  <sheetData>
    <row r="1" spans="1:1" x14ac:dyDescent="0.15">
      <c r="A1" t="s">
        <v>126</v>
      </c>
    </row>
    <row r="2" spans="1:1" x14ac:dyDescent="0.15">
      <c r="A2" t="str">
        <f>"schematic_1"</f>
        <v>schematic_1</v>
      </c>
    </row>
    <row r="4" spans="1:1" ht="343.5" customHeight="1" x14ac:dyDescent="0.15"/>
  </sheetData>
  <phoneticPr fontId="30"/>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2025-06-28T01:13:09Z</dcterms:modified>
</cp:coreProperties>
</file>